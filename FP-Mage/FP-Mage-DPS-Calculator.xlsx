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6" customWidth="1" min="1" max="1"/>
    <col width="16" customWidth="1" min="2" max="2"/>
  </cols>
  <sheetData>
    <row r="1">
      <c r="A1" s="4" t="inlineStr">
        <is>
          <t>Fire/Poison Arch Mage — DPS Calculator Inputs</t>
        </is>
      </c>
    </row>
    <row r="3">
      <c r="A3" s="5" t="inlineStr">
        <is>
          <t>Character Level</t>
        </is>
      </c>
      <c r="B3" s="6" t="n">
        <v>115</v>
      </c>
    </row>
    <row r="4">
      <c r="A4" s="5" t="inlineStr">
        <is>
          <t>Content Type</t>
        </is>
      </c>
      <c r="B4" s="6" t="inlineStr">
        <is>
          <t>Breakthrough</t>
        </is>
      </c>
    </row>
    <row r="5">
      <c r="A5" s="5" t="inlineStr">
        <is>
          <t>Chapter-Stage — e.g. '28-9' for Chapter Boss/Breakthrough/Chapter Hunt (chapter-substage, the boss chapter number alone also works), or just the stage number (e.g. '80') for Weapon/Enhancement/EXP/Equipment/Hero Dungeon</t>
        </is>
      </c>
      <c r="B5" s="6" t="inlineStr">
        <is>
          <t>35-3</t>
        </is>
      </c>
    </row>
    <row r="6">
      <c r="A6" s="5" t="inlineStr">
        <is>
          <t>Flat ATTACK</t>
        </is>
      </c>
      <c r="B6" s="6" t="n">
        <v>966812</v>
      </c>
    </row>
    <row r="7">
      <c r="A7" s="5" t="inlineStr">
        <is>
          <t>ATTACK %</t>
        </is>
      </c>
      <c r="B7" s="6" t="n">
        <v>27798.6</v>
      </c>
    </row>
    <row r="8">
      <c r="A8" s="5" t="inlineStr">
        <is>
          <t>Defense (your own DEF stat; PvP assumes the opponent has the same Defense as you)</t>
        </is>
      </c>
      <c r="B8" s="6" t="n">
        <v>54000</v>
      </c>
    </row>
    <row r="9">
      <c r="A9" s="5" t="inlineStr">
        <is>
          <t>CRIT_RATE %</t>
        </is>
      </c>
      <c r="B9" s="6" t="n">
        <v>107</v>
      </c>
    </row>
    <row r="10">
      <c r="A10" s="5" t="inlineStr">
        <is>
          <t>CRIT_DAMAGE %</t>
        </is>
      </c>
      <c r="B10" s="6" t="n">
        <v>321.6</v>
      </c>
    </row>
    <row r="11">
      <c r="A11" s="5" t="inlineStr">
        <is>
          <t>ATTACK_SPEED % (base, excludes Nimble Feet)</t>
        </is>
      </c>
      <c r="B11" s="6" t="n">
        <v>70</v>
      </c>
    </row>
    <row r="12">
      <c r="A12" s="5" t="inlineStr">
        <is>
          <t>Flat INT</t>
        </is>
      </c>
      <c r="B12" s="6" t="n">
        <v>58675</v>
      </c>
    </row>
    <row r="13">
      <c r="A13" s="5" t="inlineStr">
        <is>
          <t>INT %</t>
        </is>
      </c>
      <c r="B13" s="6" t="n">
        <v>248.1</v>
      </c>
    </row>
    <row r="14">
      <c r="A14" s="5" t="inlineStr">
        <is>
          <t>LUK</t>
        </is>
      </c>
      <c r="B14" s="6" t="n">
        <v>236</v>
      </c>
    </row>
    <row r="15">
      <c r="A15" s="5" t="inlineStr">
        <is>
          <t>DAMAGE %</t>
        </is>
      </c>
      <c r="B15" s="6" t="n">
        <v>932.3</v>
      </c>
    </row>
    <row r="16">
      <c r="A16" s="5" t="inlineStr">
        <is>
          <t>DAMAGE_AMP %</t>
        </is>
      </c>
      <c r="B16" s="6" t="n">
        <v>66.8</v>
      </c>
    </row>
    <row r="17">
      <c r="A17" s="5" t="inlineStr">
        <is>
          <t>BASIC_ATTACK_DAMAGE %</t>
        </is>
      </c>
      <c r="B17" s="6" t="n">
        <v>45.6</v>
      </c>
    </row>
    <row r="18">
      <c r="A18" s="5" t="inlineStr">
        <is>
          <t>SKILL_DAMAGE %</t>
        </is>
      </c>
      <c r="B18" s="6" t="n">
        <v>105.4</v>
      </c>
    </row>
    <row r="19">
      <c r="A19" s="5" t="inlineStr">
        <is>
          <t>DEF_PEN %</t>
        </is>
      </c>
      <c r="B19" s="6" t="n">
        <v>35.1</v>
      </c>
    </row>
    <row r="20">
      <c r="A20" s="5" t="inlineStr">
        <is>
          <t>BOSS_DAMAGE %</t>
        </is>
      </c>
      <c r="B20" s="6" t="n">
        <v>285.2</v>
      </c>
    </row>
    <row r="21">
      <c r="A21" s="5" t="inlineStr">
        <is>
          <t>NORMAL_DAMAGE %</t>
        </is>
      </c>
      <c r="B21" s="6" t="n">
        <v>166.7</v>
      </c>
    </row>
    <row r="22">
      <c r="A22" s="5" t="inlineStr">
        <is>
          <t>MIN_DAMAGE %</t>
        </is>
      </c>
      <c r="B22" s="6" t="n">
        <v>236.2</v>
      </c>
    </row>
    <row r="23">
      <c r="A23" s="5" t="inlineStr">
        <is>
          <t>MAX_DAMAGE %</t>
        </is>
      </c>
      <c r="B23" s="6" t="n">
        <v>323.8</v>
      </c>
    </row>
    <row r="24">
      <c r="A24" s="5" t="inlineStr">
        <is>
          <t>FINAL_DAMAGE % (base, excludes Infinity)</t>
        </is>
      </c>
      <c r="B24" s="6" t="n">
        <v>84.3</v>
      </c>
    </row>
    <row r="25">
      <c r="A25" s="5" t="inlineStr">
        <is>
          <t>Skill Level Bonus — 1st Job</t>
        </is>
      </c>
      <c r="B25" s="6" t="n">
        <v>0</v>
      </c>
    </row>
    <row r="26">
      <c r="A26" s="5" t="inlineStr">
        <is>
          <t>Skill Level Bonus — 2nd Job</t>
        </is>
      </c>
      <c r="B26" s="6" t="n">
        <v>27</v>
      </c>
    </row>
    <row r="27">
      <c r="A27" s="5" t="inlineStr">
        <is>
          <t>Skill Level Bonus — 3rd Job</t>
        </is>
      </c>
      <c r="B27" s="6" t="n">
        <v>9</v>
      </c>
    </row>
    <row r="28">
      <c r="A28" s="5" t="inlineStr">
        <is>
          <t>Skill Level Bonus — 4th Job</t>
        </is>
      </c>
      <c r="B28" s="6" t="n">
        <v>88</v>
      </c>
    </row>
    <row r="29">
      <c r="A29" s="5" t="inlineStr">
        <is>
          <t>Skill Level Bonus — All Skills</t>
        </is>
      </c>
      <c r="B29" s="6" t="n">
        <v>55</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6</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Equal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9" t="inlineStr">
        <is>
          <t>Key</t>
        </is>
      </c>
      <c r="B1" s="9" t="inlineStr">
        <is>
          <t>Name</t>
        </is>
      </c>
      <c r="C1" s="9" t="inlineStr">
        <is>
          <t>JobStep</t>
        </is>
      </c>
      <c r="D1" s="9" t="inlineStr">
        <is>
          <t>Element</t>
        </is>
      </c>
      <c r="E1" s="9" t="inlineStr">
        <is>
          <t>Cooldown(s)</t>
        </is>
      </c>
      <c r="F1" s="9" t="inlineStr">
        <is>
          <t>CostsActionSlot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TriggersElementalDecrease</t>
        </is>
      </c>
      <c r="V1" s="9" t="inlineStr">
        <is>
          <t>TriggersMeteorProc</t>
        </is>
      </c>
      <c r="W1" s="9" t="inlineStr">
        <is>
          <t>MeteorProcTriggersPerCast</t>
        </is>
      </c>
      <c r="X1" s="9" t="inlineStr">
        <is>
          <t>MapleHeroBase(tenths%)</t>
        </is>
      </c>
      <c r="Y1" s="9" t="inlineStr">
        <is>
          <t>MapleHeroFactorIndex</t>
        </is>
      </c>
      <c r="Z1" s="9" t="inlineStr">
        <is>
          <t>Stacks</t>
        </is>
      </c>
      <c r="AA1" s="9"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IF(Inputs!$B$38="pvp",0,(1-Summary!$B$56)*(1)+Summary!$B$56*(IF(Inputs!$B$3&gt;=108,4,3)))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(Summary!B66)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IF(Inputs!$B$38="pvp",10,(1-Summary!$B$56)*(20)+Summary!$B$56*(10))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S1" t="inlineStr">
        <is>
          <t>BossOnlyDPS</t>
        </is>
      </c>
      <c r="U1" t="inlineStr">
        <is>
          <t>NormalOnlyDPS</t>
        </is>
      </c>
      <c r="Z1" s="5" t="inlineStr">
        <is>
          <t>Maple Hero helper (jobStep4, factorIndex23)</t>
        </is>
      </c>
    </row>
    <row r="2">
      <c r="A2">
        <f>Skills!A2</f>
        <v/>
      </c>
      <c r="B2">
        <f>Skills!B2</f>
        <v/>
      </c>
      <c r="C2">
        <f>TRUE</f>
        <v/>
      </c>
      <c r="D2" t="inlineStr"/>
      <c r="E2" t="inlineStr"/>
      <c r="F2">
        <f>Summary!$B$55+Skills!O2</f>
        <v/>
      </c>
      <c r="G2">
        <f>Skills!G2*IF(Skills!H2&gt;0,Skills!I2/Skills!H2,1)</f>
        <v/>
      </c>
      <c r="H2">
        <f>1-(1-Skills!J2/100)^Skills!K2</f>
        <v/>
      </c>
      <c r="I2">
        <f>IF(Skills!X2&lt;&gt;"",1+(Skills!X2/10)*($Z$3/1000)/100,1)</f>
        <v/>
      </c>
      <c r="J2">
        <f>Summary!$B$51*(F2/100)</f>
        <v/>
      </c>
      <c r="K2">
        <f>J2*(1+Summary!$B$52/100)*(1+Inputs!$B$15/100)*(1+Inputs!$B$16/100)*(5000/(6000+Inputs!$B$42*(1-Inputs!$B$19/100)))*(1+Inputs!$B$24/100)*(1+F23/100)*(1+IF(Inputs!$B$3&gt;=120,F26,0)/100)^5*(1+(IF(Skills!A2="BASIC_ATTACK",Inputs!$B$17,Inputs!$B$18+IF(Inputs!$B$3&gt;=125,F27*5,0)))/100)*(Summary!$B$58*Summary!$B$59*Summary!$B$60*I2)</f>
        <v/>
      </c>
      <c r="L2">
        <f>K2*(MIN(Inputs!$B$22,Inputs!$B$23)/100+Inputs!$B$23/100)/2</f>
        <v/>
      </c>
      <c r="M2">
        <f>L2*(1+Inputs!$B$10/100)</f>
        <v/>
      </c>
      <c r="N2">
        <f>L2*(1-MIN(Inputs!$B$9,100)/100)+M2*(MIN(Inputs!$B$9,100)/100)</f>
        <v/>
      </c>
      <c r="O2">
        <f>(1-Summary!$B$56)*S2+Summary!$B$56*U2</f>
        <v/>
      </c>
      <c r="P2">
        <f>IF(Summary!$B$3=0,0,O2/Summary!$B$3)</f>
        <v/>
      </c>
      <c r="Q2">
        <f>IFERROR(1/IF(Inputs!$B$38="pvp",15,MAX(0.1,Skills!E2-IF(Skills!F2=TRUE,Inputs!$B$32,0))),0)</f>
        <v/>
      </c>
      <c r="R2" t="n">
        <v>0</v>
      </c>
      <c r="S2">
        <f>(Skills!G2*N2*Summary!$B$64)*IF(Inputs!$B$38="pvp",1,1+(Inputs!$B$20+Skills!P2)/100)</f>
        <v/>
      </c>
      <c r="U2">
        <f>(Skills!G2*N2*Summary!$B$64)*IF(Inputs!$B$38="pvp",1,(1+(Inputs!$B$21+Skills!Q2)/100)*(MIN(Skills!R2,Inputs!$B$37)))</f>
        <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Summary!$B$51*(F3/100)</f>
        <v/>
      </c>
      <c r="K3">
        <f>J3*(1+Summary!$B$52/100)*(1+Inputs!$B$15/100)*(1+Inputs!$B$16/100)*(5000/(6000+Inputs!$B$42*(1-Inputs!$B$19/100)))*(1+Inputs!$B$24/100)*(1+F23/100)*(1+IF(Inputs!$B$3&gt;=120,F26,0)/100)^5*(1+(IF(Skills!A3="BASIC_ATTACK",Inputs!$B$17,Inputs!$B$18+IF(Inputs!$B$3&gt;=125,F27*5,0)))/100)*(Summary!$B$58*Summary!$B$59*Summary!$B$60*I3)</f>
        <v/>
      </c>
      <c r="L3">
        <f>K3*(MIN(Inputs!$B$22,Inputs!$B$23)/100+Inputs!$B$23/100)/2</f>
        <v/>
      </c>
      <c r="M3">
        <f>L3*(1+Inputs!$B$10/100)</f>
        <v/>
      </c>
      <c r="N3">
        <f>L3*(1-MIN(Inputs!$B$9,100)/100)+M3*(MIN(Inputs!$B$9,100)/100)</f>
        <v/>
      </c>
      <c r="O3">
        <f>(1-Summary!$B$56)*S3+Summary!$B$56*U3</f>
        <v/>
      </c>
      <c r="P3">
        <f>IF(Summary!$B$3=0,0,O3/Summary!$B$3)</f>
        <v/>
      </c>
      <c r="Q3">
        <f>IFERROR(1/IF(Inputs!$B$38="pvp",15,MAX(0.1,Skills!E3-IF(Skills!F3=TRUE,Inputs!$B$32,0))),0)</f>
        <v/>
      </c>
      <c r="R3">
        <f>IF(AND(Inputs!$B$38&lt;&gt;"pvp",Inputs!$B$43&gt;0),IF(MAX(0,Inputs!$B$43-Summary!$B$67)&lt;=0,0,(INT(MAX(0,Inputs!$B$43-Summary!$B$67)/IF(Inputs!$B$38="pvp",15,MAX(0.1,Skills!E3-IF(Skills!F3=TRUE,Inputs!$B$32,0))))+1)),0)</f>
        <v/>
      </c>
      <c r="S3">
        <f>IF(C3,(H3*N3*IF(AND(Inputs!$B$38&lt;&gt;"pvp",Inputs!$B$43&gt;0),((Skills!G3*((R3-1)*IF(Skills!H3&gt;0,Skills!I3/Skills!H3,1)+IF(Skills!H3&gt;0,MIN(Skills!I3,MAX(0,MAX(0,Inputs!$B$43-Summary!$B$67)-((R3-1)*IF(Inputs!$B$38="pvp",15,MAX(0.1,Skills!E3-IF(Skills!F3=TRUE,Inputs!$B$32,0))))))/Skills!H3,1)))/Inputs!$B$43),G3*Q3))*IF(Inputs!$B$38="pvp",1,1+(Inputs!$B$20+Skills!P3)/100),0)</f>
        <v/>
      </c>
      <c r="U3">
        <f>IF(C3,(H3*N3*IF(AND(Inputs!$B$38&lt;&gt;"pvp",Inputs!$B$43&gt;0),((Skills!G3*((R3-1)*IF(Skills!H3&gt;0,Skills!I3/Skills!H3,1)+IF(Skills!H3&gt;0,MIN(Skills!I3,MAX(0,MAX(0,Inputs!$B$43-Summary!$B$67)-((R3-1)*IF(Inputs!$B$38="pvp",15,MAX(0.1,Skills!E3-IF(Skills!F3=TRUE,Inputs!$B$32,0))))))/Skills!H3,1)))/Inputs!$B$43),G3*Q3))*IF(Inputs!$B$38="pvp",1,(1+(Inputs!$B$21+Skills!Q3)/100)*(MIN(Skills!R3,Inputs!$B$37))),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Summary!$B$51*(F4/100)</f>
        <v/>
      </c>
      <c r="K4">
        <f>J4*(1+Summary!$B$52/100)*(1+Inputs!$B$15/100)*(1+Inputs!$B$16/100)*(5000/(6000+Inputs!$B$42*(1-Inputs!$B$19/100)))*(1+Inputs!$B$24/100)*(1+F23/100)*(1+IF(Inputs!$B$3&gt;=120,F26,0)/100)^5*(1+(IF(Skills!A4="BASIC_ATTACK",Inputs!$B$17,Inputs!$B$18+IF(Inputs!$B$3&gt;=125,F27*5,0)))/100)*(Summary!$B$58*Summary!$B$59*Summary!$B$60*I4)</f>
        <v/>
      </c>
      <c r="L4">
        <f>K4*(MIN(Inputs!$B$22,Inputs!$B$23)/100+Inputs!$B$23/100)/2</f>
        <v/>
      </c>
      <c r="M4">
        <f>L4*(1+Inputs!$B$10/100)</f>
        <v/>
      </c>
      <c r="N4">
        <f>L4*(1-MIN(Inputs!$B$9,100)/100)+M4*(MIN(Inputs!$B$9,100)/100)</f>
        <v/>
      </c>
      <c r="O4">
        <f>(1-Summary!$B$56)*S4+Summary!$B$56*U4</f>
        <v/>
      </c>
      <c r="P4">
        <f>IF(Summary!$B$3=0,0,O4/Summary!$B$3)</f>
        <v/>
      </c>
      <c r="Q4">
        <f>IFERROR(1/IF(Inputs!$B$38="pvp",15,MAX(0.1,Skills!E4-IF(Skills!F4=TRUE,Inputs!$B$32,0))),0)</f>
        <v/>
      </c>
      <c r="R4">
        <f>IF(AND(Inputs!$B$38&lt;&gt;"pvp",Inputs!$B$43&gt;0),IF(MAX(0,Inputs!$B$43-Summary!$B$67)&lt;=0,0,(INT(MAX(0,Inputs!$B$43-Summary!$B$67)/IF(Inputs!$B$38="pvp",15,MAX(0.1,Skills!E4-IF(Skills!F4=TRUE,Inputs!$B$32,0))))+1)),0)</f>
        <v/>
      </c>
      <c r="S4">
        <f>IF(C4,(H4*N4*IF(AND(Inputs!$B$38&lt;&gt;"pvp",Inputs!$B$43&gt;0),((Skills!G4*((R4-1)*IF(Skills!H4&gt;0,Skills!I4/Skills!H4,1)+IF(Skills!H4&gt;0,MIN(Skills!I4,MAX(0,MAX(0,Inputs!$B$43-Summary!$B$67)-((R4-1)*IF(Inputs!$B$38="pvp",15,MAX(0.1,Skills!E4-IF(Skills!F4=TRUE,Inputs!$B$32,0))))))/Skills!H4,1)))/Inputs!$B$43),G4*Q4))*IF(Inputs!$B$38="pvp",1,1+(Inputs!$B$20+Skills!P4)/100),0)</f>
        <v/>
      </c>
      <c r="U4">
        <f>IF(C4,(H4*N4*IF(AND(Inputs!$B$38&lt;&gt;"pvp",Inputs!$B$43&gt;0),((Skills!G4*((R4-1)*IF(Skills!H4&gt;0,Skills!I4/Skills!H4,1)+IF(Skills!H4&gt;0,MIN(Skills!I4,MAX(0,MAX(0,Inputs!$B$43-Summary!$B$67)-((R4-1)*IF(Inputs!$B$38="pvp",15,MAX(0.1,Skills!E4-IF(Skills!F4=TRUE,Inputs!$B$32,0))))))/Skills!H4,1)))/Inputs!$B$43),G4*Q4))*IF(Inputs!$B$38="pvp",1,(1+(Inputs!$B$21+Skills!Q4)/100)*(MIN(Skills!R4,Inputs!$B$37))),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Summary!$B$51*(F5/100)</f>
        <v/>
      </c>
      <c r="K5">
        <f>J5*(1+Summary!$B$52/100)*(1+Inputs!$B$15/100)*(1+Inputs!$B$16/100)*(5000/(6000+Inputs!$B$42*(1-Inputs!$B$19/100)))*(1+Inputs!$B$24/100)*(1+F23/100)*(1+IF(Inputs!$B$3&gt;=120,F26,0)/100)^5*(1+(IF(Skills!A5="BASIC_ATTACK",Inputs!$B$17,Inputs!$B$18+IF(Inputs!$B$3&gt;=125,F27*5,0)))/100)*(Summary!$B$58*Summary!$B$59*Summary!$B$60*I5)</f>
        <v/>
      </c>
      <c r="L5">
        <f>K5*(MIN(Inputs!$B$22,Inputs!$B$23)/100+Inputs!$B$23/100)/2</f>
        <v/>
      </c>
      <c r="M5">
        <f>L5*(1+Inputs!$B$10/100)</f>
        <v/>
      </c>
      <c r="N5">
        <f>L5*(1-MIN(Inputs!$B$9,100)/100)+M5*(MIN(Inputs!$B$9,100)/100)</f>
        <v/>
      </c>
      <c r="O5">
        <f>(1-Summary!$B$56)*S5+Summary!$B$56*U5</f>
        <v/>
      </c>
      <c r="P5">
        <f>IF(Summary!$B$3=0,0,O5/Summary!$B$3)</f>
        <v/>
      </c>
      <c r="Q5">
        <f>IFERROR(1/IF(Inputs!$B$38="pvp",15,MAX(0.1,Skills!E5-IF(Skills!F5=TRUE,Inputs!$B$32,0))),0)</f>
        <v/>
      </c>
      <c r="R5">
        <f>IF(AND(Inputs!$B$38&lt;&gt;"pvp",Inputs!$B$43&gt;0),IF(MAX(0,Inputs!$B$43-Summary!$B$67)&lt;=0,0,(INT(MAX(0,Inputs!$B$43-Summary!$B$67)/IF(Inputs!$B$38="pvp",15,MAX(0.1,Skills!E5-IF(Skills!F5=TRUE,Inputs!$B$32,0))))+1)),0)</f>
        <v/>
      </c>
      <c r="S5">
        <f>IF(C5,(H5*N5*IF(AND(Inputs!$B$38&lt;&gt;"pvp",Inputs!$B$43&gt;0),((Skills!G5*((R5-1)*IF(Skills!H5&gt;0,Skills!I5/Skills!H5,1)+IF(Skills!H5&gt;0,MIN(Skills!I5,MAX(0,MAX(0,Inputs!$B$43-Summary!$B$67)-((R5-1)*IF(Inputs!$B$38="pvp",15,MAX(0.1,Skills!E5-IF(Skills!F5=TRUE,Inputs!$B$32,0))))))/Skills!H5,1)))/Inputs!$B$43),G5*Q5))*IF(Inputs!$B$38="pvp",1,1+(Inputs!$B$20+Skills!P5)/100),0)</f>
        <v/>
      </c>
      <c r="U5">
        <f>IF(C5,(H5*N5*IF(AND(Inputs!$B$38&lt;&gt;"pvp",Inputs!$B$43&gt;0),((Skills!G5*((R5-1)*IF(Skills!H5&gt;0,Skills!I5/Skills!H5,1)+IF(Skills!H5&gt;0,MIN(Skills!I5,MAX(0,MAX(0,Inputs!$B$43-Summary!$B$67)-((R5-1)*IF(Inputs!$B$38="pvp",15,MAX(0.1,Skills!E5-IF(Skills!F5=TRUE,Inputs!$B$32,0))))))/Skills!H5,1)))/Inputs!$B$43),G5*Q5))*IF(Inputs!$B$38="pvp",1,(1+(Inputs!$B$21+Skills!Q5)/100)*(MIN(Skills!R5,Inputs!$B$37))),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f>(1-Summary!$B$56)*S6+Summary!$B$56*U6</f>
        <v/>
      </c>
      <c r="P6">
        <f>IF(Summary!$B$3=0,0,O6/Summary!$B$3)</f>
        <v/>
      </c>
      <c r="Q6">
        <f>IFERROR(1/IF(Inputs!$B$38="pvp",15,MAX(0.1,Skills!E6-IF(Skills!F6=TRUE,Inputs!$B$32,0))),0)</f>
        <v/>
      </c>
      <c r="R6">
        <f>IF(AND(Inputs!$B$38&lt;&gt;"pvp",Inputs!$B$43&gt;0),IF(Inputs!$B$43&lt;=0,0,(INT(Inputs!$B$43/IF(Inputs!$B$38="pvp",15,MAX(0.1,Skills!E6-IF(Skills!F6=TRUE,Inputs!$B$32,0))))+1)),0)</f>
        <v/>
      </c>
      <c r="S6" t="n">
        <v>0</v>
      </c>
      <c r="U6" t="n">
        <v>0</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Summary!$B$51*(F7/100)</f>
        <v/>
      </c>
      <c r="K7">
        <f>J7*(1+Summary!$B$52/100)*(1+Inputs!$B$15/100)*(1+Inputs!$B$16/100)*(5000/(6000+Inputs!$B$42*(1-Inputs!$B$19/100)))*(1+Inputs!$B$24/100)*(1+F23/100)*(1+IF(Inputs!$B$3&gt;=120,F26,0)/100)^5*(1+(IF(Skills!A7="BASIC_ATTACK",Inputs!$B$17,Inputs!$B$18+IF(Inputs!$B$3&gt;=125,F27*5,0)))/100)*(Summary!$B$58*Summary!$B$59*Summary!$B$60*I7)</f>
        <v/>
      </c>
      <c r="L7">
        <f>K7*(MIN(Inputs!$B$22,Inputs!$B$23)/100+Inputs!$B$23/100)/2</f>
        <v/>
      </c>
      <c r="M7">
        <f>L7*(1+Inputs!$B$10/100)</f>
        <v/>
      </c>
      <c r="N7">
        <f>L7*(1-MIN(Inputs!$B$9,100)/100)+M7*(MIN(Inputs!$B$9,100)/100)</f>
        <v/>
      </c>
      <c r="O7">
        <f>(1-Summary!$B$56)*S7+Summary!$B$56*U7</f>
        <v/>
      </c>
      <c r="P7">
        <f>IF(Summary!$B$3=0,0,O7/Summary!$B$3)</f>
        <v/>
      </c>
      <c r="Q7">
        <f>IFERROR(1/IF(Inputs!$B$38="pvp",15,MAX(0.1,Skills!E7-IF(Skills!F7=TRUE,Inputs!$B$32,0))),0)</f>
        <v/>
      </c>
      <c r="R7">
        <f>IF(AND(Inputs!$B$38&lt;&gt;"pvp",Inputs!$B$43&gt;0),IF(MAX(0,Inputs!$B$43-Summary!$B$67)&lt;=0,0,(INT(MAX(0,Inputs!$B$43-Summary!$B$67)/IF(Inputs!$B$38="pvp",15,MAX(0.1,Skills!E7-IF(Skills!F7=TRUE,Inputs!$B$32,0))))+1)),0)</f>
        <v/>
      </c>
      <c r="S7">
        <f>IF(C7,(H7*N7*IF(AND(Inputs!$B$38&lt;&gt;"pvp",Inputs!$B$43&gt;0),((Skills!G7*((R7-1)*IF(Skills!H7&gt;0,Skills!I7/Skills!H7,1)+IF(Skills!H7&gt;0,MIN(Skills!I7,MAX(0,MAX(0,Inputs!$B$43-Summary!$B$67)-((R7-1)*IF(Inputs!$B$38="pvp",15,MAX(0.1,Skills!E7-IF(Skills!F7=TRUE,Inputs!$B$32,0))))))/Skills!H7,1)))/Inputs!$B$43),G7*Q7))*IF(Inputs!$B$38="pvp",1,1+(Inputs!$B$20+Skills!P7)/100),0)</f>
        <v/>
      </c>
      <c r="U7">
        <f>IF(C7,(H7*N7*IF(AND(Inputs!$B$38&lt;&gt;"pvp",Inputs!$B$43&gt;0),((Skills!G7*((R7-1)*IF(Skills!H7&gt;0,Skills!I7/Skills!H7,1)+IF(Skills!H7&gt;0,MIN(Skills!I7,MAX(0,MAX(0,Inputs!$B$43-Summary!$B$67)-((R7-1)*IF(Inputs!$B$38="pvp",15,MAX(0.1,Skills!E7-IF(Skills!F7=TRUE,Inputs!$B$32,0))))))/Skills!H7,1)))/Inputs!$B$43),G7*Q7))*IF(Inputs!$B$38="pvp",1,(1+(Inputs!$B$21+Skills!Q7)/100)*(MIN(Skills!R7,Inputs!$B$37))),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Summary!$B$51*(F8/100)</f>
        <v/>
      </c>
      <c r="K8">
        <f>J8*(1+Summary!$B$52/100)*(1+Inputs!$B$15/100)*(1+Inputs!$B$16/100)*(5000/(6000+Inputs!$B$42*(1-Inputs!$B$19/100)))*(1+Inputs!$B$24/100)*(1+F23/100)*(1+IF(Inputs!$B$3&gt;=120,F26,0)/100)^5*(1+(IF(Skills!A8="BASIC_ATTACK",Inputs!$B$17,Inputs!$B$18+IF(Inputs!$B$3&gt;=125,F27*5,0)))/100)*(Summary!$B$58*Summary!$B$59*Summary!$B$60*I8)</f>
        <v/>
      </c>
      <c r="L8">
        <f>K8*(MIN(Inputs!$B$22,Inputs!$B$23)/100+Inputs!$B$23/100)/2</f>
        <v/>
      </c>
      <c r="M8">
        <f>L8*(1+Inputs!$B$10/100)</f>
        <v/>
      </c>
      <c r="N8">
        <f>L8*(1-MIN(Inputs!$B$9,100)/100)+M8*(MIN(Inputs!$B$9,100)/100)</f>
        <v/>
      </c>
      <c r="O8">
        <f>(1-Summary!$B$56)*S8+Summary!$B$56*U8</f>
        <v/>
      </c>
      <c r="P8">
        <f>IF(Summary!$B$3=0,0,O8/Summary!$B$3)</f>
        <v/>
      </c>
      <c r="Q8">
        <f>IFERROR(1/IF(Inputs!$B$38="pvp",15,MAX(0.1,Skills!E8-IF(Skills!F8=TRUE,Inputs!$B$32,0))),0)</f>
        <v/>
      </c>
      <c r="R8">
        <f>IF(AND(Inputs!$B$38&lt;&gt;"pvp",Inputs!$B$43&gt;0),IF(MAX(0,Inputs!$B$43-Summary!$B$67)&lt;=0,0,(INT(MAX(0,Inputs!$B$43-Summary!$B$67)/IF(Inputs!$B$38="pvp",15,MAX(0.1,Skills!E8-IF(Skills!F8=TRUE,Inputs!$B$32,0))))+1)),0)</f>
        <v/>
      </c>
      <c r="S8">
        <f>IF(C8,(H8*N8*IF(AND(Inputs!$B$38&lt;&gt;"pvp",Inputs!$B$43&gt;0),((Skills!G8*((R8-1)*IF(Skills!H8&gt;0,Skills!I8/Skills!H8,1)+IF(Skills!H8&gt;0,MIN(Skills!I8,MAX(0,MAX(0,Inputs!$B$43-Summary!$B$67)-((R8-1)*IF(Inputs!$B$38="pvp",15,MAX(0.1,Skills!E8-IF(Skills!F8=TRUE,Inputs!$B$32,0))))))/Skills!H8,1)))/Inputs!$B$43),G8*Q8))*IF(Inputs!$B$38="pvp",1,1+(Inputs!$B$20+Skills!P8)/100),0)</f>
        <v/>
      </c>
      <c r="U8">
        <f>IF(C8,(H8*N8*IF(AND(Inputs!$B$38&lt;&gt;"pvp",Inputs!$B$43&gt;0),((Skills!G8*((R8-1)*IF(Skills!H8&gt;0,Skills!I8/Skills!H8,1)+IF(Skills!H8&gt;0,MIN(Skills!I8,MAX(0,MAX(0,Inputs!$B$43-Summary!$B$67)-((R8-1)*IF(Inputs!$B$38="pvp",15,MAX(0.1,Skills!E8-IF(Skills!F8=TRUE,Inputs!$B$32,0))))))/Skills!H8,1)))/Inputs!$B$43),G8*Q8))*IF(Inputs!$B$38="pvp",1,(1+(Inputs!$B$21+Skills!Q8)/100)*(MIN(Skills!R8,Inputs!$B$37))),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Summary!$B$51*(F9/100)</f>
        <v/>
      </c>
      <c r="K9">
        <f>J9*(1+Summary!$B$52/100)*(1+Inputs!$B$15/100)*(1+Inputs!$B$16/100)*(5000/(6000+Inputs!$B$42*(1-Inputs!$B$19/100)))*(1+Inputs!$B$24/100)*(1+F23/100)*(1+IF(Inputs!$B$3&gt;=120,F26,0)/100)^5*(1+(IF(Skills!A9="BASIC_ATTACK",Inputs!$B$17,Inputs!$B$18+IF(Inputs!$B$3&gt;=125,F27*5,0)))/100)*(Summary!$B$58*Summary!$B$59*Summary!$B$60*I9)</f>
        <v/>
      </c>
      <c r="L9">
        <f>K9*(MIN(Inputs!$B$22,Inputs!$B$23)/100+Inputs!$B$23/100)/2</f>
        <v/>
      </c>
      <c r="M9">
        <f>L9*(1+Inputs!$B$10/100)</f>
        <v/>
      </c>
      <c r="N9">
        <f>L9*(1-MIN(Inputs!$B$9,100)/100)+M9*(MIN(Inputs!$B$9,100)/100)</f>
        <v/>
      </c>
      <c r="O9">
        <f>(1-Summary!$B$56)*S9+Summary!$B$56*U9</f>
        <v/>
      </c>
      <c r="P9">
        <f>IF(Summary!$B$3=0,0,O9/Summary!$B$3)</f>
        <v/>
      </c>
      <c r="Q9">
        <f>IFERROR(1/IF(Inputs!$B$38="pvp",15,MAX(0.1,Skills!E9-IF(Skills!F7=TRUE,Inputs!$B$32,0))),0)</f>
        <v/>
      </c>
      <c r="R9">
        <f>IF(AND(Inputs!$B$38&lt;&gt;"pvp",Inputs!$B$43&gt;0),IF(MAX(0,Inputs!$B$43-Summary!$B$67)&lt;=0,0,(INT(MAX(0,Inputs!$B$43-Summary!$B$67)/IF(Inputs!$B$38="pvp",15,MAX(0.1,Skills!E9-IF(Skills!F7=TRUE,Inputs!$B$32,0))))+1)),0)</f>
        <v/>
      </c>
      <c r="S9">
        <f>IF(C9,(H9*N9*IF(AND(Inputs!$B$38&lt;&gt;"pvp",Inputs!$B$43&gt;0),((Skills!G9*((R9-1)*IF(Skills!H9&gt;0,Skills!I9/Skills!H9,1)+IF(Skills!H9&gt;0,MIN(Skills!I9,MAX(0,MAX(0,Inputs!$B$43-Summary!$B$67)-((R9-1)*IF(Inputs!$B$38="pvp",15,MAX(0.1,Skills!E9-IF(Skills!F7=TRUE,Inputs!$B$32,0))))))/Skills!H9,1)))/Inputs!$B$43),G9*Q9))*IF(Inputs!$B$38="pvp",1,1+(Inputs!$B$20+Skills!P9)/100),0)</f>
        <v/>
      </c>
      <c r="U9">
        <f>IF(C9,(H9*N9*IF(AND(Inputs!$B$38&lt;&gt;"pvp",Inputs!$B$43&gt;0),((Skills!G9*((R9-1)*IF(Skills!H9&gt;0,Skills!I9/Skills!H9,1)+IF(Skills!H9&gt;0,MIN(Skills!I9,MAX(0,MAX(0,Inputs!$B$43-Summary!$B$67)-((R9-1)*IF(Inputs!$B$38="pvp",15,MAX(0.1,Skills!E9-IF(Skills!F7=TRUE,Inputs!$B$32,0))))))/Skills!H9,1)))/Inputs!$B$43),G9*Q9))*IF(Inputs!$B$38="pvp",1,(1+(Inputs!$B$21+Skills!Q9)/100)*(MIN(Skills!R9,Inputs!$B$37))),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Summary!$B$51*(F10/100)</f>
        <v/>
      </c>
      <c r="K10">
        <f>J10*(1+Summary!$B$52/100)*(1+Inputs!$B$15/100)*(1+Inputs!$B$16/100)*(5000/(6000+Inputs!$B$42*(1-Inputs!$B$19/100)))*(1+Inputs!$B$24/100)*(1+F23/100)*(1+IF(Inputs!$B$3&gt;=120,F26,0)/100)^5*(1+(IF(Skills!A10="BASIC_ATTACK",Inputs!$B$17,Inputs!$B$18+IF(Inputs!$B$3&gt;=125,F27*5,0)))/100)*(Summary!$B$58*Summary!$B$59*Summary!$B$60*I10)</f>
        <v/>
      </c>
      <c r="L10">
        <f>K10*(MIN(Inputs!$B$22,Inputs!$B$23)/100+Inputs!$B$23/100)/2</f>
        <v/>
      </c>
      <c r="M10">
        <f>L10*(1+Inputs!$B$10/100)</f>
        <v/>
      </c>
      <c r="N10">
        <f>L10*(1-MIN(Inputs!$B$9,100)/100)+M10*(MIN(Inputs!$B$9,100)/100)</f>
        <v/>
      </c>
      <c r="O10">
        <f>(1-Summary!$B$56)*S10+Summary!$B$56*U10</f>
        <v/>
      </c>
      <c r="P10">
        <f>IF(Summary!$B$3=0,0,O10/Summary!$B$3)</f>
        <v/>
      </c>
      <c r="Q10">
        <f>IFERROR(1/IF(Inputs!$B$38="pvp",15,MAX(0.1,Skills!E10-IF(Skills!F10=TRUE,Inputs!$B$32,0))),0)</f>
        <v/>
      </c>
      <c r="R10">
        <f>IF(AND(Inputs!$B$38&lt;&gt;"pvp",Inputs!$B$43&gt;0),IF(MAX(0,Inputs!$B$43-Summary!$B$67)&lt;=0,0,(INT(MAX(0,Inputs!$B$43-Summary!$B$67)/IF(Inputs!$B$38="pvp",15,MAX(0.1,Skills!E10-IF(Skills!F10=TRUE,Inputs!$B$32,0))))+1)),0)</f>
        <v/>
      </c>
      <c r="S10">
        <f>IF(C10,(H10*N10*IF(AND(Inputs!$B$38&lt;&gt;"pvp",Inputs!$B$43&gt;0),((Skills!G10*((R10-1)*IF(Skills!H10&gt;0,Skills!I10/Skills!H10,1)+IF(Skills!H10&gt;0,MIN(Skills!I10,MAX(0,MAX(0,Inputs!$B$43-Summary!$B$67)-((R10-1)*IF(Inputs!$B$38="pvp",15,MAX(0.1,Skills!E10-IF(Skills!F10=TRUE,Inputs!$B$32,0))))))/Skills!H10,1)))/Inputs!$B$43),G10*Q10))*IF(Inputs!$B$38="pvp",1,1+(Inputs!$B$20+Skills!P10)/100),0)</f>
        <v/>
      </c>
      <c r="U10">
        <f>IF(C10,(H10*N10*IF(AND(Inputs!$B$38&lt;&gt;"pvp",Inputs!$B$43&gt;0),((Skills!G10*((R10-1)*IF(Skills!H10&gt;0,Skills!I10/Skills!H10,1)+IF(Skills!H10&gt;0,MIN(Skills!I10,MAX(0,MAX(0,Inputs!$B$43-Summary!$B$67)-((R10-1)*IF(Inputs!$B$38="pvp",15,MAX(0.1,Skills!E10-IF(Skills!F10=TRUE,Inputs!$B$32,0))))))/Skills!H10,1)))/Inputs!$B$43),G10*Q10))*IF(Inputs!$B$38="pvp",1,(1+(Inputs!$B$21+Skills!Q10)/100)*(MIN(Skills!R10,Inputs!$B$37))),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f>(1-Summary!$B$56)*S11+Summary!$B$56*U11</f>
        <v/>
      </c>
      <c r="P11">
        <f>IF(Summary!$B$3=0,0,O11/Summary!$B$3)</f>
        <v/>
      </c>
      <c r="Q11">
        <f>IFERROR(1/IF(Inputs!$B$38="pvp",15,MAX(0.1,Skills!E11-IF(Skills!F11=TRUE,Inputs!$B$32,0))),0)</f>
        <v/>
      </c>
      <c r="R11" t="n">
        <v>0</v>
      </c>
      <c r="S11" t="n">
        <v>0</v>
      </c>
      <c r="U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f>(1-Summary!$B$56)*S12+Summary!$B$56*U12</f>
        <v/>
      </c>
      <c r="P12">
        <f>IF(Summary!$B$3=0,0,O12/Summary!$B$3)</f>
        <v/>
      </c>
      <c r="Q12">
        <f>IFERROR(1/IF(Inputs!$B$38="pvp",15,MAX(0.1,Skills!E12-IF(Skills!F12=TRUE,Inputs!$B$32,0))),0)</f>
        <v/>
      </c>
      <c r="R12" t="n">
        <v>0</v>
      </c>
      <c r="S12" t="n">
        <v>0</v>
      </c>
      <c r="U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Summary!$B$51*(F13/100)</f>
        <v/>
      </c>
      <c r="K13">
        <f>J13*(1+Summary!$B$52/100)*(1+Inputs!$B$15/100)*(1+Inputs!$B$16/100)*(5000/(6000+Inputs!$B$42*(1-Inputs!$B$19/100)))*(1+Inputs!$B$24/100)*(1+F23/100)*(1+IF(Inputs!$B$3&gt;=120,F26,0)/100)^5*(1+(IF(Skills!A13="BASIC_ATTACK",Inputs!$B$17,Inputs!$B$18+IF(Inputs!$B$3&gt;=125,F27*5,0)))/100)*(Summary!$B$58*Summary!$B$59*Summary!$B$60*I13)</f>
        <v/>
      </c>
      <c r="L13">
        <f>K13*(MIN(Inputs!$B$22,Inputs!$B$23)/100+Inputs!$B$23/100)/2</f>
        <v/>
      </c>
      <c r="M13">
        <f>L13*(1+Inputs!$B$10/100)</f>
        <v/>
      </c>
      <c r="N13">
        <f>L13*(1-MIN(Inputs!$B$9,100)/100)+M13*(MIN(Inputs!$B$9,100)/100)</f>
        <v/>
      </c>
      <c r="O13">
        <f>(1-Summary!$B$56)*S13+Summary!$B$56*U13</f>
        <v/>
      </c>
      <c r="P13">
        <f>IF(Summary!$B$3=0,0,O13/Summary!$B$3)</f>
        <v/>
      </c>
      <c r="Q13">
        <f>IFERROR(1/IF(Inputs!$B$38="pvp",15,MAX(0.1,Skills!E13-IF(Skills!F13=TRUE,Inputs!$B$32,0))),0)</f>
        <v/>
      </c>
      <c r="R13">
        <f>IF(AND(Inputs!$B$38&lt;&gt;"pvp",Inputs!$B$43&gt;0),IF(MAX(0,Inputs!$B$43-Summary!$B$67)&lt;=0,0,(INT(MAX(0,Inputs!$B$43-Summary!$B$67)/IF(Inputs!$B$38="pvp",15,MAX(0.1,Skills!E13-IF(Skills!F13=TRUE,Inputs!$B$32,0))))+1)),0)</f>
        <v/>
      </c>
      <c r="S13">
        <f>IF(C13,(H13*N13*IF(AND(Inputs!$B$38&lt;&gt;"pvp",Inputs!$B$43&gt;0),((Skills!G13*((R13-1)*IF(Skills!H13&gt;0,Skills!I13/Skills!H13,1)+IF(Skills!H13&gt;0,MIN(Skills!I13,MAX(0,MAX(0,Inputs!$B$43-Summary!$B$67)-((R13-1)*IF(Inputs!$B$38="pvp",15,MAX(0.1,Skills!E13-IF(Skills!F13=TRUE,Inputs!$B$32,0))))))/Skills!H13,1)))/Inputs!$B$43),G13*Q13))*IF(Inputs!$B$38="pvp",1,1+(Inputs!$B$20+Skills!P13)/100),0)</f>
        <v/>
      </c>
      <c r="U13">
        <f>IF(C13,(H13*N13*IF(AND(Inputs!$B$38&lt;&gt;"pvp",Inputs!$B$43&gt;0),((Skills!G13*((R13-1)*IF(Skills!H13&gt;0,Skills!I13/Skills!H13,1)+IF(Skills!H13&gt;0,MIN(Skills!I13,MAX(0,MAX(0,Inputs!$B$43-Summary!$B$67)-((R13-1)*IF(Inputs!$B$38="pvp",15,MAX(0.1,Skills!E13-IF(Skills!F13=TRUE,Inputs!$B$32,0))))))/Skills!H13,1)))/Inputs!$B$43),G13*Q13))*IF(Inputs!$B$38="pvp",1,(1+(Inputs!$B$21+Skills!Q13)/100)*(MIN(Skills!R13,Inputs!$B$37))),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Summary!$B$51*(F14/100)</f>
        <v/>
      </c>
      <c r="K14">
        <f>J14*(1+Summary!$B$52/100)*(1+Inputs!$B$15/100)*(1+Inputs!$B$16/100)*(5000/(6000+Inputs!$B$42*(1-Inputs!$B$19/100)))*(1+Inputs!$B$24/100)*(1+F23/100)*(1+IF(Inputs!$B$3&gt;=120,F26,0)/100)^5*(1+(IF(Skills!A14="BASIC_ATTACK",Inputs!$B$17,Inputs!$B$18+IF(Inputs!$B$3&gt;=125,F27*5,0)))/100)*(Summary!$B$58*Summary!$B$59*Summary!$B$60*I14)</f>
        <v/>
      </c>
      <c r="L14">
        <f>K14*(MIN(Inputs!$B$22,Inputs!$B$23)/100+Inputs!$B$23/100)/2</f>
        <v/>
      </c>
      <c r="M14">
        <f>L14*(1+Inputs!$B$10/100)</f>
        <v/>
      </c>
      <c r="N14">
        <f>L14*(1-MIN(Inputs!$B$9,100)/100)+M14*(MIN(Inputs!$B$9,100)/100)</f>
        <v/>
      </c>
      <c r="O14">
        <f>(1-Summary!$B$56)*S14+Summary!$B$56*U14</f>
        <v/>
      </c>
      <c r="P14">
        <f>IF(Summary!$B$3=0,0,O14/Summary!$B$3)</f>
        <v/>
      </c>
      <c r="Q14">
        <f>IFERROR(1/IF(Inputs!$B$38="pvp",15,MAX(0.1,Skills!E14-IF(Skills!F14=TRUE,Inputs!$B$32,0))),0)</f>
        <v/>
      </c>
      <c r="R14" t="n">
        <v>0</v>
      </c>
      <c r="S14">
        <f>IF(C14,((H14*Summary!$B$66)/(1+Skills!H14*H14*Summary!$B$66)*N14)*IF(Inputs!$B$38="pvp",1,1+(Inputs!$B$20+Skills!P14)/100),0)</f>
        <v/>
      </c>
      <c r="U14">
        <f>IF(C14,((H14*Summary!$B$66)/(1+Skills!H14*H14*Summary!$B$66)*N14)*IF(Inputs!$B$38="pvp",1,(1+(Inputs!$B$21+Skills!Q14)/100)*(MIN(Skills!R14,Inputs!$B$37))),0)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Summary!$B$51*(F15/100)</f>
        <v/>
      </c>
      <c r="K15">
        <f>J15*(1+Summary!$B$52/100)*(1+Inputs!$B$15/100)*(1+Inputs!$B$16/100)*(5000/(6000+Inputs!$B$42*(1-Inputs!$B$19/100)))*(1+Inputs!$B$24/100)*(1+F23/100)*(1+IF(Inputs!$B$3&gt;=120,F26,0)/100)^5*(1+(IF(Skills!A15="BASIC_ATTACK",Inputs!$B$17,Inputs!$B$18+IF(Inputs!$B$3&gt;=125,F27*5,0)))/100)*(Summary!$B$58*Summary!$B$59*Summary!$B$60*I15)</f>
        <v/>
      </c>
      <c r="L15">
        <f>K15*(MIN(Inputs!$B$22,Inputs!$B$23)/100+Inputs!$B$23/100)/2</f>
        <v/>
      </c>
      <c r="M15">
        <f>L15*(1+Inputs!$B$10/100)</f>
        <v/>
      </c>
      <c r="N15">
        <f>L15*(1-MIN(Inputs!$B$9,100)/100)+M15*(MIN(Inputs!$B$9,100)/100)</f>
        <v/>
      </c>
      <c r="O15">
        <f>(1-Summary!$B$56)*S15+Summary!$B$56*U15</f>
        <v/>
      </c>
      <c r="P15">
        <f>IF(Summary!$B$3=0,0,O15/Summary!$B$3)</f>
        <v/>
      </c>
      <c r="Q15">
        <f>IFERROR(1/IF(Inputs!$B$38="pvp",15,MAX(0.1,Skills!E15-IF(Skills!F15=TRUE,Inputs!$B$32,0))),0)</f>
        <v/>
      </c>
      <c r="R15">
        <f>IF(AND(Inputs!$B$38&lt;&gt;"pvp",Inputs!$B$43&gt;0),IF(MAX(0,Inputs!$B$43-Summary!$B$67)&lt;=0,0,(INT(MAX(0,Inputs!$B$43-Summary!$B$67)/IF(Inputs!$B$38="pvp",15,MAX(0.1,Skills!E15-IF(Skills!F15=TRUE,Inputs!$B$32,0))))+1)),0)</f>
        <v/>
      </c>
      <c r="S15">
        <f>IF(C15,(H15*N15*IF(AND(Inputs!$B$38&lt;&gt;"pvp",Inputs!$B$43&gt;0),((Skills!G15*((R15-1)*IF(Skills!H15&gt;0,Skills!I15/Skills!H15,1)+IF(Skills!H15&gt;0,MIN(Skills!I15,MAX(0,MAX(0,Inputs!$B$43-Summary!$B$67)-((R15-1)*IF(Inputs!$B$38="pvp",15,MAX(0.1,Skills!E15-IF(Skills!F15=TRUE,Inputs!$B$32,0))))))/Skills!H15,1)))/Inputs!$B$43),G15*Q15))*IF(Inputs!$B$38="pvp",1,1+(Inputs!$B$20+Skills!P15)/100),0)</f>
        <v/>
      </c>
      <c r="U15">
        <f>IF(C15,(H15*N15*IF(AND(Inputs!$B$38&lt;&gt;"pvp",Inputs!$B$43&gt;0),((Skills!G15*((R15-1)*IF(Skills!H15&gt;0,Skills!I15/Skills!H15,1)+IF(Skills!H15&gt;0,MIN(Skills!I15,MAX(0,MAX(0,Inputs!$B$43-Summary!$B$67)-((R15-1)*IF(Inputs!$B$38="pvp",15,MAX(0.1,Skills!E15-IF(Skills!F15=TRUE,Inputs!$B$32,0))))))/Skills!H15,1)))/Inputs!$B$43),G15*Q15))*IF(Inputs!$B$38="pvp",1,(1+(Inputs!$B$21+Skills!Q15)/100)*(MIN(Skills!R15,Inputs!$B$37))),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Summary!$B$51*(F16/100)</f>
        <v/>
      </c>
      <c r="K16">
        <f>J16*(1+Summary!$B$52/100)*(1+Inputs!$B$15/100)*(1+Inputs!$B$16/100)*(5000/(6000+Inputs!$B$42*(1-Inputs!$B$19/100)))*(1+Inputs!$B$24/100)*(1+F23/100)*(1+IF(Inputs!$B$3&gt;=120,F26,0)/100)^5*(1+(IF(Skills!A16="BASIC_ATTACK",Inputs!$B$17,Inputs!$B$18+IF(Inputs!$B$3&gt;=125,F27*5,0)))/100)*(Summary!$B$58*Summary!$B$59*Summary!$B$60*I16)</f>
        <v/>
      </c>
      <c r="L16">
        <f>K16*(MIN(Inputs!$B$22,Inputs!$B$23)/100+Inputs!$B$23/100)/2</f>
        <v/>
      </c>
      <c r="M16">
        <f>L16*(1+Inputs!$B$10/100)</f>
        <v/>
      </c>
      <c r="N16">
        <f>L16*(1-MIN(Inputs!$B$9,100)/100)+M16*(MIN(Inputs!$B$9,100)/100)</f>
        <v/>
      </c>
      <c r="O16">
        <f>(1-Summary!$B$56)*S16+Summary!$B$56*U16</f>
        <v/>
      </c>
      <c r="P16">
        <f>IF(Summary!$B$3=0,0,O16/Summary!$B$3)</f>
        <v/>
      </c>
      <c r="Q16">
        <f>IFERROR(1/IF(Inputs!$B$38="pvp",15,MAX(0.1,Skills!E16-IF(Skills!F16=TRUE,Inputs!$B$32,0))),0)</f>
        <v/>
      </c>
      <c r="R16">
        <f>IF(AND(Inputs!$B$38&lt;&gt;"pvp",Inputs!$B$43&gt;0),IF(MAX(0,Inputs!$B$43-Summary!$B$67)&lt;=0,0,(INT(MAX(0,Inputs!$B$43-Summary!$B$67)/IF(Inputs!$B$38="pvp",15,MAX(0.1,Skills!E16-IF(Skills!F16=TRUE,Inputs!$B$32,0))))+1)),0)</f>
        <v/>
      </c>
      <c r="S16">
        <f>IF(C16,(H16*N16*IF(AND(Inputs!$B$38&lt;&gt;"pvp",Inputs!$B$43&gt;0),((Skills!G16*((R16-1)*IF(Skills!H16&gt;0,Skills!I16/Skills!H16,1)+IF(Skills!H16&gt;0,MIN(Skills!I16,MAX(0,MAX(0,Inputs!$B$43-Summary!$B$67)-((R16-1)*IF(Inputs!$B$38="pvp",15,MAX(0.1,Skills!E16-IF(Skills!F16=TRUE,Inputs!$B$32,0))))))/Skills!H16,1)))/Inputs!$B$43),G16*Q16)*(1+IF(Inputs!$B$3&gt;=126,0.05*(Summary!$B$64+Q13+(H14*Summary!$B$66)/(1+Skills!H14*H14*Summary!$B$66)+Q24),0)*Skills!E15))*IF(Inputs!$B$38="pvp",1,1+(Inputs!$B$20+Skills!P16)/100),0)</f>
        <v/>
      </c>
      <c r="U16">
        <f>IF(C16,(H16*N16*IF(AND(Inputs!$B$38&lt;&gt;"pvp",Inputs!$B$43&gt;0),((Skills!G16*((R16-1)*IF(Skills!H16&gt;0,Skills!I16/Skills!H16,1)+IF(Skills!H16&gt;0,MIN(Skills!I16,MAX(0,MAX(0,Inputs!$B$43-Summary!$B$67)-((R16-1)*IF(Inputs!$B$38="pvp",15,MAX(0.1,Skills!E16-IF(Skills!F16=TRUE,Inputs!$B$32,0))))))/Skills!H16,1)))/Inputs!$B$43),G16*Q16)*(1+IF(Inputs!$B$3&gt;=126,0.05*(Summary!$B$64+Q13+(H14*Summary!$B$66)/(1+Skills!H14*H14*Summary!$B$66)+Q24),0)*Skills!E15))*IF(Inputs!$B$38="pvp",1,(1+(Inputs!$B$21+Skills!Q16)/100)*(MIN(Skills!R16,Inputs!$B$37))),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f>(1-Summary!$B$56)*S17+Summary!$B$56*U17</f>
        <v/>
      </c>
      <c r="P17">
        <f>IF(Summary!$B$3=0,0,O17/Summary!$B$3)</f>
        <v/>
      </c>
      <c r="Q17">
        <f>IFERROR(1/IF(Inputs!$B$38="pvp",15,MAX(0.1,Skills!E17-IF(Skills!F17=TRUE,Inputs!$B$32,0))),0)</f>
        <v/>
      </c>
      <c r="R17">
        <f>IF(AND(Inputs!$B$38&lt;&gt;"pvp",Inputs!$B$43&gt;0),IF(Inputs!$B$43&lt;=0,0,(INT(Inputs!$B$43/IF(Inputs!$B$38="pvp",15,MAX(0.1,Skills!E17-IF(Skills!F17=TRUE,Inputs!$B$32,0))))+1)),0)</f>
        <v/>
      </c>
      <c r="S17" t="n">
        <v>0</v>
      </c>
      <c r="U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f>(1-Summary!$B$56)*S18+Summary!$B$56*U18</f>
        <v/>
      </c>
      <c r="P18">
        <f>IF(Summary!$B$3=0,0,O18/Summary!$B$3)</f>
        <v/>
      </c>
      <c r="Q18">
        <f>IFERROR(1/IF(Inputs!$B$38="pvp",15,MAX(0.1,Skills!E18-IF(Skills!F18=TRUE,Inputs!$B$32,0))),0)</f>
        <v/>
      </c>
      <c r="R18">
        <f>IF(AND(Inputs!$B$38&lt;&gt;"pvp",Inputs!$B$43&gt;0),IF(Inputs!$B$43&lt;=0,0,(INT(Inputs!$B$43/IF(Inputs!$B$38="pvp",15,MAX(0.1,Skills!E18-IF(Skills!F18=TRUE,Inputs!$B$32,0))))+1)),0)</f>
        <v/>
      </c>
      <c r="S18" t="n">
        <v>0</v>
      </c>
      <c r="U18" t="n">
        <v>0</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f>(1-Summary!$B$56)*S19+Summary!$B$56*U19</f>
        <v/>
      </c>
      <c r="P19">
        <f>IF(Summary!$B$3=0,0,O19/Summary!$B$3)</f>
        <v/>
      </c>
      <c r="Q19">
        <f>IFERROR(1/IF(Inputs!$B$38="pvp",15,MAX(0.1,Skills!E19-IF(Skills!F19=TRUE,Inputs!$B$32,0))),0)</f>
        <v/>
      </c>
      <c r="R19">
        <f>IF(AND(Inputs!$B$38&lt;&gt;"pvp",Inputs!$B$43&gt;0),IF(Inputs!$B$43&lt;=0,0,(INT(Inputs!$B$43/IF(Inputs!$B$38="pvp",15,MAX(0.1,Skills!E19-IF(Skills!F19=TRUE,Inputs!$B$32,0))))+1)),0)</f>
        <v/>
      </c>
      <c r="S19" t="n">
        <v>0</v>
      </c>
      <c r="U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f>(1-Summary!$B$56)*S20+Summary!$B$56*U20</f>
        <v/>
      </c>
      <c r="P20">
        <f>IF(Summary!$B$3=0,0,O20/Summary!$B$3)</f>
        <v/>
      </c>
      <c r="Q20">
        <f>IFERROR(1/IF(Inputs!$B$38="pvp",15,MAX(0.1,Skills!E20-IF(Skills!F20=TRUE,Inputs!$B$32,0))),0)</f>
        <v/>
      </c>
      <c r="R20" t="n">
        <v>0</v>
      </c>
      <c r="S20" t="n">
        <v>0</v>
      </c>
      <c r="U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f>(1-Summary!$B$56)*S21+Summary!$B$56*U21</f>
        <v/>
      </c>
      <c r="P21">
        <f>IF(Summary!$B$3=0,0,O21/Summary!$B$3)</f>
        <v/>
      </c>
      <c r="Q21">
        <f>IFERROR(1/IF(Inputs!$B$38="pvp",15,MAX(0.1,Skills!E21-IF(Skills!F21=TRUE,Inputs!$B$32,0))),0)</f>
        <v/>
      </c>
      <c r="R21" t="n">
        <v>0</v>
      </c>
      <c r="S21" t="n">
        <v>0</v>
      </c>
      <c r="U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f>(1-Summary!$B$56)*S22+Summary!$B$56*U22</f>
        <v/>
      </c>
      <c r="P22">
        <f>IF(Summary!$B$3=0,0,O22/Summary!$B$3)</f>
        <v/>
      </c>
      <c r="Q22">
        <f>IFERROR(1/IF(Inputs!$B$38="pvp",15,MAX(0.1,Skills!E22-IF(Skills!F22=TRUE,Inputs!$B$32,0))),0)</f>
        <v/>
      </c>
      <c r="R22" t="n">
        <v>0</v>
      </c>
      <c r="S22" t="n">
        <v>0</v>
      </c>
      <c r="U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f>(1-Summary!$B$56)*S23+Summary!$B$56*U23</f>
        <v/>
      </c>
      <c r="P23">
        <f>IF(Summary!$B$3=0,0,O23/Summary!$B$3)</f>
        <v/>
      </c>
      <c r="Q23">
        <f>IFERROR(1/IF(Inputs!$B$38="pvp",15,MAX(0.1,Skills!E23-IF(Skills!F23=TRUE,Inputs!$B$32,0))),0)</f>
        <v/>
      </c>
      <c r="R23" t="n">
        <v>0</v>
      </c>
      <c r="S23" t="n">
        <v>0</v>
      </c>
      <c r="U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Summary!$B$51*(F24/100)</f>
        <v/>
      </c>
      <c r="K24">
        <f>J24*(1+Summary!$B$52/100)*(1+Inputs!$B$15/100)*(1+Inputs!$B$16/100)*(5000/(6000+Inputs!$B$42*(1-Inputs!$B$19/100)))*(1+Inputs!$B$24/100)*(1+F23/100)*(1+IF(Inputs!$B$3&gt;=120,F26,0)/100)^5*(1+(IF(Skills!A24="BASIC_ATTACK",Inputs!$B$17,Inputs!$B$18+IF(Inputs!$B$3&gt;=125,F27*5,0)))/100)*(Summary!$B$58*Summary!$B$59*Summary!$B$60*I24)</f>
        <v/>
      </c>
      <c r="L24">
        <f>K24*(MIN(Inputs!$B$22,Inputs!$B$23)/100+Inputs!$B$23/100)/2</f>
        <v/>
      </c>
      <c r="M24">
        <f>L24*(1+Inputs!$B$10/100)</f>
        <v/>
      </c>
      <c r="N24">
        <f>L24*(1-MIN(Inputs!$B$9,100)/100)+M24*(MIN(Inputs!$B$9,100)/100)</f>
        <v/>
      </c>
      <c r="O24">
        <f>(1-Summary!$B$56)*S24+Summary!$B$56*U24</f>
        <v/>
      </c>
      <c r="P24">
        <f>IF(Summary!$B$3=0,0,O24/Summary!$B$3)</f>
        <v/>
      </c>
      <c r="Q24">
        <f>IFERROR(1/IF(Inputs!$B$38="pvp",15,MAX(0.1,Skills!E24-IF(Skills!F24=TRUE,Inputs!$B$32,0))),0)</f>
        <v/>
      </c>
      <c r="R24">
        <f>IF(AND(Inputs!$B$38&lt;&gt;"pvp",Inputs!$B$43&gt;0),IF(MAX(0,Inputs!$B$43-Summary!$B$67)&lt;=0,0,(INT(MAX(0,Inputs!$B$43-Summary!$B$67)/IF(Inputs!$B$38="pvp",15,MAX(0.1,Skills!E24-IF(Skills!F24=TRUE,Inputs!$B$32,0))))+1)),0)</f>
        <v/>
      </c>
      <c r="S24">
        <f>IF(C24,(H24*N24*IF(AND(Inputs!$B$38&lt;&gt;"pvp",Inputs!$B$43&gt;0),((Skills!G24*((R24-1)*IF(Skills!H24&gt;0,Skills!I24/Skills!H24,1)+IF(Skills!H24&gt;0,MIN(Skills!I24,MAX(0,MAX(0,Inputs!$B$43-Summary!$B$67)-((R24-1)*IF(Inputs!$B$38="pvp",15,MAX(0.1,Skills!E24-IF(Skills!F24=TRUE,Inputs!$B$32,0))))))/Skills!H24,1)))/Inputs!$B$43),G24*Q24)*(1+IF(Inputs!$B$3&gt;=130,0.2*(Skills!I16/Skills!E15+IF(Inputs!$B$3&gt;=126,0.05*(Summary!$B$64+Q13+(H14*Summary!$B$66)/(1+Skills!H14*H14*Summary!$B$66)+Q24),0)*Skills!I16),0)))*IF(Inputs!$B$38="pvp",1,1+(Inputs!$B$20+Skills!P24)/100),0)</f>
        <v/>
      </c>
      <c r="U24">
        <f>IF(C24,(H24*N24*IF(AND(Inputs!$B$38&lt;&gt;"pvp",Inputs!$B$43&gt;0),((Skills!G24*((R24-1)*IF(Skills!H24&gt;0,Skills!I24/Skills!H24,1)+IF(Skills!H24&gt;0,MIN(Skills!I24,MAX(0,MAX(0,Inputs!$B$43-Summary!$B$67)-((R24-1)*IF(Inputs!$B$38="pvp",15,MAX(0.1,Skills!E24-IF(Skills!F24=TRUE,Inputs!$B$32,0))))))/Skills!H24,1)))/Inputs!$B$43),G24*Q24)*(1+IF(Inputs!$B$3&gt;=130,0.2*(Skills!I16/Skills!E15+IF(Inputs!$B$3&gt;=126,0.05*(Summary!$B$64+Q13+(H14*Summary!$B$66)/(1+Skills!H14*H14*Summary!$B$66)+Q24),0)*Skills!I16),0)))*IF(Inputs!$B$38="pvp",1,(1+(Inputs!$B$21+Skills!Q24)/100)*(MIN(Skills!R24,Inputs!$B$37))),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f>(1-Summary!$B$56)*S25+Summary!$B$56*U25</f>
        <v/>
      </c>
      <c r="P25">
        <f>IF(Summary!$B$3=0,0,O25/Summary!$B$3)</f>
        <v/>
      </c>
      <c r="Q25">
        <f>IFERROR(1/IF(Inputs!$B$38="pvp",15,MAX(0.1,Skills!E25-IF(Skills!F25=TRUE,Inputs!$B$32,0))),0)</f>
        <v/>
      </c>
      <c r="R25" t="n">
        <v>0</v>
      </c>
      <c r="S25" t="n">
        <v>0</v>
      </c>
      <c r="U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f>(1-Summary!$B$56)*S26+Summary!$B$56*U26</f>
        <v/>
      </c>
      <c r="P26">
        <f>IF(Summary!$B$3=0,0,O26/Summary!$B$3)</f>
        <v/>
      </c>
      <c r="Q26">
        <f>IFERROR(1/IF(Inputs!$B$38="pvp",15,MAX(0.1,Skills!E26-IF(Skills!F26=TRUE,Inputs!$B$32,0))),0)</f>
        <v/>
      </c>
      <c r="R26" t="n">
        <v>0</v>
      </c>
      <c r="S26" t="n">
        <v>0</v>
      </c>
      <c r="U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f>(1-Summary!$B$56)*S27+Summary!$B$56*U27</f>
        <v/>
      </c>
      <c r="P27">
        <f>IF(Summary!$B$3=0,0,O27/Summary!$B$3)</f>
        <v/>
      </c>
      <c r="Q27">
        <f>IFERROR(1/IF(Inputs!$B$38="pvp",15,MAX(0.1,Skills!E27-IF(Skills!F27=TRUE,Inputs!$B$32,0))),0)</f>
        <v/>
      </c>
      <c r="R27" t="n">
        <v>0</v>
      </c>
      <c r="S27" t="n">
        <v>0</v>
      </c>
      <c r="U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Summary!$B$51*(F28/100)</f>
        <v/>
      </c>
      <c r="K28">
        <f>J28*(1+Summary!$B$52/100)*(1+Inputs!$B$15/100)*(1+Inputs!$B$16/100)*(5000/(6000+Inputs!$B$42*(1-Inputs!$B$19/100)))*(1+Inputs!$B$24/100)*(1+F23/100)*(1+IF(Inputs!$B$3&gt;=120,F26,0)/100)^5*(1+(IF(Skills!A28="BASIC_ATTACK",Inputs!$B$17,Inputs!$B$18+IF(Inputs!$B$3&gt;=125,F27*5,0)))/100)*(Summary!$B$58*Summary!$B$59*Summary!$B$60*I28)</f>
        <v/>
      </c>
      <c r="L28">
        <f>K28*(MIN(Inputs!$B$22,Inputs!$B$23)/100+Inputs!$B$23/100)/2</f>
        <v/>
      </c>
      <c r="M28">
        <f>L28*(1+Inputs!$B$10/100)</f>
        <v/>
      </c>
      <c r="N28">
        <f>L28*(1-MIN(Inputs!$B$9,100)/100)+M28*(MIN(Inputs!$B$9,100)/100)</f>
        <v/>
      </c>
      <c r="O28">
        <f>(1-Summary!$B$56)*S28+Summary!$B$56*U28</f>
        <v/>
      </c>
      <c r="P28">
        <f>IF(Summary!$B$3=0,0,O28/Summary!$B$3)</f>
        <v/>
      </c>
      <c r="Q28">
        <f>IFERROR(1/IF(Inputs!$B$38="pvp",15,MAX(0.1,Skills!E28-IF(Skills!F28=TRUE,Inputs!$B$32,0))),0)</f>
        <v/>
      </c>
      <c r="R28">
        <f>IF(AND(Inputs!$B$38&lt;&gt;"pvp",Inputs!$B$43&gt;0),IF(MAX(0,Inputs!$B$43-Summary!$B$67)&lt;=0,0,(INT(MAX(0,Inputs!$B$43-Summary!$B$67)/IF(Inputs!$B$38="pvp",15,MAX(0.1,Skills!E28-IF(Skills!F28=TRUE,Inputs!$B$32,0))))+1)),0)</f>
        <v/>
      </c>
      <c r="S28">
        <f>IF(C28,(H28*N28*IF(AND(Inputs!$B$38&lt;&gt;"pvp",Inputs!$B$43&gt;0),((Skills!G28*((R28-1)*IF(Skills!H28&gt;0,Skills!I28/Skills!H28,1)+IF(Skills!H28&gt;0,MIN(Skills!I28,MAX(0,MAX(0,Inputs!$B$43-Summary!$B$67)-((R28-1)*IF(Inputs!$B$38="pvp",15,MAX(0.1,Skills!E28-IF(Skills!F28=TRUE,Inputs!$B$32,0))))))/Skills!H28,1)))/Inputs!$B$43),G28*Q28))*IF(Inputs!$B$38="pvp",1,1+(Inputs!$B$20+Skills!P28)/100),0)</f>
        <v/>
      </c>
      <c r="U28">
        <f>IF(C28,(H28*N28*IF(AND(Inputs!$B$38&lt;&gt;"pvp",Inputs!$B$43&gt;0),((Skills!G28*((R28-1)*IF(Skills!H28&gt;0,Skills!I28/Skills!H28,1)+IF(Skills!H28&gt;0,MIN(Skills!I28,MAX(0,MAX(0,Inputs!$B$43-Summary!$B$67)-((R28-1)*IF(Inputs!$B$38="pvp",15,MAX(0.1,Skills!E28-IF(Skills!F28=TRUE,Inputs!$B$32,0))))))/Skills!H28,1)))/Inputs!$B$43),G28*Q28))*IF(Inputs!$B$38="pvp",1,(1+(Inputs!$B$21+Skills!Q28)/100)*(MIN(Skills!R28,Inputs!$B$37))),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Calc!B13</f>
        <v/>
      </c>
      <c r="B15">
        <f>Calc!O13</f>
        <v/>
      </c>
      <c r="C15">
        <f>Calc!P13*100</f>
        <v/>
      </c>
    </row>
    <row r="16">
      <c r="A16">
        <f>Calc!B14</f>
        <v/>
      </c>
      <c r="B16">
        <f>Calc!O14</f>
        <v/>
      </c>
      <c r="C16">
        <f>Calc!P14*100</f>
        <v/>
      </c>
    </row>
    <row r="17">
      <c r="A17">
        <f>Calc!B15</f>
        <v/>
      </c>
      <c r="B17">
        <f>Calc!O15</f>
        <v/>
      </c>
      <c r="C17">
        <f>Calc!P15*100</f>
        <v/>
      </c>
    </row>
    <row r="18">
      <c r="A18">
        <f>Calc!B16</f>
        <v/>
      </c>
      <c r="B18">
        <f>Calc!O16</f>
        <v/>
      </c>
      <c r="C18">
        <f>Calc!P16*100</f>
        <v/>
      </c>
    </row>
    <row r="19">
      <c r="A19">
        <f>Calc!B24</f>
        <v/>
      </c>
      <c r="B19">
        <f>Calc!O24</f>
        <v/>
      </c>
      <c r="C19">
        <f>Calc!P24*100</f>
        <v/>
      </c>
    </row>
    <row r="20">
      <c r="A20">
        <f>Calc!B28</f>
        <v/>
      </c>
      <c r="B20">
        <f>Calc!O28</f>
        <v/>
      </c>
      <c r="C20">
        <f>Calc!P28*100</f>
        <v/>
      </c>
    </row>
    <row r="21">
      <c r="A21" s="7" t="inlineStr">
        <is>
          <t>Marginal DPS &amp; Stat Value (see Sensitivity for full detail)</t>
        </is>
      </c>
    </row>
    <row r="23">
      <c r="A23" s="9" t="inlineStr">
        <is>
          <t>Stat</t>
        </is>
      </c>
      <c r="B23" s="9" t="inlineStr">
        <is>
          <t>DPS per +1</t>
        </is>
      </c>
      <c r="C23" s="9" t="inlineStr">
        <is>
          <t>Units per +1% DPS</t>
        </is>
      </c>
    </row>
    <row r="24">
      <c r="A24">
        <f>Sensitivity!A5</f>
        <v/>
      </c>
      <c r="B24">
        <f>Sensitivity!H5</f>
        <v/>
      </c>
      <c r="C24">
        <f>Sensitivity!B5</f>
        <v/>
      </c>
    </row>
    <row r="25">
      <c r="A25">
        <f>Sensitivity!A6</f>
        <v/>
      </c>
      <c r="B25">
        <f>Sensitivity!H6</f>
        <v/>
      </c>
      <c r="C25">
        <f>Sensitivity!B6</f>
        <v/>
      </c>
    </row>
    <row r="26">
      <c r="A26">
        <f>Sensitivity!A7</f>
        <v/>
      </c>
      <c r="B26">
        <f>Sensitivity!H7</f>
        <v/>
      </c>
      <c r="C26">
        <f>Sensitivity!B7</f>
        <v/>
      </c>
    </row>
    <row r="27">
      <c r="A27">
        <f>Sensitivity!A8</f>
        <v/>
      </c>
      <c r="B27">
        <f>Sensitivity!H8</f>
        <v/>
      </c>
      <c r="C27">
        <f>Sensitivity!B8</f>
        <v/>
      </c>
    </row>
    <row r="28">
      <c r="A28">
        <f>Sensitivity!A9</f>
        <v/>
      </c>
      <c r="B28">
        <f>Sensitivity!H9</f>
        <v/>
      </c>
      <c r="C28">
        <f>Sensitivity!B9</f>
        <v/>
      </c>
    </row>
    <row r="29">
      <c r="A29">
        <f>Sensitivity!A10</f>
        <v/>
      </c>
      <c r="B29">
        <f>Sensitivity!H10</f>
        <v/>
      </c>
      <c r="C29">
        <f>Sensitivity!B10</f>
        <v/>
      </c>
    </row>
    <row r="30">
      <c r="A30">
        <f>Sensitivity!A11</f>
        <v/>
      </c>
      <c r="B30">
        <f>Sensitivity!H11</f>
        <v/>
      </c>
      <c r="C30">
        <f>Sensitivity!B11</f>
        <v/>
      </c>
    </row>
    <row r="31">
      <c r="A31">
        <f>Sensitivity!A12</f>
        <v/>
      </c>
      <c r="B31">
        <f>Sensitivity!H12</f>
        <v/>
      </c>
      <c r="C31">
        <f>Sensitivity!B12</f>
        <v/>
      </c>
    </row>
    <row r="32">
      <c r="A32">
        <f>Sensitivity!A13</f>
        <v/>
      </c>
      <c r="B32">
        <f>Sensitivity!H13</f>
        <v/>
      </c>
      <c r="C32">
        <f>Sensitivity!B13</f>
        <v/>
      </c>
    </row>
    <row r="33">
      <c r="A33">
        <f>Sensitivity!A14</f>
        <v/>
      </c>
      <c r="B33">
        <f>Sensitivity!H14</f>
        <v/>
      </c>
      <c r="C33">
        <f>Sensitivity!B14</f>
        <v/>
      </c>
    </row>
    <row r="34">
      <c r="A34">
        <f>Sensitivity!A15</f>
        <v/>
      </c>
      <c r="B34">
        <f>Sensitivity!H15</f>
        <v/>
      </c>
      <c r="C34">
        <f>Sensitivity!B15</f>
        <v/>
      </c>
    </row>
    <row r="35">
      <c r="A35">
        <f>Sensitivity!A16</f>
        <v/>
      </c>
      <c r="B35">
        <f>Sensitivity!H16</f>
        <v/>
      </c>
      <c r="C35">
        <f>Sensitivity!B16</f>
        <v/>
      </c>
    </row>
    <row r="36">
      <c r="A36">
        <f>Sensitivity!A17</f>
        <v/>
      </c>
      <c r="B36">
        <f>Sensitivity!H17</f>
        <v/>
      </c>
      <c r="C36">
        <f>Sensitivity!B17</f>
        <v/>
      </c>
    </row>
    <row r="37">
      <c r="A37">
        <f>Sensitivity!A18</f>
        <v/>
      </c>
      <c r="B37">
        <f>Sensitivity!H18</f>
        <v/>
      </c>
      <c r="C37">
        <f>Sensitivity!B18</f>
        <v/>
      </c>
    </row>
    <row r="38">
      <c r="A38">
        <f>Sensitivity!A19</f>
        <v/>
      </c>
      <c r="B38">
        <f>Sensitivity!H19</f>
        <v/>
      </c>
      <c r="C38">
        <f>Sensitivity!B19</f>
        <v/>
      </c>
    </row>
    <row r="39">
      <c r="A39">
        <f>Sensitivity!A20</f>
        <v/>
      </c>
      <c r="B39">
        <f>Sensitivity!H20</f>
        <v/>
      </c>
      <c r="C39">
        <f>Sensitivity!B20</f>
        <v/>
      </c>
    </row>
    <row r="40">
      <c r="A40">
        <f>Sensitivity!A21</f>
        <v/>
      </c>
      <c r="B40">
        <f>Sensitivity!H21</f>
        <v/>
      </c>
      <c r="C40">
        <f>Sensitivity!B21</f>
        <v/>
      </c>
    </row>
    <row r="41">
      <c r="A41">
        <f>Sensitivity!A22</f>
        <v/>
      </c>
      <c r="B41">
        <f>Sensitivity!H22</f>
        <v/>
      </c>
      <c r="C41">
        <f>Sensitivity!B22</f>
        <v/>
      </c>
    </row>
    <row r="42">
      <c r="A42">
        <f>Sensitivity!A23</f>
        <v/>
      </c>
      <c r="B42">
        <f>Sensitivity!H23</f>
        <v/>
      </c>
      <c r="C42">
        <f>Sensitivity!B23</f>
        <v/>
      </c>
    </row>
    <row r="43">
      <c r="A43">
        <f>Sensitivity!A24</f>
        <v/>
      </c>
      <c r="B43">
        <f>Sensitivity!H24</f>
        <v/>
      </c>
      <c r="C43">
        <f>Sensitivity!B24</f>
        <v/>
      </c>
    </row>
    <row r="44">
      <c r="A44">
        <f>Sensitivity!A25</f>
        <v/>
      </c>
      <c r="B44">
        <f>Sensitivity!H25</f>
        <v/>
      </c>
      <c r="C44">
        <f>Sensitivity!B25</f>
        <v/>
      </c>
    </row>
    <row r="45">
      <c r="A45">
        <f>Sensitivity!A26</f>
        <v/>
      </c>
      <c r="B45">
        <f>Sensitivity!H26</f>
        <v/>
      </c>
      <c r="C45">
        <f>Sensitivity!B26</f>
        <v/>
      </c>
    </row>
    <row r="46">
      <c r="A46">
        <f>Sensitivity!A27</f>
        <v/>
      </c>
      <c r="B46">
        <f>Sensitivity!H27</f>
        <v/>
      </c>
      <c r="C46">
        <f>Sensitivity!B27</f>
        <v/>
      </c>
    </row>
    <row r="47">
      <c r="A47">
        <f>Sensitivity!A28</f>
        <v/>
      </c>
      <c r="B47">
        <f>Sensitivity!H28</f>
        <v/>
      </c>
      <c r="C47">
        <f>Sensitivity!B28</f>
        <v/>
      </c>
    </row>
    <row r="48">
      <c r="A48">
        <f>Sensitivity!A29</f>
        <v/>
      </c>
      <c r="B48">
        <f>Sensitivity!H29</f>
        <v/>
      </c>
      <c r="C48">
        <f>Sensitivity!B29</f>
        <v/>
      </c>
    </row>
    <row r="50">
      <c r="A50" s="7" t="inlineStr">
        <is>
          <t>Derived Values (read-only, computed from Inputs)</t>
        </is>
      </c>
    </row>
    <row r="51">
      <c r="A51" t="inlineStr">
        <is>
          <t>ATTACK (= Flat ATTACK x (1+ATTACK%/100))</t>
        </is>
      </c>
      <c r="B51">
        <f>Inputs!$B$6*(1+Inputs!$B$7/100)</f>
        <v/>
      </c>
    </row>
    <row r="52">
      <c r="A52" t="inlineStr">
        <is>
          <t>STAT_DAMAGE % (= 1% of total INT + 0.25% of LUK)</t>
        </is>
      </c>
      <c r="B52">
        <f>(Inputs!$B$12*(1+Inputs!$B$13/100))*0.01+Inputs!$B$14*0.0025</f>
        <v/>
      </c>
    </row>
    <row r="53">
      <c r="A53" t="inlineStr">
        <is>
          <t>Basic Attack Input Level (4th job formula)</t>
        </is>
      </c>
      <c r="B53">
        <f>MAX(0,(Inputs!$B$3-100)*3)+Inputs!$B$28+Inputs!$B$29</f>
        <v/>
      </c>
    </row>
    <row r="54">
      <c r="A54" t="inlineStr">
        <is>
          <t>Basic Attack Factor (factorIndex 21)</t>
        </is>
      </c>
      <c r="B54">
        <f>INDEX(FactorTable!$B$2:$Y$301, MATCH(ROUND(MIN(300,MAX(1,Summary!$B$53)),0), FactorTable!$A$2:$A$301,0), 22)</f>
        <v/>
      </c>
    </row>
    <row r="55">
      <c r="A55" t="inlineStr">
        <is>
          <t>SKILL_COEFFICIENT — Basic Attack base coefficient % (before Skill Mastery)</t>
        </is>
      </c>
      <c r="B55">
        <f>290*Summary!$B$54/1000</f>
        <v/>
      </c>
    </row>
    <row r="56">
      <c r="A56" t="inlineStr">
        <is>
          <t>Normal-Monster Weight (= 0 for boss, 1 for normal, Breakthrough Normal Weight % for breakthrough, 0 for pvp)</t>
        </is>
      </c>
      <c r="B56">
        <f>IF(Inputs!$B$38="normal",1,IF(Inputs!$B$38="breakthrough",Inputs!$B$44/100,0))</f>
        <v/>
      </c>
    </row>
    <row r="58">
      <c r="A58" t="inlineStr">
        <is>
          <t>Burning Magic Multiplier</t>
        </is>
      </c>
      <c r="B58">
        <f>1+(Calc!F11*Skills!Z11)/100</f>
        <v/>
      </c>
    </row>
    <row r="59">
      <c r="A59" t="inlineStr">
        <is>
          <t>Elemental Decrease Multiplier (always-on)</t>
        </is>
      </c>
      <c r="B59">
        <f>1+Calc!F12/100</f>
        <v/>
      </c>
    </row>
    <row r="60">
      <c r="A60" t="inlineStr">
        <is>
          <t>Average Buff Multiplier (Magic Guard + Meditation, summed; then Infinity)</t>
        </is>
      </c>
      <c r="B60">
        <f>(1+(Calc!F6*IF(AND(Inputs!$B$38&lt;&gt;"pvp",Inputs!$B$43&gt;0),(((Calc!R6-1)*(Skills!T6*(1+(Inputs!$B$34+IF(Inputs!$B$3&gt;=117,Calc!F25,0))/100))+MIN((Skills!T6*(1+(Inputs!$B$34+IF(Inputs!$B$3&gt;=117,Calc!F25,0))/100)),MAX(0,Inputs!$B$43-((Calc!R6-1)*Skills!E6))))/Inputs!$B$43),IF(Inputs!$B$38="pvp",MIN((Skills!T6*(1+(Inputs!$B$34+IF(Inputs!$B$3&gt;=117,Calc!F25,0))/100)),15)/15,(Skills!T6*(1+(Inputs!$B$34+IF(Inputs!$B$3&gt;=117,Calc!F25,0))/100))/Skills!E6))+Calc!F17*IF(AND(Inputs!$B$38&lt;&gt;"pvp",Inputs!$B$43&gt;0),(((Calc!R17-1)*(Skills!T17*(1+(Inputs!$B$34+IF(Inputs!$B$3&gt;=117,Calc!F25,0))/100))+MIN((Skills!T17*(1+(Inputs!$B$34+IF(Inputs!$B$3&gt;=117,Calc!F25,0))/100)),MAX(0,Inputs!$B$43-((Calc!R17-1)*Skills!E17))))/Inputs!$B$43),IF(Inputs!$B$38="pvp",MIN((Skills!T17*(1+(Inputs!$B$34+IF(Inputs!$B$3&gt;=117,Calc!F25,0))/100)),15)/15,(Skills!T17*(1+(Inputs!$B$34+IF(Inputs!$B$3&gt;=117,Calc!F25,0))/100))/Skills!E17)))/100)*IF(Calc!C19=TRUE,(1+Calc!F19*IF(AND(Inputs!$B$38&lt;&gt;"pvp",Inputs!$B$43&gt;0),(((Calc!R19-1)*(Skills!T19*(1+(Inputs!$B$34+IF(Inputs!$B$3&gt;=117,Calc!F25,0))/100))+MIN((Skills!T19*(1+(Inputs!$B$34+IF(Inputs!$B$3&gt;=117,Calc!F25,0))/100)),MAX(0,Inputs!$B$43-((Calc!R19-1)*Skills!E19))))/Inputs!$B$43),IF(Inputs!$B$38="pvp",MIN((Skills!T19*(1+(Inputs!$B$34+IF(Inputs!$B$3&gt;=117,Calc!F25,0))/100)),15)/15,(Skills!T19*(1+(Inputs!$B$34+IF(Inputs!$B$3&gt;=117,Calc!F25,0))/100))/Skills!E19))/100),1)</f>
        <v/>
      </c>
    </row>
    <row r="61">
      <c r="A61" t="inlineStr">
        <is>
          <t>Attack Speed Buff Bonus % (Nimble Feet, averaged)</t>
        </is>
      </c>
      <c r="B61">
        <f>Calc!F18*IF(AND(Inputs!$B$38&lt;&gt;"pvp",Inputs!$B$43&gt;0),(((Calc!R18-1)*(Skills!T18*(1+(Inputs!$B$34+IF(Inputs!$B$3&gt;=117,Calc!F25,0))/100))+MIN((Skills!T18*(1+(Inputs!$B$34+IF(Inputs!$B$3&gt;=117,Calc!F25,0))/100)),MAX(0,Inputs!$B$43-((Calc!R18-1)*Skills!E18))))/Inputs!$B$43),IF(Inputs!$B$38="pvp",MIN((Skills!T18*(1+(Inputs!$B$34+IF(Inputs!$B$3&gt;=117,Calc!F25,0))/100)),15)/15,(Skills!T18*(1+(Inputs!$B$34+IF(Inputs!$B$3&gt;=117,Calc!F25,0))/100))/Skills!E18))</f>
        <v/>
      </c>
    </row>
    <row r="62">
      <c r="A62" t="inlineStr">
        <is>
          <t>Actions Per Second (Attack Speed combined via diminishing-returns stack, factor 150, then capped)</t>
        </is>
      </c>
      <c r="B62">
        <f>1+MIN(150,150*(1-(1-Inputs!$B$11/150)*(1-B61/150)))/100</f>
        <v/>
      </c>
    </row>
    <row r="63">
      <c r="A63" t="inlineStr">
        <is>
          <t>Skill + Buff Cast Rate (subtracted from Basic Attack, 1/s)</t>
        </is>
      </c>
      <c r="B63">
        <f>IF(AND(Inputs!$B$38&lt;&gt;"pvp",Inputs!$B$43&gt;0),SUMPRODUCT((Skills!F2:F28=TRUE)*(Calc!C2:C28=TRUE)*Calc!R2:R28)/Inputs!$B$43,SUMPRODUCT((Skills!F2:F28=TRUE)*(Calc!C2:C28=TRUE)*Calc!Q2:Q28))</f>
        <v/>
      </c>
    </row>
    <row r="64">
      <c r="A64" t="inlineStr">
        <is>
          <t>Basic Attacks Per Second</t>
        </is>
      </c>
      <c r="B64">
        <f>MAX(0,B62-B63)</f>
        <v/>
      </c>
    </row>
    <row r="65">
      <c r="A65" t="inlineStr">
        <is>
          <t>Basic Attack DPS</t>
        </is>
      </c>
      <c r="B65">
        <f>Calc!O2</f>
        <v/>
      </c>
    </row>
    <row r="66">
      <c r="A66" t="inlineStr">
        <is>
          <t>Meteor Proc — triggering attacks' combined cast rate, incl. Basic Attack (1/s)</t>
        </is>
      </c>
      <c r="B66">
        <f>IF(AND(Inputs!$B$38&lt;&gt;"pvp",Inputs!$B$43&gt;0),SUMPRODUCT((Skills!V2:V28=TRUE)*(Calc!C2:C28=TRUE)*Calc!R2:R28*Skills!W2:W28)/Inputs!$B$43,SUMPRODUCT((Skills!V2:V28=TRUE)*(Calc!C2:C28=TRUE)*Calc!Q2:Q28*Skills!W2:W28))+B64</f>
        <v/>
      </c>
    </row>
    <row r="67">
      <c r="A67" t="inlineStr">
        <is>
          <t>Buff-Casting Startup Delay (s, before first damage-skill cast; fixed-duration only)</t>
        </is>
      </c>
      <c r="B67">
        <f>IF(AND(Inputs!$B$38&lt;&gt;"pvp",Inputs!$B$43&gt;0),SUMPRODUCT((Skills!T2:T28&gt;0)*(Skills!F2:F28=TRUE)*(Calc!C2:C28=TRUE))/B62,0)</f>
        <v/>
      </c>
    </row>
    <row r="68">
      <c r="A68" t="inlineStr">
        <is>
          <t>Boss-Only Total DPS (Sensitivity baseline)</t>
        </is>
      </c>
      <c r="B68">
        <f>SUM(Calc!S2:S28)</f>
        <v/>
      </c>
    </row>
    <row r="69">
      <c r="A69" t="inlineStr">
        <is>
          <t>Normal-Only Total DPS (Sensitivity baseline)</t>
        </is>
      </c>
      <c r="B69">
        <f>SUM(Calc!U2:U28)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583"/>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Inputs!$B$12</f>
        <v/>
      </c>
      <c r="E5">
        <f>(Inputs!$B$12+1)</f>
        <v/>
      </c>
      <c r="F5">
        <f>Summary!$B$3</f>
        <v/>
      </c>
      <c r="G5">
        <f>B73</f>
        <v/>
      </c>
      <c r="H5">
        <f>Summary!$B$3*(((1-Summary!$B$56)*IFERROR(B71/Summary!$B$68,1)+Summary!$B$56*IFERROR(B72/Summary!$B$69,1))-1)</f>
        <v/>
      </c>
      <c r="I5">
        <f>((1-Summary!$B$56)*IFERROR(B71/Summary!$B$68,1)+Summary!$B$56*IFERROR(B72/Summary!$B$69,1))*100</f>
        <v/>
      </c>
    </row>
    <row r="6">
      <c r="A6" t="inlineStr">
        <is>
          <t>INT %</t>
        </is>
      </c>
      <c r="B6">
        <f>IFERROR(1/(I6-100),"n/a")</f>
        <v/>
      </c>
      <c r="C6" t="inlineStr">
        <is>
          <t>pct</t>
        </is>
      </c>
      <c r="D6">
        <f>Inputs!$B$13</f>
        <v/>
      </c>
      <c r="E6">
        <f>(Inputs!$B$13+1)</f>
        <v/>
      </c>
      <c r="F6">
        <f>Summary!$B$3</f>
        <v/>
      </c>
      <c r="G6">
        <f>B117</f>
        <v/>
      </c>
      <c r="H6">
        <f>Summary!$B$3*(((1-Summary!$B$56)*IFERROR(B115/Summary!$B$68,1)+Summary!$B$56*IFERROR(B116/Summary!$B$69,1))-1)</f>
        <v/>
      </c>
      <c r="I6">
        <f>((1-Summary!$B$56)*IFERROR(B115/Summary!$B$68,1)+Summary!$B$56*IFERROR(B116/Summary!$B$69,1))*100</f>
        <v/>
      </c>
    </row>
    <row r="7">
      <c r="A7" t="inlineStr">
        <is>
          <t>DAMAGE %</t>
        </is>
      </c>
      <c r="B7">
        <f>IFERROR(1/(I7-100),"n/a")</f>
        <v/>
      </c>
      <c r="C7" t="inlineStr">
        <is>
          <t>pct</t>
        </is>
      </c>
      <c r="D7">
        <f>Inputs!$B$15</f>
        <v/>
      </c>
      <c r="E7">
        <f>(Inputs!$B$15+1)</f>
        <v/>
      </c>
      <c r="F7">
        <f>Summary!$B$3</f>
        <v/>
      </c>
      <c r="G7">
        <f>B161</f>
        <v/>
      </c>
      <c r="H7">
        <f>Summary!$B$3*(((1-Summary!$B$56)*IFERROR(B159/Summary!$B$68,1)+Summary!$B$56*IFERROR(B160/Summary!$B$69,1))-1)</f>
        <v/>
      </c>
      <c r="I7">
        <f>((1-Summary!$B$56)*IFERROR(B159/Summary!$B$68,1)+Summary!$B$56*IFERROR(B160/Summary!$B$69,1))*100</f>
        <v/>
      </c>
    </row>
    <row r="8">
      <c r="A8" t="inlineStr">
        <is>
          <t>DAMAGE_AMP %</t>
        </is>
      </c>
      <c r="B8">
        <f>IFERROR(1/(I8-100),"n/a")</f>
        <v/>
      </c>
      <c r="C8" t="inlineStr">
        <is>
          <t>pct</t>
        </is>
      </c>
      <c r="D8">
        <f>Inputs!$B$16</f>
        <v/>
      </c>
      <c r="E8">
        <f>(Inputs!$B$16+1)</f>
        <v/>
      </c>
      <c r="F8">
        <f>Summary!$B$3</f>
        <v/>
      </c>
      <c r="G8">
        <f>B205</f>
        <v/>
      </c>
      <c r="H8">
        <f>Summary!$B$3*(((1-Summary!$B$56)*IFERROR(B203/Summary!$B$68,1)+Summary!$B$56*IFERROR(B204/Summary!$B$69,1))-1)</f>
        <v/>
      </c>
      <c r="I8">
        <f>((1-Summary!$B$56)*IFERROR(B203/Summary!$B$68,1)+Summary!$B$56*IFERROR(B204/Summary!$B$69,1))*100</f>
        <v/>
      </c>
    </row>
    <row r="9">
      <c r="A9" t="inlineStr">
        <is>
          <t>BOSS_DAMAGE %</t>
        </is>
      </c>
      <c r="B9">
        <f>IFERROR(1/(I9-100),"n/a")</f>
        <v/>
      </c>
      <c r="C9" t="inlineStr">
        <is>
          <t>pct</t>
        </is>
      </c>
      <c r="D9">
        <f>Inputs!$B$20</f>
        <v/>
      </c>
      <c r="E9">
        <f>(Inputs!$B$20+1)</f>
        <v/>
      </c>
      <c r="F9">
        <f>Summary!$B$3</f>
        <v/>
      </c>
      <c r="G9">
        <f>B249</f>
        <v/>
      </c>
      <c r="H9">
        <f>Summary!$B$3*(((1-Summary!$B$56)*IFERROR(B247/Summary!$B$68,1)+Summary!$B$56*IFERROR(B248/Summary!$B$69,1))-1)</f>
        <v/>
      </c>
      <c r="I9">
        <f>((1-Summary!$B$56)*IFERROR(B247/Summary!$B$68,1)+Summary!$B$56*IFERROR(B248/Summary!$B$69,1))*100</f>
        <v/>
      </c>
    </row>
    <row r="10">
      <c r="A10" t="inlineStr">
        <is>
          <t>NORMAL_DAMAGE %</t>
        </is>
      </c>
      <c r="B10">
        <f>IFERROR(1/(I10-100),"n/a")</f>
        <v/>
      </c>
      <c r="C10" t="inlineStr">
        <is>
          <t>pct</t>
        </is>
      </c>
      <c r="D10">
        <f>Inputs!$B$21</f>
        <v/>
      </c>
      <c r="E10">
        <f>(Inputs!$B$21+1)</f>
        <v/>
      </c>
      <c r="F10">
        <f>Summary!$B$3</f>
        <v/>
      </c>
      <c r="G10">
        <f>B293</f>
        <v/>
      </c>
      <c r="H10">
        <f>Summary!$B$3*(((1-Summary!$B$56)*IFERROR(B291/Summary!$B$68,1)+Summary!$B$56*IFERROR(B292/Summary!$B$69,1))-1)</f>
        <v/>
      </c>
      <c r="I10">
        <f>((1-Summary!$B$56)*IFERROR(B291/Summary!$B$68,1)+Summary!$B$56*IFERROR(B292/Summary!$B$69,1))*100</f>
        <v/>
      </c>
    </row>
    <row r="11">
      <c r="A11" t="inlineStr">
        <is>
          <t>FINAL_DAMAGE % (multiplicative source)</t>
        </is>
      </c>
      <c r="B11">
        <f>IFERROR(1/(I11-100),"n/a")</f>
        <v/>
      </c>
      <c r="C11" t="inlineStr">
        <is>
          <t>mult</t>
        </is>
      </c>
      <c r="D11">
        <f>Inputs!$B$24</f>
        <v/>
      </c>
      <c r="E11">
        <f>((((1+Inputs!$B$24/100)*(1.01))-1)*100)</f>
        <v/>
      </c>
      <c r="F11">
        <f>Summary!$B$3</f>
        <v/>
      </c>
      <c r="G11">
        <f>B337</f>
        <v/>
      </c>
      <c r="H11">
        <f>Summary!$B$3*(((1-Summary!$B$56)*IFERROR(B335/Summary!$B$68,1)+Summary!$B$56*IFERROR(B336/Summary!$B$69,1))-1)</f>
        <v/>
      </c>
      <c r="I11">
        <f>((1-Summary!$B$56)*IFERROR(B335/Summary!$B$68,1)+Summary!$B$56*IFERROR(B336/Summary!$B$69,1))*100</f>
        <v/>
      </c>
    </row>
    <row r="12">
      <c r="A12" t="inlineStr">
        <is>
          <t>MIN_DAMAGE %</t>
        </is>
      </c>
      <c r="B12">
        <f>IFERROR(1/(I12-100),"n/a")</f>
        <v/>
      </c>
      <c r="C12" t="inlineStr">
        <is>
          <t>pct</t>
        </is>
      </c>
      <c r="D12">
        <f>Inputs!$B$22</f>
        <v/>
      </c>
      <c r="E12">
        <f>(Inputs!$B$22+1)</f>
        <v/>
      </c>
      <c r="F12">
        <f>Summary!$B$3</f>
        <v/>
      </c>
      <c r="G12">
        <f>B381</f>
        <v/>
      </c>
      <c r="H12">
        <f>Summary!$B$3*(((1-Summary!$B$56)*IFERROR(B379/Summary!$B$68,1)+Summary!$B$56*IFERROR(B380/Summary!$B$69,1))-1)</f>
        <v/>
      </c>
      <c r="I12">
        <f>((1-Summary!$B$56)*IFERROR(B379/Summary!$B$68,1)+Summary!$B$56*IFERROR(B380/Summary!$B$69,1))*100</f>
        <v/>
      </c>
    </row>
    <row r="13">
      <c r="A13" t="inlineStr">
        <is>
          <t>MAX_DAMAGE %</t>
        </is>
      </c>
      <c r="B13">
        <f>IFERROR(1/(I13-100),"n/a")</f>
        <v/>
      </c>
      <c r="C13" t="inlineStr">
        <is>
          <t>pct</t>
        </is>
      </c>
      <c r="D13">
        <f>Inputs!$B$23</f>
        <v/>
      </c>
      <c r="E13">
        <f>(Inputs!$B$23+1)</f>
        <v/>
      </c>
      <c r="F13">
        <f>Summary!$B$3</f>
        <v/>
      </c>
      <c r="G13">
        <f>B425</f>
        <v/>
      </c>
      <c r="H13">
        <f>Summary!$B$3*(((1-Summary!$B$56)*IFERROR(B423/Summary!$B$68,1)+Summary!$B$56*IFERROR(B424/Summary!$B$69,1))-1)</f>
        <v/>
      </c>
      <c r="I13">
        <f>((1-Summary!$B$56)*IFERROR(B423/Summary!$B$68,1)+Summary!$B$56*IFERROR(B424/Summary!$B$69,1))*100</f>
        <v/>
      </c>
    </row>
    <row r="14">
      <c r="A14" t="inlineStr">
        <is>
          <t>CRIT_RATE %</t>
        </is>
      </c>
      <c r="B14">
        <f>IFERROR(1/(I14-100),"n/a")</f>
        <v/>
      </c>
      <c r="C14" t="inlineStr">
        <is>
          <t>pct</t>
        </is>
      </c>
      <c r="D14">
        <f>Inputs!$B$9</f>
        <v/>
      </c>
      <c r="E14">
        <f>(Inputs!$B$9+1)</f>
        <v/>
      </c>
      <c r="F14">
        <f>Summary!$B$3</f>
        <v/>
      </c>
      <c r="G14">
        <f>B469</f>
        <v/>
      </c>
      <c r="H14">
        <f>Summary!$B$3*(((1-Summary!$B$56)*IFERROR(B467/Summary!$B$68,1)+Summary!$B$56*IFERROR(B468/Summary!$B$69,1))-1)</f>
        <v/>
      </c>
      <c r="I14">
        <f>((1-Summary!$B$56)*IFERROR(B467/Summary!$B$68,1)+Summary!$B$56*IFERROR(B468/Summary!$B$69,1))*100</f>
        <v/>
      </c>
    </row>
    <row r="15">
      <c r="A15" t="inlineStr">
        <is>
          <t>CRIT_DAMAGE %</t>
        </is>
      </c>
      <c r="B15">
        <f>IFERROR(1/(I15-100),"n/a")</f>
        <v/>
      </c>
      <c r="C15" t="inlineStr">
        <is>
          <t>pct</t>
        </is>
      </c>
      <c r="D15">
        <f>Inputs!$B$10</f>
        <v/>
      </c>
      <c r="E15">
        <f>(Inputs!$B$10+1)</f>
        <v/>
      </c>
      <c r="F15">
        <f>Summary!$B$3</f>
        <v/>
      </c>
      <c r="G15">
        <f>B513</f>
        <v/>
      </c>
      <c r="H15">
        <f>Summary!$B$3*(((1-Summary!$B$56)*IFERROR(B511/Summary!$B$68,1)+Summary!$B$56*IFERROR(B512/Summary!$B$69,1))-1)</f>
        <v/>
      </c>
      <c r="I15">
        <f>((1-Summary!$B$56)*IFERROR(B511/Summary!$B$68,1)+Summary!$B$56*IFERROR(B512/Summary!$B$69,1))*100</f>
        <v/>
      </c>
    </row>
    <row r="16">
      <c r="A16" t="inlineStr">
        <is>
          <t>ATTACK_SPEED % (diminishing returns, factor 150)</t>
        </is>
      </c>
      <c r="B16">
        <f>IFERROR(1/(I16-100),"n/a")</f>
        <v/>
      </c>
      <c r="C16" t="inlineStr">
        <is>
          <t>dr150</t>
        </is>
      </c>
      <c r="D16">
        <f>Inputs!$B$11</f>
        <v/>
      </c>
      <c r="E16">
        <f>((1-(1-Inputs!$B$11/150)*(1-1/150))*150)</f>
        <v/>
      </c>
      <c r="F16">
        <f>Summary!$B$3</f>
        <v/>
      </c>
      <c r="G16">
        <f>B557</f>
        <v/>
      </c>
      <c r="H16">
        <f>Summary!$B$3*(((1-Summary!$B$56)*IFERROR(B555/Summary!$B$68,1)+Summary!$B$56*IFERROR(B556/Summary!$B$69,1))-1)</f>
        <v/>
      </c>
      <c r="I16">
        <f>((1-Summary!$B$56)*IFERROR(B555/Summary!$B$68,1)+Summary!$B$56*IFERROR(B556/Summary!$B$69,1))*100</f>
        <v/>
      </c>
    </row>
    <row r="17">
      <c r="A17" t="inlineStr">
        <is>
          <t>DEF_PEN % (diminishing returns, factor 100)</t>
        </is>
      </c>
      <c r="B17">
        <f>IFERROR(1/(I17-100),"n/a")</f>
        <v/>
      </c>
      <c r="C17" t="inlineStr">
        <is>
          <t>dr100</t>
        </is>
      </c>
      <c r="D17">
        <f>Inputs!$B$19</f>
        <v/>
      </c>
      <c r="E17">
        <f>((1-(1-Inputs!$B$19/100)*(1-1/100))*100)</f>
        <v/>
      </c>
      <c r="F17">
        <f>Summary!$B$3</f>
        <v/>
      </c>
      <c r="G17">
        <f>B601</f>
        <v/>
      </c>
      <c r="H17">
        <f>Summary!$B$3*(((1-Summary!$B$56)*IFERROR(B599/Summary!$B$68,1)+Summary!$B$56*IFERROR(B600/Summary!$B$69,1))-1)</f>
        <v/>
      </c>
      <c r="I17">
        <f>((1-Summary!$B$56)*IFERROR(B599/Summary!$B$68,1)+Summary!$B$56*IFERROR(B600/Summary!$B$69,1))*100</f>
        <v/>
      </c>
    </row>
    <row r="18">
      <c r="A18" t="inlineStr">
        <is>
          <t>BASIC_ATTACK_DAMAGE %</t>
        </is>
      </c>
      <c r="B18">
        <f>IFERROR(1/(I18-100),"n/a")</f>
        <v/>
      </c>
      <c r="C18" t="inlineStr">
        <is>
          <t>pct</t>
        </is>
      </c>
      <c r="D18">
        <f>Inputs!$B$17</f>
        <v/>
      </c>
      <c r="E18">
        <f>(Inputs!$B$17+1)</f>
        <v/>
      </c>
      <c r="F18">
        <f>Summary!$B$3</f>
        <v/>
      </c>
      <c r="G18">
        <f>B645</f>
        <v/>
      </c>
      <c r="H18">
        <f>Summary!$B$3*(((1-Summary!$B$56)*IFERROR(B643/Summary!$B$68,1)+Summary!$B$56*IFERROR(B644/Summary!$B$69,1))-1)</f>
        <v/>
      </c>
      <c r="I18">
        <f>((1-Summary!$B$56)*IFERROR(B643/Summary!$B$68,1)+Summary!$B$56*IFERROR(B644/Summary!$B$69,1))*100</f>
        <v/>
      </c>
    </row>
    <row r="19">
      <c r="A19" t="inlineStr">
        <is>
          <t>SKILL_DAMAGE %</t>
        </is>
      </c>
      <c r="B19">
        <f>IFERROR(1/(I19-100),"n/a")</f>
        <v/>
      </c>
      <c r="C19" t="inlineStr">
        <is>
          <t>pct</t>
        </is>
      </c>
      <c r="D19">
        <f>Inputs!$B$18</f>
        <v/>
      </c>
      <c r="E19">
        <f>(Inputs!$B$18+1)</f>
        <v/>
      </c>
      <c r="F19">
        <f>Summary!$B$3</f>
        <v/>
      </c>
      <c r="G19">
        <f>B689</f>
        <v/>
      </c>
      <c r="H19">
        <f>Summary!$B$3*(((1-Summary!$B$56)*IFERROR(B687/Summary!$B$68,1)+Summary!$B$56*IFERROR(B688/Summary!$B$69,1))-1)</f>
        <v/>
      </c>
      <c r="I19">
        <f>((1-Summary!$B$56)*IFERROR(B687/Summary!$B$68,1)+Summary!$B$56*IFERROR(B688/Summary!$B$69,1))*100</f>
        <v/>
      </c>
    </row>
    <row r="20">
      <c r="A20" t="inlineStr">
        <is>
          <t>Skill Level Bonus — 1st Job</t>
        </is>
      </c>
      <c r="B20">
        <f>IFERROR(1/(I20-100),"n/a")</f>
        <v/>
      </c>
      <c r="C20" t="inlineStr">
        <is>
          <t>level</t>
        </is>
      </c>
      <c r="D20">
        <f>Inputs!$B$25</f>
        <v/>
      </c>
      <c r="E20">
        <f>(Inputs!$B$25+1)</f>
        <v/>
      </c>
      <c r="F20">
        <f>Summary!$B$3</f>
        <v/>
      </c>
      <c r="G20">
        <f>B733</f>
        <v/>
      </c>
      <c r="H20">
        <f>Summary!$B$3*(((1-Summary!$B$56)*IFERROR(B731/Summary!$B$68,1)+Summary!$B$56*IFERROR(B732/Summary!$B$69,1))-1)</f>
        <v/>
      </c>
      <c r="I20">
        <f>((1-Summary!$B$56)*IFERROR(B731/Summary!$B$68,1)+Summary!$B$56*IFERROR(B732/Summary!$B$69,1))*100</f>
        <v/>
      </c>
    </row>
    <row r="21">
      <c r="A21" t="inlineStr">
        <is>
          <t>Skill Level Bonus — 2nd Job</t>
        </is>
      </c>
      <c r="B21">
        <f>IFERROR(1/(I21-100),"n/a")</f>
        <v/>
      </c>
      <c r="C21" t="inlineStr">
        <is>
          <t>level</t>
        </is>
      </c>
      <c r="D21">
        <f>Inputs!$B$26</f>
        <v/>
      </c>
      <c r="E21">
        <f>(Inputs!$B$26+1)</f>
        <v/>
      </c>
      <c r="F21">
        <f>Summary!$B$3</f>
        <v/>
      </c>
      <c r="G21">
        <f>B777</f>
        <v/>
      </c>
      <c r="H21">
        <f>Summary!$B$3*(((1-Summary!$B$56)*IFERROR(B775/Summary!$B$68,1)+Summary!$B$56*IFERROR(B776/Summary!$B$69,1))-1)</f>
        <v/>
      </c>
      <c r="I21">
        <f>((1-Summary!$B$56)*IFERROR(B775/Summary!$B$68,1)+Summary!$B$56*IFERROR(B776/Summary!$B$69,1))*100</f>
        <v/>
      </c>
    </row>
    <row r="22">
      <c r="A22" t="inlineStr">
        <is>
          <t>Skill Level Bonus — 3rd Job</t>
        </is>
      </c>
      <c r="B22">
        <f>IFERROR(1/(I22-100),"n/a")</f>
        <v/>
      </c>
      <c r="C22" t="inlineStr">
        <is>
          <t>level</t>
        </is>
      </c>
      <c r="D22">
        <f>Inputs!$B$27</f>
        <v/>
      </c>
      <c r="E22">
        <f>(Inputs!$B$27+1)</f>
        <v/>
      </c>
      <c r="F22">
        <f>Summary!$B$3</f>
        <v/>
      </c>
      <c r="G22">
        <f>B821</f>
        <v/>
      </c>
      <c r="H22">
        <f>Summary!$B$3*(((1-Summary!$B$56)*IFERROR(B819/Summary!$B$68,1)+Summary!$B$56*IFERROR(B820/Summary!$B$69,1))-1)</f>
        <v/>
      </c>
      <c r="I22">
        <f>((1-Summary!$B$56)*IFERROR(B819/Summary!$B$68,1)+Summary!$B$56*IFERROR(B820/Summary!$B$69,1))*100</f>
        <v/>
      </c>
    </row>
    <row r="23">
      <c r="A23" t="inlineStr">
        <is>
          <t>Skill Level Bonus — 4th Job</t>
        </is>
      </c>
      <c r="B23">
        <f>IFERROR(1/(I23-100),"n/a")</f>
        <v/>
      </c>
      <c r="C23" t="inlineStr">
        <is>
          <t>level</t>
        </is>
      </c>
      <c r="D23">
        <f>Inputs!$B$28</f>
        <v/>
      </c>
      <c r="E23">
        <f>(Inputs!$B$28+1)</f>
        <v/>
      </c>
      <c r="F23">
        <f>Summary!$B$3</f>
        <v/>
      </c>
      <c r="G23">
        <f>B865</f>
        <v/>
      </c>
      <c r="H23">
        <f>Summary!$B$3*(((1-Summary!$B$56)*IFERROR(B863/Summary!$B$68,1)+Summary!$B$56*IFERROR(B864/Summary!$B$69,1))-1)</f>
        <v/>
      </c>
      <c r="I23">
        <f>((1-Summary!$B$56)*IFERROR(B863/Summary!$B$68,1)+Summary!$B$56*IFERROR(B864/Summary!$B$69,1))*100</f>
        <v/>
      </c>
    </row>
    <row r="24">
      <c r="A24" t="inlineStr">
        <is>
          <t>Skill Level Bonus — All Skills</t>
        </is>
      </c>
      <c r="B24">
        <f>IFERROR(1/(I24-100),"n/a")</f>
        <v/>
      </c>
      <c r="C24" t="inlineStr">
        <is>
          <t>level</t>
        </is>
      </c>
      <c r="D24">
        <f>Inputs!$B$29</f>
        <v/>
      </c>
      <c r="E24">
        <f>(Inputs!$B$29+1)</f>
        <v/>
      </c>
      <c r="F24">
        <f>Summary!$B$3</f>
        <v/>
      </c>
      <c r="G24">
        <f>B909</f>
        <v/>
      </c>
      <c r="H24">
        <f>Summary!$B$3*(((1-Summary!$B$56)*IFERROR(B907/Summary!$B$68,1)+Summary!$B$56*IFERROR(B908/Summary!$B$69,1))-1)</f>
        <v/>
      </c>
      <c r="I24">
        <f>((1-Summary!$B$56)*IFERROR(B907/Summary!$B$68,1)+Summary!$B$56*IFERROR(B908/Summary!$B$69,1))*100</f>
        <v/>
      </c>
    </row>
    <row r="25">
      <c r="A25" t="inlineStr">
        <is>
          <t>Flat ATTACK</t>
        </is>
      </c>
      <c r="B25">
        <f>IFERROR(1/(I25-100),"n/a")</f>
        <v/>
      </c>
      <c r="C25" t="inlineStr">
        <is>
          <t>flat</t>
        </is>
      </c>
      <c r="D25">
        <f>Inputs!$B$6</f>
        <v/>
      </c>
      <c r="E25">
        <f>(Inputs!$B$6+1)</f>
        <v/>
      </c>
      <c r="F25">
        <f>Summary!$B$3</f>
        <v/>
      </c>
      <c r="G25">
        <f>B953</f>
        <v/>
      </c>
      <c r="H25">
        <f>Summary!$B$3*(((1-Summary!$B$56)*IFERROR(B951/Summary!$B$68,1)+Summary!$B$56*IFERROR(B952/Summary!$B$69,1))-1)</f>
        <v/>
      </c>
      <c r="I25">
        <f>((1-Summary!$B$56)*IFERROR(B951/Summary!$B$68,1)+Summary!$B$56*IFERROR(B952/Summary!$B$69,1))*100</f>
        <v/>
      </c>
    </row>
    <row r="26">
      <c r="A26" t="inlineStr">
        <is>
          <t>ATTACK %</t>
        </is>
      </c>
      <c r="B26">
        <f>IFERROR(1/(I26-100),"n/a")</f>
        <v/>
      </c>
      <c r="C26" t="inlineStr">
        <is>
          <t>pct</t>
        </is>
      </c>
      <c r="D26">
        <f>Inputs!$B$7</f>
        <v/>
      </c>
      <c r="E26">
        <f>(Inputs!$B$7+1)</f>
        <v/>
      </c>
      <c r="F26">
        <f>Summary!$B$3</f>
        <v/>
      </c>
      <c r="G26">
        <f>B997</f>
        <v/>
      </c>
      <c r="H26">
        <f>Summary!$B$3*(((1-Summary!$B$56)*IFERROR(B995/Summary!$B$68,1)+Summary!$B$56*IFERROR(B996/Summary!$B$69,1))-1)</f>
        <v/>
      </c>
      <c r="I26">
        <f>((1-Summary!$B$56)*IFERROR(B995/Summary!$B$68,1)+Summary!$B$56*IFERROR(B996/Summary!$B$69,1))*100</f>
        <v/>
      </c>
    </row>
    <row r="27">
      <c r="A27" t="inlineStr">
        <is>
          <t>Skill Cooldown Decrease (seconds)</t>
        </is>
      </c>
      <c r="B27">
        <f>IFERROR(1/(I27-100),"n/a")</f>
        <v/>
      </c>
      <c r="C27" t="inlineStr">
        <is>
          <t>flat</t>
        </is>
      </c>
      <c r="D27">
        <f>Inputs!$B$32</f>
        <v/>
      </c>
      <c r="E27">
        <f>(Inputs!$B$32+1)</f>
        <v/>
      </c>
      <c r="F27">
        <f>Summary!$B$3</f>
        <v/>
      </c>
      <c r="G27">
        <f>B1041</f>
        <v/>
      </c>
      <c r="H27">
        <f>Summary!$B$3*(((1-Summary!$B$56)*IFERROR(B1039/Summary!$B$68,1)+Summary!$B$56*IFERROR(B1040/Summary!$B$69,1))-1)</f>
        <v/>
      </c>
      <c r="I27">
        <f>((1-Summary!$B$56)*IFERROR(B1039/Summary!$B$68,1)+Summary!$B$56*IFERROR(B1040/Summary!$B$69,1))*100</f>
        <v/>
      </c>
    </row>
    <row r="28">
      <c r="A28" t="inlineStr">
        <is>
          <t>Basic Attack Target Increase (flat)</t>
        </is>
      </c>
      <c r="B28">
        <f>IFERROR(1/(I28-100),"n/a")</f>
        <v/>
      </c>
      <c r="C28" t="inlineStr">
        <is>
          <t>flat</t>
        </is>
      </c>
      <c r="D28">
        <f>Inputs!$B$33</f>
        <v/>
      </c>
      <c r="E28">
        <f>(Inputs!$B$33+1)</f>
        <v/>
      </c>
      <c r="F28">
        <f>Summary!$B$3</f>
        <v/>
      </c>
      <c r="G28">
        <f>B1085</f>
        <v/>
      </c>
      <c r="H28">
        <f>Summary!$B$3*(((1-Summary!$B$56)*IFERROR(B1083/Summary!$B$68,1)+Summary!$B$56*IFERROR(B1084/Summary!$B$69,1))-1)</f>
        <v/>
      </c>
      <c r="I28">
        <f>((1-Summary!$B$56)*IFERROR(B1083/Summary!$B$68,1)+Summary!$B$56*IFERROR(B1084/Summary!$B$69,1))*100</f>
        <v/>
      </c>
    </row>
    <row r="29">
      <c r="A29" t="inlineStr">
        <is>
          <t>Buff Duration Increase %</t>
        </is>
      </c>
      <c r="B29">
        <f>IFERROR(1/(I29-100),"n/a")</f>
        <v/>
      </c>
      <c r="C29" t="inlineStr">
        <is>
          <t>pct</t>
        </is>
      </c>
      <c r="D29">
        <f>Inputs!$B$34</f>
        <v/>
      </c>
      <c r="E29">
        <f>(Inputs!$B$34+1)</f>
        <v/>
      </c>
      <c r="F29">
        <f>Summary!$B$3</f>
        <v/>
      </c>
      <c r="G29">
        <f>B1129</f>
        <v/>
      </c>
      <c r="H29">
        <f>Summary!$B$3*(((1-Summary!$B$56)*IFERROR(B1127/Summary!$B$68,1)+Summary!$B$56*IFERROR(B1128/Summary!$B$69,1))-1)</f>
        <v/>
      </c>
      <c r="I29">
        <f>((1-Summary!$B$56)*IFERROR(B1127/Summary!$B$68,1)+Summary!$B$56*IFERROR(B1128/Summary!$B$69,1))*100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TRUE</f>
        <v/>
      </c>
      <c r="D34" t="inlineStr"/>
      <c r="E34" t="inlineStr"/>
      <c r="F34">
        <f>T36+Skills!O2</f>
        <v/>
      </c>
      <c r="G34">
        <f>Calc!G2</f>
        <v/>
      </c>
      <c r="H34">
        <f>Calc!H2</f>
        <v/>
      </c>
      <c r="I34">
        <f>IF(Skills!X2&lt;&gt;"",1+(Skills!X2/10)*(Z35/1000)/100,1)</f>
        <v/>
      </c>
      <c r="J34">
        <f>((Inputs!$B$6*(1+Inputs!$B$7/100))+((((Inputs!$B$12+1)*(1+Inputs!$B$13/100))-(Inputs!$B$12*(1+Inputs!$B$13/100)))+0.25*(Inputs!$B$14-Inputs!$B$14))*(1+Inputs!$B$7/100))*(F34/100)</f>
        <v/>
      </c>
      <c r="K34">
        <f>J34*(1+(((Inputs!$B$12+1)*(1+Inputs!$B$13/100))*0.01+Inputs!$B$14*0.0025)/100)*(1+Inputs!$B$15/100)*(1+Inputs!$B$16/100)*(5000/(6000+Inputs!$B$42*(1-Inputs!$B$19/100)))*(1+Inputs!$B$24/100)*(1+F55/100)*(1+IF(Inputs!$B$3&gt;=120,F58,0)/100)^5*(1+(IF(Skills!A2="BASIC_ATTACK",Inputs!$B$17,Inputs!$B$18+IF(Inputs!$B$3&gt;=125,F59*5,0)))/100)*(B62*B63*B64*I34)</f>
        <v/>
      </c>
      <c r="L34">
        <f>K34*(MIN(Inputs!$B$22+(F54-Calc!F22),Inputs!$B$23)/100+Inputs!$B$23/100)/2</f>
        <v/>
      </c>
      <c r="M34">
        <f>L34*(1+(Inputs!$B$10+(F53-Calc!F21))/100)</f>
        <v/>
      </c>
      <c r="N34">
        <f>L34*(1-MIN(Inputs!$B$9+(F52-Calc!F20),100)/100)+M34*(MIN(Inputs!$B$9+(F52-Calc!F20),100)/100)</f>
        <v/>
      </c>
      <c r="O34">
        <f>(1-Summary!$B$56)*S34+Summary!$B$56*U34</f>
        <v/>
      </c>
      <c r="P34">
        <f>IF(B73=0,0,O34/B73)</f>
        <v/>
      </c>
      <c r="Q34">
        <f>IFERROR(1/IF(Inputs!$B$38="pvp",15,MAX(0.1,Skills!E2-IF(Skills!F2=TRUE,Inputs!$B$32,0))),0)</f>
        <v/>
      </c>
      <c r="R34" t="n">
        <v>0</v>
      </c>
      <c r="S34">
        <f>(Skills!G2*N34*B68)*IF(Inputs!$B$38="pvp",1,1+(Inputs!$B$20+Skills!P2)/100)</f>
        <v/>
      </c>
      <c r="T34">
        <f>MAX(0,(Inputs!$B$3-100)*3)+Inputs!$B$28+Inputs!$B$29</f>
        <v/>
      </c>
      <c r="U34">
        <f>(Skills!G2*N34*B68)*IF(Inputs!$B$38="pvp",1,(1+(Inputs!$B$21+Skills!Q2)/100)*(MIN((6+Inputs!$B$33+IF(Inputs!$B$3&gt;=136,1,0)),Inputs!$B$37)))</f>
        <v/>
      </c>
      <c r="Z34">
        <f>MAX(0,(Inputs!$B$3-100)*3)+Inputs!$B$28+Inputs!$B$29</f>
        <v/>
      </c>
    </row>
    <row r="35">
      <c r="A35">
        <f>Skills!A3</f>
        <v/>
      </c>
      <c r="B35">
        <f>Skills!B3</f>
        <v/>
      </c>
      <c r="C35">
        <f>TRUE</f>
        <v/>
      </c>
      <c r="D35">
        <f>IF(Skills!C3=1,60+Inputs!$B$25+Inputs!$B$29,IF(Skills!C3=2,90+Inputs!$B$26+Inputs!$B$29,IF(Skills!C3=3,120+Inputs!$B$27+Inputs!$B$29,MAX(0,(Inputs!$B$3-100)*3)+Inputs!$B$28+Inputs!$B$29)))</f>
        <v/>
      </c>
      <c r="E35">
        <f>INDEX(FactorTable!$B$2:$Y$301, MATCH(ROUND(MIN(300,MAX(1,D35)),0), FactorTable!$A$2:$A$301,0), Skills!M3+1)</f>
        <v/>
      </c>
      <c r="F35">
        <f>IF(Skills!N3=TRUE,(Skills!L3/10)*(E35/1000),Skills!L3/10)+Skills!O3</f>
        <v/>
      </c>
      <c r="G35">
        <f>Calc!G3</f>
        <v/>
      </c>
      <c r="H35">
        <f>Calc!H3</f>
        <v/>
      </c>
      <c r="I35">
        <f>IF(Skills!X3&lt;&gt;"",1+(Skills!X3/10)*(Z35/1000)/100,1)</f>
        <v/>
      </c>
      <c r="J35">
        <f>((Inputs!$B$6*(1+Inputs!$B$7/100))+((((Inputs!$B$12+1)*(1+Inputs!$B$13/100))-(Inputs!$B$12*(1+Inputs!$B$13/100)))+0.25*(Inputs!$B$14-Inputs!$B$14))*(1+Inputs!$B$7/100))*(F35/100)</f>
        <v/>
      </c>
      <c r="K35">
        <f>J35*(1+(((Inputs!$B$12+1)*(1+Inputs!$B$13/100))*0.01+Inputs!$B$14*0.0025)/100)*(1+Inputs!$B$15/100)*(1+Inputs!$B$16/100)*(5000/(6000+Inputs!$B$42*(1-Inputs!$B$19/100)))*(1+Inputs!$B$24/100)*(1+F55/100)*(1+IF(Inputs!$B$3&gt;=120,F58,0)/100)^5*(1+(IF(Skills!A3="BASIC_ATTACK",Inputs!$B$17,Inputs!$B$18+IF(Inputs!$B$3&gt;=125,F59*5,0)))/100)*(B62*B63*B64*I35)</f>
        <v/>
      </c>
      <c r="L35">
        <f>K35*(MIN(Inputs!$B$22+(F54-Calc!F22),Inputs!$B$23)/100+Inputs!$B$23/100)/2</f>
        <v/>
      </c>
      <c r="M35">
        <f>L35*(1+(Inputs!$B$10+(F53-Calc!F21))/100)</f>
        <v/>
      </c>
      <c r="N35">
        <f>L35*(1-MIN(Inputs!$B$9+(F52-Calc!F20),100)/100)+M35*(MIN(Inputs!$B$9+(F52-Calc!F20),100)/100)</f>
        <v/>
      </c>
      <c r="O35">
        <f>(1-Summary!$B$56)*S35+Summary!$B$56*U35</f>
        <v/>
      </c>
      <c r="P35">
        <f>IF(B73=0,0,O35/B73)</f>
        <v/>
      </c>
      <c r="Q35">
        <f>IFERROR(1/IF(Inputs!$B$38="pvp",15,MAX(0.1,Skills!E3-IF(Skills!F3=TRUE,Inputs!$B$32,0))),0)</f>
        <v/>
      </c>
      <c r="R35">
        <f>IF(AND(Inputs!$B$38&lt;&gt;"pvp",Inputs!$B$43&gt;0),IF(MAX(0,Inputs!$B$43-B70)&lt;=0,0,(INT(MAX(0,Inputs!$B$43-B70)/IF(Inputs!$B$38="pvp",15,MAX(0.1,Skills!E3-IF(Skills!F3=TRUE,Inputs!$B$32,0))))+1)),0)</f>
        <v/>
      </c>
      <c r="S35">
        <f>IF(C35,(H35*N35*IF(AND(Inputs!$B$38&lt;&gt;"pvp",Inputs!$B$43&gt;0),((Skills!G3*((R35-1)*IF(Skills!H3&gt;0,Skills!I3/Skills!H3,1)+IF(Skills!H3&gt;0,MIN(Skills!I3,MAX(0,MAX(0,Inputs!$B$43-B70)-((R35-1)*IF(Inputs!$B$38="pvp",15,MAX(0.1,Skills!E3-IF(Skills!F3=TRUE,Inputs!$B$32,0))))))/Skills!H3,1)))/Inputs!$B$43),G35*Q35))*IF(Inputs!$B$38="pvp",1,1+(Inputs!$B$20+Skills!P3)/100),0)</f>
        <v/>
      </c>
      <c r="T35">
        <f>INDEX(FactorTable!$B$2:$Y$301, MATCH(ROUND(MIN(300,MAX(1,T34)),0), FactorTable!$A$2:$A$301,0), 22)</f>
        <v/>
      </c>
      <c r="U35">
        <f>IF(C35,(H35*N35*IF(AND(Inputs!$B$38&lt;&gt;"pvp",Inputs!$B$43&gt;0),((Skills!G3*((R35-1)*IF(Skills!H3&gt;0,Skills!I3/Skills!H3,1)+IF(Skills!H3&gt;0,MIN(Skills!I3,MAX(0,MAX(0,Inputs!$B$43-B70)-((R35-1)*IF(Inputs!$B$38="pvp",15,MAX(0.1,Skills!E3-IF(Skills!F3=TRUE,Inputs!$B$32,0))))))/Skills!H3,1)))/Inputs!$B$43),G35*Q35))*IF(Inputs!$B$38="pvp",1,(1+(Inputs!$B$21+Skills!Q3)/100)*(MIN(Skills!R3,Inputs!$B$37))),0)</f>
        <v/>
      </c>
      <c r="Z35">
        <f>INDEX(FactorTable!$B$2:$Y$301, MATCH(ROUND(MIN(300,MAX(1,Z34)),0), FactorTable!$A$2:$A$301,0), 24)</f>
        <v/>
      </c>
    </row>
    <row r="36">
      <c r="A36">
        <f>Skills!A4</f>
        <v/>
      </c>
      <c r="B36">
        <f>Skills!B4</f>
        <v/>
      </c>
      <c r="C36">
        <f>TRUE</f>
        <v/>
      </c>
      <c r="D36">
        <f>IF(Skills!C4=1,60+Inputs!$B$25+Inputs!$B$29,IF(Skills!C4=2,90+Inputs!$B$26+Inputs!$B$29,IF(Skills!C4=3,120+Inputs!$B$27+Inputs!$B$29,MAX(0,(Inputs!$B$3-100)*3)+Inputs!$B$28+Inputs!$B$29)))</f>
        <v/>
      </c>
      <c r="E36">
        <f>INDEX(FactorTable!$B$2:$Y$301, MATCH(ROUND(MIN(300,MAX(1,D36)),0), FactorTable!$A$2:$A$301,0), Skills!M4+1)</f>
        <v/>
      </c>
      <c r="F36">
        <f>IF(Skills!N4=TRUE,(Skills!L4/10)*(E36/1000),Skills!L4/10)+Skills!O4</f>
        <v/>
      </c>
      <c r="G36">
        <f>Calc!G4</f>
        <v/>
      </c>
      <c r="H36">
        <f>Calc!H4</f>
        <v/>
      </c>
      <c r="I36">
        <f>IF(Skills!X4&lt;&gt;"",1+(Skills!X4/10)*(Z35/1000)/100,1)</f>
        <v/>
      </c>
      <c r="J36">
        <f>((Inputs!$B$6*(1+Inputs!$B$7/100))+((((Inputs!$B$12+1)*(1+Inputs!$B$13/100))-(Inputs!$B$12*(1+Inputs!$B$13/100)))+0.25*(Inputs!$B$14-Inputs!$B$14))*(1+Inputs!$B$7/100))*(F36/100)</f>
        <v/>
      </c>
      <c r="K36">
        <f>J36*(1+(((Inputs!$B$12+1)*(1+Inputs!$B$13/100))*0.01+Inputs!$B$14*0.0025)/100)*(1+Inputs!$B$15/100)*(1+Inputs!$B$16/100)*(5000/(6000+Inputs!$B$42*(1-Inputs!$B$19/100)))*(1+Inputs!$B$24/100)*(1+F55/100)*(1+IF(Inputs!$B$3&gt;=120,F58,0)/100)^5*(1+(IF(Skills!A4="BASIC_ATTACK",Inputs!$B$17,Inputs!$B$18+IF(Inputs!$B$3&gt;=125,F59*5,0)))/100)*(B62*B63*B64*I36)</f>
        <v/>
      </c>
      <c r="L36">
        <f>K36*(MIN(Inputs!$B$22+(F54-Calc!F22),Inputs!$B$23)/100+Inputs!$B$23/100)/2</f>
        <v/>
      </c>
      <c r="M36">
        <f>L36*(1+(Inputs!$B$10+(F53-Calc!F21))/100)</f>
        <v/>
      </c>
      <c r="N36">
        <f>L36*(1-MIN(Inputs!$B$9+(F52-Calc!F20),100)/100)+M36*(MIN(Inputs!$B$9+(F52-Calc!F20),100)/100)</f>
        <v/>
      </c>
      <c r="O36">
        <f>(1-Summary!$B$56)*S36+Summary!$B$56*U36</f>
        <v/>
      </c>
      <c r="P36">
        <f>IF(B73=0,0,O36/B73)</f>
        <v/>
      </c>
      <c r="Q36">
        <f>IFERROR(1/IF(Inputs!$B$38="pvp",15,MAX(0.1,Skills!E4-IF(Skills!F4=TRUE,Inputs!$B$32,0))),0)</f>
        <v/>
      </c>
      <c r="R36">
        <f>IF(AND(Inputs!$B$38&lt;&gt;"pvp",Inputs!$B$43&gt;0),IF(MAX(0,Inputs!$B$43-B70)&lt;=0,0,(INT(MAX(0,Inputs!$B$43-B70)/IF(Inputs!$B$38="pvp",15,MAX(0.1,Skills!E4-IF(Skills!F4=TRUE,Inputs!$B$32,0))))+1)),0)</f>
        <v/>
      </c>
      <c r="S36">
        <f>IF(C36,(H36*N36*IF(AND(Inputs!$B$38&lt;&gt;"pvp",Inputs!$B$43&gt;0),((Skills!G4*((R36-1)*IF(Skills!H4&gt;0,Skills!I4/Skills!H4,1)+IF(Skills!H4&gt;0,MIN(Skills!I4,MAX(0,MAX(0,Inputs!$B$43-B70)-((R36-1)*IF(Inputs!$B$38="pvp",15,MAX(0.1,Skills!E4-IF(Skills!F4=TRUE,Inputs!$B$32,0))))))/Skills!H4,1)))/Inputs!$B$43),G36*Q36))*IF(Inputs!$B$38="pvp",1,1+(Inputs!$B$20+Skills!P4)/100),0)</f>
        <v/>
      </c>
      <c r="T36">
        <f>290*T35/1000</f>
        <v/>
      </c>
      <c r="U36">
        <f>IF(C36,(H36*N36*IF(AND(Inputs!$B$38&lt;&gt;"pvp",Inputs!$B$43&gt;0),((Skills!G4*((R36-1)*IF(Skills!H4&gt;0,Skills!I4/Skills!H4,1)+IF(Skills!H4&gt;0,MIN(Skills!I4,MAX(0,MAX(0,Inputs!$B$43-B70)-((R36-1)*IF(Inputs!$B$38="pvp",15,MAX(0.1,Skills!E4-IF(Skills!F4=TRUE,Inputs!$B$32,0))))))/Skills!H4,1)))/Inputs!$B$43),G36*Q36))*IF(Inputs!$B$38="pvp",1,(1+(Inputs!$B$21+Skills!Q4)/100)*(MIN(Skills!R4,Inputs!$B$37))),0)</f>
        <v/>
      </c>
    </row>
    <row r="37">
      <c r="A37">
        <f>Skills!A5</f>
        <v/>
      </c>
      <c r="B37">
        <f>Skills!B5</f>
        <v/>
      </c>
      <c r="C37">
        <f>TRUE</f>
        <v/>
      </c>
      <c r="D37">
        <f>IF(Skills!C5=1,60+Inputs!$B$25+Inputs!$B$29,IF(Skills!C5=2,90+Inputs!$B$26+Inputs!$B$29,IF(Skills!C5=3,120+Inputs!$B$27+Inputs!$B$29,MAX(0,(Inputs!$B$3-100)*3)+Inputs!$B$28+Inputs!$B$29)))</f>
        <v/>
      </c>
      <c r="E37">
        <f>INDEX(FactorTable!$B$2:$Y$301, MATCH(ROUND(MIN(300,MAX(1,D37)),0), FactorTable!$A$2:$A$301,0), Skills!M5+1)</f>
        <v/>
      </c>
      <c r="F37">
        <f>IF(Skills!N5=TRUE,(Skills!L5/10)*(E37/1000),Skills!L5/10)+Skills!O5</f>
        <v/>
      </c>
      <c r="G37">
        <f>Calc!G5</f>
        <v/>
      </c>
      <c r="H37">
        <f>Calc!H5</f>
        <v/>
      </c>
      <c r="I37">
        <f>IF(Skills!X5&lt;&gt;"",1+(Skills!X5/10)*(Z35/1000)/100,1)</f>
        <v/>
      </c>
      <c r="J37">
        <f>((Inputs!$B$6*(1+Inputs!$B$7/100))+((((Inputs!$B$12+1)*(1+Inputs!$B$13/100))-(Inputs!$B$12*(1+Inputs!$B$13/100)))+0.25*(Inputs!$B$14-Inputs!$B$14))*(1+Inputs!$B$7/100))*(F37/100)</f>
        <v/>
      </c>
      <c r="K37">
        <f>J37*(1+(((Inputs!$B$12+1)*(1+Inputs!$B$13/100))*0.01+Inputs!$B$14*0.0025)/100)*(1+Inputs!$B$15/100)*(1+Inputs!$B$16/100)*(5000/(6000+Inputs!$B$42*(1-Inputs!$B$19/100)))*(1+Inputs!$B$24/100)*(1+F55/100)*(1+IF(Inputs!$B$3&gt;=120,F58,0)/100)^5*(1+(IF(Skills!A5="BASIC_ATTACK",Inputs!$B$17,Inputs!$B$18+IF(Inputs!$B$3&gt;=125,F59*5,0)))/100)*(B62*B63*B64*I37)</f>
        <v/>
      </c>
      <c r="L37">
        <f>K37*(MIN(Inputs!$B$22+(F54-Calc!F22),Inputs!$B$23)/100+Inputs!$B$23/100)/2</f>
        <v/>
      </c>
      <c r="M37">
        <f>L37*(1+(Inputs!$B$10+(F53-Calc!F21))/100)</f>
        <v/>
      </c>
      <c r="N37">
        <f>L37*(1-MIN(Inputs!$B$9+(F52-Calc!F20),100)/100)+M37*(MIN(Inputs!$B$9+(F52-Calc!F20),100)/100)</f>
        <v/>
      </c>
      <c r="O37">
        <f>(1-Summary!$B$56)*S37+Summary!$B$56*U37</f>
        <v/>
      </c>
      <c r="P37">
        <f>IF(B73=0,0,O37/B73)</f>
        <v/>
      </c>
      <c r="Q37">
        <f>IFERROR(1/IF(Inputs!$B$38="pvp",15,MAX(0.1,Skills!E5-IF(Skills!F5=TRUE,Inputs!$B$32,0))),0)</f>
        <v/>
      </c>
      <c r="R37">
        <f>IF(AND(Inputs!$B$38&lt;&gt;"pvp",Inputs!$B$43&gt;0),IF(MAX(0,Inputs!$B$43-B70)&lt;=0,0,(INT(MAX(0,Inputs!$B$43-B70)/IF(Inputs!$B$38="pvp",15,MAX(0.1,Skills!E5-IF(Skills!F5=TRUE,Inputs!$B$32,0))))+1)),0)</f>
        <v/>
      </c>
      <c r="S37">
        <f>IF(C37,(H37*N37*IF(AND(Inputs!$B$38&lt;&gt;"pvp",Inputs!$B$43&gt;0),((Skills!G5*((R37-1)*IF(Skills!H5&gt;0,Skills!I5/Skills!H5,1)+IF(Skills!H5&gt;0,MIN(Skills!I5,MAX(0,MAX(0,Inputs!$B$43-B70)-((R37-1)*IF(Inputs!$B$38="pvp",15,MAX(0.1,Skills!E5-IF(Skills!F5=TRUE,Inputs!$B$32,0))))))/Skills!H5,1)))/Inputs!$B$43),G37*Q37))*IF(Inputs!$B$38="pvp",1,1+(Inputs!$B$20+Skills!P5)/100),0)</f>
        <v/>
      </c>
      <c r="U37">
        <f>IF(C37,(H37*N37*IF(AND(Inputs!$B$38&lt;&gt;"pvp",Inputs!$B$43&gt;0),((Skills!G5*((R37-1)*IF(Skills!H5&gt;0,Skills!I5/Skills!H5,1)+IF(Skills!H5&gt;0,MIN(Skills!I5,MAX(0,MAX(0,Inputs!$B$43-B70)-((R37-1)*IF(Inputs!$B$38="pvp",15,MAX(0.1,Skills!E5-IF(Skills!F5=TRUE,Inputs!$B$32,0))))))/Skills!H5,1)))/Inputs!$B$43),G37*Q37))*IF(Inputs!$B$38="pvp",1,(1+(Inputs!$B$21+Skills!Q5)/100)*(MIN(Skills!R5,Inputs!$B$37))),0)</f>
        <v/>
      </c>
    </row>
    <row r="38">
      <c r="A38">
        <f>Skills!A6</f>
        <v/>
      </c>
      <c r="B38">
        <f>Skills!B6</f>
        <v/>
      </c>
      <c r="C38">
        <f>TRUE</f>
        <v/>
      </c>
      <c r="D38">
        <f>IF(Skills!C6=1,60+Inputs!$B$25+Inputs!$B$29,IF(Skills!C6=2,90+Inputs!$B$26+Inputs!$B$29,IF(Skills!C6=3,120+Inputs!$B$27+Inputs!$B$29,MAX(0,(Inputs!$B$3-100)*3)+Inputs!$B$28+Inputs!$B$29)))</f>
        <v/>
      </c>
      <c r="E38">
        <f>INDEX(FactorTable!$B$2:$Y$301, MATCH(ROUND(MIN(300,MAX(1,D38)),0), FactorTable!$A$2:$A$301,0), Skills!M6+1)</f>
        <v/>
      </c>
      <c r="F38">
        <f>IF(Skills!N6=TRUE,(Skills!L6/10)*(E38/1000),Skills!L6/10)+Skills!O6</f>
        <v/>
      </c>
      <c r="G38">
        <f>Calc!G6</f>
        <v/>
      </c>
      <c r="H38">
        <f>Calc!H6</f>
        <v/>
      </c>
      <c r="I38">
        <f>IF(Skills!X6&lt;&gt;"",1+(Skills!X6/10)*(Z35/1000)/100,1)</f>
        <v/>
      </c>
      <c r="J38" t="inlineStr"/>
      <c r="K38" t="inlineStr"/>
      <c r="L38" t="inlineStr"/>
      <c r="M38" t="inlineStr"/>
      <c r="N38" t="inlineStr"/>
      <c r="O38">
        <f>(1-Summary!$B$56)*S38+Summary!$B$56*U38</f>
        <v/>
      </c>
      <c r="P38">
        <f>IF(B73=0,0,O38/B73)</f>
        <v/>
      </c>
      <c r="Q38">
        <f>IFERROR(1/IF(Inputs!$B$38="pvp",15,MAX(0.1,Skills!E6-IF(Skills!F6=TRUE,Inputs!$B$32,0))),0)</f>
        <v/>
      </c>
      <c r="R38">
        <f>IF(AND(Inputs!$B$38&lt;&gt;"pvp",Inputs!$B$43&gt;0),IF(Inputs!$B$43&lt;=0,0,(INT(Inputs!$B$43/IF(Inputs!$B$38="pvp",15,MAX(0.1,Skills!E6-IF(Skills!F6=TRUE,Inputs!$B$32,0))))+1)),0)</f>
        <v/>
      </c>
      <c r="S38" t="n">
        <v>0</v>
      </c>
      <c r="U38" t="n">
        <v>0</v>
      </c>
    </row>
    <row r="39">
      <c r="A39">
        <f>Skills!A7</f>
        <v/>
      </c>
      <c r="B39">
        <f>Skills!B7</f>
        <v/>
      </c>
      <c r="C39">
        <f>TRUE</f>
        <v/>
      </c>
      <c r="D39">
        <f>IF(Skills!C7=1,60+Inputs!$B$25+Inputs!$B$29,IF(Skills!C7=2,90+Inputs!$B$26+Inputs!$B$29,IF(Skills!C7=3,120+Inputs!$B$27+Inputs!$B$29,MAX(0,(Inputs!$B$3-100)*3)+Inputs!$B$28+Inputs!$B$29)))</f>
        <v/>
      </c>
      <c r="E39">
        <f>INDEX(FactorTable!$B$2:$Y$301, MATCH(ROUND(MIN(300,MAX(1,D39)),0), FactorTable!$A$2:$A$301,0), Skills!M7+1)</f>
        <v/>
      </c>
      <c r="F39">
        <f>IF(Skills!N7=TRUE,(Skills!L7/10)*(E39/1000),Skills!L7/10)+Skills!O7</f>
        <v/>
      </c>
      <c r="G39">
        <f>Calc!G7</f>
        <v/>
      </c>
      <c r="H39">
        <f>Calc!H7</f>
        <v/>
      </c>
      <c r="I39">
        <f>IF(Skills!X7&lt;&gt;"",1+(Skills!X7/10)*(Z35/1000)/100,1)</f>
        <v/>
      </c>
      <c r="J39">
        <f>((Inputs!$B$6*(1+Inputs!$B$7/100))+((((Inputs!$B$12+1)*(1+Inputs!$B$13/100))-(Inputs!$B$12*(1+Inputs!$B$13/100)))+0.25*(Inputs!$B$14-Inputs!$B$14))*(1+Inputs!$B$7/100))*(F39/100)</f>
        <v/>
      </c>
      <c r="K39">
        <f>J39*(1+(((Inputs!$B$12+1)*(1+Inputs!$B$13/100))*0.01+Inputs!$B$14*0.0025)/100)*(1+Inputs!$B$15/100)*(1+Inputs!$B$16/100)*(5000/(6000+Inputs!$B$42*(1-Inputs!$B$19/100)))*(1+Inputs!$B$24/100)*(1+F55/100)*(1+IF(Inputs!$B$3&gt;=120,F58,0)/100)^5*(1+(IF(Skills!A7="BASIC_ATTACK",Inputs!$B$17,Inputs!$B$18+IF(Inputs!$B$3&gt;=125,F59*5,0)))/100)*(B62*B63*B64*I39)</f>
        <v/>
      </c>
      <c r="L39">
        <f>K39*(MIN(Inputs!$B$22+(F54-Calc!F22),Inputs!$B$23)/100+Inputs!$B$23/100)/2</f>
        <v/>
      </c>
      <c r="M39">
        <f>L39*(1+(Inputs!$B$10+(F53-Calc!F21))/100)</f>
        <v/>
      </c>
      <c r="N39">
        <f>L39*(1-MIN(Inputs!$B$9+(F52-Calc!F20),100)/100)+M39*(MIN(Inputs!$B$9+(F52-Calc!F20),100)/100)</f>
        <v/>
      </c>
      <c r="O39">
        <f>(1-Summary!$B$56)*S39+Summary!$B$56*U39</f>
        <v/>
      </c>
      <c r="P39">
        <f>IF(B73=0,0,O39/B73)</f>
        <v/>
      </c>
      <c r="Q39">
        <f>IFERROR(1/IF(Inputs!$B$38="pvp",15,MAX(0.1,Skills!E7-IF(Skills!F7=TRUE,Inputs!$B$32,0))),0)</f>
        <v/>
      </c>
      <c r="R39">
        <f>IF(AND(Inputs!$B$38&lt;&gt;"pvp",Inputs!$B$43&gt;0),IF(MAX(0,Inputs!$B$43-B70)&lt;=0,0,(INT(MAX(0,Inputs!$B$43-B70)/IF(Inputs!$B$38="pvp",15,MAX(0.1,Skills!E7-IF(Skills!F7=TRUE,Inputs!$B$32,0))))+1)),0)</f>
        <v/>
      </c>
      <c r="S39">
        <f>IF(C39,(H39*N39*IF(AND(Inputs!$B$38&lt;&gt;"pvp",Inputs!$B$43&gt;0),((Skills!G7*((R39-1)*IF(Skills!H7&gt;0,Skills!I7/Skills!H7,1)+IF(Skills!H7&gt;0,MIN(Skills!I7,MAX(0,MAX(0,Inputs!$B$43-B70)-((R39-1)*IF(Inputs!$B$38="pvp",15,MAX(0.1,Skills!E7-IF(Skills!F7=TRUE,Inputs!$B$32,0))))))/Skills!H7,1)))/Inputs!$B$43),G39*Q39))*IF(Inputs!$B$38="pvp",1,1+(Inputs!$B$20+Skills!P7)/100),0)</f>
        <v/>
      </c>
      <c r="U39">
        <f>IF(C39,(H39*N39*IF(AND(Inputs!$B$38&lt;&gt;"pvp",Inputs!$B$43&gt;0),((Skills!G7*((R39-1)*IF(Skills!H7&gt;0,Skills!I7/Skills!H7,1)+IF(Skills!H7&gt;0,MIN(Skills!I7,MAX(0,MAX(0,Inputs!$B$43-B70)-((R39-1)*IF(Inputs!$B$38="pvp",15,MAX(0.1,Skills!E7-IF(Skills!F7=TRUE,Inputs!$B$32,0))))))/Skills!H7,1)))/Inputs!$B$43),G39*Q39))*IF(Inputs!$B$38="pvp",1,(1+(Inputs!$B$21+Skills!Q7)/100)*(MIN(Skills!R7,Inputs!$B$37))),0)</f>
        <v/>
      </c>
    </row>
    <row r="40">
      <c r="A40">
        <f>Skills!A8</f>
        <v/>
      </c>
      <c r="B40">
        <f>Skills!B8</f>
        <v/>
      </c>
      <c r="C40">
        <f>TRUE</f>
        <v/>
      </c>
      <c r="D40">
        <f>IF(Skills!C8=1,60+Inputs!$B$25+Inputs!$B$29,IF(Skills!C8=2,90+Inputs!$B$26+Inputs!$B$29,IF(Skills!C8=3,120+Inputs!$B$27+Inputs!$B$29,MAX(0,(Inputs!$B$3-100)*3)+Inputs!$B$28+Inputs!$B$29)))</f>
        <v/>
      </c>
      <c r="E40">
        <f>INDEX(FactorTable!$B$2:$Y$301, MATCH(ROUND(MIN(300,MAX(1,D40)),0), FactorTable!$A$2:$A$301,0), Skills!M8+1)</f>
        <v/>
      </c>
      <c r="F40">
        <f>IF(Skills!N8=TRUE,(Skills!L8/10)*(E40/1000),Skills!L8/10)+Skills!O8</f>
        <v/>
      </c>
      <c r="G40">
        <f>Calc!G8</f>
        <v/>
      </c>
      <c r="H40">
        <f>Calc!H8</f>
        <v/>
      </c>
      <c r="I40">
        <f>IF(Skills!X8&lt;&gt;"",1+(Skills!X8/10)*(Z35/1000)/100,1)</f>
        <v/>
      </c>
      <c r="J40">
        <f>((Inputs!$B$6*(1+Inputs!$B$7/100))+((((Inputs!$B$12+1)*(1+Inputs!$B$13/100))-(Inputs!$B$12*(1+Inputs!$B$13/100)))+0.25*(Inputs!$B$14-Inputs!$B$14))*(1+Inputs!$B$7/100))*(F40/100)</f>
        <v/>
      </c>
      <c r="K40">
        <f>J40*(1+(((Inputs!$B$12+1)*(1+Inputs!$B$13/100))*0.01+Inputs!$B$14*0.0025)/100)*(1+Inputs!$B$15/100)*(1+Inputs!$B$16/100)*(5000/(6000+Inputs!$B$42*(1-Inputs!$B$19/100)))*(1+Inputs!$B$24/100)*(1+F55/100)*(1+IF(Inputs!$B$3&gt;=120,F58,0)/100)^5*(1+(IF(Skills!A8="BASIC_ATTACK",Inputs!$B$17,Inputs!$B$18+IF(Inputs!$B$3&gt;=125,F59*5,0)))/100)*(B62*B63*B64*I40)</f>
        <v/>
      </c>
      <c r="L40">
        <f>K40*(MIN(Inputs!$B$22+(F54-Calc!F22),Inputs!$B$23)/100+Inputs!$B$23/100)/2</f>
        <v/>
      </c>
      <c r="M40">
        <f>L40*(1+(Inputs!$B$10+(F53-Calc!F21))/100)</f>
        <v/>
      </c>
      <c r="N40">
        <f>L40*(1-MIN(Inputs!$B$9+(F52-Calc!F20),100)/100)+M40*(MIN(Inputs!$B$9+(F52-Calc!F20),100)/100)</f>
        <v/>
      </c>
      <c r="O40">
        <f>(1-Summary!$B$56)*S40+Summary!$B$56*U40</f>
        <v/>
      </c>
      <c r="P40">
        <f>IF(B73=0,0,O40/B73)</f>
        <v/>
      </c>
      <c r="Q40">
        <f>IFERROR(1/IF(Inputs!$B$38="pvp",15,MAX(0.1,Skills!E8-IF(Skills!F8=TRUE,Inputs!$B$32,0))),0)</f>
        <v/>
      </c>
      <c r="R40">
        <f>IF(AND(Inputs!$B$38&lt;&gt;"pvp",Inputs!$B$43&gt;0),IF(MAX(0,Inputs!$B$43-B70)&lt;=0,0,(INT(MAX(0,Inputs!$B$43-B70)/IF(Inputs!$B$38="pvp",15,MAX(0.1,Skills!E8-IF(Skills!F8=TRUE,Inputs!$B$32,0))))+1)),0)</f>
        <v/>
      </c>
      <c r="S40">
        <f>IF(C40,(H40*N40*IF(AND(Inputs!$B$38&lt;&gt;"pvp",Inputs!$B$43&gt;0),((Skills!G8*((R40-1)*IF(Skills!H8&gt;0,Skills!I8/Skills!H8,1)+IF(Skills!H8&gt;0,MIN(Skills!I8,MAX(0,MAX(0,Inputs!$B$43-B70)-((R40-1)*IF(Inputs!$B$38="pvp",15,MAX(0.1,Skills!E8-IF(Skills!F8=TRUE,Inputs!$B$32,0))))))/Skills!H8,1)))/Inputs!$B$43),G40*Q40))*IF(Inputs!$B$38="pvp",1,1+(Inputs!$B$20+Skills!P8)/100),0)</f>
        <v/>
      </c>
      <c r="U40">
        <f>IF(C40,(H40*N40*IF(AND(Inputs!$B$38&lt;&gt;"pvp",Inputs!$B$43&gt;0),((Skills!G8*((R40-1)*IF(Skills!H8&gt;0,Skills!I8/Skills!H8,1)+IF(Skills!H8&gt;0,MIN(Skills!I8,MAX(0,MAX(0,Inputs!$B$43-B70)-((R40-1)*IF(Inputs!$B$38="pvp",15,MAX(0.1,Skills!E8-IF(Skills!F8=TRUE,Inputs!$B$32,0))))))/Skills!H8,1)))/Inputs!$B$43),G40*Q40))*IF(Inputs!$B$38="pvp",1,(1+(Inputs!$B$21+Skills!Q8)/100)*(MIN(Skills!R8,Inputs!$B$37))),0)</f>
        <v/>
      </c>
    </row>
    <row r="41">
      <c r="A41">
        <f>Skills!A9</f>
        <v/>
      </c>
      <c r="B41">
        <f>Skills!B9</f>
        <v/>
      </c>
      <c r="C41">
        <f>Inputs!$B$3&gt;=103</f>
        <v/>
      </c>
      <c r="D41">
        <f>IF(Skills!C9=1,60+Inputs!$B$25+Inputs!$B$29,IF(Skills!C9=2,90+Inputs!$B$26+Inputs!$B$29,IF(Skills!C9=3,120+Inputs!$B$27+Inputs!$B$29,MAX(0,(Inputs!$B$3-100)*3)+Inputs!$B$28+Inputs!$B$29)))</f>
        <v/>
      </c>
      <c r="E41">
        <f>INDEX(FactorTable!$B$2:$Y$301, MATCH(ROUND(MIN(300,MAX(1,D41)),0), FactorTable!$A$2:$A$301,0), Skills!M9+1)</f>
        <v/>
      </c>
      <c r="F41">
        <f>IF(Skills!N9=TRUE,(Skills!L9/10)*(E41/1000),Skills!L9/10)+Skills!O9</f>
        <v/>
      </c>
      <c r="G41">
        <f>Calc!G9</f>
        <v/>
      </c>
      <c r="H41">
        <f>Calc!H9</f>
        <v/>
      </c>
      <c r="I41">
        <f>IF(Skills!X9&lt;&gt;"",1+(Skills!X9/10)*(Z35/1000)/100,1)</f>
        <v/>
      </c>
      <c r="J41">
        <f>((Inputs!$B$6*(1+Inputs!$B$7/100))+((((Inputs!$B$12+1)*(1+Inputs!$B$13/100))-(Inputs!$B$12*(1+Inputs!$B$13/100)))+0.25*(Inputs!$B$14-Inputs!$B$14))*(1+Inputs!$B$7/100))*(F41/100)</f>
        <v/>
      </c>
      <c r="K41">
        <f>J41*(1+(((Inputs!$B$12+1)*(1+Inputs!$B$13/100))*0.01+Inputs!$B$14*0.0025)/100)*(1+Inputs!$B$15/100)*(1+Inputs!$B$16/100)*(5000/(6000+Inputs!$B$42*(1-Inputs!$B$19/100)))*(1+Inputs!$B$24/100)*(1+F55/100)*(1+IF(Inputs!$B$3&gt;=120,F58,0)/100)^5*(1+(IF(Skills!A9="BASIC_ATTACK",Inputs!$B$17,Inputs!$B$18+IF(Inputs!$B$3&gt;=125,F59*5,0)))/100)*(B62*B63*B64*I41)</f>
        <v/>
      </c>
      <c r="L41">
        <f>K41*(MIN(Inputs!$B$22+(F54-Calc!F22),Inputs!$B$23)/100+Inputs!$B$23/100)/2</f>
        <v/>
      </c>
      <c r="M41">
        <f>L41*(1+(Inputs!$B$10+(F53-Calc!F21))/100)</f>
        <v/>
      </c>
      <c r="N41">
        <f>L41*(1-MIN(Inputs!$B$9+(F52-Calc!F20),100)/100)+M41*(MIN(Inputs!$B$9+(F52-Calc!F20),100)/100)</f>
        <v/>
      </c>
      <c r="O41">
        <f>(1-Summary!$B$56)*S41+Summary!$B$56*U41</f>
        <v/>
      </c>
      <c r="P41">
        <f>IF(B73=0,0,O41/B73)</f>
        <v/>
      </c>
      <c r="Q41">
        <f>IFERROR(1/IF(Inputs!$B$38="pvp",15,MAX(0.1,Skills!E9-IF(Skills!F7=TRUE,Inputs!$B$32,0))),0)</f>
        <v/>
      </c>
      <c r="R41">
        <f>IF(AND(Inputs!$B$38&lt;&gt;"pvp",Inputs!$B$43&gt;0),IF(MAX(0,Inputs!$B$43-B70)&lt;=0,0,(INT(MAX(0,Inputs!$B$43-B70)/IF(Inputs!$B$38="pvp",15,MAX(0.1,Skills!E9-IF(Skills!F7=TRUE,Inputs!$B$32,0))))+1)),0)</f>
        <v/>
      </c>
      <c r="S41">
        <f>IF(C41,(H41*N41*IF(AND(Inputs!$B$38&lt;&gt;"pvp",Inputs!$B$43&gt;0),((Skills!G9*((R41-1)*IF(Skills!H9&gt;0,Skills!I9/Skills!H9,1)+IF(Skills!H9&gt;0,MIN(Skills!I9,MAX(0,MAX(0,Inputs!$B$43-B70)-((R41-1)*IF(Inputs!$B$38="pvp",15,MAX(0.1,Skills!E9-IF(Skills!F7=TRUE,Inputs!$B$32,0))))))/Skills!H9,1)))/Inputs!$B$43),G41*Q41))*IF(Inputs!$B$38="pvp",1,1+(Inputs!$B$20+Skills!P9)/100),0)</f>
        <v/>
      </c>
      <c r="U41">
        <f>IF(C41,(H41*N41*IF(AND(Inputs!$B$38&lt;&gt;"pvp",Inputs!$B$43&gt;0),((Skills!G9*((R41-1)*IF(Skills!H9&gt;0,Skills!I9/Skills!H9,1)+IF(Skills!H9&gt;0,MIN(Skills!I9,MAX(0,MAX(0,Inputs!$B$43-B70)-((R41-1)*IF(Inputs!$B$38="pvp",15,MAX(0.1,Skills!E9-IF(Skills!F7=TRUE,Inputs!$B$32,0))))))/Skills!H9,1)))/Inputs!$B$43),G41*Q41))*IF(Inputs!$B$38="pvp",1,(1+(Inputs!$B$21+Skills!Q9)/100)*(MIN(Skills!R9,Inputs!$B$37))),0)</f>
        <v/>
      </c>
    </row>
    <row r="42">
      <c r="A42">
        <f>Skills!A10</f>
        <v/>
      </c>
      <c r="B42">
        <f>Skills!B10</f>
        <v/>
      </c>
      <c r="C42">
        <f>TRUE</f>
        <v/>
      </c>
      <c r="D42">
        <f>IF(Skills!C10=1,60+Inputs!$B$25+Inputs!$B$29,IF(Skills!C10=2,90+Inputs!$B$26+Inputs!$B$29,IF(Skills!C10=3,120+Inputs!$B$27+Inputs!$B$29,MAX(0,(Inputs!$B$3-100)*3)+Inputs!$B$28+Inputs!$B$29)))</f>
        <v/>
      </c>
      <c r="E42">
        <f>INDEX(FactorTable!$B$2:$Y$301, MATCH(ROUND(MIN(300,MAX(1,D42)),0), FactorTable!$A$2:$A$301,0), Skills!M10+1)</f>
        <v/>
      </c>
      <c r="F42">
        <f>IF(Skills!N10=TRUE,(Skills!L10/10)*(E42/1000),Skills!L10/10)+Skills!O10</f>
        <v/>
      </c>
      <c r="G42">
        <f>Calc!G10</f>
        <v/>
      </c>
      <c r="H42">
        <f>Calc!H10</f>
        <v/>
      </c>
      <c r="I42">
        <f>IF(Skills!X10&lt;&gt;"",1+(Skills!X10/10)*(Z35/1000)/100,1)</f>
        <v/>
      </c>
      <c r="J42">
        <f>((Inputs!$B$6*(1+Inputs!$B$7/100))+((((Inputs!$B$12+1)*(1+Inputs!$B$13/100))-(Inputs!$B$12*(1+Inputs!$B$13/100)))+0.25*(Inputs!$B$14-Inputs!$B$14))*(1+Inputs!$B$7/100))*(F42/100)</f>
        <v/>
      </c>
      <c r="K42">
        <f>J42*(1+(((Inputs!$B$12+1)*(1+Inputs!$B$13/100))*0.01+Inputs!$B$14*0.0025)/100)*(1+Inputs!$B$15/100)*(1+Inputs!$B$16/100)*(5000/(6000+Inputs!$B$42*(1-Inputs!$B$19/100)))*(1+Inputs!$B$24/100)*(1+F55/100)*(1+IF(Inputs!$B$3&gt;=120,F58,0)/100)^5*(1+(IF(Skills!A10="BASIC_ATTACK",Inputs!$B$17,Inputs!$B$18+IF(Inputs!$B$3&gt;=125,F59*5,0)))/100)*(B62*B63*B64*I42)</f>
        <v/>
      </c>
      <c r="L42">
        <f>K42*(MIN(Inputs!$B$22+(F54-Calc!F22),Inputs!$B$23)/100+Inputs!$B$23/100)/2</f>
        <v/>
      </c>
      <c r="M42">
        <f>L42*(1+(Inputs!$B$10+(F53-Calc!F21))/100)</f>
        <v/>
      </c>
      <c r="N42">
        <f>L42*(1-MIN(Inputs!$B$9+(F52-Calc!F20),100)/100)+M42*(MIN(Inputs!$B$9+(F52-Calc!F20),100)/100)</f>
        <v/>
      </c>
      <c r="O42">
        <f>(1-Summary!$B$56)*S42+Summary!$B$56*U42</f>
        <v/>
      </c>
      <c r="P42">
        <f>IF(B73=0,0,O42/B73)</f>
        <v/>
      </c>
      <c r="Q42">
        <f>IFERROR(1/IF(Inputs!$B$38="pvp",15,MAX(0.1,Skills!E10-IF(Skills!F10=TRUE,Inputs!$B$32,0))),0)</f>
        <v/>
      </c>
      <c r="R42">
        <f>IF(AND(Inputs!$B$38&lt;&gt;"pvp",Inputs!$B$43&gt;0),IF(MAX(0,Inputs!$B$43-B70)&lt;=0,0,(INT(MAX(0,Inputs!$B$43-B70)/IF(Inputs!$B$38="pvp",15,MAX(0.1,Skills!E10-IF(Skills!F10=TRUE,Inputs!$B$32,0))))+1)),0)</f>
        <v/>
      </c>
      <c r="S42">
        <f>IF(C42,(H42*N42*IF(AND(Inputs!$B$38&lt;&gt;"pvp",Inputs!$B$43&gt;0),((Skills!G10*((R42-1)*IF(Skills!H10&gt;0,Skills!I10/Skills!H10,1)+IF(Skills!H10&gt;0,MIN(Skills!I10,MAX(0,MAX(0,Inputs!$B$43-B70)-((R42-1)*IF(Inputs!$B$38="pvp",15,MAX(0.1,Skills!E10-IF(Skills!F10=TRUE,Inputs!$B$32,0))))))/Skills!H10,1)))/Inputs!$B$43),G42*Q42))*IF(Inputs!$B$38="pvp",1,1+(Inputs!$B$20+Skills!P10)/100),0)</f>
        <v/>
      </c>
      <c r="U42">
        <f>IF(C42,(H42*N42*IF(AND(Inputs!$B$38&lt;&gt;"pvp",Inputs!$B$43&gt;0),((Skills!G10*((R42-1)*IF(Skills!H10&gt;0,Skills!I10/Skills!H10,1)+IF(Skills!H10&gt;0,MIN(Skills!I10,MAX(0,MAX(0,Inputs!$B$43-B70)-((R42-1)*IF(Inputs!$B$38="pvp",15,MAX(0.1,Skills!E10-IF(Skills!F10=TRUE,Inputs!$B$32,0))))))/Skills!H10,1)))/Inputs!$B$43),G42*Q42))*IF(Inputs!$B$38="pvp",1,(1+(Inputs!$B$21+Skills!Q10)/100)*(MIN(Skills!R10,Inputs!$B$37))),0)</f>
        <v/>
      </c>
    </row>
    <row r="43">
      <c r="A43">
        <f>Skills!A11</f>
        <v/>
      </c>
      <c r="B43">
        <f>Skills!B11</f>
        <v/>
      </c>
      <c r="C43">
        <f>TRUE</f>
        <v/>
      </c>
      <c r="D43">
        <f>IF(Skills!C11=1,60+Inputs!$B$25+Inputs!$B$29,IF(Skills!C11=2,90+Inputs!$B$26+Inputs!$B$29,IF(Skills!C11=3,120+Inputs!$B$27+Inputs!$B$29,MAX(0,(Inputs!$B$3-100)*3)+Inputs!$B$28+Inputs!$B$29)))</f>
        <v/>
      </c>
      <c r="E43">
        <f>INDEX(FactorTable!$B$2:$Y$301, MATCH(ROUND(MIN(300,MAX(1,D43)),0), FactorTable!$A$2:$A$301,0), Skills!M11+1)</f>
        <v/>
      </c>
      <c r="F43">
        <f>IF(Skills!N11=TRUE,(Skills!L11/10)*(E43/1000),Skills!L11/10)+Skills!O11</f>
        <v/>
      </c>
      <c r="G43">
        <f>Calc!G11</f>
        <v/>
      </c>
      <c r="H43">
        <f>Calc!H11</f>
        <v/>
      </c>
      <c r="I43">
        <f>IF(Skills!X11&lt;&gt;"",1+(Skills!X11/10)*(Z35/1000)/100,1)</f>
        <v/>
      </c>
      <c r="J43" t="inlineStr"/>
      <c r="K43" t="inlineStr"/>
      <c r="L43" t="inlineStr"/>
      <c r="M43" t="inlineStr"/>
      <c r="N43" t="inlineStr"/>
      <c r="O43">
        <f>(1-Summary!$B$56)*S43+Summary!$B$56*U43</f>
        <v/>
      </c>
      <c r="P43">
        <f>IF(B73=0,0,O43/B73)</f>
        <v/>
      </c>
      <c r="Q43">
        <f>IFERROR(1/IF(Inputs!$B$38="pvp",15,MAX(0.1,Skills!E11-IF(Skills!F11=TRUE,Inputs!$B$32,0))),0)</f>
        <v/>
      </c>
      <c r="R43" t="n">
        <v>0</v>
      </c>
      <c r="S43" t="n">
        <v>0</v>
      </c>
      <c r="U43" t="n">
        <v>0</v>
      </c>
    </row>
    <row r="44">
      <c r="A44">
        <f>Skills!A12</f>
        <v/>
      </c>
      <c r="B44">
        <f>Skills!B12</f>
        <v/>
      </c>
      <c r="C44">
        <f>TRUE</f>
        <v/>
      </c>
      <c r="D44">
        <f>IF(Skills!C12=1,60+Inputs!$B$25+Inputs!$B$29,IF(Skills!C12=2,90+Inputs!$B$26+Inputs!$B$29,IF(Skills!C12=3,120+Inputs!$B$27+Inputs!$B$29,MAX(0,(Inputs!$B$3-100)*3)+Inputs!$B$28+Inputs!$B$29)))</f>
        <v/>
      </c>
      <c r="E44">
        <f>INDEX(FactorTable!$B$2:$Y$301, MATCH(ROUND(MIN(300,MAX(1,D44)),0), FactorTable!$A$2:$A$301,0), Skills!M12+1)</f>
        <v/>
      </c>
      <c r="F44">
        <f>IF(Skills!N12=TRUE,(Skills!L12/10)*(E44/1000),Skills!L12/10)+Skills!O12</f>
        <v/>
      </c>
      <c r="G44">
        <f>Calc!G12</f>
        <v/>
      </c>
      <c r="H44">
        <f>Calc!H12</f>
        <v/>
      </c>
      <c r="I44">
        <f>IF(Skills!X12&lt;&gt;"",1+(Skills!X12/10)*(Z35/1000)/100,1)</f>
        <v/>
      </c>
      <c r="J44" t="inlineStr"/>
      <c r="K44" t="inlineStr"/>
      <c r="L44" t="inlineStr"/>
      <c r="M44" t="inlineStr"/>
      <c r="N44" t="inlineStr"/>
      <c r="O44">
        <f>(1-Summary!$B$56)*S44+Summary!$B$56*U44</f>
        <v/>
      </c>
      <c r="P44">
        <f>IF(B73=0,0,O44/B73)</f>
        <v/>
      </c>
      <c r="Q44">
        <f>IFERROR(1/IF(Inputs!$B$38="pvp",15,MAX(0.1,Skills!E12-IF(Skills!F12=TRUE,Inputs!$B$32,0))),0)</f>
        <v/>
      </c>
      <c r="R44" t="n">
        <v>0</v>
      </c>
      <c r="S44" t="n">
        <v>0</v>
      </c>
      <c r="U44" t="n">
        <v>0</v>
      </c>
    </row>
    <row r="45">
      <c r="A45">
        <f>Skills!A13</f>
        <v/>
      </c>
      <c r="B45">
        <f>Skills!B13</f>
        <v/>
      </c>
      <c r="C45">
        <f>Inputs!$B$3&gt;=105</f>
        <v/>
      </c>
      <c r="D45">
        <f>IF(Skills!C13=1,60+Inputs!$B$25+Inputs!$B$29,IF(Skills!C13=2,90+Inputs!$B$26+Inputs!$B$29,IF(Skills!C13=3,120+Inputs!$B$27+Inputs!$B$29,MAX(0,(Inputs!$B$3-100)*3)+Inputs!$B$28+Inputs!$B$29)))</f>
        <v/>
      </c>
      <c r="E45">
        <f>INDEX(FactorTable!$B$2:$Y$301, MATCH(ROUND(MIN(300,MAX(1,D45)),0), FactorTable!$A$2:$A$301,0), Skills!M13+1)</f>
        <v/>
      </c>
      <c r="F45">
        <f>IF(Skills!N13=TRUE,(Skills!L13/10)*(E45/1000),Skills!L13/10)+Skills!O13</f>
        <v/>
      </c>
      <c r="G45">
        <f>Calc!G13</f>
        <v/>
      </c>
      <c r="H45">
        <f>Calc!H13</f>
        <v/>
      </c>
      <c r="I45">
        <f>IF(Skills!X13&lt;&gt;"",1+(Skills!X13/10)*(Z35/1000)/100,1)</f>
        <v/>
      </c>
      <c r="J45">
        <f>((Inputs!$B$6*(1+Inputs!$B$7/100))+((((Inputs!$B$12+1)*(1+Inputs!$B$13/100))-(Inputs!$B$12*(1+Inputs!$B$13/100)))+0.25*(Inputs!$B$14-Inputs!$B$14))*(1+Inputs!$B$7/100))*(F45/100)</f>
        <v/>
      </c>
      <c r="K45">
        <f>J45*(1+(((Inputs!$B$12+1)*(1+Inputs!$B$13/100))*0.01+Inputs!$B$14*0.0025)/100)*(1+Inputs!$B$15/100)*(1+Inputs!$B$16/100)*(5000/(6000+Inputs!$B$42*(1-Inputs!$B$19/100)))*(1+Inputs!$B$24/100)*(1+F55/100)*(1+IF(Inputs!$B$3&gt;=120,F58,0)/100)^5*(1+(IF(Skills!A13="BASIC_ATTACK",Inputs!$B$17,Inputs!$B$18+IF(Inputs!$B$3&gt;=125,F59*5,0)))/100)*(B62*B63*B64*I45)</f>
        <v/>
      </c>
      <c r="L45">
        <f>K45*(MIN(Inputs!$B$22+(F54-Calc!F22),Inputs!$B$23)/100+Inputs!$B$23/100)/2</f>
        <v/>
      </c>
      <c r="M45">
        <f>L45*(1+(Inputs!$B$10+(F53-Calc!F21))/100)</f>
        <v/>
      </c>
      <c r="N45">
        <f>L45*(1-MIN(Inputs!$B$9+(F52-Calc!F20),100)/100)+M45*(MIN(Inputs!$B$9+(F52-Calc!F20),100)/100)</f>
        <v/>
      </c>
      <c r="O45">
        <f>(1-Summary!$B$56)*S45+Summary!$B$56*U45</f>
        <v/>
      </c>
      <c r="P45">
        <f>IF(B73=0,0,O45/B73)</f>
        <v/>
      </c>
      <c r="Q45">
        <f>IFERROR(1/IF(Inputs!$B$38="pvp",15,MAX(0.1,Skills!E13-IF(Skills!F13=TRUE,Inputs!$B$32,0))),0)</f>
        <v/>
      </c>
      <c r="R45">
        <f>IF(AND(Inputs!$B$38&lt;&gt;"pvp",Inputs!$B$43&gt;0),IF(MAX(0,Inputs!$B$43-B70)&lt;=0,0,(INT(MAX(0,Inputs!$B$43-B70)/IF(Inputs!$B$38="pvp",15,MAX(0.1,Skills!E13-IF(Skills!F13=TRUE,Inputs!$B$32,0))))+1)),0)</f>
        <v/>
      </c>
      <c r="S45">
        <f>IF(C45,(H45*N45*IF(AND(Inputs!$B$38&lt;&gt;"pvp",Inputs!$B$43&gt;0),((Skills!G13*((R45-1)*IF(Skills!H13&gt;0,Skills!I13/Skills!H13,1)+IF(Skills!H13&gt;0,MIN(Skills!I13,MAX(0,MAX(0,Inputs!$B$43-B70)-((R45-1)*IF(Inputs!$B$38="pvp",15,MAX(0.1,Skills!E13-IF(Skills!F13=TRUE,Inputs!$B$32,0))))))/Skills!H13,1)))/Inputs!$B$43),G45*Q45))*IF(Inputs!$B$38="pvp",1,1+(Inputs!$B$20+Skills!P13)/100),0)</f>
        <v/>
      </c>
      <c r="U45">
        <f>IF(C45,(H45*N45*IF(AND(Inputs!$B$38&lt;&gt;"pvp",Inputs!$B$43&gt;0),((Skills!G13*((R45-1)*IF(Skills!H13&gt;0,Skills!I13/Skills!H13,1)+IF(Skills!H13&gt;0,MIN(Skills!I13,MAX(0,MAX(0,Inputs!$B$43-B70)-((R45-1)*IF(Inputs!$B$38="pvp",15,MAX(0.1,Skills!E13-IF(Skills!F13=TRUE,Inputs!$B$32,0))))))/Skills!H13,1)))/Inputs!$B$43),G45*Q45))*IF(Inputs!$B$38="pvp",1,(1+(Inputs!$B$21+Skills!Q13)/100)*(MIN(Skills!R13,Inputs!$B$37))),0)</f>
        <v/>
      </c>
    </row>
    <row r="46">
      <c r="A46">
        <f>Skills!A14</f>
        <v/>
      </c>
      <c r="B46">
        <f>Skills!B14</f>
        <v/>
      </c>
      <c r="C46">
        <f>Inputs!$B$3&gt;=113</f>
        <v/>
      </c>
      <c r="D46">
        <f>IF(Skills!C14=1,60+Inputs!$B$25+Inputs!$B$29,IF(Skills!C14=2,90+Inputs!$B$26+Inputs!$B$29,IF(Skills!C14=3,120+Inputs!$B$27+Inputs!$B$29,MAX(0,(Inputs!$B$3-100)*3)+Inputs!$B$28+Inputs!$B$29)))</f>
        <v/>
      </c>
      <c r="E46">
        <f>INDEX(FactorTable!$B$2:$Y$301, MATCH(ROUND(MIN(300,MAX(1,D46)),0), FactorTable!$A$2:$A$301,0), Skills!M14+1)</f>
        <v/>
      </c>
      <c r="F46">
        <f>IF(Skills!N14=TRUE,(Skills!L14/10)*(E46/1000),Skills!L14/10)+Skills!O14</f>
        <v/>
      </c>
      <c r="G46">
        <f>Calc!G14</f>
        <v/>
      </c>
      <c r="H46">
        <f>Calc!H14</f>
        <v/>
      </c>
      <c r="I46">
        <f>IF(Skills!X14&lt;&gt;"",1+(Skills!X14/10)*(Z35/1000)/100,1)</f>
        <v/>
      </c>
      <c r="J46">
        <f>((Inputs!$B$6*(1+Inputs!$B$7/100))+((((Inputs!$B$12+1)*(1+Inputs!$B$13/100))-(Inputs!$B$12*(1+Inputs!$B$13/100)))+0.25*(Inputs!$B$14-Inputs!$B$14))*(1+Inputs!$B$7/100))*(F46/100)</f>
        <v/>
      </c>
      <c r="K46">
        <f>J46*(1+(((Inputs!$B$12+1)*(1+Inputs!$B$13/100))*0.01+Inputs!$B$14*0.0025)/100)*(1+Inputs!$B$15/100)*(1+Inputs!$B$16/100)*(5000/(6000+Inputs!$B$42*(1-Inputs!$B$19/100)))*(1+Inputs!$B$24/100)*(1+F55/100)*(1+IF(Inputs!$B$3&gt;=120,F58,0)/100)^5*(1+(IF(Skills!A14="BASIC_ATTACK",Inputs!$B$17,Inputs!$B$18+IF(Inputs!$B$3&gt;=125,F59*5,0)))/100)*(B62*B63*B64*I46)</f>
        <v/>
      </c>
      <c r="L46">
        <f>K46*(MIN(Inputs!$B$22+(F54-Calc!F22),Inputs!$B$23)/100+Inputs!$B$23/100)/2</f>
        <v/>
      </c>
      <c r="M46">
        <f>L46*(1+(Inputs!$B$10+(F53-Calc!F21))/100)</f>
        <v/>
      </c>
      <c r="N46">
        <f>L46*(1-MIN(Inputs!$B$9+(F52-Calc!F20),100)/100)+M46*(MIN(Inputs!$B$9+(F52-Calc!F20),100)/100)</f>
        <v/>
      </c>
      <c r="O46">
        <f>(1-Summary!$B$56)*S46+Summary!$B$56*U46</f>
        <v/>
      </c>
      <c r="P46">
        <f>IF(B73=0,0,O46/B73)</f>
        <v/>
      </c>
      <c r="Q46">
        <f>IFERROR(1/IF(Inputs!$B$38="pvp",15,MAX(0.1,Skills!E14-IF(Skills!F14=TRUE,Inputs!$B$32,0))),0)</f>
        <v/>
      </c>
      <c r="R46" t="n">
        <v>0</v>
      </c>
      <c r="S46">
        <f>IF(C46,((H46*B69)/(1+Skills!H14*H46*B69)*N46)*IF(Inputs!$B$38="pvp",1,1+(Inputs!$B$20+Skills!P14)/100),0)</f>
        <v/>
      </c>
      <c r="U46">
        <f>IF(C46,((H46*B69)/(1+Skills!H14*H46*B69)*N46)*IF(Inputs!$B$38="pvp",1,(1+(Inputs!$B$21+Skills!Q14)/100)*(MIN(Skills!R14,Inputs!$B$37))),0)</f>
        <v/>
      </c>
    </row>
    <row r="47">
      <c r="A47">
        <f>Skills!A15</f>
        <v/>
      </c>
      <c r="B47">
        <f>Skills!B15</f>
        <v/>
      </c>
      <c r="C47">
        <f>Inputs!$B$3&gt;=107</f>
        <v/>
      </c>
      <c r="D47">
        <f>IF(Skills!C15=1,60+Inputs!$B$25+Inputs!$B$29,IF(Skills!C15=2,90+Inputs!$B$26+Inputs!$B$29,IF(Skills!C15=3,120+Inputs!$B$27+Inputs!$B$29,MAX(0,(Inputs!$B$3-100)*3)+Inputs!$B$28+Inputs!$B$29)))</f>
        <v/>
      </c>
      <c r="E47">
        <f>INDEX(FactorTable!$B$2:$Y$301, MATCH(ROUND(MIN(300,MAX(1,D47)),0), FactorTable!$A$2:$A$301,0), Skills!M15+1)</f>
        <v/>
      </c>
      <c r="F47">
        <f>IF(Skills!N15=TRUE,(Skills!L15/10)*(E47/1000),Skills!L15/10)+Skills!O15</f>
        <v/>
      </c>
      <c r="G47">
        <f>Calc!G15</f>
        <v/>
      </c>
      <c r="H47">
        <f>Calc!H15</f>
        <v/>
      </c>
      <c r="I47">
        <f>IF(Skills!X15&lt;&gt;"",1+(Skills!X15/10)*(Z35/1000)/100,1)</f>
        <v/>
      </c>
      <c r="J47">
        <f>((Inputs!$B$6*(1+Inputs!$B$7/100))+((((Inputs!$B$12+1)*(1+Inputs!$B$13/100))-(Inputs!$B$12*(1+Inputs!$B$13/100)))+0.25*(Inputs!$B$14-Inputs!$B$14))*(1+Inputs!$B$7/100))*(F47/100)</f>
        <v/>
      </c>
      <c r="K47">
        <f>J47*(1+(((Inputs!$B$12+1)*(1+Inputs!$B$13/100))*0.01+Inputs!$B$14*0.0025)/100)*(1+Inputs!$B$15/100)*(1+Inputs!$B$16/100)*(5000/(6000+Inputs!$B$42*(1-Inputs!$B$19/100)))*(1+Inputs!$B$24/100)*(1+F55/100)*(1+IF(Inputs!$B$3&gt;=120,F58,0)/100)^5*(1+(IF(Skills!A15="BASIC_ATTACK",Inputs!$B$17,Inputs!$B$18+IF(Inputs!$B$3&gt;=125,F59*5,0)))/100)*(B62*B63*B64*I47)</f>
        <v/>
      </c>
      <c r="L47">
        <f>K47*(MIN(Inputs!$B$22+(F54-Calc!F22),Inputs!$B$23)/100+Inputs!$B$23/100)/2</f>
        <v/>
      </c>
      <c r="M47">
        <f>L47*(1+(Inputs!$B$10+(F53-Calc!F21))/100)</f>
        <v/>
      </c>
      <c r="N47">
        <f>L47*(1-MIN(Inputs!$B$9+(F52-Calc!F20),100)/100)+M47*(MIN(Inputs!$B$9+(F52-Calc!F20),100)/100)</f>
        <v/>
      </c>
      <c r="O47">
        <f>(1-Summary!$B$56)*S47+Summary!$B$56*U47</f>
        <v/>
      </c>
      <c r="P47">
        <f>IF(B73=0,0,O47/B73)</f>
        <v/>
      </c>
      <c r="Q47">
        <f>IFERROR(1/IF(Inputs!$B$38="pvp",15,MAX(0.1,Skills!E15-IF(Skills!F15=TRUE,Inputs!$B$32,0))),0)</f>
        <v/>
      </c>
      <c r="R47">
        <f>IF(AND(Inputs!$B$38&lt;&gt;"pvp",Inputs!$B$43&gt;0),IF(MAX(0,Inputs!$B$43-B70)&lt;=0,0,(INT(MAX(0,Inputs!$B$43-B70)/IF(Inputs!$B$38="pvp",15,MAX(0.1,Skills!E15-IF(Skills!F15=TRUE,Inputs!$B$32,0))))+1)),0)</f>
        <v/>
      </c>
      <c r="S47">
        <f>IF(C47,(H47*N47*IF(AND(Inputs!$B$38&lt;&gt;"pvp",Inputs!$B$43&gt;0),((Skills!G15*((R47-1)*IF(Skills!H15&gt;0,Skills!I15/Skills!H15,1)+IF(Skills!H15&gt;0,MIN(Skills!I15,MAX(0,MAX(0,Inputs!$B$43-B70)-((R47-1)*IF(Inputs!$B$38="pvp",15,MAX(0.1,Skills!E15-IF(Skills!F15=TRUE,Inputs!$B$32,0))))))/Skills!H15,1)))/Inputs!$B$43),G47*Q47))*IF(Inputs!$B$38="pvp",1,1+(Inputs!$B$20+Skills!P15)/100),0)</f>
        <v/>
      </c>
      <c r="U47">
        <f>IF(C47,(H47*N47*IF(AND(Inputs!$B$38&lt;&gt;"pvp",Inputs!$B$43&gt;0),((Skills!G15*((R47-1)*IF(Skills!H15&gt;0,Skills!I15/Skills!H15,1)+IF(Skills!H15&gt;0,MIN(Skills!I15,MAX(0,MAX(0,Inputs!$B$43-B70)-((R47-1)*IF(Inputs!$B$38="pvp",15,MAX(0.1,Skills!E15-IF(Skills!F15=TRUE,Inputs!$B$32,0))))))/Skills!H15,1)))/Inputs!$B$43),G47*Q47))*IF(Inputs!$B$38="pvp",1,(1+(Inputs!$B$21+Skills!Q15)/100)*(MIN(Skills!R15,Inputs!$B$37))),0)</f>
        <v/>
      </c>
    </row>
    <row r="48">
      <c r="A48">
        <f>Skills!A16</f>
        <v/>
      </c>
      <c r="B48">
        <f>Skills!B16</f>
        <v/>
      </c>
      <c r="C48">
        <f>Inputs!$B$3&gt;=107</f>
        <v/>
      </c>
      <c r="D48">
        <f>IF(Skills!C16=1,60+Inputs!$B$25+Inputs!$B$29,IF(Skills!C16=2,90+Inputs!$B$26+Inputs!$B$29,IF(Skills!C16=3,120+Inputs!$B$27+Inputs!$B$29,MAX(0,(Inputs!$B$3-100)*3)+Inputs!$B$28+Inputs!$B$29)))</f>
        <v/>
      </c>
      <c r="E48">
        <f>INDEX(FactorTable!$B$2:$Y$301, MATCH(ROUND(MIN(300,MAX(1,D48)),0), FactorTable!$A$2:$A$301,0), Skills!M16+1)</f>
        <v/>
      </c>
      <c r="F48">
        <f>IF(Skills!N16=TRUE,(Skills!L16/10)*(E48/1000),Skills!L16/10)+Skills!O16</f>
        <v/>
      </c>
      <c r="G48">
        <f>Calc!G16</f>
        <v/>
      </c>
      <c r="H48">
        <f>Calc!H16</f>
        <v/>
      </c>
      <c r="I48">
        <f>IF(Skills!X16&lt;&gt;"",1+(Skills!X16/10)*(Z35/1000)/100,1)</f>
        <v/>
      </c>
      <c r="J48">
        <f>((Inputs!$B$6*(1+Inputs!$B$7/100))+((((Inputs!$B$12+1)*(1+Inputs!$B$13/100))-(Inputs!$B$12*(1+Inputs!$B$13/100)))+0.25*(Inputs!$B$14-Inputs!$B$14))*(1+Inputs!$B$7/100))*(F48/100)</f>
        <v/>
      </c>
      <c r="K48">
        <f>J48*(1+(((Inputs!$B$12+1)*(1+Inputs!$B$13/100))*0.01+Inputs!$B$14*0.0025)/100)*(1+Inputs!$B$15/100)*(1+Inputs!$B$16/100)*(5000/(6000+Inputs!$B$42*(1-Inputs!$B$19/100)))*(1+Inputs!$B$24/100)*(1+F55/100)*(1+IF(Inputs!$B$3&gt;=120,F58,0)/100)^5*(1+(IF(Skills!A16="BASIC_ATTACK",Inputs!$B$17,Inputs!$B$18+IF(Inputs!$B$3&gt;=125,F59*5,0)))/100)*(B62*B63*B64*I48)</f>
        <v/>
      </c>
      <c r="L48">
        <f>K48*(MIN(Inputs!$B$22+(F54-Calc!F22),Inputs!$B$23)/100+Inputs!$B$23/100)/2</f>
        <v/>
      </c>
      <c r="M48">
        <f>L48*(1+(Inputs!$B$10+(F53-Calc!F21))/100)</f>
        <v/>
      </c>
      <c r="N48">
        <f>L48*(1-MIN(Inputs!$B$9+(F52-Calc!F20),100)/100)+M48*(MIN(Inputs!$B$9+(F52-Calc!F20),100)/100)</f>
        <v/>
      </c>
      <c r="O48">
        <f>(1-Summary!$B$56)*S48+Summary!$B$56*U48</f>
        <v/>
      </c>
      <c r="P48">
        <f>IF(B73=0,0,O48/B73)</f>
        <v/>
      </c>
      <c r="Q48">
        <f>IFERROR(1/IF(Inputs!$B$38="pvp",15,MAX(0.1,Skills!E16-IF(Skills!F16=TRUE,Inputs!$B$32,0))),0)</f>
        <v/>
      </c>
      <c r="R48">
        <f>IF(AND(Inputs!$B$38&lt;&gt;"pvp",Inputs!$B$43&gt;0),IF(MAX(0,Inputs!$B$43-B70)&lt;=0,0,(INT(MAX(0,Inputs!$B$43-B70)/IF(Inputs!$B$38="pvp",15,MAX(0.1,Skills!E16-IF(Skills!F16=TRUE,Inputs!$B$32,0))))+1)),0)</f>
        <v/>
      </c>
      <c r="S48">
        <f>IF(C48,(H48*N48*IF(AND(Inputs!$B$38&lt;&gt;"pvp",Inputs!$B$43&gt;0),((Skills!G16*((R48-1)*IF(Skills!H16&gt;0,Skills!I16/Skills!H16,1)+IF(Skills!H16&gt;0,MIN(Skills!I16,MAX(0,MAX(0,Inputs!$B$43-B70)-((R48-1)*IF(Inputs!$B$38="pvp",15,MAX(0.1,Skills!E16-IF(Skills!F16=TRUE,Inputs!$B$32,0))))))/Skills!H16,1)))/Inputs!$B$43),G48*Q48)*(1+IF(Inputs!$B$3&gt;=126,0.05*(B68+Q45+(H46*B69)/(1+Skills!H14*H46*B69)+Q56),0)*Skills!E15))*IF(Inputs!$B$38="pvp",1,1+(Inputs!$B$20+Skills!P16)/100),0)</f>
        <v/>
      </c>
      <c r="U48">
        <f>IF(C48,(H48*N48*IF(AND(Inputs!$B$38&lt;&gt;"pvp",Inputs!$B$43&gt;0),((Skills!G16*((R48-1)*IF(Skills!H16&gt;0,Skills!I16/Skills!H16,1)+IF(Skills!H16&gt;0,MIN(Skills!I16,MAX(0,MAX(0,Inputs!$B$43-B70)-((R48-1)*IF(Inputs!$B$38="pvp",15,MAX(0.1,Skills!E16-IF(Skills!F16=TRUE,Inputs!$B$32,0))))))/Skills!H16,1)))/Inputs!$B$43),G48*Q48)*(1+IF(Inputs!$B$3&gt;=126,0.05*(B68+Q45+(H46*B69)/(1+Skills!H14*H46*B69)+Q56),0)*Skills!E15))*IF(Inputs!$B$38="pvp",1,(1+(Inputs!$B$21+Skills!Q16)/100)*(MIN(Skills!R16,Inputs!$B$37))),0)</f>
        <v/>
      </c>
    </row>
    <row r="49">
      <c r="A49">
        <f>Skills!A17</f>
        <v/>
      </c>
      <c r="B49">
        <f>Skills!B17</f>
        <v/>
      </c>
      <c r="C49">
        <f>TRUE</f>
        <v/>
      </c>
      <c r="D49">
        <f>IF(Skills!C17=1,60+Inputs!$B$25+Inputs!$B$29,IF(Skills!C17=2,90+Inputs!$B$26+Inputs!$B$29,IF(Skills!C17=3,120+Inputs!$B$27+Inputs!$B$29,MAX(0,(Inputs!$B$3-100)*3)+Inputs!$B$28+Inputs!$B$29)))</f>
        <v/>
      </c>
      <c r="E49">
        <f>INDEX(FactorTable!$B$2:$Y$301, MATCH(ROUND(MIN(300,MAX(1,D49)),0), FactorTable!$A$2:$A$301,0), Skills!M17+1)</f>
        <v/>
      </c>
      <c r="F49">
        <f>IF(Skills!N17=TRUE,(Skills!L17/10)*(E49/1000),Skills!L17/10)+Skills!O17</f>
        <v/>
      </c>
      <c r="G49">
        <f>Calc!G17</f>
        <v/>
      </c>
      <c r="H49">
        <f>Calc!H17</f>
        <v/>
      </c>
      <c r="I49">
        <f>IF(Skills!X17&lt;&gt;"",1+(Skills!X17/10)*(Z35/1000)/100,1)</f>
        <v/>
      </c>
      <c r="J49" t="inlineStr"/>
      <c r="K49" t="inlineStr"/>
      <c r="L49" t="inlineStr"/>
      <c r="M49" t="inlineStr"/>
      <c r="N49" t="inlineStr"/>
      <c r="O49">
        <f>(1-Summary!$B$56)*S49+Summary!$B$56*U49</f>
        <v/>
      </c>
      <c r="P49">
        <f>IF(B73=0,0,O49/B73)</f>
        <v/>
      </c>
      <c r="Q49">
        <f>IFERROR(1/IF(Inputs!$B$38="pvp",15,MAX(0.1,Skills!E17-IF(Skills!F17=TRUE,Inputs!$B$32,0))),0)</f>
        <v/>
      </c>
      <c r="R49">
        <f>IF(AND(Inputs!$B$38&lt;&gt;"pvp",Inputs!$B$43&gt;0),IF(Inputs!$B$43&lt;=0,0,(INT(Inputs!$B$43/IF(Inputs!$B$38="pvp",15,MAX(0.1,Skills!E17-IF(Skills!F17=TRUE,Inputs!$B$32,0))))+1)),0)</f>
        <v/>
      </c>
      <c r="S49" t="n">
        <v>0</v>
      </c>
      <c r="U49" t="n">
        <v>0</v>
      </c>
    </row>
    <row r="50">
      <c r="A50">
        <f>Skills!A18</f>
        <v/>
      </c>
      <c r="B50">
        <f>Skills!B18</f>
        <v/>
      </c>
      <c r="C50">
        <f>TRUE</f>
        <v/>
      </c>
      <c r="D50">
        <f>IF(Skills!C18=1,60+Inputs!$B$25+Inputs!$B$29,IF(Skills!C18=2,90+Inputs!$B$26+Inputs!$B$29,IF(Skills!C18=3,120+Inputs!$B$27+Inputs!$B$29,MAX(0,(Inputs!$B$3-100)*3)+Inputs!$B$28+Inputs!$B$29)))</f>
        <v/>
      </c>
      <c r="E50">
        <f>INDEX(FactorTable!$B$2:$Y$301, MATCH(ROUND(MIN(300,MAX(1,D50)),0), FactorTable!$A$2:$A$301,0), Skills!M18+1)</f>
        <v/>
      </c>
      <c r="F50">
        <f>IF(Skills!N18=TRUE,(Skills!L18/10)*(E50/1000),Skills!L18/10)+Skills!O18</f>
        <v/>
      </c>
      <c r="G50">
        <f>Calc!G18</f>
        <v/>
      </c>
      <c r="H50">
        <f>Calc!H18</f>
        <v/>
      </c>
      <c r="I50">
        <f>IF(Skills!X18&lt;&gt;"",1+(Skills!X18/10)*(Z35/1000)/100,1)</f>
        <v/>
      </c>
      <c r="J50" t="inlineStr"/>
      <c r="K50" t="inlineStr"/>
      <c r="L50" t="inlineStr"/>
      <c r="M50" t="inlineStr"/>
      <c r="N50" t="inlineStr"/>
      <c r="O50">
        <f>(1-Summary!$B$56)*S50+Summary!$B$56*U50</f>
        <v/>
      </c>
      <c r="P50">
        <f>IF(B73=0,0,O50/B73)</f>
        <v/>
      </c>
      <c r="Q50">
        <f>IFERROR(1/IF(Inputs!$B$38="pvp",15,MAX(0.1,Skills!E18-IF(Skills!F18=TRUE,Inputs!$B$32,0))),0)</f>
        <v/>
      </c>
      <c r="R50">
        <f>IF(AND(Inputs!$B$38&lt;&gt;"pvp",Inputs!$B$43&gt;0),IF(Inputs!$B$43&lt;=0,0,(INT(Inputs!$B$43/IF(Inputs!$B$38="pvp",15,MAX(0.1,Skills!E18-IF(Skills!F18=TRUE,Inputs!$B$32,0))))+1)),0)</f>
        <v/>
      </c>
      <c r="S50" t="n">
        <v>0</v>
      </c>
      <c r="U50" t="n">
        <v>0</v>
      </c>
    </row>
    <row r="51">
      <c r="A51">
        <f>Skills!A19</f>
        <v/>
      </c>
      <c r="B51">
        <f>Skills!B19</f>
        <v/>
      </c>
      <c r="C51">
        <f>Inputs!$B$3&gt;=110</f>
        <v/>
      </c>
      <c r="D51">
        <f>IF(Skills!C19=1,60+Inputs!$B$25+Inputs!$B$29,IF(Skills!C19=2,90+Inputs!$B$26+Inputs!$B$29,IF(Skills!C19=3,120+Inputs!$B$27+Inputs!$B$29,MAX(0,(Inputs!$B$3-100)*3)+Inputs!$B$28+Inputs!$B$29)))</f>
        <v/>
      </c>
      <c r="E51">
        <f>INDEX(FactorTable!$B$2:$Y$301, MATCH(ROUND(MIN(300,MAX(1,D51)),0), FactorTable!$A$2:$A$301,0), Skills!M19+1)</f>
        <v/>
      </c>
      <c r="F51">
        <f>IF(Skills!N19=TRUE,(Skills!L19/10)*(E51/1000),Skills!L19/10)+Skills!O19</f>
        <v/>
      </c>
      <c r="G51">
        <f>Calc!G19</f>
        <v/>
      </c>
      <c r="H51">
        <f>Calc!H19</f>
        <v/>
      </c>
      <c r="I51">
        <f>IF(Skills!X19&lt;&gt;"",1+(Skills!X19/10)*(Z35/1000)/100,1)</f>
        <v/>
      </c>
      <c r="J51" t="inlineStr"/>
      <c r="K51" t="inlineStr"/>
      <c r="L51" t="inlineStr"/>
      <c r="M51" t="inlineStr"/>
      <c r="N51" t="inlineStr"/>
      <c r="O51">
        <f>(1-Summary!$B$56)*S51+Summary!$B$56*U51</f>
        <v/>
      </c>
      <c r="P51">
        <f>IF(B73=0,0,O51/B73)</f>
        <v/>
      </c>
      <c r="Q51">
        <f>IFERROR(1/IF(Inputs!$B$38="pvp",15,MAX(0.1,Skills!E19-IF(Skills!F19=TRUE,Inputs!$B$32,0))),0)</f>
        <v/>
      </c>
      <c r="R51">
        <f>IF(AND(Inputs!$B$38&lt;&gt;"pvp",Inputs!$B$43&gt;0),IF(Inputs!$B$43&lt;=0,0,(INT(Inputs!$B$43/IF(Inputs!$B$38="pvp",15,MAX(0.1,Skills!E19-IF(Skills!F19=TRUE,Inputs!$B$32,0))))+1)),0)</f>
        <v/>
      </c>
      <c r="S51" t="n">
        <v>0</v>
      </c>
      <c r="U51" t="n">
        <v>0</v>
      </c>
    </row>
    <row r="52">
      <c r="A52">
        <f>Skills!A20</f>
        <v/>
      </c>
      <c r="B52">
        <f>Skills!B20</f>
        <v/>
      </c>
      <c r="C52">
        <f>TRUE</f>
        <v/>
      </c>
      <c r="D52">
        <f>IF(Skills!C20=1,60+Inputs!$B$25+Inputs!$B$29,IF(Skills!C20=2,90+Inputs!$B$26+Inputs!$B$29,IF(Skills!C20=3,120+Inputs!$B$27+Inputs!$B$29,MAX(0,(Inputs!$B$3-100)*3)+Inputs!$B$28+Inputs!$B$29)))</f>
        <v/>
      </c>
      <c r="E52">
        <f>INDEX(FactorTable!$B$2:$Y$301, MATCH(ROUND(MIN(300,MAX(1,D52)),0), FactorTable!$A$2:$A$301,0), Skills!M20+1)</f>
        <v/>
      </c>
      <c r="F52">
        <f>IF(Skills!N20=TRUE,(Skills!L20/10)*(E52/1000),Skills!L20/10)+Skills!O20</f>
        <v/>
      </c>
      <c r="G52">
        <f>Calc!G20</f>
        <v/>
      </c>
      <c r="H52">
        <f>Calc!H20</f>
        <v/>
      </c>
      <c r="I52">
        <f>IF(Skills!X20&lt;&gt;"",1+(Skills!X20/10)*(Z35/1000)/100,1)</f>
        <v/>
      </c>
      <c r="J52" t="inlineStr"/>
      <c r="K52" t="inlineStr"/>
      <c r="L52" t="inlineStr"/>
      <c r="M52" t="inlineStr"/>
      <c r="N52" t="inlineStr"/>
      <c r="O52">
        <f>(1-Summary!$B$56)*S52+Summary!$B$56*U52</f>
        <v/>
      </c>
      <c r="P52">
        <f>IF(B73=0,0,O52/B73)</f>
        <v/>
      </c>
      <c r="Q52">
        <f>IFERROR(1/IF(Inputs!$B$38="pvp",15,MAX(0.1,Skills!E20-IF(Skills!F20=TRUE,Inputs!$B$32,0))),0)</f>
        <v/>
      </c>
      <c r="R52" t="n">
        <v>0</v>
      </c>
      <c r="S52" t="n">
        <v>0</v>
      </c>
      <c r="U52" t="n">
        <v>0</v>
      </c>
    </row>
    <row r="53">
      <c r="A53">
        <f>Skills!A21</f>
        <v/>
      </c>
      <c r="B53">
        <f>Skills!B21</f>
        <v/>
      </c>
      <c r="C53">
        <f>TRUE</f>
        <v/>
      </c>
      <c r="D53">
        <f>IF(Skills!C21=1,60+Inputs!$B$25+Inputs!$B$29,IF(Skills!C21=2,90+Inputs!$B$26+Inputs!$B$29,IF(Skills!C21=3,120+Inputs!$B$27+Inputs!$B$29,MAX(0,(Inputs!$B$3-100)*3)+Inputs!$B$28+Inputs!$B$29)))</f>
        <v/>
      </c>
      <c r="E53">
        <f>INDEX(FactorTable!$B$2:$Y$301, MATCH(ROUND(MIN(300,MAX(1,D53)),0), FactorTable!$A$2:$A$301,0), Skills!M21+1)</f>
        <v/>
      </c>
      <c r="F53">
        <f>IF(Skills!N21=TRUE,(Skills!L21/10)*(E53/1000),Skills!L21/10)+Skills!O21</f>
        <v/>
      </c>
      <c r="G53">
        <f>Calc!G21</f>
        <v/>
      </c>
      <c r="H53">
        <f>Calc!H21</f>
        <v/>
      </c>
      <c r="I53">
        <f>IF(Skills!X21&lt;&gt;"",1+(Skills!X21/10)*(Z35/1000)/100,1)</f>
        <v/>
      </c>
      <c r="J53" t="inlineStr"/>
      <c r="K53" t="inlineStr"/>
      <c r="L53" t="inlineStr"/>
      <c r="M53" t="inlineStr"/>
      <c r="N53" t="inlineStr"/>
      <c r="O53">
        <f>(1-Summary!$B$56)*S53+Summary!$B$56*U53</f>
        <v/>
      </c>
      <c r="P53">
        <f>IF(B73=0,0,O53/B73)</f>
        <v/>
      </c>
      <c r="Q53">
        <f>IFERROR(1/IF(Inputs!$B$38="pvp",15,MAX(0.1,Skills!E21-IF(Skills!F21=TRUE,Inputs!$B$32,0))),0)</f>
        <v/>
      </c>
      <c r="R53" t="n">
        <v>0</v>
      </c>
      <c r="S53" t="n">
        <v>0</v>
      </c>
      <c r="U53" t="n">
        <v>0</v>
      </c>
    </row>
    <row r="54">
      <c r="A54">
        <f>Skills!A22</f>
        <v/>
      </c>
      <c r="B54">
        <f>Skills!B22</f>
        <v/>
      </c>
      <c r="C54">
        <f>TRUE</f>
        <v/>
      </c>
      <c r="D54">
        <f>IF(Skills!C22=1,60+Inputs!$B$25+Inputs!$B$29,IF(Skills!C22=2,90+Inputs!$B$26+Inputs!$B$29,IF(Skills!C22=3,120+Inputs!$B$27+Inputs!$B$29,MAX(0,(Inputs!$B$3-100)*3)+Inputs!$B$28+Inputs!$B$29)))</f>
        <v/>
      </c>
      <c r="E54">
        <f>INDEX(FactorTable!$B$2:$Y$301, MATCH(ROUND(MIN(300,MAX(1,D54)),0), FactorTable!$A$2:$A$301,0), Skills!M22+1)</f>
        <v/>
      </c>
      <c r="F54">
        <f>IF(Skills!N22=TRUE,(Skills!L22/10)*(E54/1000),Skills!L22/10)+Skills!O22</f>
        <v/>
      </c>
      <c r="G54">
        <f>Calc!G22</f>
        <v/>
      </c>
      <c r="H54">
        <f>Calc!H22</f>
        <v/>
      </c>
      <c r="I54">
        <f>IF(Skills!X22&lt;&gt;"",1+(Skills!X22/10)*(Z35/1000)/100,1)</f>
        <v/>
      </c>
      <c r="J54" t="inlineStr"/>
      <c r="K54" t="inlineStr"/>
      <c r="L54" t="inlineStr"/>
      <c r="M54" t="inlineStr"/>
      <c r="N54" t="inlineStr"/>
      <c r="O54">
        <f>(1-Summary!$B$56)*S54+Summary!$B$56*U54</f>
        <v/>
      </c>
      <c r="P54">
        <f>IF(B73=0,0,O54/B73)</f>
        <v/>
      </c>
      <c r="Q54">
        <f>IFERROR(1/IF(Inputs!$B$38="pvp",15,MAX(0.1,Skills!E22-IF(Skills!F22=TRUE,Inputs!$B$32,0))),0)</f>
        <v/>
      </c>
      <c r="R54" t="n">
        <v>0</v>
      </c>
      <c r="S54" t="n">
        <v>0</v>
      </c>
      <c r="U54" t="n">
        <v>0</v>
      </c>
    </row>
    <row r="55">
      <c r="A55">
        <f>Skills!A23</f>
        <v/>
      </c>
      <c r="B55">
        <f>Skills!B23</f>
        <v/>
      </c>
      <c r="C55">
        <f>TRUE</f>
        <v/>
      </c>
      <c r="D55">
        <f>IF(Skills!C23=1,60+Inputs!$B$25+Inputs!$B$29,IF(Skills!C23=2,90+Inputs!$B$26+Inputs!$B$29,IF(Skills!C23=3,120+Inputs!$B$27+Inputs!$B$29,MAX(0,(Inputs!$B$3-100)*3)+Inputs!$B$28+Inputs!$B$29)))</f>
        <v/>
      </c>
      <c r="E55">
        <f>INDEX(FactorTable!$B$2:$Y$301, MATCH(ROUND(MIN(300,MAX(1,D55)),0), FactorTable!$A$2:$A$301,0), Skills!M23+1)</f>
        <v/>
      </c>
      <c r="F55">
        <f>IF(Skills!N23=TRUE,(Skills!L23/10)*(E55/1000),Skills!L23/10)+Skills!O23</f>
        <v/>
      </c>
      <c r="G55">
        <f>Calc!G23</f>
        <v/>
      </c>
      <c r="H55">
        <f>Calc!H23</f>
        <v/>
      </c>
      <c r="I55">
        <f>IF(Skills!X23&lt;&gt;"",1+(Skills!X23/10)*(Z35/1000)/100,1)</f>
        <v/>
      </c>
      <c r="J55" t="inlineStr"/>
      <c r="K55" t="inlineStr"/>
      <c r="L55" t="inlineStr"/>
      <c r="M55" t="inlineStr"/>
      <c r="N55" t="inlineStr"/>
      <c r="O55">
        <f>(1-Summary!$B$56)*S55+Summary!$B$56*U55</f>
        <v/>
      </c>
      <c r="P55">
        <f>IF(B73=0,0,O55/B73)</f>
        <v/>
      </c>
      <c r="Q55">
        <f>IFERROR(1/IF(Inputs!$B$38="pvp",15,MAX(0.1,Skills!E23-IF(Skills!F23=TRUE,Inputs!$B$32,0))),0)</f>
        <v/>
      </c>
      <c r="R55" t="n">
        <v>0</v>
      </c>
      <c r="S55" t="n">
        <v>0</v>
      </c>
      <c r="U55" t="n">
        <v>0</v>
      </c>
    </row>
    <row r="56">
      <c r="A56">
        <f>Skills!A24</f>
        <v/>
      </c>
      <c r="B56">
        <f>Skills!B24</f>
        <v/>
      </c>
      <c r="C56">
        <f>Inputs!$B$3&gt;=115</f>
        <v/>
      </c>
      <c r="D56">
        <f>IF(Skills!C24=1,60+Inputs!$B$25+Inputs!$B$29,IF(Skills!C24=2,90+Inputs!$B$26+Inputs!$B$29,IF(Skills!C24=3,120+Inputs!$B$27+Inputs!$B$29,MAX(0,(Inputs!$B$3-100)*3)+Inputs!$B$28+Inputs!$B$29)))</f>
        <v/>
      </c>
      <c r="E56">
        <f>INDEX(FactorTable!$B$2:$Y$301, MATCH(ROUND(MIN(300,MAX(1,D56)),0), FactorTable!$A$2:$A$301,0), Skills!M24+1)</f>
        <v/>
      </c>
      <c r="F56">
        <f>IF(Skills!N24=TRUE,(Skills!L24/10)*(E56/1000),Skills!L24/10)+Skills!O24</f>
        <v/>
      </c>
      <c r="G56">
        <f>Calc!G24</f>
        <v/>
      </c>
      <c r="H56">
        <f>Calc!H24</f>
        <v/>
      </c>
      <c r="I56">
        <f>IF(Skills!X24&lt;&gt;"",1+(Skills!X24/10)*(Z35/1000)/100,1)</f>
        <v/>
      </c>
      <c r="J56">
        <f>((Inputs!$B$6*(1+Inputs!$B$7/100))+((((Inputs!$B$12+1)*(1+Inputs!$B$13/100))-(Inputs!$B$12*(1+Inputs!$B$13/100)))+0.25*(Inputs!$B$14-Inputs!$B$14))*(1+Inputs!$B$7/100))*(F56/100)</f>
        <v/>
      </c>
      <c r="K56">
        <f>J56*(1+(((Inputs!$B$12+1)*(1+Inputs!$B$13/100))*0.01+Inputs!$B$14*0.0025)/100)*(1+Inputs!$B$15/100)*(1+Inputs!$B$16/100)*(5000/(6000+Inputs!$B$42*(1-Inputs!$B$19/100)))*(1+Inputs!$B$24/100)*(1+F55/100)*(1+IF(Inputs!$B$3&gt;=120,F58,0)/100)^5*(1+(IF(Skills!A24="BASIC_ATTACK",Inputs!$B$17,Inputs!$B$18+IF(Inputs!$B$3&gt;=125,F59*5,0)))/100)*(B62*B63*B64*I56)</f>
        <v/>
      </c>
      <c r="L56">
        <f>K56*(MIN(Inputs!$B$22+(F54-Calc!F22),Inputs!$B$23)/100+Inputs!$B$23/100)/2</f>
        <v/>
      </c>
      <c r="M56">
        <f>L56*(1+(Inputs!$B$10+(F53-Calc!F21))/100)</f>
        <v/>
      </c>
      <c r="N56">
        <f>L56*(1-MIN(Inputs!$B$9+(F52-Calc!F20),100)/100)+M56*(MIN(Inputs!$B$9+(F52-Calc!F20),100)/100)</f>
        <v/>
      </c>
      <c r="O56">
        <f>(1-Summary!$B$56)*S56+Summary!$B$56*U56</f>
        <v/>
      </c>
      <c r="P56">
        <f>IF(B73=0,0,O56/B73)</f>
        <v/>
      </c>
      <c r="Q56">
        <f>IFERROR(1/IF(Inputs!$B$38="pvp",15,MAX(0.1,Skills!E24-IF(Skills!F24=TRUE,Inputs!$B$32,0))),0)</f>
        <v/>
      </c>
      <c r="R56">
        <f>IF(AND(Inputs!$B$38&lt;&gt;"pvp",Inputs!$B$43&gt;0),IF(MAX(0,Inputs!$B$43-B70)&lt;=0,0,(INT(MAX(0,Inputs!$B$43-B70)/IF(Inputs!$B$38="pvp",15,MAX(0.1,Skills!E24-IF(Skills!F24=TRUE,Inputs!$B$32,0))))+1)),0)</f>
        <v/>
      </c>
      <c r="S56">
        <f>IF(C56,(H56*N56*IF(AND(Inputs!$B$38&lt;&gt;"pvp",Inputs!$B$43&gt;0),((Skills!G24*((R56-1)*IF(Skills!H24&gt;0,Skills!I24/Skills!H24,1)+IF(Skills!H24&gt;0,MIN(Skills!I24,MAX(0,MAX(0,Inputs!$B$43-B70)-((R56-1)*IF(Inputs!$B$38="pvp",15,MAX(0.1,Skills!E24-IF(Skills!F24=TRUE,Inputs!$B$32,0))))))/Skills!H24,1)))/Inputs!$B$43),G56*Q56)*(1+IF(Inputs!$B$3&gt;=130,0.2*(Skills!I16/Skills!E15+IF(Inputs!$B$3&gt;=126,0.05*(B68+Q45+(H46*B69)/(1+Skills!H14*H46*B69)+Q56),0)*Skills!I16),0)))*IF(Inputs!$B$38="pvp",1,1+(Inputs!$B$20+Skills!P24)/100),0)</f>
        <v/>
      </c>
      <c r="U56">
        <f>IF(C56,(H56*N56*IF(AND(Inputs!$B$38&lt;&gt;"pvp",Inputs!$B$43&gt;0),((Skills!G24*((R56-1)*IF(Skills!H24&gt;0,Skills!I24/Skills!H24,1)+IF(Skills!H24&gt;0,MIN(Skills!I24,MAX(0,MAX(0,Inputs!$B$43-B70)-((R56-1)*IF(Inputs!$B$38="pvp",15,MAX(0.1,Skills!E24-IF(Skills!F24=TRUE,Inputs!$B$32,0))))))/Skills!H24,1)))/Inputs!$B$43),G56*Q56)*(1+IF(Inputs!$B$3&gt;=130,0.2*(Skills!I16/Skills!E15+IF(Inputs!$B$3&gt;=126,0.05*(B68+Q45+(H46*B69)/(1+Skills!H14*H46*B69)+Q56),0)*Skills!I16),0)))*IF(Inputs!$B$38="pvp",1,(1+(Inputs!$B$21+Skills!Q24)/100)*(MIN(Skills!R24,Inputs!$B$37))),0)</f>
        <v/>
      </c>
    </row>
    <row r="57">
      <c r="A57">
        <f>Skills!A25</f>
        <v/>
      </c>
      <c r="B57">
        <f>Skills!B25</f>
        <v/>
      </c>
      <c r="C57">
        <f>Inputs!$B$3&gt;=117</f>
        <v/>
      </c>
      <c r="D57">
        <f>IF(Skills!C25=1,60+Inputs!$B$25+Inputs!$B$29,IF(Skills!C25=2,90+Inputs!$B$26+Inputs!$B$29,IF(Skills!C25=3,120+Inputs!$B$27+Inputs!$B$29,MAX(0,(Inputs!$B$3-100)*3)+Inputs!$B$28+Inputs!$B$29)))</f>
        <v/>
      </c>
      <c r="E57">
        <f>INDEX(FactorTable!$B$2:$Y$301, MATCH(ROUND(MIN(300,MAX(1,D57)),0), FactorTable!$A$2:$A$301,0), Skills!M25+1)</f>
        <v/>
      </c>
      <c r="F57">
        <f>IF(Skills!N25=TRUE,(Skills!L25/10)*(E57/1000),Skills!L25/10)+Skills!O25</f>
        <v/>
      </c>
      <c r="G57">
        <f>Calc!G25</f>
        <v/>
      </c>
      <c r="H57">
        <f>Calc!H25</f>
        <v/>
      </c>
      <c r="I57">
        <f>IF(Skills!X25&lt;&gt;"",1+(Skills!X25/10)*(Z35/1000)/100,1)</f>
        <v/>
      </c>
      <c r="J57" t="inlineStr"/>
      <c r="K57" t="inlineStr"/>
      <c r="L57" t="inlineStr"/>
      <c r="M57" t="inlineStr"/>
      <c r="N57" t="inlineStr"/>
      <c r="O57">
        <f>(1-Summary!$B$56)*S57+Summary!$B$56*U57</f>
        <v/>
      </c>
      <c r="P57">
        <f>IF(B73=0,0,O57/B73)</f>
        <v/>
      </c>
      <c r="Q57">
        <f>IFERROR(1/IF(Inputs!$B$38="pvp",15,MAX(0.1,Skills!E25-IF(Skills!F25=TRUE,Inputs!$B$32,0))),0)</f>
        <v/>
      </c>
      <c r="R57" t="n">
        <v>0</v>
      </c>
      <c r="S57" t="n">
        <v>0</v>
      </c>
      <c r="U57" t="n">
        <v>0</v>
      </c>
    </row>
    <row r="58">
      <c r="A58">
        <f>Skills!A26</f>
        <v/>
      </c>
      <c r="B58">
        <f>Skills!B26</f>
        <v/>
      </c>
      <c r="C58">
        <f>Inputs!$B$3&gt;=120</f>
        <v/>
      </c>
      <c r="D58">
        <f>IF(Skills!C26=1,60+Inputs!$B$25+Inputs!$B$29,IF(Skills!C26=2,90+Inputs!$B$26+Inputs!$B$29,IF(Skills!C26=3,120+Inputs!$B$27+Inputs!$B$29,MAX(0,(Inputs!$B$3-100)*3)+Inputs!$B$28+Inputs!$B$29)))</f>
        <v/>
      </c>
      <c r="E58">
        <f>INDEX(FactorTable!$B$2:$Y$301, MATCH(ROUND(MIN(300,MAX(1,D58)),0), FactorTable!$A$2:$A$301,0), Skills!M26+1)</f>
        <v/>
      </c>
      <c r="F58">
        <f>IF(Skills!N26=TRUE,(Skills!L26/10)*(E58/1000),Skills!L26/10)+Skills!O26</f>
        <v/>
      </c>
      <c r="G58">
        <f>Calc!G26</f>
        <v/>
      </c>
      <c r="H58">
        <f>Calc!H26</f>
        <v/>
      </c>
      <c r="I58">
        <f>IF(Skills!X26&lt;&gt;"",1+(Skills!X26/10)*(Z35/1000)/100,1)</f>
        <v/>
      </c>
      <c r="J58" t="inlineStr"/>
      <c r="K58" t="inlineStr"/>
      <c r="L58" t="inlineStr"/>
      <c r="M58" t="inlineStr"/>
      <c r="N58" t="inlineStr"/>
      <c r="O58">
        <f>(1-Summary!$B$56)*S58+Summary!$B$56*U58</f>
        <v/>
      </c>
      <c r="P58">
        <f>IF(B73=0,0,O58/B73)</f>
        <v/>
      </c>
      <c r="Q58">
        <f>IFERROR(1/IF(Inputs!$B$38="pvp",15,MAX(0.1,Skills!E26-IF(Skills!F26=TRUE,Inputs!$B$32,0))),0)</f>
        <v/>
      </c>
      <c r="R58" t="n">
        <v>0</v>
      </c>
      <c r="S58" t="n">
        <v>0</v>
      </c>
      <c r="U58" t="n">
        <v>0</v>
      </c>
    </row>
    <row r="59">
      <c r="A59">
        <f>Skills!A27</f>
        <v/>
      </c>
      <c r="B59">
        <f>Skills!B27</f>
        <v/>
      </c>
      <c r="C59">
        <f>Inputs!$B$3&gt;=125</f>
        <v/>
      </c>
      <c r="D59">
        <f>IF(Skills!C27=1,60+Inputs!$B$25+Inputs!$B$29,IF(Skills!C27=2,90+Inputs!$B$26+Inputs!$B$29,IF(Skills!C27=3,120+Inputs!$B$27+Inputs!$B$29,MAX(0,(Inputs!$B$3-100)*3)+Inputs!$B$28+Inputs!$B$29)))</f>
        <v/>
      </c>
      <c r="E59">
        <f>INDEX(FactorTable!$B$2:$Y$301, MATCH(ROUND(MIN(300,MAX(1,D59)),0), FactorTable!$A$2:$A$301,0), Skills!M27+1)</f>
        <v/>
      </c>
      <c r="F59">
        <f>IF(Skills!N27=TRUE,(Skills!L27/10)*(E59/1000),Skills!L27/10)+Skills!O27</f>
        <v/>
      </c>
      <c r="G59">
        <f>Calc!G27</f>
        <v/>
      </c>
      <c r="H59">
        <f>Calc!H27</f>
        <v/>
      </c>
      <c r="I59">
        <f>IF(Skills!X27&lt;&gt;"",1+(Skills!X27/10)*(Z35/1000)/100,1)</f>
        <v/>
      </c>
      <c r="J59" t="inlineStr"/>
      <c r="K59" t="inlineStr"/>
      <c r="L59" t="inlineStr"/>
      <c r="M59" t="inlineStr"/>
      <c r="N59" t="inlineStr"/>
      <c r="O59">
        <f>(1-Summary!$B$56)*S59+Summary!$B$56*U59</f>
        <v/>
      </c>
      <c r="P59">
        <f>IF(B73=0,0,O59/B73)</f>
        <v/>
      </c>
      <c r="Q59">
        <f>IFERROR(1/IF(Inputs!$B$38="pvp",15,MAX(0.1,Skills!E27-IF(Skills!F27=TRUE,Inputs!$B$32,0))),0)</f>
        <v/>
      </c>
      <c r="R59" t="n">
        <v>0</v>
      </c>
      <c r="S59" t="n">
        <v>0</v>
      </c>
      <c r="U59" t="n">
        <v>0</v>
      </c>
    </row>
    <row r="60">
      <c r="A60">
        <f>Skills!A28</f>
        <v/>
      </c>
      <c r="B60">
        <f>Skills!B28</f>
        <v/>
      </c>
      <c r="C60">
        <f>Inputs!$B$3&gt;=118</f>
        <v/>
      </c>
      <c r="D60">
        <f>IF(Skills!C28=1,60+Inputs!$B$25+Inputs!$B$29,IF(Skills!C28=2,90+Inputs!$B$26+Inputs!$B$29,IF(Skills!C28=3,120+Inputs!$B$27+Inputs!$B$29,MAX(0,(Inputs!$B$3-100)*3)+Inputs!$B$28+Inputs!$B$29)))</f>
        <v/>
      </c>
      <c r="E60">
        <f>INDEX(FactorTable!$B$2:$Y$301, MATCH(ROUND(MIN(300,MAX(1,D60)),0), FactorTable!$A$2:$A$301,0), Skills!M28+1)</f>
        <v/>
      </c>
      <c r="F60">
        <f>IF(Skills!N28=TRUE,(Skills!L28/10)*(E60/1000),Skills!L28/10)+Skills!O28</f>
        <v/>
      </c>
      <c r="G60">
        <f>Calc!G28</f>
        <v/>
      </c>
      <c r="H60">
        <f>Calc!H28</f>
        <v/>
      </c>
      <c r="I60">
        <f>IF(Skills!X28&lt;&gt;"",1+(Skills!X28/10)*(Z35/1000)/100,1)</f>
        <v/>
      </c>
      <c r="J60">
        <f>((Inputs!$B$6*(1+Inputs!$B$7/100))+((((Inputs!$B$12+1)*(1+Inputs!$B$13/100))-(Inputs!$B$12*(1+Inputs!$B$13/100)))+0.25*(Inputs!$B$14-Inputs!$B$14))*(1+Inputs!$B$7/100))*(F60/100)</f>
        <v/>
      </c>
      <c r="K60">
        <f>J60*(1+(((Inputs!$B$12+1)*(1+Inputs!$B$13/100))*0.01+Inputs!$B$14*0.0025)/100)*(1+Inputs!$B$15/100)*(1+Inputs!$B$16/100)*(5000/(6000+Inputs!$B$42*(1-Inputs!$B$19/100)))*(1+Inputs!$B$24/100)*(1+F55/100)*(1+IF(Inputs!$B$3&gt;=120,F58,0)/100)^5*(1+(IF(Skills!A28="BASIC_ATTACK",Inputs!$B$17,Inputs!$B$18+IF(Inputs!$B$3&gt;=125,F59*5,0)))/100)*(B62*B63*B64*I60)</f>
        <v/>
      </c>
      <c r="L60">
        <f>K60*(MIN(Inputs!$B$22+(F54-Calc!F22),Inputs!$B$23)/100+Inputs!$B$23/100)/2</f>
        <v/>
      </c>
      <c r="M60">
        <f>L60*(1+(Inputs!$B$10+(F53-Calc!F21))/100)</f>
        <v/>
      </c>
      <c r="N60">
        <f>L60*(1-MIN(Inputs!$B$9+(F52-Calc!F20),100)/100)+M60*(MIN(Inputs!$B$9+(F52-Calc!F20),100)/100)</f>
        <v/>
      </c>
      <c r="O60">
        <f>(1-Summary!$B$56)*S60+Summary!$B$56*U60</f>
        <v/>
      </c>
      <c r="P60">
        <f>IF(B73=0,0,O60/B73)</f>
        <v/>
      </c>
      <c r="Q60">
        <f>IFERROR(1/IF(Inputs!$B$38="pvp",15,MAX(0.1,Skills!E28-IF(Skills!F28=TRUE,Inputs!$B$32,0))),0)</f>
        <v/>
      </c>
      <c r="R60">
        <f>IF(AND(Inputs!$B$38&lt;&gt;"pvp",Inputs!$B$43&gt;0),IF(MAX(0,Inputs!$B$43-B70)&lt;=0,0,(INT(MAX(0,Inputs!$B$43-B70)/IF(Inputs!$B$38="pvp",15,MAX(0.1,Skills!E28-IF(Skills!F28=TRUE,Inputs!$B$32,0))))+1)),0)</f>
        <v/>
      </c>
      <c r="S60">
        <f>IF(C60,(H60*N60*IF(AND(Inputs!$B$38&lt;&gt;"pvp",Inputs!$B$43&gt;0),((Skills!G28*((R60-1)*IF(Skills!H28&gt;0,Skills!I28/Skills!H28,1)+IF(Skills!H28&gt;0,MIN(Skills!I28,MAX(0,MAX(0,Inputs!$B$43-B70)-((R60-1)*IF(Inputs!$B$38="pvp",15,MAX(0.1,Skills!E28-IF(Skills!F28=TRUE,Inputs!$B$32,0))))))/Skills!H28,1)))/Inputs!$B$43),G60*Q60))*IF(Inputs!$B$38="pvp",1,1+(Inputs!$B$20+Skills!P28)/100),0)</f>
        <v/>
      </c>
      <c r="U60">
        <f>IF(C60,(H60*N60*IF(AND(Inputs!$B$38&lt;&gt;"pvp",Inputs!$B$43&gt;0),((Skills!G28*((R60-1)*IF(Skills!H28&gt;0,Skills!I28/Skills!H28,1)+IF(Skills!H28&gt;0,MIN(Skills!I28,MAX(0,MAX(0,Inputs!$B$43-B70)-((R60-1)*IF(Inputs!$B$38="pvp",15,MAX(0.1,Skills!E28-IF(Skills!F28=TRUE,Inputs!$B$32,0))))))/Skills!H28,1)))/Inputs!$B$43),G60*Q60))*IF(Inputs!$B$38="pvp",1,(1+(Inputs!$B$21+Skills!Q28)/100)*(MIN(Skills!R28,Inputs!$B$37))),0)</f>
        <v/>
      </c>
    </row>
    <row r="62">
      <c r="A62" t="inlineStr">
        <is>
          <t>Burning Magic Multiplier</t>
        </is>
      </c>
      <c r="B62">
        <f>1+(F43*Skills!Z11)/100</f>
        <v/>
      </c>
    </row>
    <row r="63">
      <c r="A63" t="inlineStr">
        <is>
          <t>Elemental Decrease Multiplier (always-on)</t>
        </is>
      </c>
      <c r="B63">
        <f>1+F44/100</f>
        <v/>
      </c>
    </row>
    <row r="64">
      <c r="A64" t="inlineStr">
        <is>
          <t>Average Buff Multiplier (Magic Guard + Meditation, summed; then Infinity)</t>
        </is>
      </c>
      <c r="B64">
        <f>(1+(F38*IF(AND(Inputs!$B$38&lt;&gt;"pvp",Inputs!$B$43&gt;0),(((R38-1)*(Skills!T6*(1+(Inputs!$B$34+IF(Inputs!$B$3&gt;=117,F57,0))/100))+MIN((Skills!T6*(1+(Inputs!$B$34+IF(Inputs!$B$3&gt;=117,F57,0))/100)),MAX(0,Inputs!$B$43-((R38-1)*Skills!E6))))/Inputs!$B$43),IF(Inputs!$B$38="pvp",MIN((Skills!T6*(1+(Inputs!$B$34+IF(Inputs!$B$3&gt;=117,F57,0))/100)),15)/15,(Skills!T6*(1+(Inputs!$B$34+IF(Inputs!$B$3&gt;=117,F57,0))/100))/Skills!E6))+F49*IF(AND(Inputs!$B$38&lt;&gt;"pvp",Inputs!$B$43&gt;0),(((R49-1)*(Skills!T17*(1+(Inputs!$B$34+IF(Inputs!$B$3&gt;=117,F57,0))/100))+MIN((Skills!T17*(1+(Inputs!$B$34+IF(Inputs!$B$3&gt;=117,F57,0))/100)),MAX(0,Inputs!$B$43-((R49-1)*Skills!E17))))/Inputs!$B$43),IF(Inputs!$B$38="pvp",MIN((Skills!T17*(1+(Inputs!$B$34+IF(Inputs!$B$3&gt;=117,F57,0))/100)),15)/15,(Skills!T17*(1+(Inputs!$B$34+IF(Inputs!$B$3&gt;=117,F57,0))/100))/Skills!E17)))/100)*IF(C51=TRUE,(1+F51*IF(AND(Inputs!$B$38&lt;&gt;"pvp",Inputs!$B$43&gt;0),(((R51-1)*(Skills!T19*(1+(Inputs!$B$34+IF(Inputs!$B$3&gt;=117,F57,0))/100))+MIN((Skills!T19*(1+(Inputs!$B$34+IF(Inputs!$B$3&gt;=117,F57,0))/100)),MAX(0,Inputs!$B$43-((R51-1)*Skills!E19))))/Inputs!$B$43),IF(Inputs!$B$38="pvp",MIN((Skills!T19*(1+(Inputs!$B$34+IF(Inputs!$B$3&gt;=117,F57,0))/100)),15)/15,(Skills!T19*(1+(Inputs!$B$34+IF(Inputs!$B$3&gt;=117,F57,0))/100))/Skills!E19))/100),1)</f>
        <v/>
      </c>
    </row>
    <row r="65">
      <c r="A65" t="inlineStr">
        <is>
          <t>Attack Speed Buff Bonus % (Nimble Feet, averaged)</t>
        </is>
      </c>
      <c r="B65">
        <f>F50*IF(AND(Inputs!$B$38&lt;&gt;"pvp",Inputs!$B$43&gt;0),(((R50-1)*(Skills!T18*(1+(Inputs!$B$34+IF(Inputs!$B$3&gt;=117,F57,0))/100))+MIN((Skills!T18*(1+(Inputs!$B$34+IF(Inputs!$B$3&gt;=117,F57,0))/100)),MAX(0,Inputs!$B$43-((R50-1)*Skills!E18))))/Inputs!$B$43),IF(Inputs!$B$38="pvp",MIN((Skills!T18*(1+(Inputs!$B$34+IF(Inputs!$B$3&gt;=117,F57,0))/100)),15)/15,(Skills!T18*(1+(Inputs!$B$34+IF(Inputs!$B$3&gt;=117,F57,0))/100))/Skills!E18))</f>
        <v/>
      </c>
    </row>
    <row r="66">
      <c r="A66" t="inlineStr">
        <is>
          <t>Actions Per Second</t>
        </is>
      </c>
      <c r="B66">
        <f>1+MIN(150,150*(1-(1-Inputs!$B$11/150)*(1-B65/150)))/100</f>
        <v/>
      </c>
    </row>
    <row r="67">
      <c r="A67" t="inlineStr">
        <is>
          <t>Skill + Buff Cast Rate</t>
        </is>
      </c>
      <c r="B67">
        <f>IF(AND(Inputs!$B$38&lt;&gt;"pvp",Inputs!$B$43&gt;0),SUMPRODUCT((Skills!F2:F28=TRUE)*(C34:C60=TRUE)*R34:R60)/Inputs!$B$43,SUMPRODUCT((Skills!F2:F28=TRUE)*(C34:C60=TRUE)*Q34:Q60))</f>
        <v/>
      </c>
    </row>
    <row r="68">
      <c r="A68" t="inlineStr">
        <is>
          <t>Basic Attacks Per Second</t>
        </is>
      </c>
      <c r="B68">
        <f>MAX(0,B66-B67)</f>
        <v/>
      </c>
    </row>
    <row r="69">
      <c r="A69" t="inlineStr">
        <is>
          <t>Meteor Proc — combined trigger cast rate</t>
        </is>
      </c>
      <c r="B69">
        <f>IF(AND(Inputs!$B$38&lt;&gt;"pvp",Inputs!$B$43&gt;0),SUMPRODUCT((Skills!V2:V28=TRUE)*(C34:C60=TRUE)*R34:R60*Skills!W2:W28)/Inputs!$B$43,SUMPRODUCT((Skills!V2:V28=TRUE)*(C34:C60=TRUE)*Q34:Q60*Skills!W2:W28))+B68</f>
        <v/>
      </c>
    </row>
    <row r="70">
      <c r="A70" t="inlineStr">
        <is>
          <t>Buff-Casting Startup Delay (s, fixed-duration only)</t>
        </is>
      </c>
      <c r="B70">
        <f>IF(AND(Inputs!$B$38&lt;&gt;"pvp",Inputs!$B$43&gt;0),SUMPRODUCT((Skills!T2:T28&gt;0)*(Skills!F2:F28=TRUE)*(C34:C60=TRUE))/B66,0)</f>
        <v/>
      </c>
    </row>
    <row r="71">
      <c r="A71" t="inlineStr">
        <is>
          <t>Boss-Only Total DPS (this block's swept value)</t>
        </is>
      </c>
      <c r="B71">
        <f>SUM(S34:S60)</f>
        <v/>
      </c>
    </row>
    <row r="72">
      <c r="A72" t="inlineStr">
        <is>
          <t>Normal-Only Total DPS (this block's swept value)</t>
        </is>
      </c>
      <c r="B72">
        <f>SUM(U34:U60)</f>
        <v/>
      </c>
    </row>
    <row r="73">
      <c r="A73" s="5" t="inlineStr">
        <is>
          <t>TOTAL DPS</t>
        </is>
      </c>
      <c r="B73" s="5">
        <f>SUM(O34:O60)</f>
        <v/>
      </c>
    </row>
    <row r="76">
      <c r="A76" s="5" t="inlineStr">
        <is>
          <t>Stat: INT %</t>
        </is>
      </c>
    </row>
    <row r="77">
      <c r="A77" s="9" t="inlineStr">
        <is>
          <t>Key</t>
        </is>
      </c>
      <c r="B77" s="9" t="inlineStr">
        <is>
          <t>Name</t>
        </is>
      </c>
      <c r="C77" s="9" t="inlineStr">
        <is>
          <t>Unlocked</t>
        </is>
      </c>
      <c r="D77" s="9" t="inlineStr">
        <is>
          <t>InputLevel</t>
        </is>
      </c>
      <c r="E77" s="9" t="inlineStr">
        <is>
          <t>Factor</t>
        </is>
      </c>
      <c r="F77" s="9" t="inlineStr">
        <is>
          <t>CoefficientPercent</t>
        </is>
      </c>
      <c r="G77" s="9" t="inlineStr">
        <is>
          <t>EffectiveHits</t>
        </is>
      </c>
      <c r="H77" s="9" t="inlineStr">
        <is>
          <t>ProcProbability</t>
        </is>
      </c>
      <c r="I77" s="9" t="inlineStr">
        <is>
          <t>MapleHeroMultiplier</t>
        </is>
      </c>
      <c r="J77" s="9" t="inlineStr">
        <is>
          <t>BaseDamage</t>
        </is>
      </c>
      <c r="K77" s="9" t="inlineStr">
        <is>
          <t>BaseHitDamage</t>
        </is>
      </c>
      <c r="L77" s="9" t="inlineStr">
        <is>
          <t>NonCritAvg</t>
        </is>
      </c>
      <c r="M77" s="9" t="inlineStr">
        <is>
          <t>CritAvg</t>
        </is>
      </c>
      <c r="N77" s="9" t="inlineStr">
        <is>
          <t>ExpectedDamage(perHit)</t>
        </is>
      </c>
      <c r="O77" s="9" t="inlineStr">
        <is>
          <t>DPS</t>
        </is>
      </c>
      <c r="P77" s="9" t="inlineStr">
        <is>
          <t>% of Total</t>
        </is>
      </c>
      <c r="R77" t="inlineStr">
        <is>
          <t>helpers</t>
        </is>
      </c>
    </row>
    <row r="78">
      <c r="A78">
        <f>Skills!A2</f>
        <v/>
      </c>
      <c r="B78">
        <f>Skills!B2</f>
        <v/>
      </c>
      <c r="C78">
        <f>TRUE</f>
        <v/>
      </c>
      <c r="D78" t="inlineStr"/>
      <c r="E78" t="inlineStr"/>
      <c r="F78">
        <f>T80+Skills!O2</f>
        <v/>
      </c>
      <c r="G78">
        <f>Calc!G2</f>
        <v/>
      </c>
      <c r="H78">
        <f>Calc!H2</f>
        <v/>
      </c>
      <c r="I78">
        <f>IF(Skills!X2&lt;&gt;"",1+(Skills!X2/10)*(Z79/1000)/100,1)</f>
        <v/>
      </c>
      <c r="J78">
        <f>((Inputs!$B$6*(1+Inputs!$B$7/100))+(((Inputs!$B$12*(1+(Inputs!$B$13+1)/100))-(Inputs!$B$12*(1+Inputs!$B$13/100)))+0.25*(Inputs!$B$14-Inputs!$B$14))*(1+Inputs!$B$7/100))*(F78/100)</f>
        <v/>
      </c>
      <c r="K78">
        <f>J78*(1+((Inputs!$B$12*(1+(Inputs!$B$13+1)/100))*0.01+Inputs!$B$14*0.0025)/100)*(1+Inputs!$B$15/100)*(1+Inputs!$B$16/100)*(5000/(6000+Inputs!$B$42*(1-Inputs!$B$19/100)))*(1+Inputs!$B$24/100)*(1+F99/100)*(1+IF(Inputs!$B$3&gt;=120,F102,0)/100)^5*(1+(IF(Skills!A2="BASIC_ATTACK",Inputs!$B$17,Inputs!$B$18+IF(Inputs!$B$3&gt;=125,F103*5,0)))/100)*(B106*B107*B108*I78)</f>
        <v/>
      </c>
      <c r="L78">
        <f>K78*(MIN(Inputs!$B$22+(F98-Calc!F22),Inputs!$B$23)/100+Inputs!$B$23/100)/2</f>
        <v/>
      </c>
      <c r="M78">
        <f>L78*(1+(Inputs!$B$10+(F97-Calc!F21))/100)</f>
        <v/>
      </c>
      <c r="N78">
        <f>L78*(1-MIN(Inputs!$B$9+(F96-Calc!F20),100)/100)+M78*(MIN(Inputs!$B$9+(F96-Calc!F20),100)/100)</f>
        <v/>
      </c>
      <c r="O78">
        <f>(1-Summary!$B$56)*S78+Summary!$B$56*U78</f>
        <v/>
      </c>
      <c r="P78">
        <f>IF(B117=0,0,O78/B117)</f>
        <v/>
      </c>
      <c r="Q78">
        <f>IFERROR(1/IF(Inputs!$B$38="pvp",15,MAX(0.1,Skills!E2-IF(Skills!F2=TRUE,Inputs!$B$32,0))),0)</f>
        <v/>
      </c>
      <c r="R78" t="n">
        <v>0</v>
      </c>
      <c r="S78">
        <f>(Skills!G2*N78*B112)*IF(Inputs!$B$38="pvp",1,1+(Inputs!$B$20+Skills!P2)/100)</f>
        <v/>
      </c>
      <c r="T78">
        <f>MAX(0,(Inputs!$B$3-100)*3)+Inputs!$B$28+Inputs!$B$29</f>
        <v/>
      </c>
      <c r="U78">
        <f>(Skills!G2*N78*B112)*IF(Inputs!$B$38="pvp",1,(1+(Inputs!$B$21+Skills!Q2)/100)*(MIN((6+Inputs!$B$33+IF(Inputs!$B$3&gt;=136,1,0)),Inputs!$B$37)))</f>
        <v/>
      </c>
      <c r="Z78">
        <f>MAX(0,(Inputs!$B$3-100)*3)+Inputs!$B$28+Inputs!$B$29</f>
        <v/>
      </c>
    </row>
    <row r="79">
      <c r="A79">
        <f>Skills!A3</f>
        <v/>
      </c>
      <c r="B79">
        <f>Skills!B3</f>
        <v/>
      </c>
      <c r="C79">
        <f>TRUE</f>
        <v/>
      </c>
      <c r="D79">
        <f>IF(Skills!C3=1,60+Inputs!$B$25+Inputs!$B$29,IF(Skills!C3=2,90+Inputs!$B$26+Inputs!$B$29,IF(Skills!C3=3,120+Inputs!$B$27+Inputs!$B$29,MAX(0,(Inputs!$B$3-100)*3)+Inputs!$B$28+Inputs!$B$29)))</f>
        <v/>
      </c>
      <c r="E79">
        <f>INDEX(FactorTable!$B$2:$Y$301, MATCH(ROUND(MIN(300,MAX(1,D79)),0), FactorTable!$A$2:$A$301,0), Skills!M3+1)</f>
        <v/>
      </c>
      <c r="F79">
        <f>IF(Skills!N3=TRUE,(Skills!L3/10)*(E79/1000),Skills!L3/10)+Skills!O3</f>
        <v/>
      </c>
      <c r="G79">
        <f>Calc!G3</f>
        <v/>
      </c>
      <c r="H79">
        <f>Calc!H3</f>
        <v/>
      </c>
      <c r="I79">
        <f>IF(Skills!X3&lt;&gt;"",1+(Skills!X3/10)*(Z79/1000)/100,1)</f>
        <v/>
      </c>
      <c r="J79">
        <f>((Inputs!$B$6*(1+Inputs!$B$7/100))+(((Inputs!$B$12*(1+(Inputs!$B$13+1)/100))-(Inputs!$B$12*(1+Inputs!$B$13/100)))+0.25*(Inputs!$B$14-Inputs!$B$14))*(1+Inputs!$B$7/100))*(F79/100)</f>
        <v/>
      </c>
      <c r="K79">
        <f>J79*(1+((Inputs!$B$12*(1+(Inputs!$B$13+1)/100))*0.01+Inputs!$B$14*0.0025)/100)*(1+Inputs!$B$15/100)*(1+Inputs!$B$16/100)*(5000/(6000+Inputs!$B$42*(1-Inputs!$B$19/100)))*(1+Inputs!$B$24/100)*(1+F99/100)*(1+IF(Inputs!$B$3&gt;=120,F102,0)/100)^5*(1+(IF(Skills!A3="BASIC_ATTACK",Inputs!$B$17,Inputs!$B$18+IF(Inputs!$B$3&gt;=125,F103*5,0)))/100)*(B106*B107*B108*I79)</f>
        <v/>
      </c>
      <c r="L79">
        <f>K79*(MIN(Inputs!$B$22+(F98-Calc!F22),Inputs!$B$23)/100+Inputs!$B$23/100)/2</f>
        <v/>
      </c>
      <c r="M79">
        <f>L79*(1+(Inputs!$B$10+(F97-Calc!F21))/100)</f>
        <v/>
      </c>
      <c r="N79">
        <f>L79*(1-MIN(Inputs!$B$9+(F96-Calc!F20),100)/100)+M79*(MIN(Inputs!$B$9+(F96-Calc!F20),100)/100)</f>
        <v/>
      </c>
      <c r="O79">
        <f>(1-Summary!$B$56)*S79+Summary!$B$56*U79</f>
        <v/>
      </c>
      <c r="P79">
        <f>IF(B117=0,0,O79/B117)</f>
        <v/>
      </c>
      <c r="Q79">
        <f>IFERROR(1/IF(Inputs!$B$38="pvp",15,MAX(0.1,Skills!E3-IF(Skills!F3=TRUE,Inputs!$B$32,0))),0)</f>
        <v/>
      </c>
      <c r="R79">
        <f>IF(AND(Inputs!$B$38&lt;&gt;"pvp",Inputs!$B$43&gt;0),IF(MAX(0,Inputs!$B$43-B114)&lt;=0,0,(INT(MAX(0,Inputs!$B$43-B114)/IF(Inputs!$B$38="pvp",15,MAX(0.1,Skills!E3-IF(Skills!F3=TRUE,Inputs!$B$32,0))))+1)),0)</f>
        <v/>
      </c>
      <c r="S79">
        <f>IF(C79,(H79*N79*IF(AND(Inputs!$B$38&lt;&gt;"pvp",Inputs!$B$43&gt;0),((Skills!G3*((R79-1)*IF(Skills!H3&gt;0,Skills!I3/Skills!H3,1)+IF(Skills!H3&gt;0,MIN(Skills!I3,MAX(0,MAX(0,Inputs!$B$43-B114)-((R79-1)*IF(Inputs!$B$38="pvp",15,MAX(0.1,Skills!E3-IF(Skills!F3=TRUE,Inputs!$B$32,0))))))/Skills!H3,1)))/Inputs!$B$43),G79*Q79))*IF(Inputs!$B$38="pvp",1,1+(Inputs!$B$20+Skills!P3)/100),0)</f>
        <v/>
      </c>
      <c r="T79">
        <f>INDEX(FactorTable!$B$2:$Y$301, MATCH(ROUND(MIN(300,MAX(1,T78)),0), FactorTable!$A$2:$A$301,0), 22)</f>
        <v/>
      </c>
      <c r="U79">
        <f>IF(C79,(H79*N79*IF(AND(Inputs!$B$38&lt;&gt;"pvp",Inputs!$B$43&gt;0),((Skills!G3*((R79-1)*IF(Skills!H3&gt;0,Skills!I3/Skills!H3,1)+IF(Skills!H3&gt;0,MIN(Skills!I3,MAX(0,MAX(0,Inputs!$B$43-B114)-((R79-1)*IF(Inputs!$B$38="pvp",15,MAX(0.1,Skills!E3-IF(Skills!F3=TRUE,Inputs!$B$32,0))))))/Skills!H3,1)))/Inputs!$B$43),G79*Q79))*IF(Inputs!$B$38="pvp",1,(1+(Inputs!$B$21+Skills!Q3)/100)*(MIN(Skills!R3,Inputs!$B$37))),0)</f>
        <v/>
      </c>
      <c r="Z79">
        <f>INDEX(FactorTable!$B$2:$Y$301, MATCH(ROUND(MIN(300,MAX(1,Z78)),0), FactorTable!$A$2:$A$301,0), 24)</f>
        <v/>
      </c>
    </row>
    <row r="80">
      <c r="A80">
        <f>Skills!A4</f>
        <v/>
      </c>
      <c r="B80">
        <f>Skills!B4</f>
        <v/>
      </c>
      <c r="C80">
        <f>TRUE</f>
        <v/>
      </c>
      <c r="D80">
        <f>IF(Skills!C4=1,60+Inputs!$B$25+Inputs!$B$29,IF(Skills!C4=2,90+Inputs!$B$26+Inputs!$B$29,IF(Skills!C4=3,120+Inputs!$B$27+Inputs!$B$29,MAX(0,(Inputs!$B$3-100)*3)+Inputs!$B$28+Inputs!$B$29)))</f>
        <v/>
      </c>
      <c r="E80">
        <f>INDEX(FactorTable!$B$2:$Y$301, MATCH(ROUND(MIN(300,MAX(1,D80)),0), FactorTable!$A$2:$A$301,0), Skills!M4+1)</f>
        <v/>
      </c>
      <c r="F80">
        <f>IF(Skills!N4=TRUE,(Skills!L4/10)*(E80/1000),Skills!L4/10)+Skills!O4</f>
        <v/>
      </c>
      <c r="G80">
        <f>Calc!G4</f>
        <v/>
      </c>
      <c r="H80">
        <f>Calc!H4</f>
        <v/>
      </c>
      <c r="I80">
        <f>IF(Skills!X4&lt;&gt;"",1+(Skills!X4/10)*(Z79/1000)/100,1)</f>
        <v/>
      </c>
      <c r="J80">
        <f>((Inputs!$B$6*(1+Inputs!$B$7/100))+(((Inputs!$B$12*(1+(Inputs!$B$13+1)/100))-(Inputs!$B$12*(1+Inputs!$B$13/100)))+0.25*(Inputs!$B$14-Inputs!$B$14))*(1+Inputs!$B$7/100))*(F80/100)</f>
        <v/>
      </c>
      <c r="K80">
        <f>J80*(1+((Inputs!$B$12*(1+(Inputs!$B$13+1)/100))*0.01+Inputs!$B$14*0.0025)/100)*(1+Inputs!$B$15/100)*(1+Inputs!$B$16/100)*(5000/(6000+Inputs!$B$42*(1-Inputs!$B$19/100)))*(1+Inputs!$B$24/100)*(1+F99/100)*(1+IF(Inputs!$B$3&gt;=120,F102,0)/100)^5*(1+(IF(Skills!A4="BASIC_ATTACK",Inputs!$B$17,Inputs!$B$18+IF(Inputs!$B$3&gt;=125,F103*5,0)))/100)*(B106*B107*B108*I80)</f>
        <v/>
      </c>
      <c r="L80">
        <f>K80*(MIN(Inputs!$B$22+(F98-Calc!F22),Inputs!$B$23)/100+Inputs!$B$23/100)/2</f>
        <v/>
      </c>
      <c r="M80">
        <f>L80*(1+(Inputs!$B$10+(F97-Calc!F21))/100)</f>
        <v/>
      </c>
      <c r="N80">
        <f>L80*(1-MIN(Inputs!$B$9+(F96-Calc!F20),100)/100)+M80*(MIN(Inputs!$B$9+(F96-Calc!F20),100)/100)</f>
        <v/>
      </c>
      <c r="O80">
        <f>(1-Summary!$B$56)*S80+Summary!$B$56*U80</f>
        <v/>
      </c>
      <c r="P80">
        <f>IF(B117=0,0,O80/B117)</f>
        <v/>
      </c>
      <c r="Q80">
        <f>IFERROR(1/IF(Inputs!$B$38="pvp",15,MAX(0.1,Skills!E4-IF(Skills!F4=TRUE,Inputs!$B$32,0))),0)</f>
        <v/>
      </c>
      <c r="R80">
        <f>IF(AND(Inputs!$B$38&lt;&gt;"pvp",Inputs!$B$43&gt;0),IF(MAX(0,Inputs!$B$43-B114)&lt;=0,0,(INT(MAX(0,Inputs!$B$43-B114)/IF(Inputs!$B$38="pvp",15,MAX(0.1,Skills!E4-IF(Skills!F4=TRUE,Inputs!$B$32,0))))+1)),0)</f>
        <v/>
      </c>
      <c r="S80">
        <f>IF(C80,(H80*N80*IF(AND(Inputs!$B$38&lt;&gt;"pvp",Inputs!$B$43&gt;0),((Skills!G4*((R80-1)*IF(Skills!H4&gt;0,Skills!I4/Skills!H4,1)+IF(Skills!H4&gt;0,MIN(Skills!I4,MAX(0,MAX(0,Inputs!$B$43-B114)-((R80-1)*IF(Inputs!$B$38="pvp",15,MAX(0.1,Skills!E4-IF(Skills!F4=TRUE,Inputs!$B$32,0))))))/Skills!H4,1)))/Inputs!$B$43),G80*Q80))*IF(Inputs!$B$38="pvp",1,1+(Inputs!$B$20+Skills!P4)/100),0)</f>
        <v/>
      </c>
      <c r="T80">
        <f>290*T79/1000</f>
        <v/>
      </c>
      <c r="U80">
        <f>IF(C80,(H80*N80*IF(AND(Inputs!$B$38&lt;&gt;"pvp",Inputs!$B$43&gt;0),((Skills!G4*((R80-1)*IF(Skills!H4&gt;0,Skills!I4/Skills!H4,1)+IF(Skills!H4&gt;0,MIN(Skills!I4,MAX(0,MAX(0,Inputs!$B$43-B114)-((R80-1)*IF(Inputs!$B$38="pvp",15,MAX(0.1,Skills!E4-IF(Skills!F4=TRUE,Inputs!$B$32,0))))))/Skills!H4,1)))/Inputs!$B$43),G80*Q80))*IF(Inputs!$B$38="pvp",1,(1+(Inputs!$B$21+Skills!Q4)/100)*(MIN(Skills!R4,Inputs!$B$37))),0)</f>
        <v/>
      </c>
    </row>
    <row r="81">
      <c r="A81">
        <f>Skills!A5</f>
        <v/>
      </c>
      <c r="B81">
        <f>Skills!B5</f>
        <v/>
      </c>
      <c r="C81">
        <f>TRUE</f>
        <v/>
      </c>
      <c r="D81">
        <f>IF(Skills!C5=1,60+Inputs!$B$25+Inputs!$B$29,IF(Skills!C5=2,90+Inputs!$B$26+Inputs!$B$29,IF(Skills!C5=3,120+Inputs!$B$27+Inputs!$B$29,MAX(0,(Inputs!$B$3-100)*3)+Inputs!$B$28+Inputs!$B$29)))</f>
        <v/>
      </c>
      <c r="E81">
        <f>INDEX(FactorTable!$B$2:$Y$301, MATCH(ROUND(MIN(300,MAX(1,D81)),0), FactorTable!$A$2:$A$301,0), Skills!M5+1)</f>
        <v/>
      </c>
      <c r="F81">
        <f>IF(Skills!N5=TRUE,(Skills!L5/10)*(E81/1000),Skills!L5/10)+Skills!O5</f>
        <v/>
      </c>
      <c r="G81">
        <f>Calc!G5</f>
        <v/>
      </c>
      <c r="H81">
        <f>Calc!H5</f>
        <v/>
      </c>
      <c r="I81">
        <f>IF(Skills!X5&lt;&gt;"",1+(Skills!X5/10)*(Z79/1000)/100,1)</f>
        <v/>
      </c>
      <c r="J81">
        <f>((Inputs!$B$6*(1+Inputs!$B$7/100))+(((Inputs!$B$12*(1+(Inputs!$B$13+1)/100))-(Inputs!$B$12*(1+Inputs!$B$13/100)))+0.25*(Inputs!$B$14-Inputs!$B$14))*(1+Inputs!$B$7/100))*(F81/100)</f>
        <v/>
      </c>
      <c r="K81">
        <f>J81*(1+((Inputs!$B$12*(1+(Inputs!$B$13+1)/100))*0.01+Inputs!$B$14*0.0025)/100)*(1+Inputs!$B$15/100)*(1+Inputs!$B$16/100)*(5000/(6000+Inputs!$B$42*(1-Inputs!$B$19/100)))*(1+Inputs!$B$24/100)*(1+F99/100)*(1+IF(Inputs!$B$3&gt;=120,F102,0)/100)^5*(1+(IF(Skills!A5="BASIC_ATTACK",Inputs!$B$17,Inputs!$B$18+IF(Inputs!$B$3&gt;=125,F103*5,0)))/100)*(B106*B107*B108*I81)</f>
        <v/>
      </c>
      <c r="L81">
        <f>K81*(MIN(Inputs!$B$22+(F98-Calc!F22),Inputs!$B$23)/100+Inputs!$B$23/100)/2</f>
        <v/>
      </c>
      <c r="M81">
        <f>L81*(1+(Inputs!$B$10+(F97-Calc!F21))/100)</f>
        <v/>
      </c>
      <c r="N81">
        <f>L81*(1-MIN(Inputs!$B$9+(F96-Calc!F20),100)/100)+M81*(MIN(Inputs!$B$9+(F96-Calc!F20),100)/100)</f>
        <v/>
      </c>
      <c r="O81">
        <f>(1-Summary!$B$56)*S81+Summary!$B$56*U81</f>
        <v/>
      </c>
      <c r="P81">
        <f>IF(B117=0,0,O81/B117)</f>
        <v/>
      </c>
      <c r="Q81">
        <f>IFERROR(1/IF(Inputs!$B$38="pvp",15,MAX(0.1,Skills!E5-IF(Skills!F5=TRUE,Inputs!$B$32,0))),0)</f>
        <v/>
      </c>
      <c r="R81">
        <f>IF(AND(Inputs!$B$38&lt;&gt;"pvp",Inputs!$B$43&gt;0),IF(MAX(0,Inputs!$B$43-B114)&lt;=0,0,(INT(MAX(0,Inputs!$B$43-B114)/IF(Inputs!$B$38="pvp",15,MAX(0.1,Skills!E5-IF(Skills!F5=TRUE,Inputs!$B$32,0))))+1)),0)</f>
        <v/>
      </c>
      <c r="S81">
        <f>IF(C81,(H81*N81*IF(AND(Inputs!$B$38&lt;&gt;"pvp",Inputs!$B$43&gt;0),((Skills!G5*((R81-1)*IF(Skills!H5&gt;0,Skills!I5/Skills!H5,1)+IF(Skills!H5&gt;0,MIN(Skills!I5,MAX(0,MAX(0,Inputs!$B$43-B114)-((R81-1)*IF(Inputs!$B$38="pvp",15,MAX(0.1,Skills!E5-IF(Skills!F5=TRUE,Inputs!$B$32,0))))))/Skills!H5,1)))/Inputs!$B$43),G81*Q81))*IF(Inputs!$B$38="pvp",1,1+(Inputs!$B$20+Skills!P5)/100),0)</f>
        <v/>
      </c>
      <c r="U81">
        <f>IF(C81,(H81*N81*IF(AND(Inputs!$B$38&lt;&gt;"pvp",Inputs!$B$43&gt;0),((Skills!G5*((R81-1)*IF(Skills!H5&gt;0,Skills!I5/Skills!H5,1)+IF(Skills!H5&gt;0,MIN(Skills!I5,MAX(0,MAX(0,Inputs!$B$43-B114)-((R81-1)*IF(Inputs!$B$38="pvp",15,MAX(0.1,Skills!E5-IF(Skills!F5=TRUE,Inputs!$B$32,0))))))/Skills!H5,1)))/Inputs!$B$43),G81*Q81))*IF(Inputs!$B$38="pvp",1,(1+(Inputs!$B$21+Skills!Q5)/100)*(MIN(Skills!R5,Inputs!$B$37))),0)</f>
        <v/>
      </c>
    </row>
    <row r="82">
      <c r="A82">
        <f>Skills!A6</f>
        <v/>
      </c>
      <c r="B82">
        <f>Skills!B6</f>
        <v/>
      </c>
      <c r="C82">
        <f>TRUE</f>
        <v/>
      </c>
      <c r="D82">
        <f>IF(Skills!C6=1,60+Inputs!$B$25+Inputs!$B$29,IF(Skills!C6=2,90+Inputs!$B$26+Inputs!$B$29,IF(Skills!C6=3,120+Inputs!$B$27+Inputs!$B$29,MAX(0,(Inputs!$B$3-100)*3)+Inputs!$B$28+Inputs!$B$29)))</f>
        <v/>
      </c>
      <c r="E82">
        <f>INDEX(FactorTable!$B$2:$Y$301, MATCH(ROUND(MIN(300,MAX(1,D82)),0), FactorTable!$A$2:$A$301,0), Skills!M6+1)</f>
        <v/>
      </c>
      <c r="F82">
        <f>IF(Skills!N6=TRUE,(Skills!L6/10)*(E82/1000),Skills!L6/10)+Skills!O6</f>
        <v/>
      </c>
      <c r="G82">
        <f>Calc!G6</f>
        <v/>
      </c>
      <c r="H82">
        <f>Calc!H6</f>
        <v/>
      </c>
      <c r="I82">
        <f>IF(Skills!X6&lt;&gt;"",1+(Skills!X6/10)*(Z79/1000)/100,1)</f>
        <v/>
      </c>
      <c r="J82" t="inlineStr"/>
      <c r="K82" t="inlineStr"/>
      <c r="L82" t="inlineStr"/>
      <c r="M82" t="inlineStr"/>
      <c r="N82" t="inlineStr"/>
      <c r="O82">
        <f>(1-Summary!$B$56)*S82+Summary!$B$56*U82</f>
        <v/>
      </c>
      <c r="P82">
        <f>IF(B117=0,0,O82/B117)</f>
        <v/>
      </c>
      <c r="Q82">
        <f>IFERROR(1/IF(Inputs!$B$38="pvp",15,MAX(0.1,Skills!E6-IF(Skills!F6=TRUE,Inputs!$B$32,0))),0)</f>
        <v/>
      </c>
      <c r="R82">
        <f>IF(AND(Inputs!$B$38&lt;&gt;"pvp",Inputs!$B$43&gt;0),IF(Inputs!$B$43&lt;=0,0,(INT(Inputs!$B$43/IF(Inputs!$B$38="pvp",15,MAX(0.1,Skills!E6-IF(Skills!F6=TRUE,Inputs!$B$32,0))))+1)),0)</f>
        <v/>
      </c>
      <c r="S82" t="n">
        <v>0</v>
      </c>
      <c r="U82" t="n">
        <v>0</v>
      </c>
    </row>
    <row r="83">
      <c r="A83">
        <f>Skills!A7</f>
        <v/>
      </c>
      <c r="B83">
        <f>Skills!B7</f>
        <v/>
      </c>
      <c r="C83">
        <f>TRUE</f>
        <v/>
      </c>
      <c r="D83">
        <f>IF(Skills!C7=1,60+Inputs!$B$25+Inputs!$B$29,IF(Skills!C7=2,90+Inputs!$B$26+Inputs!$B$29,IF(Skills!C7=3,120+Inputs!$B$27+Inputs!$B$29,MAX(0,(Inputs!$B$3-100)*3)+Inputs!$B$28+Inputs!$B$29)))</f>
        <v/>
      </c>
      <c r="E83">
        <f>INDEX(FactorTable!$B$2:$Y$301, MATCH(ROUND(MIN(300,MAX(1,D83)),0), FactorTable!$A$2:$A$301,0), Skills!M7+1)</f>
        <v/>
      </c>
      <c r="F83">
        <f>IF(Skills!N7=TRUE,(Skills!L7/10)*(E83/1000),Skills!L7/10)+Skills!O7</f>
        <v/>
      </c>
      <c r="G83">
        <f>Calc!G7</f>
        <v/>
      </c>
      <c r="H83">
        <f>Calc!H7</f>
        <v/>
      </c>
      <c r="I83">
        <f>IF(Skills!X7&lt;&gt;"",1+(Skills!X7/10)*(Z79/1000)/100,1)</f>
        <v/>
      </c>
      <c r="J83">
        <f>((Inputs!$B$6*(1+Inputs!$B$7/100))+(((Inputs!$B$12*(1+(Inputs!$B$13+1)/100))-(Inputs!$B$12*(1+Inputs!$B$13/100)))+0.25*(Inputs!$B$14-Inputs!$B$14))*(1+Inputs!$B$7/100))*(F83/100)</f>
        <v/>
      </c>
      <c r="K83">
        <f>J83*(1+((Inputs!$B$12*(1+(Inputs!$B$13+1)/100))*0.01+Inputs!$B$14*0.0025)/100)*(1+Inputs!$B$15/100)*(1+Inputs!$B$16/100)*(5000/(6000+Inputs!$B$42*(1-Inputs!$B$19/100)))*(1+Inputs!$B$24/100)*(1+F99/100)*(1+IF(Inputs!$B$3&gt;=120,F102,0)/100)^5*(1+(IF(Skills!A7="BASIC_ATTACK",Inputs!$B$17,Inputs!$B$18+IF(Inputs!$B$3&gt;=125,F103*5,0)))/100)*(B106*B107*B108*I83)</f>
        <v/>
      </c>
      <c r="L83">
        <f>K83*(MIN(Inputs!$B$22+(F98-Calc!F22),Inputs!$B$23)/100+Inputs!$B$23/100)/2</f>
        <v/>
      </c>
      <c r="M83">
        <f>L83*(1+(Inputs!$B$10+(F97-Calc!F21))/100)</f>
        <v/>
      </c>
      <c r="N83">
        <f>L83*(1-MIN(Inputs!$B$9+(F96-Calc!F20),100)/100)+M83*(MIN(Inputs!$B$9+(F96-Calc!F20),100)/100)</f>
        <v/>
      </c>
      <c r="O83">
        <f>(1-Summary!$B$56)*S83+Summary!$B$56*U83</f>
        <v/>
      </c>
      <c r="P83">
        <f>IF(B117=0,0,O83/B117)</f>
        <v/>
      </c>
      <c r="Q83">
        <f>IFERROR(1/IF(Inputs!$B$38="pvp",15,MAX(0.1,Skills!E7-IF(Skills!F7=TRUE,Inputs!$B$32,0))),0)</f>
        <v/>
      </c>
      <c r="R83">
        <f>IF(AND(Inputs!$B$38&lt;&gt;"pvp",Inputs!$B$43&gt;0),IF(MAX(0,Inputs!$B$43-B114)&lt;=0,0,(INT(MAX(0,Inputs!$B$43-B114)/IF(Inputs!$B$38="pvp",15,MAX(0.1,Skills!E7-IF(Skills!F7=TRUE,Inputs!$B$32,0))))+1)),0)</f>
        <v/>
      </c>
      <c r="S83">
        <f>IF(C83,(H83*N83*IF(AND(Inputs!$B$38&lt;&gt;"pvp",Inputs!$B$43&gt;0),((Skills!G7*((R83-1)*IF(Skills!H7&gt;0,Skills!I7/Skills!H7,1)+IF(Skills!H7&gt;0,MIN(Skills!I7,MAX(0,MAX(0,Inputs!$B$43-B114)-((R83-1)*IF(Inputs!$B$38="pvp",15,MAX(0.1,Skills!E7-IF(Skills!F7=TRUE,Inputs!$B$32,0))))))/Skills!H7,1)))/Inputs!$B$43),G83*Q83))*IF(Inputs!$B$38="pvp",1,1+(Inputs!$B$20+Skills!P7)/100),0)</f>
        <v/>
      </c>
      <c r="U83">
        <f>IF(C83,(H83*N83*IF(AND(Inputs!$B$38&lt;&gt;"pvp",Inputs!$B$43&gt;0),((Skills!G7*((R83-1)*IF(Skills!H7&gt;0,Skills!I7/Skills!H7,1)+IF(Skills!H7&gt;0,MIN(Skills!I7,MAX(0,MAX(0,Inputs!$B$43-B114)-((R83-1)*IF(Inputs!$B$38="pvp",15,MAX(0.1,Skills!E7-IF(Skills!F7=TRUE,Inputs!$B$32,0))))))/Skills!H7,1)))/Inputs!$B$43),G83*Q83))*IF(Inputs!$B$38="pvp",1,(1+(Inputs!$B$21+Skills!Q7)/100)*(MIN(Skills!R7,Inputs!$B$37))),0)</f>
        <v/>
      </c>
    </row>
    <row r="84">
      <c r="A84">
        <f>Skills!A8</f>
        <v/>
      </c>
      <c r="B84">
        <f>Skills!B8</f>
        <v/>
      </c>
      <c r="C84">
        <f>TRUE</f>
        <v/>
      </c>
      <c r="D84">
        <f>IF(Skills!C8=1,60+Inputs!$B$25+Inputs!$B$29,IF(Skills!C8=2,90+Inputs!$B$26+Inputs!$B$29,IF(Skills!C8=3,120+Inputs!$B$27+Inputs!$B$29,MAX(0,(Inputs!$B$3-100)*3)+Inputs!$B$28+Inputs!$B$29)))</f>
        <v/>
      </c>
      <c r="E84">
        <f>INDEX(FactorTable!$B$2:$Y$301, MATCH(ROUND(MIN(300,MAX(1,D84)),0), FactorTable!$A$2:$A$301,0), Skills!M8+1)</f>
        <v/>
      </c>
      <c r="F84">
        <f>IF(Skills!N8=TRUE,(Skills!L8/10)*(E84/1000),Skills!L8/10)+Skills!O8</f>
        <v/>
      </c>
      <c r="G84">
        <f>Calc!G8</f>
        <v/>
      </c>
      <c r="H84">
        <f>Calc!H8</f>
        <v/>
      </c>
      <c r="I84">
        <f>IF(Skills!X8&lt;&gt;"",1+(Skills!X8/10)*(Z79/1000)/100,1)</f>
        <v/>
      </c>
      <c r="J84">
        <f>((Inputs!$B$6*(1+Inputs!$B$7/100))+(((Inputs!$B$12*(1+(Inputs!$B$13+1)/100))-(Inputs!$B$12*(1+Inputs!$B$13/100)))+0.25*(Inputs!$B$14-Inputs!$B$14))*(1+Inputs!$B$7/100))*(F84/100)</f>
        <v/>
      </c>
      <c r="K84">
        <f>J84*(1+((Inputs!$B$12*(1+(Inputs!$B$13+1)/100))*0.01+Inputs!$B$14*0.0025)/100)*(1+Inputs!$B$15/100)*(1+Inputs!$B$16/100)*(5000/(6000+Inputs!$B$42*(1-Inputs!$B$19/100)))*(1+Inputs!$B$24/100)*(1+F99/100)*(1+IF(Inputs!$B$3&gt;=120,F102,0)/100)^5*(1+(IF(Skills!A8="BASIC_ATTACK",Inputs!$B$17,Inputs!$B$18+IF(Inputs!$B$3&gt;=125,F103*5,0)))/100)*(B106*B107*B108*I84)</f>
        <v/>
      </c>
      <c r="L84">
        <f>K84*(MIN(Inputs!$B$22+(F98-Calc!F22),Inputs!$B$23)/100+Inputs!$B$23/100)/2</f>
        <v/>
      </c>
      <c r="M84">
        <f>L84*(1+(Inputs!$B$10+(F97-Calc!F21))/100)</f>
        <v/>
      </c>
      <c r="N84">
        <f>L84*(1-MIN(Inputs!$B$9+(F96-Calc!F20),100)/100)+M84*(MIN(Inputs!$B$9+(F96-Calc!F20),100)/100)</f>
        <v/>
      </c>
      <c r="O84">
        <f>(1-Summary!$B$56)*S84+Summary!$B$56*U84</f>
        <v/>
      </c>
      <c r="P84">
        <f>IF(B117=0,0,O84/B117)</f>
        <v/>
      </c>
      <c r="Q84">
        <f>IFERROR(1/IF(Inputs!$B$38="pvp",15,MAX(0.1,Skills!E8-IF(Skills!F8=TRUE,Inputs!$B$32,0))),0)</f>
        <v/>
      </c>
      <c r="R84">
        <f>IF(AND(Inputs!$B$38&lt;&gt;"pvp",Inputs!$B$43&gt;0),IF(MAX(0,Inputs!$B$43-B114)&lt;=0,0,(INT(MAX(0,Inputs!$B$43-B114)/IF(Inputs!$B$38="pvp",15,MAX(0.1,Skills!E8-IF(Skills!F8=TRUE,Inputs!$B$32,0))))+1)),0)</f>
        <v/>
      </c>
      <c r="S84">
        <f>IF(C84,(H84*N84*IF(AND(Inputs!$B$38&lt;&gt;"pvp",Inputs!$B$43&gt;0),((Skills!G8*((R84-1)*IF(Skills!H8&gt;0,Skills!I8/Skills!H8,1)+IF(Skills!H8&gt;0,MIN(Skills!I8,MAX(0,MAX(0,Inputs!$B$43-B114)-((R84-1)*IF(Inputs!$B$38="pvp",15,MAX(0.1,Skills!E8-IF(Skills!F8=TRUE,Inputs!$B$32,0))))))/Skills!H8,1)))/Inputs!$B$43),G84*Q84))*IF(Inputs!$B$38="pvp",1,1+(Inputs!$B$20+Skills!P8)/100),0)</f>
        <v/>
      </c>
      <c r="U84">
        <f>IF(C84,(H84*N84*IF(AND(Inputs!$B$38&lt;&gt;"pvp",Inputs!$B$43&gt;0),((Skills!G8*((R84-1)*IF(Skills!H8&gt;0,Skills!I8/Skills!H8,1)+IF(Skills!H8&gt;0,MIN(Skills!I8,MAX(0,MAX(0,Inputs!$B$43-B114)-((R84-1)*IF(Inputs!$B$38="pvp",15,MAX(0.1,Skills!E8-IF(Skills!F8=TRUE,Inputs!$B$32,0))))))/Skills!H8,1)))/Inputs!$B$43),G84*Q84))*IF(Inputs!$B$38="pvp",1,(1+(Inputs!$B$21+Skills!Q8)/100)*(MIN(Skills!R8,Inputs!$B$37))),0)</f>
        <v/>
      </c>
    </row>
    <row r="85">
      <c r="A85">
        <f>Skills!A9</f>
        <v/>
      </c>
      <c r="B85">
        <f>Skills!B9</f>
        <v/>
      </c>
      <c r="C85">
        <f>Inputs!$B$3&gt;=103</f>
        <v/>
      </c>
      <c r="D85">
        <f>IF(Skills!C9=1,60+Inputs!$B$25+Inputs!$B$29,IF(Skills!C9=2,90+Inputs!$B$26+Inputs!$B$29,IF(Skills!C9=3,120+Inputs!$B$27+Inputs!$B$29,MAX(0,(Inputs!$B$3-100)*3)+Inputs!$B$28+Inputs!$B$29)))</f>
        <v/>
      </c>
      <c r="E85">
        <f>INDEX(FactorTable!$B$2:$Y$301, MATCH(ROUND(MIN(300,MAX(1,D85)),0), FactorTable!$A$2:$A$301,0), Skills!M9+1)</f>
        <v/>
      </c>
      <c r="F85">
        <f>IF(Skills!N9=TRUE,(Skills!L9/10)*(E85/1000),Skills!L9/10)+Skills!O9</f>
        <v/>
      </c>
      <c r="G85">
        <f>Calc!G9</f>
        <v/>
      </c>
      <c r="H85">
        <f>Calc!H9</f>
        <v/>
      </c>
      <c r="I85">
        <f>IF(Skills!X9&lt;&gt;"",1+(Skills!X9/10)*(Z79/1000)/100,1)</f>
        <v/>
      </c>
      <c r="J85">
        <f>((Inputs!$B$6*(1+Inputs!$B$7/100))+(((Inputs!$B$12*(1+(Inputs!$B$13+1)/100))-(Inputs!$B$12*(1+Inputs!$B$13/100)))+0.25*(Inputs!$B$14-Inputs!$B$14))*(1+Inputs!$B$7/100))*(F85/100)</f>
        <v/>
      </c>
      <c r="K85">
        <f>J85*(1+((Inputs!$B$12*(1+(Inputs!$B$13+1)/100))*0.01+Inputs!$B$14*0.0025)/100)*(1+Inputs!$B$15/100)*(1+Inputs!$B$16/100)*(5000/(6000+Inputs!$B$42*(1-Inputs!$B$19/100)))*(1+Inputs!$B$24/100)*(1+F99/100)*(1+IF(Inputs!$B$3&gt;=120,F102,0)/100)^5*(1+(IF(Skills!A9="BASIC_ATTACK",Inputs!$B$17,Inputs!$B$18+IF(Inputs!$B$3&gt;=125,F103*5,0)))/100)*(B106*B107*B108*I85)</f>
        <v/>
      </c>
      <c r="L85">
        <f>K85*(MIN(Inputs!$B$22+(F98-Calc!F22),Inputs!$B$23)/100+Inputs!$B$23/100)/2</f>
        <v/>
      </c>
      <c r="M85">
        <f>L85*(1+(Inputs!$B$10+(F97-Calc!F21))/100)</f>
        <v/>
      </c>
      <c r="N85">
        <f>L85*(1-MIN(Inputs!$B$9+(F96-Calc!F20),100)/100)+M85*(MIN(Inputs!$B$9+(F96-Calc!F20),100)/100)</f>
        <v/>
      </c>
      <c r="O85">
        <f>(1-Summary!$B$56)*S85+Summary!$B$56*U85</f>
        <v/>
      </c>
      <c r="P85">
        <f>IF(B117=0,0,O85/B117)</f>
        <v/>
      </c>
      <c r="Q85">
        <f>IFERROR(1/IF(Inputs!$B$38="pvp",15,MAX(0.1,Skills!E9-IF(Skills!F7=TRUE,Inputs!$B$32,0))),0)</f>
        <v/>
      </c>
      <c r="R85">
        <f>IF(AND(Inputs!$B$38&lt;&gt;"pvp",Inputs!$B$43&gt;0),IF(MAX(0,Inputs!$B$43-B114)&lt;=0,0,(INT(MAX(0,Inputs!$B$43-B114)/IF(Inputs!$B$38="pvp",15,MAX(0.1,Skills!E9-IF(Skills!F7=TRUE,Inputs!$B$32,0))))+1)),0)</f>
        <v/>
      </c>
      <c r="S85">
        <f>IF(C85,(H85*N85*IF(AND(Inputs!$B$38&lt;&gt;"pvp",Inputs!$B$43&gt;0),((Skills!G9*((R85-1)*IF(Skills!H9&gt;0,Skills!I9/Skills!H9,1)+IF(Skills!H9&gt;0,MIN(Skills!I9,MAX(0,MAX(0,Inputs!$B$43-B114)-((R85-1)*IF(Inputs!$B$38="pvp",15,MAX(0.1,Skills!E9-IF(Skills!F7=TRUE,Inputs!$B$32,0))))))/Skills!H9,1)))/Inputs!$B$43),G85*Q85))*IF(Inputs!$B$38="pvp",1,1+(Inputs!$B$20+Skills!P9)/100),0)</f>
        <v/>
      </c>
      <c r="U85">
        <f>IF(C85,(H85*N85*IF(AND(Inputs!$B$38&lt;&gt;"pvp",Inputs!$B$43&gt;0),((Skills!G9*((R85-1)*IF(Skills!H9&gt;0,Skills!I9/Skills!H9,1)+IF(Skills!H9&gt;0,MIN(Skills!I9,MAX(0,MAX(0,Inputs!$B$43-B114)-((R85-1)*IF(Inputs!$B$38="pvp",15,MAX(0.1,Skills!E9-IF(Skills!F7=TRUE,Inputs!$B$32,0))))))/Skills!H9,1)))/Inputs!$B$43),G85*Q85))*IF(Inputs!$B$38="pvp",1,(1+(Inputs!$B$21+Skills!Q9)/100)*(MIN(Skills!R9,Inputs!$B$37))),0)</f>
        <v/>
      </c>
    </row>
    <row r="86">
      <c r="A86">
        <f>Skills!A10</f>
        <v/>
      </c>
      <c r="B86">
        <f>Skills!B10</f>
        <v/>
      </c>
      <c r="C86">
        <f>TRUE</f>
        <v/>
      </c>
      <c r="D86">
        <f>IF(Skills!C10=1,60+Inputs!$B$25+Inputs!$B$29,IF(Skills!C10=2,90+Inputs!$B$26+Inputs!$B$29,IF(Skills!C10=3,120+Inputs!$B$27+Inputs!$B$29,MAX(0,(Inputs!$B$3-100)*3)+Inputs!$B$28+Inputs!$B$29)))</f>
        <v/>
      </c>
      <c r="E86">
        <f>INDEX(FactorTable!$B$2:$Y$301, MATCH(ROUND(MIN(300,MAX(1,D86)),0), FactorTable!$A$2:$A$301,0), Skills!M10+1)</f>
        <v/>
      </c>
      <c r="F86">
        <f>IF(Skills!N10=TRUE,(Skills!L10/10)*(E86/1000),Skills!L10/10)+Skills!O10</f>
        <v/>
      </c>
      <c r="G86">
        <f>Calc!G10</f>
        <v/>
      </c>
      <c r="H86">
        <f>Calc!H10</f>
        <v/>
      </c>
      <c r="I86">
        <f>IF(Skills!X10&lt;&gt;"",1+(Skills!X10/10)*(Z79/1000)/100,1)</f>
        <v/>
      </c>
      <c r="J86">
        <f>((Inputs!$B$6*(1+Inputs!$B$7/100))+(((Inputs!$B$12*(1+(Inputs!$B$13+1)/100))-(Inputs!$B$12*(1+Inputs!$B$13/100)))+0.25*(Inputs!$B$14-Inputs!$B$14))*(1+Inputs!$B$7/100))*(F86/100)</f>
        <v/>
      </c>
      <c r="K86">
        <f>J86*(1+((Inputs!$B$12*(1+(Inputs!$B$13+1)/100))*0.01+Inputs!$B$14*0.0025)/100)*(1+Inputs!$B$15/100)*(1+Inputs!$B$16/100)*(5000/(6000+Inputs!$B$42*(1-Inputs!$B$19/100)))*(1+Inputs!$B$24/100)*(1+F99/100)*(1+IF(Inputs!$B$3&gt;=120,F102,0)/100)^5*(1+(IF(Skills!A10="BASIC_ATTACK",Inputs!$B$17,Inputs!$B$18+IF(Inputs!$B$3&gt;=125,F103*5,0)))/100)*(B106*B107*B108*I86)</f>
        <v/>
      </c>
      <c r="L86">
        <f>K86*(MIN(Inputs!$B$22+(F98-Calc!F22),Inputs!$B$23)/100+Inputs!$B$23/100)/2</f>
        <v/>
      </c>
      <c r="M86">
        <f>L86*(1+(Inputs!$B$10+(F97-Calc!F21))/100)</f>
        <v/>
      </c>
      <c r="N86">
        <f>L86*(1-MIN(Inputs!$B$9+(F96-Calc!F20),100)/100)+M86*(MIN(Inputs!$B$9+(F96-Calc!F20),100)/100)</f>
        <v/>
      </c>
      <c r="O86">
        <f>(1-Summary!$B$56)*S86+Summary!$B$56*U86</f>
        <v/>
      </c>
      <c r="P86">
        <f>IF(B117=0,0,O86/B117)</f>
        <v/>
      </c>
      <c r="Q86">
        <f>IFERROR(1/IF(Inputs!$B$38="pvp",15,MAX(0.1,Skills!E10-IF(Skills!F10=TRUE,Inputs!$B$32,0))),0)</f>
        <v/>
      </c>
      <c r="R86">
        <f>IF(AND(Inputs!$B$38&lt;&gt;"pvp",Inputs!$B$43&gt;0),IF(MAX(0,Inputs!$B$43-B114)&lt;=0,0,(INT(MAX(0,Inputs!$B$43-B114)/IF(Inputs!$B$38="pvp",15,MAX(0.1,Skills!E10-IF(Skills!F10=TRUE,Inputs!$B$32,0))))+1)),0)</f>
        <v/>
      </c>
      <c r="S86">
        <f>IF(C86,(H86*N86*IF(AND(Inputs!$B$38&lt;&gt;"pvp",Inputs!$B$43&gt;0),((Skills!G10*((R86-1)*IF(Skills!H10&gt;0,Skills!I10/Skills!H10,1)+IF(Skills!H10&gt;0,MIN(Skills!I10,MAX(0,MAX(0,Inputs!$B$43-B114)-((R86-1)*IF(Inputs!$B$38="pvp",15,MAX(0.1,Skills!E10-IF(Skills!F10=TRUE,Inputs!$B$32,0))))))/Skills!H10,1)))/Inputs!$B$43),G86*Q86))*IF(Inputs!$B$38="pvp",1,1+(Inputs!$B$20+Skills!P10)/100),0)</f>
        <v/>
      </c>
      <c r="U86">
        <f>IF(C86,(H86*N86*IF(AND(Inputs!$B$38&lt;&gt;"pvp",Inputs!$B$43&gt;0),((Skills!G10*((R86-1)*IF(Skills!H10&gt;0,Skills!I10/Skills!H10,1)+IF(Skills!H10&gt;0,MIN(Skills!I10,MAX(0,MAX(0,Inputs!$B$43-B114)-((R86-1)*IF(Inputs!$B$38="pvp",15,MAX(0.1,Skills!E10-IF(Skills!F10=TRUE,Inputs!$B$32,0))))))/Skills!H10,1)))/Inputs!$B$43),G86*Q86))*IF(Inputs!$B$38="pvp",1,(1+(Inputs!$B$21+Skills!Q10)/100)*(MIN(Skills!R10,Inputs!$B$37))),0)</f>
        <v/>
      </c>
    </row>
    <row r="87">
      <c r="A87">
        <f>Skills!A11</f>
        <v/>
      </c>
      <c r="B87">
        <f>Skills!B11</f>
        <v/>
      </c>
      <c r="C87">
        <f>TRUE</f>
        <v/>
      </c>
      <c r="D87">
        <f>IF(Skills!C11=1,60+Inputs!$B$25+Inputs!$B$29,IF(Skills!C11=2,90+Inputs!$B$26+Inputs!$B$29,IF(Skills!C11=3,120+Inputs!$B$27+Inputs!$B$29,MAX(0,(Inputs!$B$3-100)*3)+Inputs!$B$28+Inputs!$B$29)))</f>
        <v/>
      </c>
      <c r="E87">
        <f>INDEX(FactorTable!$B$2:$Y$301, MATCH(ROUND(MIN(300,MAX(1,D87)),0), FactorTable!$A$2:$A$301,0), Skills!M11+1)</f>
        <v/>
      </c>
      <c r="F87">
        <f>IF(Skills!N11=TRUE,(Skills!L11/10)*(E87/1000),Skills!L11/10)+Skills!O11</f>
        <v/>
      </c>
      <c r="G87">
        <f>Calc!G11</f>
        <v/>
      </c>
      <c r="H87">
        <f>Calc!H11</f>
        <v/>
      </c>
      <c r="I87">
        <f>IF(Skills!X11&lt;&gt;"",1+(Skills!X11/10)*(Z79/1000)/100,1)</f>
        <v/>
      </c>
      <c r="J87" t="inlineStr"/>
      <c r="K87" t="inlineStr"/>
      <c r="L87" t="inlineStr"/>
      <c r="M87" t="inlineStr"/>
      <c r="N87" t="inlineStr"/>
      <c r="O87">
        <f>(1-Summary!$B$56)*S87+Summary!$B$56*U87</f>
        <v/>
      </c>
      <c r="P87">
        <f>IF(B117=0,0,O87/B117)</f>
        <v/>
      </c>
      <c r="Q87">
        <f>IFERROR(1/IF(Inputs!$B$38="pvp",15,MAX(0.1,Skills!E11-IF(Skills!F11=TRUE,Inputs!$B$32,0))),0)</f>
        <v/>
      </c>
      <c r="R87" t="n">
        <v>0</v>
      </c>
      <c r="S87" t="n">
        <v>0</v>
      </c>
      <c r="U87" t="n">
        <v>0</v>
      </c>
    </row>
    <row r="88">
      <c r="A88">
        <f>Skills!A12</f>
        <v/>
      </c>
      <c r="B88">
        <f>Skills!B12</f>
        <v/>
      </c>
      <c r="C88">
        <f>TRUE</f>
        <v/>
      </c>
      <c r="D88">
        <f>IF(Skills!C12=1,60+Inputs!$B$25+Inputs!$B$29,IF(Skills!C12=2,90+Inputs!$B$26+Inputs!$B$29,IF(Skills!C12=3,120+Inputs!$B$27+Inputs!$B$29,MAX(0,(Inputs!$B$3-100)*3)+Inputs!$B$28+Inputs!$B$29)))</f>
        <v/>
      </c>
      <c r="E88">
        <f>INDEX(FactorTable!$B$2:$Y$301, MATCH(ROUND(MIN(300,MAX(1,D88)),0), FactorTable!$A$2:$A$301,0), Skills!M12+1)</f>
        <v/>
      </c>
      <c r="F88">
        <f>IF(Skills!N12=TRUE,(Skills!L12/10)*(E88/1000),Skills!L12/10)+Skills!O12</f>
        <v/>
      </c>
      <c r="G88">
        <f>Calc!G12</f>
        <v/>
      </c>
      <c r="H88">
        <f>Calc!H12</f>
        <v/>
      </c>
      <c r="I88">
        <f>IF(Skills!X12&lt;&gt;"",1+(Skills!X12/10)*(Z79/1000)/100,1)</f>
        <v/>
      </c>
      <c r="J88" t="inlineStr"/>
      <c r="K88" t="inlineStr"/>
      <c r="L88" t="inlineStr"/>
      <c r="M88" t="inlineStr"/>
      <c r="N88" t="inlineStr"/>
      <c r="O88">
        <f>(1-Summary!$B$56)*S88+Summary!$B$56*U88</f>
        <v/>
      </c>
      <c r="P88">
        <f>IF(B117=0,0,O88/B117)</f>
        <v/>
      </c>
      <c r="Q88">
        <f>IFERROR(1/IF(Inputs!$B$38="pvp",15,MAX(0.1,Skills!E12-IF(Skills!F12=TRUE,Inputs!$B$32,0))),0)</f>
        <v/>
      </c>
      <c r="R88" t="n">
        <v>0</v>
      </c>
      <c r="S88" t="n">
        <v>0</v>
      </c>
      <c r="U88" t="n">
        <v>0</v>
      </c>
    </row>
    <row r="89">
      <c r="A89">
        <f>Skills!A13</f>
        <v/>
      </c>
      <c r="B89">
        <f>Skills!B13</f>
        <v/>
      </c>
      <c r="C89">
        <f>Inputs!$B$3&gt;=105</f>
        <v/>
      </c>
      <c r="D89">
        <f>IF(Skills!C13=1,60+Inputs!$B$25+Inputs!$B$29,IF(Skills!C13=2,90+Inputs!$B$26+Inputs!$B$29,IF(Skills!C13=3,120+Inputs!$B$27+Inputs!$B$29,MAX(0,(Inputs!$B$3-100)*3)+Inputs!$B$28+Inputs!$B$29)))</f>
        <v/>
      </c>
      <c r="E89">
        <f>INDEX(FactorTable!$B$2:$Y$301, MATCH(ROUND(MIN(300,MAX(1,D89)),0), FactorTable!$A$2:$A$301,0), Skills!M13+1)</f>
        <v/>
      </c>
      <c r="F89">
        <f>IF(Skills!N13=TRUE,(Skills!L13/10)*(E89/1000),Skills!L13/10)+Skills!O13</f>
        <v/>
      </c>
      <c r="G89">
        <f>Calc!G13</f>
        <v/>
      </c>
      <c r="H89">
        <f>Calc!H13</f>
        <v/>
      </c>
      <c r="I89">
        <f>IF(Skills!X13&lt;&gt;"",1+(Skills!X13/10)*(Z79/1000)/100,1)</f>
        <v/>
      </c>
      <c r="J89">
        <f>((Inputs!$B$6*(1+Inputs!$B$7/100))+(((Inputs!$B$12*(1+(Inputs!$B$13+1)/100))-(Inputs!$B$12*(1+Inputs!$B$13/100)))+0.25*(Inputs!$B$14-Inputs!$B$14))*(1+Inputs!$B$7/100))*(F89/100)</f>
        <v/>
      </c>
      <c r="K89">
        <f>J89*(1+((Inputs!$B$12*(1+(Inputs!$B$13+1)/100))*0.01+Inputs!$B$14*0.0025)/100)*(1+Inputs!$B$15/100)*(1+Inputs!$B$16/100)*(5000/(6000+Inputs!$B$42*(1-Inputs!$B$19/100)))*(1+Inputs!$B$24/100)*(1+F99/100)*(1+IF(Inputs!$B$3&gt;=120,F102,0)/100)^5*(1+(IF(Skills!A13="BASIC_ATTACK",Inputs!$B$17,Inputs!$B$18+IF(Inputs!$B$3&gt;=125,F103*5,0)))/100)*(B106*B107*B108*I89)</f>
        <v/>
      </c>
      <c r="L89">
        <f>K89*(MIN(Inputs!$B$22+(F98-Calc!F22),Inputs!$B$23)/100+Inputs!$B$23/100)/2</f>
        <v/>
      </c>
      <c r="M89">
        <f>L89*(1+(Inputs!$B$10+(F97-Calc!F21))/100)</f>
        <v/>
      </c>
      <c r="N89">
        <f>L89*(1-MIN(Inputs!$B$9+(F96-Calc!F20),100)/100)+M89*(MIN(Inputs!$B$9+(F96-Calc!F20),100)/100)</f>
        <v/>
      </c>
      <c r="O89">
        <f>(1-Summary!$B$56)*S89+Summary!$B$56*U89</f>
        <v/>
      </c>
      <c r="P89">
        <f>IF(B117=0,0,O89/B117)</f>
        <v/>
      </c>
      <c r="Q89">
        <f>IFERROR(1/IF(Inputs!$B$38="pvp",15,MAX(0.1,Skills!E13-IF(Skills!F13=TRUE,Inputs!$B$32,0))),0)</f>
        <v/>
      </c>
      <c r="R89">
        <f>IF(AND(Inputs!$B$38&lt;&gt;"pvp",Inputs!$B$43&gt;0),IF(MAX(0,Inputs!$B$43-B114)&lt;=0,0,(INT(MAX(0,Inputs!$B$43-B114)/IF(Inputs!$B$38="pvp",15,MAX(0.1,Skills!E13-IF(Skills!F13=TRUE,Inputs!$B$32,0))))+1)),0)</f>
        <v/>
      </c>
      <c r="S89">
        <f>IF(C89,(H89*N89*IF(AND(Inputs!$B$38&lt;&gt;"pvp",Inputs!$B$43&gt;0),((Skills!G13*((R89-1)*IF(Skills!H13&gt;0,Skills!I13/Skills!H13,1)+IF(Skills!H13&gt;0,MIN(Skills!I13,MAX(0,MAX(0,Inputs!$B$43-B114)-((R89-1)*IF(Inputs!$B$38="pvp",15,MAX(0.1,Skills!E13-IF(Skills!F13=TRUE,Inputs!$B$32,0))))))/Skills!H13,1)))/Inputs!$B$43),G89*Q89))*IF(Inputs!$B$38="pvp",1,1+(Inputs!$B$20+Skills!P13)/100),0)</f>
        <v/>
      </c>
      <c r="U89">
        <f>IF(C89,(H89*N89*IF(AND(Inputs!$B$38&lt;&gt;"pvp",Inputs!$B$43&gt;0),((Skills!G13*((R89-1)*IF(Skills!H13&gt;0,Skills!I13/Skills!H13,1)+IF(Skills!H13&gt;0,MIN(Skills!I13,MAX(0,MAX(0,Inputs!$B$43-B114)-((R89-1)*IF(Inputs!$B$38="pvp",15,MAX(0.1,Skills!E13-IF(Skills!F13=TRUE,Inputs!$B$32,0))))))/Skills!H13,1)))/Inputs!$B$43),G89*Q89))*IF(Inputs!$B$38="pvp",1,(1+(Inputs!$B$21+Skills!Q13)/100)*(MIN(Skills!R13,Inputs!$B$37))),0)</f>
        <v/>
      </c>
    </row>
    <row r="90">
      <c r="A90">
        <f>Skills!A14</f>
        <v/>
      </c>
      <c r="B90">
        <f>Skills!B14</f>
        <v/>
      </c>
      <c r="C90">
        <f>Inputs!$B$3&gt;=113</f>
        <v/>
      </c>
      <c r="D90">
        <f>IF(Skills!C14=1,60+Inputs!$B$25+Inputs!$B$29,IF(Skills!C14=2,90+Inputs!$B$26+Inputs!$B$29,IF(Skills!C14=3,120+Inputs!$B$27+Inputs!$B$29,MAX(0,(Inputs!$B$3-100)*3)+Inputs!$B$28+Inputs!$B$29)))</f>
        <v/>
      </c>
      <c r="E90">
        <f>INDEX(FactorTable!$B$2:$Y$301, MATCH(ROUND(MIN(300,MAX(1,D90)),0), FactorTable!$A$2:$A$301,0), Skills!M14+1)</f>
        <v/>
      </c>
      <c r="F90">
        <f>IF(Skills!N14=TRUE,(Skills!L14/10)*(E90/1000),Skills!L14/10)+Skills!O14</f>
        <v/>
      </c>
      <c r="G90">
        <f>Calc!G14</f>
        <v/>
      </c>
      <c r="H90">
        <f>Calc!H14</f>
        <v/>
      </c>
      <c r="I90">
        <f>IF(Skills!X14&lt;&gt;"",1+(Skills!X14/10)*(Z79/1000)/100,1)</f>
        <v/>
      </c>
      <c r="J90">
        <f>((Inputs!$B$6*(1+Inputs!$B$7/100))+(((Inputs!$B$12*(1+(Inputs!$B$13+1)/100))-(Inputs!$B$12*(1+Inputs!$B$13/100)))+0.25*(Inputs!$B$14-Inputs!$B$14))*(1+Inputs!$B$7/100))*(F90/100)</f>
        <v/>
      </c>
      <c r="K90">
        <f>J90*(1+((Inputs!$B$12*(1+(Inputs!$B$13+1)/100))*0.01+Inputs!$B$14*0.0025)/100)*(1+Inputs!$B$15/100)*(1+Inputs!$B$16/100)*(5000/(6000+Inputs!$B$42*(1-Inputs!$B$19/100)))*(1+Inputs!$B$24/100)*(1+F99/100)*(1+IF(Inputs!$B$3&gt;=120,F102,0)/100)^5*(1+(IF(Skills!A14="BASIC_ATTACK",Inputs!$B$17,Inputs!$B$18+IF(Inputs!$B$3&gt;=125,F103*5,0)))/100)*(B106*B107*B108*I90)</f>
        <v/>
      </c>
      <c r="L90">
        <f>K90*(MIN(Inputs!$B$22+(F98-Calc!F22),Inputs!$B$23)/100+Inputs!$B$23/100)/2</f>
        <v/>
      </c>
      <c r="M90">
        <f>L90*(1+(Inputs!$B$10+(F97-Calc!F21))/100)</f>
        <v/>
      </c>
      <c r="N90">
        <f>L90*(1-MIN(Inputs!$B$9+(F96-Calc!F20),100)/100)+M90*(MIN(Inputs!$B$9+(F96-Calc!F20),100)/100)</f>
        <v/>
      </c>
      <c r="O90">
        <f>(1-Summary!$B$56)*S90+Summary!$B$56*U90</f>
        <v/>
      </c>
      <c r="P90">
        <f>IF(B117=0,0,O90/B117)</f>
        <v/>
      </c>
      <c r="Q90">
        <f>IFERROR(1/IF(Inputs!$B$38="pvp",15,MAX(0.1,Skills!E14-IF(Skills!F14=TRUE,Inputs!$B$32,0))),0)</f>
        <v/>
      </c>
      <c r="R90" t="n">
        <v>0</v>
      </c>
      <c r="S90">
        <f>IF(C90,((H90*B113)/(1+Skills!H14*H90*B113)*N90)*IF(Inputs!$B$38="pvp",1,1+(Inputs!$B$20+Skills!P14)/100),0)</f>
        <v/>
      </c>
      <c r="U90">
        <f>IF(C90,((H90*B113)/(1+Skills!H14*H90*B113)*N90)*IF(Inputs!$B$38="pvp",1,(1+(Inputs!$B$21+Skills!Q14)/100)*(MIN(Skills!R14,Inputs!$B$37))),0)</f>
        <v/>
      </c>
    </row>
    <row r="91">
      <c r="A91">
        <f>Skills!A15</f>
        <v/>
      </c>
      <c r="B91">
        <f>Skills!B15</f>
        <v/>
      </c>
      <c r="C91">
        <f>Inputs!$B$3&gt;=107</f>
        <v/>
      </c>
      <c r="D91">
        <f>IF(Skills!C15=1,60+Inputs!$B$25+Inputs!$B$29,IF(Skills!C15=2,90+Inputs!$B$26+Inputs!$B$29,IF(Skills!C15=3,120+Inputs!$B$27+Inputs!$B$29,MAX(0,(Inputs!$B$3-100)*3)+Inputs!$B$28+Inputs!$B$29)))</f>
        <v/>
      </c>
      <c r="E91">
        <f>INDEX(FactorTable!$B$2:$Y$301, MATCH(ROUND(MIN(300,MAX(1,D91)),0), FactorTable!$A$2:$A$301,0), Skills!M15+1)</f>
        <v/>
      </c>
      <c r="F91">
        <f>IF(Skills!N15=TRUE,(Skills!L15/10)*(E91/1000),Skills!L15/10)+Skills!O15</f>
        <v/>
      </c>
      <c r="G91">
        <f>Calc!G15</f>
        <v/>
      </c>
      <c r="H91">
        <f>Calc!H15</f>
        <v/>
      </c>
      <c r="I91">
        <f>IF(Skills!X15&lt;&gt;"",1+(Skills!X15/10)*(Z79/1000)/100,1)</f>
        <v/>
      </c>
      <c r="J91">
        <f>((Inputs!$B$6*(1+Inputs!$B$7/100))+(((Inputs!$B$12*(1+(Inputs!$B$13+1)/100))-(Inputs!$B$12*(1+Inputs!$B$13/100)))+0.25*(Inputs!$B$14-Inputs!$B$14))*(1+Inputs!$B$7/100))*(F91/100)</f>
        <v/>
      </c>
      <c r="K91">
        <f>J91*(1+((Inputs!$B$12*(1+(Inputs!$B$13+1)/100))*0.01+Inputs!$B$14*0.0025)/100)*(1+Inputs!$B$15/100)*(1+Inputs!$B$16/100)*(5000/(6000+Inputs!$B$42*(1-Inputs!$B$19/100)))*(1+Inputs!$B$24/100)*(1+F99/100)*(1+IF(Inputs!$B$3&gt;=120,F102,0)/100)^5*(1+(IF(Skills!A15="BASIC_ATTACK",Inputs!$B$17,Inputs!$B$18+IF(Inputs!$B$3&gt;=125,F103*5,0)))/100)*(B106*B107*B108*I91)</f>
        <v/>
      </c>
      <c r="L91">
        <f>K91*(MIN(Inputs!$B$22+(F98-Calc!F22),Inputs!$B$23)/100+Inputs!$B$23/100)/2</f>
        <v/>
      </c>
      <c r="M91">
        <f>L91*(1+(Inputs!$B$10+(F97-Calc!F21))/100)</f>
        <v/>
      </c>
      <c r="N91">
        <f>L91*(1-MIN(Inputs!$B$9+(F96-Calc!F20),100)/100)+M91*(MIN(Inputs!$B$9+(F96-Calc!F20),100)/100)</f>
        <v/>
      </c>
      <c r="O91">
        <f>(1-Summary!$B$56)*S91+Summary!$B$56*U91</f>
        <v/>
      </c>
      <c r="P91">
        <f>IF(B117=0,0,O91/B117)</f>
        <v/>
      </c>
      <c r="Q91">
        <f>IFERROR(1/IF(Inputs!$B$38="pvp",15,MAX(0.1,Skills!E15-IF(Skills!F15=TRUE,Inputs!$B$32,0))),0)</f>
        <v/>
      </c>
      <c r="R91">
        <f>IF(AND(Inputs!$B$38&lt;&gt;"pvp",Inputs!$B$43&gt;0),IF(MAX(0,Inputs!$B$43-B114)&lt;=0,0,(INT(MAX(0,Inputs!$B$43-B114)/IF(Inputs!$B$38="pvp",15,MAX(0.1,Skills!E15-IF(Skills!F15=TRUE,Inputs!$B$32,0))))+1)),0)</f>
        <v/>
      </c>
      <c r="S91">
        <f>IF(C91,(H91*N91*IF(AND(Inputs!$B$38&lt;&gt;"pvp",Inputs!$B$43&gt;0),((Skills!G15*((R91-1)*IF(Skills!H15&gt;0,Skills!I15/Skills!H15,1)+IF(Skills!H15&gt;0,MIN(Skills!I15,MAX(0,MAX(0,Inputs!$B$43-B114)-((R91-1)*IF(Inputs!$B$38="pvp",15,MAX(0.1,Skills!E15-IF(Skills!F15=TRUE,Inputs!$B$32,0))))))/Skills!H15,1)))/Inputs!$B$43),G91*Q91))*IF(Inputs!$B$38="pvp",1,1+(Inputs!$B$20+Skills!P15)/100),0)</f>
        <v/>
      </c>
      <c r="U91">
        <f>IF(C91,(H91*N91*IF(AND(Inputs!$B$38&lt;&gt;"pvp",Inputs!$B$43&gt;0),((Skills!G15*((R91-1)*IF(Skills!H15&gt;0,Skills!I15/Skills!H15,1)+IF(Skills!H15&gt;0,MIN(Skills!I15,MAX(0,MAX(0,Inputs!$B$43-B114)-((R91-1)*IF(Inputs!$B$38="pvp",15,MAX(0.1,Skills!E15-IF(Skills!F15=TRUE,Inputs!$B$32,0))))))/Skills!H15,1)))/Inputs!$B$43),G91*Q91))*IF(Inputs!$B$38="pvp",1,(1+(Inputs!$B$21+Skills!Q15)/100)*(MIN(Skills!R15,Inputs!$B$37))),0)</f>
        <v/>
      </c>
    </row>
    <row r="92">
      <c r="A92">
        <f>Skills!A16</f>
        <v/>
      </c>
      <c r="B92">
        <f>Skills!B16</f>
        <v/>
      </c>
      <c r="C92">
        <f>Inputs!$B$3&gt;=107</f>
        <v/>
      </c>
      <c r="D92">
        <f>IF(Skills!C16=1,60+Inputs!$B$25+Inputs!$B$29,IF(Skills!C16=2,90+Inputs!$B$26+Inputs!$B$29,IF(Skills!C16=3,120+Inputs!$B$27+Inputs!$B$29,MAX(0,(Inputs!$B$3-100)*3)+Inputs!$B$28+Inputs!$B$29)))</f>
        <v/>
      </c>
      <c r="E92">
        <f>INDEX(FactorTable!$B$2:$Y$301, MATCH(ROUND(MIN(300,MAX(1,D92)),0), FactorTable!$A$2:$A$301,0), Skills!M16+1)</f>
        <v/>
      </c>
      <c r="F92">
        <f>IF(Skills!N16=TRUE,(Skills!L16/10)*(E92/1000),Skills!L16/10)+Skills!O16</f>
        <v/>
      </c>
      <c r="G92">
        <f>Calc!G16</f>
        <v/>
      </c>
      <c r="H92">
        <f>Calc!H16</f>
        <v/>
      </c>
      <c r="I92">
        <f>IF(Skills!X16&lt;&gt;"",1+(Skills!X16/10)*(Z79/1000)/100,1)</f>
        <v/>
      </c>
      <c r="J92">
        <f>((Inputs!$B$6*(1+Inputs!$B$7/100))+(((Inputs!$B$12*(1+(Inputs!$B$13+1)/100))-(Inputs!$B$12*(1+Inputs!$B$13/100)))+0.25*(Inputs!$B$14-Inputs!$B$14))*(1+Inputs!$B$7/100))*(F92/100)</f>
        <v/>
      </c>
      <c r="K92">
        <f>J92*(1+((Inputs!$B$12*(1+(Inputs!$B$13+1)/100))*0.01+Inputs!$B$14*0.0025)/100)*(1+Inputs!$B$15/100)*(1+Inputs!$B$16/100)*(5000/(6000+Inputs!$B$42*(1-Inputs!$B$19/100)))*(1+Inputs!$B$24/100)*(1+F99/100)*(1+IF(Inputs!$B$3&gt;=120,F102,0)/100)^5*(1+(IF(Skills!A16="BASIC_ATTACK",Inputs!$B$17,Inputs!$B$18+IF(Inputs!$B$3&gt;=125,F103*5,0)))/100)*(B106*B107*B108*I92)</f>
        <v/>
      </c>
      <c r="L92">
        <f>K92*(MIN(Inputs!$B$22+(F98-Calc!F22),Inputs!$B$23)/100+Inputs!$B$23/100)/2</f>
        <v/>
      </c>
      <c r="M92">
        <f>L92*(1+(Inputs!$B$10+(F97-Calc!F21))/100)</f>
        <v/>
      </c>
      <c r="N92">
        <f>L92*(1-MIN(Inputs!$B$9+(F96-Calc!F20),100)/100)+M92*(MIN(Inputs!$B$9+(F96-Calc!F20),100)/100)</f>
        <v/>
      </c>
      <c r="O92">
        <f>(1-Summary!$B$56)*S92+Summary!$B$56*U92</f>
        <v/>
      </c>
      <c r="P92">
        <f>IF(B117=0,0,O92/B117)</f>
        <v/>
      </c>
      <c r="Q92">
        <f>IFERROR(1/IF(Inputs!$B$38="pvp",15,MAX(0.1,Skills!E16-IF(Skills!F16=TRUE,Inputs!$B$32,0))),0)</f>
        <v/>
      </c>
      <c r="R92">
        <f>IF(AND(Inputs!$B$38&lt;&gt;"pvp",Inputs!$B$43&gt;0),IF(MAX(0,Inputs!$B$43-B114)&lt;=0,0,(INT(MAX(0,Inputs!$B$43-B114)/IF(Inputs!$B$38="pvp",15,MAX(0.1,Skills!E16-IF(Skills!F16=TRUE,Inputs!$B$32,0))))+1)),0)</f>
        <v/>
      </c>
      <c r="S92">
        <f>IF(C92,(H92*N92*IF(AND(Inputs!$B$38&lt;&gt;"pvp",Inputs!$B$43&gt;0),((Skills!G16*((R92-1)*IF(Skills!H16&gt;0,Skills!I16/Skills!H16,1)+IF(Skills!H16&gt;0,MIN(Skills!I16,MAX(0,MAX(0,Inputs!$B$43-B114)-((R92-1)*IF(Inputs!$B$38="pvp",15,MAX(0.1,Skills!E16-IF(Skills!F16=TRUE,Inputs!$B$32,0))))))/Skills!H16,1)))/Inputs!$B$43),G92*Q92)*(1+IF(Inputs!$B$3&gt;=126,0.05*(B112+Q89+(H90*B113)/(1+Skills!H14*H90*B113)+Q100),0)*Skills!E15))*IF(Inputs!$B$38="pvp",1,1+(Inputs!$B$20+Skills!P16)/100),0)</f>
        <v/>
      </c>
      <c r="U92">
        <f>IF(C92,(H92*N92*IF(AND(Inputs!$B$38&lt;&gt;"pvp",Inputs!$B$43&gt;0),((Skills!G16*((R92-1)*IF(Skills!H16&gt;0,Skills!I16/Skills!H16,1)+IF(Skills!H16&gt;0,MIN(Skills!I16,MAX(0,MAX(0,Inputs!$B$43-B114)-((R92-1)*IF(Inputs!$B$38="pvp",15,MAX(0.1,Skills!E16-IF(Skills!F16=TRUE,Inputs!$B$32,0))))))/Skills!H16,1)))/Inputs!$B$43),G92*Q92)*(1+IF(Inputs!$B$3&gt;=126,0.05*(B112+Q89+(H90*B113)/(1+Skills!H14*H90*B113)+Q100),0)*Skills!E15))*IF(Inputs!$B$38="pvp",1,(1+(Inputs!$B$21+Skills!Q16)/100)*(MIN(Skills!R16,Inputs!$B$37))),0)</f>
        <v/>
      </c>
    </row>
    <row r="93">
      <c r="A93">
        <f>Skills!A17</f>
        <v/>
      </c>
      <c r="B93">
        <f>Skills!B17</f>
        <v/>
      </c>
      <c r="C93">
        <f>TRUE</f>
        <v/>
      </c>
      <c r="D93">
        <f>IF(Skills!C17=1,60+Inputs!$B$25+Inputs!$B$29,IF(Skills!C17=2,90+Inputs!$B$26+Inputs!$B$29,IF(Skills!C17=3,120+Inputs!$B$27+Inputs!$B$29,MAX(0,(Inputs!$B$3-100)*3)+Inputs!$B$28+Inputs!$B$29)))</f>
        <v/>
      </c>
      <c r="E93">
        <f>INDEX(FactorTable!$B$2:$Y$301, MATCH(ROUND(MIN(300,MAX(1,D93)),0), FactorTable!$A$2:$A$301,0), Skills!M17+1)</f>
        <v/>
      </c>
      <c r="F93">
        <f>IF(Skills!N17=TRUE,(Skills!L17/10)*(E93/1000),Skills!L17/10)+Skills!O17</f>
        <v/>
      </c>
      <c r="G93">
        <f>Calc!G17</f>
        <v/>
      </c>
      <c r="H93">
        <f>Calc!H17</f>
        <v/>
      </c>
      <c r="I93">
        <f>IF(Skills!X17&lt;&gt;"",1+(Skills!X17/10)*(Z79/1000)/100,1)</f>
        <v/>
      </c>
      <c r="J93" t="inlineStr"/>
      <c r="K93" t="inlineStr"/>
      <c r="L93" t="inlineStr"/>
      <c r="M93" t="inlineStr"/>
      <c r="N93" t="inlineStr"/>
      <c r="O93">
        <f>(1-Summary!$B$56)*S93+Summary!$B$56*U93</f>
        <v/>
      </c>
      <c r="P93">
        <f>IF(B117=0,0,O93/B117)</f>
        <v/>
      </c>
      <c r="Q93">
        <f>IFERROR(1/IF(Inputs!$B$38="pvp",15,MAX(0.1,Skills!E17-IF(Skills!F17=TRUE,Inputs!$B$32,0))),0)</f>
        <v/>
      </c>
      <c r="R93">
        <f>IF(AND(Inputs!$B$38&lt;&gt;"pvp",Inputs!$B$43&gt;0),IF(Inputs!$B$43&lt;=0,0,(INT(Inputs!$B$43/IF(Inputs!$B$38="pvp",15,MAX(0.1,Skills!E17-IF(Skills!F17=TRUE,Inputs!$B$32,0))))+1)),0)</f>
        <v/>
      </c>
      <c r="S93" t="n">
        <v>0</v>
      </c>
      <c r="U93" t="n">
        <v>0</v>
      </c>
    </row>
    <row r="94">
      <c r="A94">
        <f>Skills!A18</f>
        <v/>
      </c>
      <c r="B94">
        <f>Skills!B18</f>
        <v/>
      </c>
      <c r="C94">
        <f>TRUE</f>
        <v/>
      </c>
      <c r="D94">
        <f>IF(Skills!C18=1,60+Inputs!$B$25+Inputs!$B$29,IF(Skills!C18=2,90+Inputs!$B$26+Inputs!$B$29,IF(Skills!C18=3,120+Inputs!$B$27+Inputs!$B$29,MAX(0,(Inputs!$B$3-100)*3)+Inputs!$B$28+Inputs!$B$29)))</f>
        <v/>
      </c>
      <c r="E94">
        <f>INDEX(FactorTable!$B$2:$Y$301, MATCH(ROUND(MIN(300,MAX(1,D94)),0), FactorTable!$A$2:$A$301,0), Skills!M18+1)</f>
        <v/>
      </c>
      <c r="F94">
        <f>IF(Skills!N18=TRUE,(Skills!L18/10)*(E94/1000),Skills!L18/10)+Skills!O18</f>
        <v/>
      </c>
      <c r="G94">
        <f>Calc!G18</f>
        <v/>
      </c>
      <c r="H94">
        <f>Calc!H18</f>
        <v/>
      </c>
      <c r="I94">
        <f>IF(Skills!X18&lt;&gt;"",1+(Skills!X18/10)*(Z79/1000)/100,1)</f>
        <v/>
      </c>
      <c r="J94" t="inlineStr"/>
      <c r="K94" t="inlineStr"/>
      <c r="L94" t="inlineStr"/>
      <c r="M94" t="inlineStr"/>
      <c r="N94" t="inlineStr"/>
      <c r="O94">
        <f>(1-Summary!$B$56)*S94+Summary!$B$56*U94</f>
        <v/>
      </c>
      <c r="P94">
        <f>IF(B117=0,0,O94/B117)</f>
        <v/>
      </c>
      <c r="Q94">
        <f>IFERROR(1/IF(Inputs!$B$38="pvp",15,MAX(0.1,Skills!E18-IF(Skills!F18=TRUE,Inputs!$B$32,0))),0)</f>
        <v/>
      </c>
      <c r="R94">
        <f>IF(AND(Inputs!$B$38&lt;&gt;"pvp",Inputs!$B$43&gt;0),IF(Inputs!$B$43&lt;=0,0,(INT(Inputs!$B$43/IF(Inputs!$B$38="pvp",15,MAX(0.1,Skills!E18-IF(Skills!F18=TRUE,Inputs!$B$32,0))))+1)),0)</f>
        <v/>
      </c>
      <c r="S94" t="n">
        <v>0</v>
      </c>
      <c r="U94" t="n">
        <v>0</v>
      </c>
    </row>
    <row r="95">
      <c r="A95">
        <f>Skills!A19</f>
        <v/>
      </c>
      <c r="B95">
        <f>Skills!B19</f>
        <v/>
      </c>
      <c r="C95">
        <f>Inputs!$B$3&gt;=110</f>
        <v/>
      </c>
      <c r="D95">
        <f>IF(Skills!C19=1,60+Inputs!$B$25+Inputs!$B$29,IF(Skills!C19=2,90+Inputs!$B$26+Inputs!$B$29,IF(Skills!C19=3,120+Inputs!$B$27+Inputs!$B$29,MAX(0,(Inputs!$B$3-100)*3)+Inputs!$B$28+Inputs!$B$29)))</f>
        <v/>
      </c>
      <c r="E95">
        <f>INDEX(FactorTable!$B$2:$Y$301, MATCH(ROUND(MIN(300,MAX(1,D95)),0), FactorTable!$A$2:$A$301,0), Skills!M19+1)</f>
        <v/>
      </c>
      <c r="F95">
        <f>IF(Skills!N19=TRUE,(Skills!L19/10)*(E95/1000),Skills!L19/10)+Skills!O19</f>
        <v/>
      </c>
      <c r="G95">
        <f>Calc!G19</f>
        <v/>
      </c>
      <c r="H95">
        <f>Calc!H19</f>
        <v/>
      </c>
      <c r="I95">
        <f>IF(Skills!X19&lt;&gt;"",1+(Skills!X19/10)*(Z79/1000)/100,1)</f>
        <v/>
      </c>
      <c r="J95" t="inlineStr"/>
      <c r="K95" t="inlineStr"/>
      <c r="L95" t="inlineStr"/>
      <c r="M95" t="inlineStr"/>
      <c r="N95" t="inlineStr"/>
      <c r="O95">
        <f>(1-Summary!$B$56)*S95+Summary!$B$56*U95</f>
        <v/>
      </c>
      <c r="P95">
        <f>IF(B117=0,0,O95/B117)</f>
        <v/>
      </c>
      <c r="Q95">
        <f>IFERROR(1/IF(Inputs!$B$38="pvp",15,MAX(0.1,Skills!E19-IF(Skills!F19=TRUE,Inputs!$B$32,0))),0)</f>
        <v/>
      </c>
      <c r="R95">
        <f>IF(AND(Inputs!$B$38&lt;&gt;"pvp",Inputs!$B$43&gt;0),IF(Inputs!$B$43&lt;=0,0,(INT(Inputs!$B$43/IF(Inputs!$B$38="pvp",15,MAX(0.1,Skills!E19-IF(Skills!F19=TRUE,Inputs!$B$32,0))))+1)),0)</f>
        <v/>
      </c>
      <c r="S95" t="n">
        <v>0</v>
      </c>
      <c r="U95" t="n">
        <v>0</v>
      </c>
    </row>
    <row r="96">
      <c r="A96">
        <f>Skills!A20</f>
        <v/>
      </c>
      <c r="B96">
        <f>Skills!B20</f>
        <v/>
      </c>
      <c r="C96">
        <f>TRUE</f>
        <v/>
      </c>
      <c r="D96">
        <f>IF(Skills!C20=1,60+Inputs!$B$25+Inputs!$B$29,IF(Skills!C20=2,90+Inputs!$B$26+Inputs!$B$29,IF(Skills!C20=3,120+Inputs!$B$27+Inputs!$B$29,MAX(0,(Inputs!$B$3-100)*3)+Inputs!$B$28+Inputs!$B$29)))</f>
        <v/>
      </c>
      <c r="E96">
        <f>INDEX(FactorTable!$B$2:$Y$301, MATCH(ROUND(MIN(300,MAX(1,D96)),0), FactorTable!$A$2:$A$301,0), Skills!M20+1)</f>
        <v/>
      </c>
      <c r="F96">
        <f>IF(Skills!N20=TRUE,(Skills!L20/10)*(E96/1000),Skills!L20/10)+Skills!O20</f>
        <v/>
      </c>
      <c r="G96">
        <f>Calc!G20</f>
        <v/>
      </c>
      <c r="H96">
        <f>Calc!H20</f>
        <v/>
      </c>
      <c r="I96">
        <f>IF(Skills!X20&lt;&gt;"",1+(Skills!X20/10)*(Z79/1000)/100,1)</f>
        <v/>
      </c>
      <c r="J96" t="inlineStr"/>
      <c r="K96" t="inlineStr"/>
      <c r="L96" t="inlineStr"/>
      <c r="M96" t="inlineStr"/>
      <c r="N96" t="inlineStr"/>
      <c r="O96">
        <f>(1-Summary!$B$56)*S96+Summary!$B$56*U96</f>
        <v/>
      </c>
      <c r="P96">
        <f>IF(B117=0,0,O96/B117)</f>
        <v/>
      </c>
      <c r="Q96">
        <f>IFERROR(1/IF(Inputs!$B$38="pvp",15,MAX(0.1,Skills!E20-IF(Skills!F20=TRUE,Inputs!$B$32,0))),0)</f>
        <v/>
      </c>
      <c r="R96" t="n">
        <v>0</v>
      </c>
      <c r="S96" t="n">
        <v>0</v>
      </c>
      <c r="U96" t="n">
        <v>0</v>
      </c>
    </row>
    <row r="97">
      <c r="A97">
        <f>Skills!A21</f>
        <v/>
      </c>
      <c r="B97">
        <f>Skills!B21</f>
        <v/>
      </c>
      <c r="C97">
        <f>TRUE</f>
        <v/>
      </c>
      <c r="D97">
        <f>IF(Skills!C21=1,60+Inputs!$B$25+Inputs!$B$29,IF(Skills!C21=2,90+Inputs!$B$26+Inputs!$B$29,IF(Skills!C21=3,120+Inputs!$B$27+Inputs!$B$29,MAX(0,(Inputs!$B$3-100)*3)+Inputs!$B$28+Inputs!$B$29)))</f>
        <v/>
      </c>
      <c r="E97">
        <f>INDEX(FactorTable!$B$2:$Y$301, MATCH(ROUND(MIN(300,MAX(1,D97)),0), FactorTable!$A$2:$A$301,0), Skills!M21+1)</f>
        <v/>
      </c>
      <c r="F97">
        <f>IF(Skills!N21=TRUE,(Skills!L21/10)*(E97/1000),Skills!L21/10)+Skills!O21</f>
        <v/>
      </c>
      <c r="G97">
        <f>Calc!G21</f>
        <v/>
      </c>
      <c r="H97">
        <f>Calc!H21</f>
        <v/>
      </c>
      <c r="I97">
        <f>IF(Skills!X21&lt;&gt;"",1+(Skills!X21/10)*(Z79/1000)/100,1)</f>
        <v/>
      </c>
      <c r="J97" t="inlineStr"/>
      <c r="K97" t="inlineStr"/>
      <c r="L97" t="inlineStr"/>
      <c r="M97" t="inlineStr"/>
      <c r="N97" t="inlineStr"/>
      <c r="O97">
        <f>(1-Summary!$B$56)*S97+Summary!$B$56*U97</f>
        <v/>
      </c>
      <c r="P97">
        <f>IF(B117=0,0,O97/B117)</f>
        <v/>
      </c>
      <c r="Q97">
        <f>IFERROR(1/IF(Inputs!$B$38="pvp",15,MAX(0.1,Skills!E21-IF(Skills!F21=TRUE,Inputs!$B$32,0))),0)</f>
        <v/>
      </c>
      <c r="R97" t="n">
        <v>0</v>
      </c>
      <c r="S97" t="n">
        <v>0</v>
      </c>
      <c r="U97" t="n">
        <v>0</v>
      </c>
    </row>
    <row r="98">
      <c r="A98">
        <f>Skills!A22</f>
        <v/>
      </c>
      <c r="B98">
        <f>Skills!B22</f>
        <v/>
      </c>
      <c r="C98">
        <f>TRUE</f>
        <v/>
      </c>
      <c r="D98">
        <f>IF(Skills!C22=1,60+Inputs!$B$25+Inputs!$B$29,IF(Skills!C22=2,90+Inputs!$B$26+Inputs!$B$29,IF(Skills!C22=3,120+Inputs!$B$27+Inputs!$B$29,MAX(0,(Inputs!$B$3-100)*3)+Inputs!$B$28+Inputs!$B$29)))</f>
        <v/>
      </c>
      <c r="E98">
        <f>INDEX(FactorTable!$B$2:$Y$301, MATCH(ROUND(MIN(300,MAX(1,D98)),0), FactorTable!$A$2:$A$301,0), Skills!M22+1)</f>
        <v/>
      </c>
      <c r="F98">
        <f>IF(Skills!N22=TRUE,(Skills!L22/10)*(E98/1000),Skills!L22/10)+Skills!O22</f>
        <v/>
      </c>
      <c r="G98">
        <f>Calc!G22</f>
        <v/>
      </c>
      <c r="H98">
        <f>Calc!H22</f>
        <v/>
      </c>
      <c r="I98">
        <f>IF(Skills!X22&lt;&gt;"",1+(Skills!X22/10)*(Z79/1000)/100,1)</f>
        <v/>
      </c>
      <c r="J98" t="inlineStr"/>
      <c r="K98" t="inlineStr"/>
      <c r="L98" t="inlineStr"/>
      <c r="M98" t="inlineStr"/>
      <c r="N98" t="inlineStr"/>
      <c r="O98">
        <f>(1-Summary!$B$56)*S98+Summary!$B$56*U98</f>
        <v/>
      </c>
      <c r="P98">
        <f>IF(B117=0,0,O98/B117)</f>
        <v/>
      </c>
      <c r="Q98">
        <f>IFERROR(1/IF(Inputs!$B$38="pvp",15,MAX(0.1,Skills!E22-IF(Skills!F22=TRUE,Inputs!$B$32,0))),0)</f>
        <v/>
      </c>
      <c r="R98" t="n">
        <v>0</v>
      </c>
      <c r="S98" t="n">
        <v>0</v>
      </c>
      <c r="U98" t="n">
        <v>0</v>
      </c>
    </row>
    <row r="99">
      <c r="A99">
        <f>Skills!A23</f>
        <v/>
      </c>
      <c r="B99">
        <f>Skills!B23</f>
        <v/>
      </c>
      <c r="C99">
        <f>TRUE</f>
        <v/>
      </c>
      <c r="D99">
        <f>IF(Skills!C23=1,60+Inputs!$B$25+Inputs!$B$29,IF(Skills!C23=2,90+Inputs!$B$26+Inputs!$B$29,IF(Skills!C23=3,120+Inputs!$B$27+Inputs!$B$29,MAX(0,(Inputs!$B$3-100)*3)+Inputs!$B$28+Inputs!$B$29)))</f>
        <v/>
      </c>
      <c r="E99">
        <f>INDEX(FactorTable!$B$2:$Y$301, MATCH(ROUND(MIN(300,MAX(1,D99)),0), FactorTable!$A$2:$A$301,0), Skills!M23+1)</f>
        <v/>
      </c>
      <c r="F99">
        <f>IF(Skills!N23=TRUE,(Skills!L23/10)*(E99/1000),Skills!L23/10)+Skills!O23</f>
        <v/>
      </c>
      <c r="G99">
        <f>Calc!G23</f>
        <v/>
      </c>
      <c r="H99">
        <f>Calc!H23</f>
        <v/>
      </c>
      <c r="I99">
        <f>IF(Skills!X23&lt;&gt;"",1+(Skills!X23/10)*(Z79/1000)/100,1)</f>
        <v/>
      </c>
      <c r="J99" t="inlineStr"/>
      <c r="K99" t="inlineStr"/>
      <c r="L99" t="inlineStr"/>
      <c r="M99" t="inlineStr"/>
      <c r="N99" t="inlineStr"/>
      <c r="O99">
        <f>(1-Summary!$B$56)*S99+Summary!$B$56*U99</f>
        <v/>
      </c>
      <c r="P99">
        <f>IF(B117=0,0,O99/B117)</f>
        <v/>
      </c>
      <c r="Q99">
        <f>IFERROR(1/IF(Inputs!$B$38="pvp",15,MAX(0.1,Skills!E23-IF(Skills!F23=TRUE,Inputs!$B$32,0))),0)</f>
        <v/>
      </c>
      <c r="R99" t="n">
        <v>0</v>
      </c>
      <c r="S99" t="n">
        <v>0</v>
      </c>
      <c r="U99" t="n">
        <v>0</v>
      </c>
    </row>
    <row r="100">
      <c r="A100">
        <f>Skills!A24</f>
        <v/>
      </c>
      <c r="B100">
        <f>Skills!B24</f>
        <v/>
      </c>
      <c r="C100">
        <f>Inputs!$B$3&gt;=115</f>
        <v/>
      </c>
      <c r="D100">
        <f>IF(Skills!C24=1,60+Inputs!$B$25+Inputs!$B$29,IF(Skills!C24=2,90+Inputs!$B$26+Inputs!$B$29,IF(Skills!C24=3,120+Inputs!$B$27+Inputs!$B$29,MAX(0,(Inputs!$B$3-100)*3)+Inputs!$B$28+Inputs!$B$29)))</f>
        <v/>
      </c>
      <c r="E100">
        <f>INDEX(FactorTable!$B$2:$Y$301, MATCH(ROUND(MIN(300,MAX(1,D100)),0), FactorTable!$A$2:$A$301,0), Skills!M24+1)</f>
        <v/>
      </c>
      <c r="F100">
        <f>IF(Skills!N24=TRUE,(Skills!L24/10)*(E100/1000),Skills!L24/10)+Skills!O24</f>
        <v/>
      </c>
      <c r="G100">
        <f>Calc!G24</f>
        <v/>
      </c>
      <c r="H100">
        <f>Calc!H24</f>
        <v/>
      </c>
      <c r="I100">
        <f>IF(Skills!X24&lt;&gt;"",1+(Skills!X24/10)*(Z79/1000)/100,1)</f>
        <v/>
      </c>
      <c r="J100">
        <f>((Inputs!$B$6*(1+Inputs!$B$7/100))+(((Inputs!$B$12*(1+(Inputs!$B$13+1)/100))-(Inputs!$B$12*(1+Inputs!$B$13/100)))+0.25*(Inputs!$B$14-Inputs!$B$14))*(1+Inputs!$B$7/100))*(F100/100)</f>
        <v/>
      </c>
      <c r="K100">
        <f>J100*(1+((Inputs!$B$12*(1+(Inputs!$B$13+1)/100))*0.01+Inputs!$B$14*0.0025)/100)*(1+Inputs!$B$15/100)*(1+Inputs!$B$16/100)*(5000/(6000+Inputs!$B$42*(1-Inputs!$B$19/100)))*(1+Inputs!$B$24/100)*(1+F99/100)*(1+IF(Inputs!$B$3&gt;=120,F102,0)/100)^5*(1+(IF(Skills!A24="BASIC_ATTACK",Inputs!$B$17,Inputs!$B$18+IF(Inputs!$B$3&gt;=125,F103*5,0)))/100)*(B106*B107*B108*I100)</f>
        <v/>
      </c>
      <c r="L100">
        <f>K100*(MIN(Inputs!$B$22+(F98-Calc!F22),Inputs!$B$23)/100+Inputs!$B$23/100)/2</f>
        <v/>
      </c>
      <c r="M100">
        <f>L100*(1+(Inputs!$B$10+(F97-Calc!F21))/100)</f>
        <v/>
      </c>
      <c r="N100">
        <f>L100*(1-MIN(Inputs!$B$9+(F96-Calc!F20),100)/100)+M100*(MIN(Inputs!$B$9+(F96-Calc!F20),100)/100)</f>
        <v/>
      </c>
      <c r="O100">
        <f>(1-Summary!$B$56)*S100+Summary!$B$56*U100</f>
        <v/>
      </c>
      <c r="P100">
        <f>IF(B117=0,0,O100/B117)</f>
        <v/>
      </c>
      <c r="Q100">
        <f>IFERROR(1/IF(Inputs!$B$38="pvp",15,MAX(0.1,Skills!E24-IF(Skills!F24=TRUE,Inputs!$B$32,0))),0)</f>
        <v/>
      </c>
      <c r="R100">
        <f>IF(AND(Inputs!$B$38&lt;&gt;"pvp",Inputs!$B$43&gt;0),IF(MAX(0,Inputs!$B$43-B114)&lt;=0,0,(INT(MAX(0,Inputs!$B$43-B114)/IF(Inputs!$B$38="pvp",15,MAX(0.1,Skills!E24-IF(Skills!F24=TRUE,Inputs!$B$32,0))))+1)),0)</f>
        <v/>
      </c>
      <c r="S100">
        <f>IF(C100,(H100*N100*IF(AND(Inputs!$B$38&lt;&gt;"pvp",Inputs!$B$43&gt;0),((Skills!G24*((R100-1)*IF(Skills!H24&gt;0,Skills!I24/Skills!H24,1)+IF(Skills!H24&gt;0,MIN(Skills!I24,MAX(0,MAX(0,Inputs!$B$43-B114)-((R100-1)*IF(Inputs!$B$38="pvp",15,MAX(0.1,Skills!E24-IF(Skills!F24=TRUE,Inputs!$B$32,0))))))/Skills!H24,1)))/Inputs!$B$43),G100*Q100)*(1+IF(Inputs!$B$3&gt;=130,0.2*(Skills!I16/Skills!E15+IF(Inputs!$B$3&gt;=126,0.05*(B112+Q89+(H90*B113)/(1+Skills!H14*H90*B113)+Q100),0)*Skills!I16),0)))*IF(Inputs!$B$38="pvp",1,1+(Inputs!$B$20+Skills!P24)/100),0)</f>
        <v/>
      </c>
      <c r="U100">
        <f>IF(C100,(H100*N100*IF(AND(Inputs!$B$38&lt;&gt;"pvp",Inputs!$B$43&gt;0),((Skills!G24*((R100-1)*IF(Skills!H24&gt;0,Skills!I24/Skills!H24,1)+IF(Skills!H24&gt;0,MIN(Skills!I24,MAX(0,MAX(0,Inputs!$B$43-B114)-((R100-1)*IF(Inputs!$B$38="pvp",15,MAX(0.1,Skills!E24-IF(Skills!F24=TRUE,Inputs!$B$32,0))))))/Skills!H24,1)))/Inputs!$B$43),G100*Q100)*(1+IF(Inputs!$B$3&gt;=130,0.2*(Skills!I16/Skills!E15+IF(Inputs!$B$3&gt;=126,0.05*(B112+Q89+(H90*B113)/(1+Skills!H14*H90*B113)+Q100),0)*Skills!I16),0)))*IF(Inputs!$B$38="pvp",1,(1+(Inputs!$B$21+Skills!Q24)/100)*(MIN(Skills!R24,Inputs!$B$37))),0)</f>
        <v/>
      </c>
    </row>
    <row r="101">
      <c r="A101">
        <f>Skills!A25</f>
        <v/>
      </c>
      <c r="B101">
        <f>Skills!B25</f>
        <v/>
      </c>
      <c r="C101">
        <f>Inputs!$B$3&gt;=117</f>
        <v/>
      </c>
      <c r="D101">
        <f>IF(Skills!C25=1,60+Inputs!$B$25+Inputs!$B$29,IF(Skills!C25=2,90+Inputs!$B$26+Inputs!$B$29,IF(Skills!C25=3,120+Inputs!$B$27+Inputs!$B$29,MAX(0,(Inputs!$B$3-100)*3)+Inputs!$B$28+Inputs!$B$29)))</f>
        <v/>
      </c>
      <c r="E101">
        <f>INDEX(FactorTable!$B$2:$Y$301, MATCH(ROUND(MIN(300,MAX(1,D101)),0), FactorTable!$A$2:$A$301,0), Skills!M25+1)</f>
        <v/>
      </c>
      <c r="F101">
        <f>IF(Skills!N25=TRUE,(Skills!L25/10)*(E101/1000),Skills!L25/10)+Skills!O25</f>
        <v/>
      </c>
      <c r="G101">
        <f>Calc!G25</f>
        <v/>
      </c>
      <c r="H101">
        <f>Calc!H25</f>
        <v/>
      </c>
      <c r="I101">
        <f>IF(Skills!X25&lt;&gt;"",1+(Skills!X25/10)*(Z79/1000)/100,1)</f>
        <v/>
      </c>
      <c r="J101" t="inlineStr"/>
      <c r="K101" t="inlineStr"/>
      <c r="L101" t="inlineStr"/>
      <c r="M101" t="inlineStr"/>
      <c r="N101" t="inlineStr"/>
      <c r="O101">
        <f>(1-Summary!$B$56)*S101+Summary!$B$56*U101</f>
        <v/>
      </c>
      <c r="P101">
        <f>IF(B117=0,0,O101/B117)</f>
        <v/>
      </c>
      <c r="Q101">
        <f>IFERROR(1/IF(Inputs!$B$38="pvp",15,MAX(0.1,Skills!E25-IF(Skills!F25=TRUE,Inputs!$B$32,0))),0)</f>
        <v/>
      </c>
      <c r="R101" t="n">
        <v>0</v>
      </c>
      <c r="S101" t="n">
        <v>0</v>
      </c>
      <c r="U101" t="n">
        <v>0</v>
      </c>
    </row>
    <row r="102">
      <c r="A102">
        <f>Skills!A26</f>
        <v/>
      </c>
      <c r="B102">
        <f>Skills!B26</f>
        <v/>
      </c>
      <c r="C102">
        <f>Inputs!$B$3&gt;=120</f>
        <v/>
      </c>
      <c r="D102">
        <f>IF(Skills!C26=1,60+Inputs!$B$25+Inputs!$B$29,IF(Skills!C26=2,90+Inputs!$B$26+Inputs!$B$29,IF(Skills!C26=3,120+Inputs!$B$27+Inputs!$B$29,MAX(0,(Inputs!$B$3-100)*3)+Inputs!$B$28+Inputs!$B$29)))</f>
        <v/>
      </c>
      <c r="E102">
        <f>INDEX(FactorTable!$B$2:$Y$301, MATCH(ROUND(MIN(300,MAX(1,D102)),0), FactorTable!$A$2:$A$301,0), Skills!M26+1)</f>
        <v/>
      </c>
      <c r="F102">
        <f>IF(Skills!N26=TRUE,(Skills!L26/10)*(E102/1000),Skills!L26/10)+Skills!O26</f>
        <v/>
      </c>
      <c r="G102">
        <f>Calc!G26</f>
        <v/>
      </c>
      <c r="H102">
        <f>Calc!H26</f>
        <v/>
      </c>
      <c r="I102">
        <f>IF(Skills!X26&lt;&gt;"",1+(Skills!X26/10)*(Z79/1000)/100,1)</f>
        <v/>
      </c>
      <c r="J102" t="inlineStr"/>
      <c r="K102" t="inlineStr"/>
      <c r="L102" t="inlineStr"/>
      <c r="M102" t="inlineStr"/>
      <c r="N102" t="inlineStr"/>
      <c r="O102">
        <f>(1-Summary!$B$56)*S102+Summary!$B$56*U102</f>
        <v/>
      </c>
      <c r="P102">
        <f>IF(B117=0,0,O102/B117)</f>
        <v/>
      </c>
      <c r="Q102">
        <f>IFERROR(1/IF(Inputs!$B$38="pvp",15,MAX(0.1,Skills!E26-IF(Skills!F26=TRUE,Inputs!$B$32,0))),0)</f>
        <v/>
      </c>
      <c r="R102" t="n">
        <v>0</v>
      </c>
      <c r="S102" t="n">
        <v>0</v>
      </c>
      <c r="U102" t="n">
        <v>0</v>
      </c>
    </row>
    <row r="103">
      <c r="A103">
        <f>Skills!A27</f>
        <v/>
      </c>
      <c r="B103">
        <f>Skills!B27</f>
        <v/>
      </c>
      <c r="C103">
        <f>Inputs!$B$3&gt;=125</f>
        <v/>
      </c>
      <c r="D103">
        <f>IF(Skills!C27=1,60+Inputs!$B$25+Inputs!$B$29,IF(Skills!C27=2,90+Inputs!$B$26+Inputs!$B$29,IF(Skills!C27=3,120+Inputs!$B$27+Inputs!$B$29,MAX(0,(Inputs!$B$3-100)*3)+Inputs!$B$28+Inputs!$B$29)))</f>
        <v/>
      </c>
      <c r="E103">
        <f>INDEX(FactorTable!$B$2:$Y$301, MATCH(ROUND(MIN(300,MAX(1,D103)),0), FactorTable!$A$2:$A$301,0), Skills!M27+1)</f>
        <v/>
      </c>
      <c r="F103">
        <f>IF(Skills!N27=TRUE,(Skills!L27/10)*(E103/1000),Skills!L27/10)+Skills!O27</f>
        <v/>
      </c>
      <c r="G103">
        <f>Calc!G27</f>
        <v/>
      </c>
      <c r="H103">
        <f>Calc!H27</f>
        <v/>
      </c>
      <c r="I103">
        <f>IF(Skills!X27&lt;&gt;"",1+(Skills!X27/10)*(Z79/1000)/100,1)</f>
        <v/>
      </c>
      <c r="J103" t="inlineStr"/>
      <c r="K103" t="inlineStr"/>
      <c r="L103" t="inlineStr"/>
      <c r="M103" t="inlineStr"/>
      <c r="N103" t="inlineStr"/>
      <c r="O103">
        <f>(1-Summary!$B$56)*S103+Summary!$B$56*U103</f>
        <v/>
      </c>
      <c r="P103">
        <f>IF(B117=0,0,O103/B117)</f>
        <v/>
      </c>
      <c r="Q103">
        <f>IFERROR(1/IF(Inputs!$B$38="pvp",15,MAX(0.1,Skills!E27-IF(Skills!F27=TRUE,Inputs!$B$32,0))),0)</f>
        <v/>
      </c>
      <c r="R103" t="n">
        <v>0</v>
      </c>
      <c r="S103" t="n">
        <v>0</v>
      </c>
      <c r="U103" t="n">
        <v>0</v>
      </c>
    </row>
    <row r="104">
      <c r="A104">
        <f>Skills!A28</f>
        <v/>
      </c>
      <c r="B104">
        <f>Skills!B28</f>
        <v/>
      </c>
      <c r="C104">
        <f>Inputs!$B$3&gt;=118</f>
        <v/>
      </c>
      <c r="D104">
        <f>IF(Skills!C28=1,60+Inputs!$B$25+Inputs!$B$29,IF(Skills!C28=2,90+Inputs!$B$26+Inputs!$B$29,IF(Skills!C28=3,120+Inputs!$B$27+Inputs!$B$29,MAX(0,(Inputs!$B$3-100)*3)+Inputs!$B$28+Inputs!$B$29)))</f>
        <v/>
      </c>
      <c r="E104">
        <f>INDEX(FactorTable!$B$2:$Y$301, MATCH(ROUND(MIN(300,MAX(1,D104)),0), FactorTable!$A$2:$A$301,0), Skills!M28+1)</f>
        <v/>
      </c>
      <c r="F104">
        <f>IF(Skills!N28=TRUE,(Skills!L28/10)*(E104/1000),Skills!L28/10)+Skills!O28</f>
        <v/>
      </c>
      <c r="G104">
        <f>Calc!G28</f>
        <v/>
      </c>
      <c r="H104">
        <f>Calc!H28</f>
        <v/>
      </c>
      <c r="I104">
        <f>IF(Skills!X28&lt;&gt;"",1+(Skills!X28/10)*(Z79/1000)/100,1)</f>
        <v/>
      </c>
      <c r="J104">
        <f>((Inputs!$B$6*(1+Inputs!$B$7/100))+(((Inputs!$B$12*(1+(Inputs!$B$13+1)/100))-(Inputs!$B$12*(1+Inputs!$B$13/100)))+0.25*(Inputs!$B$14-Inputs!$B$14))*(1+Inputs!$B$7/100))*(F104/100)</f>
        <v/>
      </c>
      <c r="K104">
        <f>J104*(1+((Inputs!$B$12*(1+(Inputs!$B$13+1)/100))*0.01+Inputs!$B$14*0.0025)/100)*(1+Inputs!$B$15/100)*(1+Inputs!$B$16/100)*(5000/(6000+Inputs!$B$42*(1-Inputs!$B$19/100)))*(1+Inputs!$B$24/100)*(1+F99/100)*(1+IF(Inputs!$B$3&gt;=120,F102,0)/100)^5*(1+(IF(Skills!A28="BASIC_ATTACK",Inputs!$B$17,Inputs!$B$18+IF(Inputs!$B$3&gt;=125,F103*5,0)))/100)*(B106*B107*B108*I104)</f>
        <v/>
      </c>
      <c r="L104">
        <f>K104*(MIN(Inputs!$B$22+(F98-Calc!F22),Inputs!$B$23)/100+Inputs!$B$23/100)/2</f>
        <v/>
      </c>
      <c r="M104">
        <f>L104*(1+(Inputs!$B$10+(F97-Calc!F21))/100)</f>
        <v/>
      </c>
      <c r="N104">
        <f>L104*(1-MIN(Inputs!$B$9+(F96-Calc!F20),100)/100)+M104*(MIN(Inputs!$B$9+(F96-Calc!F20),100)/100)</f>
        <v/>
      </c>
      <c r="O104">
        <f>(1-Summary!$B$56)*S104+Summary!$B$56*U104</f>
        <v/>
      </c>
      <c r="P104">
        <f>IF(B117=0,0,O104/B117)</f>
        <v/>
      </c>
      <c r="Q104">
        <f>IFERROR(1/IF(Inputs!$B$38="pvp",15,MAX(0.1,Skills!E28-IF(Skills!F28=TRUE,Inputs!$B$32,0))),0)</f>
        <v/>
      </c>
      <c r="R104">
        <f>IF(AND(Inputs!$B$38&lt;&gt;"pvp",Inputs!$B$43&gt;0),IF(MAX(0,Inputs!$B$43-B114)&lt;=0,0,(INT(MAX(0,Inputs!$B$43-B114)/IF(Inputs!$B$38="pvp",15,MAX(0.1,Skills!E28-IF(Skills!F28=TRUE,Inputs!$B$32,0))))+1)),0)</f>
        <v/>
      </c>
      <c r="S104">
        <f>IF(C104,(H104*N104*IF(AND(Inputs!$B$38&lt;&gt;"pvp",Inputs!$B$43&gt;0),((Skills!G28*((R104-1)*IF(Skills!H28&gt;0,Skills!I28/Skills!H28,1)+IF(Skills!H28&gt;0,MIN(Skills!I28,MAX(0,MAX(0,Inputs!$B$43-B114)-((R104-1)*IF(Inputs!$B$38="pvp",15,MAX(0.1,Skills!E28-IF(Skills!F28=TRUE,Inputs!$B$32,0))))))/Skills!H28,1)))/Inputs!$B$43),G104*Q104))*IF(Inputs!$B$38="pvp",1,1+(Inputs!$B$20+Skills!P28)/100),0)</f>
        <v/>
      </c>
      <c r="U104">
        <f>IF(C104,(H104*N104*IF(AND(Inputs!$B$38&lt;&gt;"pvp",Inputs!$B$43&gt;0),((Skills!G28*((R104-1)*IF(Skills!H28&gt;0,Skills!I28/Skills!H28,1)+IF(Skills!H28&gt;0,MIN(Skills!I28,MAX(0,MAX(0,Inputs!$B$43-B114)-((R104-1)*IF(Inputs!$B$38="pvp",15,MAX(0.1,Skills!E28-IF(Skills!F28=TRUE,Inputs!$B$32,0))))))/Skills!H28,1)))/Inputs!$B$43),G104*Q104))*IF(Inputs!$B$38="pvp",1,(1+(Inputs!$B$21+Skills!Q28)/100)*(MIN(Skills!R28,Inputs!$B$37))),0)</f>
        <v/>
      </c>
    </row>
    <row r="106">
      <c r="A106" t="inlineStr">
        <is>
          <t>Burning Magic Multiplier</t>
        </is>
      </c>
      <c r="B106">
        <f>1+(F87*Skills!Z11)/100</f>
        <v/>
      </c>
    </row>
    <row r="107">
      <c r="A107" t="inlineStr">
        <is>
          <t>Elemental Decrease Multiplier (always-on)</t>
        </is>
      </c>
      <c r="B107">
        <f>1+F88/100</f>
        <v/>
      </c>
    </row>
    <row r="108">
      <c r="A108" t="inlineStr">
        <is>
          <t>Average Buff Multiplier (Magic Guard + Meditation, summed; then Infinity)</t>
        </is>
      </c>
      <c r="B108">
        <f>(1+(F82*IF(AND(Inputs!$B$38&lt;&gt;"pvp",Inputs!$B$43&gt;0),(((R82-1)*(Skills!T6*(1+(Inputs!$B$34+IF(Inputs!$B$3&gt;=117,F101,0))/100))+MIN((Skills!T6*(1+(Inputs!$B$34+IF(Inputs!$B$3&gt;=117,F101,0))/100)),MAX(0,Inputs!$B$43-((R82-1)*Skills!E6))))/Inputs!$B$43),IF(Inputs!$B$38="pvp",MIN((Skills!T6*(1+(Inputs!$B$34+IF(Inputs!$B$3&gt;=117,F101,0))/100)),15)/15,(Skills!T6*(1+(Inputs!$B$34+IF(Inputs!$B$3&gt;=117,F101,0))/100))/Skills!E6))+F93*IF(AND(Inputs!$B$38&lt;&gt;"pvp",Inputs!$B$43&gt;0),(((R93-1)*(Skills!T17*(1+(Inputs!$B$34+IF(Inputs!$B$3&gt;=117,F101,0))/100))+MIN((Skills!T17*(1+(Inputs!$B$34+IF(Inputs!$B$3&gt;=117,F101,0))/100)),MAX(0,Inputs!$B$43-((R93-1)*Skills!E17))))/Inputs!$B$43),IF(Inputs!$B$38="pvp",MIN((Skills!T17*(1+(Inputs!$B$34+IF(Inputs!$B$3&gt;=117,F101,0))/100)),15)/15,(Skills!T17*(1+(Inputs!$B$34+IF(Inputs!$B$3&gt;=117,F101,0))/100))/Skills!E17)))/100)*IF(C95=TRUE,(1+F95*IF(AND(Inputs!$B$38&lt;&gt;"pvp",Inputs!$B$43&gt;0),(((R95-1)*(Skills!T19*(1+(Inputs!$B$34+IF(Inputs!$B$3&gt;=117,F101,0))/100))+MIN((Skills!T19*(1+(Inputs!$B$34+IF(Inputs!$B$3&gt;=117,F101,0))/100)),MAX(0,Inputs!$B$43-((R95-1)*Skills!E19))))/Inputs!$B$43),IF(Inputs!$B$38="pvp",MIN((Skills!T19*(1+(Inputs!$B$34+IF(Inputs!$B$3&gt;=117,F101,0))/100)),15)/15,(Skills!T19*(1+(Inputs!$B$34+IF(Inputs!$B$3&gt;=117,F101,0))/100))/Skills!E19))/100),1)</f>
        <v/>
      </c>
    </row>
    <row r="109">
      <c r="A109" t="inlineStr">
        <is>
          <t>Attack Speed Buff Bonus % (Nimble Feet, averaged)</t>
        </is>
      </c>
      <c r="B109">
        <f>F94*IF(AND(Inputs!$B$38&lt;&gt;"pvp",Inputs!$B$43&gt;0),(((R94-1)*(Skills!T18*(1+(Inputs!$B$34+IF(Inputs!$B$3&gt;=117,F101,0))/100))+MIN((Skills!T18*(1+(Inputs!$B$34+IF(Inputs!$B$3&gt;=117,F101,0))/100)),MAX(0,Inputs!$B$43-((R94-1)*Skills!E18))))/Inputs!$B$43),IF(Inputs!$B$38="pvp",MIN((Skills!T18*(1+(Inputs!$B$34+IF(Inputs!$B$3&gt;=117,F101,0))/100)),15)/15,(Skills!T18*(1+(Inputs!$B$34+IF(Inputs!$B$3&gt;=117,F101,0))/100))/Skills!E18))</f>
        <v/>
      </c>
    </row>
    <row r="110">
      <c r="A110" t="inlineStr">
        <is>
          <t>Actions Per Second</t>
        </is>
      </c>
      <c r="B110">
        <f>1+MIN(150,150*(1-(1-Inputs!$B$11/150)*(1-B109/150)))/100</f>
        <v/>
      </c>
    </row>
    <row r="111">
      <c r="A111" t="inlineStr">
        <is>
          <t>Skill + Buff Cast Rate</t>
        </is>
      </c>
      <c r="B111">
        <f>IF(AND(Inputs!$B$38&lt;&gt;"pvp",Inputs!$B$43&gt;0),SUMPRODUCT((Skills!F2:F28=TRUE)*(C78:C104=TRUE)*R78:R104)/Inputs!$B$43,SUMPRODUCT((Skills!F2:F28=TRUE)*(C78:C104=TRUE)*Q78:Q104))</f>
        <v/>
      </c>
    </row>
    <row r="112">
      <c r="A112" t="inlineStr">
        <is>
          <t>Basic Attacks Per Second</t>
        </is>
      </c>
      <c r="B112">
        <f>MAX(0,B110-B111)</f>
        <v/>
      </c>
    </row>
    <row r="113">
      <c r="A113" t="inlineStr">
        <is>
          <t>Meteor Proc — combined trigger cast rate</t>
        </is>
      </c>
      <c r="B113">
        <f>IF(AND(Inputs!$B$38&lt;&gt;"pvp",Inputs!$B$43&gt;0),SUMPRODUCT((Skills!V2:V28=TRUE)*(C78:C104=TRUE)*R78:R104*Skills!W2:W28)/Inputs!$B$43,SUMPRODUCT((Skills!V2:V28=TRUE)*(C78:C104=TRUE)*Q78:Q104*Skills!W2:W28))+B112</f>
        <v/>
      </c>
    </row>
    <row r="114">
      <c r="A114" t="inlineStr">
        <is>
          <t>Buff-Casting Startup Delay (s, fixed-duration only)</t>
        </is>
      </c>
      <c r="B114">
        <f>IF(AND(Inputs!$B$38&lt;&gt;"pvp",Inputs!$B$43&gt;0),SUMPRODUCT((Skills!T2:T28&gt;0)*(Skills!F2:F28=TRUE)*(C78:C104=TRUE))/B110,0)</f>
        <v/>
      </c>
    </row>
    <row r="115">
      <c r="A115" t="inlineStr">
        <is>
          <t>Boss-Only Total DPS (this block's swept value)</t>
        </is>
      </c>
      <c r="B115">
        <f>SUM(S78:S104)</f>
        <v/>
      </c>
    </row>
    <row r="116">
      <c r="A116" t="inlineStr">
        <is>
          <t>Normal-Only Total DPS (this block's swept value)</t>
        </is>
      </c>
      <c r="B116">
        <f>SUM(U78:U104)</f>
        <v/>
      </c>
    </row>
    <row r="117">
      <c r="A117" s="5" t="inlineStr">
        <is>
          <t>TOTAL DPS</t>
        </is>
      </c>
      <c r="B117" s="5">
        <f>SUM(O78:O104)</f>
        <v/>
      </c>
    </row>
    <row r="120">
      <c r="A120" s="5" t="inlineStr">
        <is>
          <t>Stat: DAMAGE %</t>
        </is>
      </c>
    </row>
    <row r="121">
      <c r="A121" s="9" t="inlineStr">
        <is>
          <t>Key</t>
        </is>
      </c>
      <c r="B121" s="9" t="inlineStr">
        <is>
          <t>Name</t>
        </is>
      </c>
      <c r="C121" s="9" t="inlineStr">
        <is>
          <t>Unlocked</t>
        </is>
      </c>
      <c r="D121" s="9" t="inlineStr">
        <is>
          <t>InputLevel</t>
        </is>
      </c>
      <c r="E121" s="9" t="inlineStr">
        <is>
          <t>Factor</t>
        </is>
      </c>
      <c r="F121" s="9" t="inlineStr">
        <is>
          <t>CoefficientPercent</t>
        </is>
      </c>
      <c r="G121" s="9" t="inlineStr">
        <is>
          <t>EffectiveHits</t>
        </is>
      </c>
      <c r="H121" s="9" t="inlineStr">
        <is>
          <t>ProcProbability</t>
        </is>
      </c>
      <c r="I121" s="9" t="inlineStr">
        <is>
          <t>MapleHeroMultiplier</t>
        </is>
      </c>
      <c r="J121" s="9" t="inlineStr">
        <is>
          <t>BaseDamage</t>
        </is>
      </c>
      <c r="K121" s="9" t="inlineStr">
        <is>
          <t>BaseHitDamage</t>
        </is>
      </c>
      <c r="L121" s="9" t="inlineStr">
        <is>
          <t>NonCritAvg</t>
        </is>
      </c>
      <c r="M121" s="9" t="inlineStr">
        <is>
          <t>CritAvg</t>
        </is>
      </c>
      <c r="N121" s="9" t="inlineStr">
        <is>
          <t>ExpectedDamage(perHit)</t>
        </is>
      </c>
      <c r="O121" s="9" t="inlineStr">
        <is>
          <t>DPS</t>
        </is>
      </c>
      <c r="P121" s="9" t="inlineStr">
        <is>
          <t>% of Total</t>
        </is>
      </c>
      <c r="R121" t="inlineStr">
        <is>
          <t>helpers</t>
        </is>
      </c>
    </row>
    <row r="122">
      <c r="A122">
        <f>Skills!A2</f>
        <v/>
      </c>
      <c r="B122">
        <f>Skills!B2</f>
        <v/>
      </c>
      <c r="C122">
        <f>TRUE</f>
        <v/>
      </c>
      <c r="D122" t="inlineStr"/>
      <c r="E122" t="inlineStr"/>
      <c r="F122">
        <f>T124+Skills!O2</f>
        <v/>
      </c>
      <c r="G122">
        <f>Calc!G2</f>
        <v/>
      </c>
      <c r="H122">
        <f>Calc!H2</f>
        <v/>
      </c>
      <c r="I122">
        <f>IF(Skills!X2&lt;&gt;"",1+(Skills!X2/10)*(Z123/1000)/100,1)</f>
        <v/>
      </c>
      <c r="J122">
        <f>((Inputs!$B$6*(1+Inputs!$B$7/100))+(((Inputs!$B$12*(1+Inputs!$B$13/100))-(Inputs!$B$12*(1+Inputs!$B$13/100)))+0.25*(Inputs!$B$14-Inputs!$B$14))*(1+Inputs!$B$7/100))*(F122/100)</f>
        <v/>
      </c>
      <c r="K122">
        <f>J122*(1+((Inputs!$B$12*(1+Inputs!$B$13/100))*0.01+Inputs!$B$14*0.0025)/100)*(1+(Inputs!$B$15+1)/100)*(1+Inputs!$B$16/100)*(5000/(6000+Inputs!$B$42*(1-Inputs!$B$19/100)))*(1+Inputs!$B$24/100)*(1+F143/100)*(1+IF(Inputs!$B$3&gt;=120,F146,0)/100)^5*(1+(IF(Skills!A2="BASIC_ATTACK",Inputs!$B$17,Inputs!$B$18+IF(Inputs!$B$3&gt;=125,F147*5,0)))/100)*(B150*B151*B152*I122)</f>
        <v/>
      </c>
      <c r="L122">
        <f>K122*(MIN(Inputs!$B$22+(F142-Calc!F22),Inputs!$B$23)/100+Inputs!$B$23/100)/2</f>
        <v/>
      </c>
      <c r="M122">
        <f>L122*(1+(Inputs!$B$10+(F141-Calc!F21))/100)</f>
        <v/>
      </c>
      <c r="N122">
        <f>L122*(1-MIN(Inputs!$B$9+(F140-Calc!F20),100)/100)+M122*(MIN(Inputs!$B$9+(F140-Calc!F20),100)/100)</f>
        <v/>
      </c>
      <c r="O122">
        <f>(1-Summary!$B$56)*S122+Summary!$B$56*U122</f>
        <v/>
      </c>
      <c r="P122">
        <f>IF(B161=0,0,O122/B161)</f>
        <v/>
      </c>
      <c r="Q122">
        <f>IFERROR(1/IF(Inputs!$B$38="pvp",15,MAX(0.1,Skills!E2-IF(Skills!F2=TRUE,Inputs!$B$32,0))),0)</f>
        <v/>
      </c>
      <c r="R122" t="n">
        <v>0</v>
      </c>
      <c r="S122">
        <f>(Skills!G2*N122*B156)*IF(Inputs!$B$38="pvp",1,1+(Inputs!$B$20+Skills!P2)/100)</f>
        <v/>
      </c>
      <c r="T122">
        <f>MAX(0,(Inputs!$B$3-100)*3)+Inputs!$B$28+Inputs!$B$29</f>
        <v/>
      </c>
      <c r="U122">
        <f>(Skills!G2*N122*B156)*IF(Inputs!$B$38="pvp",1,(1+(Inputs!$B$21+Skills!Q2)/100)*(MIN((6+Inputs!$B$33+IF(Inputs!$B$3&gt;=136,1,0)),Inputs!$B$37)))</f>
        <v/>
      </c>
      <c r="Z122">
        <f>MAX(0,(Inputs!$B$3-100)*3)+Inputs!$B$28+Inputs!$B$29</f>
        <v/>
      </c>
    </row>
    <row r="123">
      <c r="A123">
        <f>Skills!A3</f>
        <v/>
      </c>
      <c r="B123">
        <f>Skills!B3</f>
        <v/>
      </c>
      <c r="C123">
        <f>TRUE</f>
        <v/>
      </c>
      <c r="D123">
        <f>IF(Skills!C3=1,60+Inputs!$B$25+Inputs!$B$29,IF(Skills!C3=2,90+Inputs!$B$26+Inputs!$B$29,IF(Skills!C3=3,120+Inputs!$B$27+Inputs!$B$29,MAX(0,(Inputs!$B$3-100)*3)+Inputs!$B$28+Inputs!$B$29)))</f>
        <v/>
      </c>
      <c r="E123">
        <f>INDEX(FactorTable!$B$2:$Y$301, MATCH(ROUND(MIN(300,MAX(1,D123)),0), FactorTable!$A$2:$A$301,0), Skills!M3+1)</f>
        <v/>
      </c>
      <c r="F123">
        <f>IF(Skills!N3=TRUE,(Skills!L3/10)*(E123/1000),Skills!L3/10)+Skills!O3</f>
        <v/>
      </c>
      <c r="G123">
        <f>Calc!G3</f>
        <v/>
      </c>
      <c r="H123">
        <f>Calc!H3</f>
        <v/>
      </c>
      <c r="I123">
        <f>IF(Skills!X3&lt;&gt;"",1+(Skills!X3/10)*(Z123/1000)/100,1)</f>
        <v/>
      </c>
      <c r="J123">
        <f>((Inputs!$B$6*(1+Inputs!$B$7/100))+(((Inputs!$B$12*(1+Inputs!$B$13/100))-(Inputs!$B$12*(1+Inputs!$B$13/100)))+0.25*(Inputs!$B$14-Inputs!$B$14))*(1+Inputs!$B$7/100))*(F123/100)</f>
        <v/>
      </c>
      <c r="K123">
        <f>J123*(1+((Inputs!$B$12*(1+Inputs!$B$13/100))*0.01+Inputs!$B$14*0.0025)/100)*(1+(Inputs!$B$15+1)/100)*(1+Inputs!$B$16/100)*(5000/(6000+Inputs!$B$42*(1-Inputs!$B$19/100)))*(1+Inputs!$B$24/100)*(1+F143/100)*(1+IF(Inputs!$B$3&gt;=120,F146,0)/100)^5*(1+(IF(Skills!A3="BASIC_ATTACK",Inputs!$B$17,Inputs!$B$18+IF(Inputs!$B$3&gt;=125,F147*5,0)))/100)*(B150*B151*B152*I123)</f>
        <v/>
      </c>
      <c r="L123">
        <f>K123*(MIN(Inputs!$B$22+(F142-Calc!F22),Inputs!$B$23)/100+Inputs!$B$23/100)/2</f>
        <v/>
      </c>
      <c r="M123">
        <f>L123*(1+(Inputs!$B$10+(F141-Calc!F21))/100)</f>
        <v/>
      </c>
      <c r="N123">
        <f>L123*(1-MIN(Inputs!$B$9+(F140-Calc!F20),100)/100)+M123*(MIN(Inputs!$B$9+(F140-Calc!F20),100)/100)</f>
        <v/>
      </c>
      <c r="O123">
        <f>(1-Summary!$B$56)*S123+Summary!$B$56*U123</f>
        <v/>
      </c>
      <c r="P123">
        <f>IF(B161=0,0,O123/B161)</f>
        <v/>
      </c>
      <c r="Q123">
        <f>IFERROR(1/IF(Inputs!$B$38="pvp",15,MAX(0.1,Skills!E3-IF(Skills!F3=TRUE,Inputs!$B$32,0))),0)</f>
        <v/>
      </c>
      <c r="R123">
        <f>IF(AND(Inputs!$B$38&lt;&gt;"pvp",Inputs!$B$43&gt;0),IF(MAX(0,Inputs!$B$43-B158)&lt;=0,0,(INT(MAX(0,Inputs!$B$43-B158)/IF(Inputs!$B$38="pvp",15,MAX(0.1,Skills!E3-IF(Skills!F3=TRUE,Inputs!$B$32,0))))+1)),0)</f>
        <v/>
      </c>
      <c r="S123">
        <f>IF(C123,(H123*N123*IF(AND(Inputs!$B$38&lt;&gt;"pvp",Inputs!$B$43&gt;0),((Skills!G3*((R123-1)*IF(Skills!H3&gt;0,Skills!I3/Skills!H3,1)+IF(Skills!H3&gt;0,MIN(Skills!I3,MAX(0,MAX(0,Inputs!$B$43-B158)-((R123-1)*IF(Inputs!$B$38="pvp",15,MAX(0.1,Skills!E3-IF(Skills!F3=TRUE,Inputs!$B$32,0))))))/Skills!H3,1)))/Inputs!$B$43),G123*Q123))*IF(Inputs!$B$38="pvp",1,1+(Inputs!$B$20+Skills!P3)/100),0)</f>
        <v/>
      </c>
      <c r="T123">
        <f>INDEX(FactorTable!$B$2:$Y$301, MATCH(ROUND(MIN(300,MAX(1,T122)),0), FactorTable!$A$2:$A$301,0), 22)</f>
        <v/>
      </c>
      <c r="U123">
        <f>IF(C123,(H123*N123*IF(AND(Inputs!$B$38&lt;&gt;"pvp",Inputs!$B$43&gt;0),((Skills!G3*((R123-1)*IF(Skills!H3&gt;0,Skills!I3/Skills!H3,1)+IF(Skills!H3&gt;0,MIN(Skills!I3,MAX(0,MAX(0,Inputs!$B$43-B158)-((R123-1)*IF(Inputs!$B$38="pvp",15,MAX(0.1,Skills!E3-IF(Skills!F3=TRUE,Inputs!$B$32,0))))))/Skills!H3,1)))/Inputs!$B$43),G123*Q123))*IF(Inputs!$B$38="pvp",1,(1+(Inputs!$B$21+Skills!Q3)/100)*(MIN(Skills!R3,Inputs!$B$37))),0)</f>
        <v/>
      </c>
      <c r="Z123">
        <f>INDEX(FactorTable!$B$2:$Y$301, MATCH(ROUND(MIN(300,MAX(1,Z122)),0), FactorTable!$A$2:$A$301,0), 24)</f>
        <v/>
      </c>
    </row>
    <row r="124">
      <c r="A124">
        <f>Skills!A4</f>
        <v/>
      </c>
      <c r="B124">
        <f>Skills!B4</f>
        <v/>
      </c>
      <c r="C124">
        <f>TRUE</f>
        <v/>
      </c>
      <c r="D124">
        <f>IF(Skills!C4=1,60+Inputs!$B$25+Inputs!$B$29,IF(Skills!C4=2,90+Inputs!$B$26+Inputs!$B$29,IF(Skills!C4=3,120+Inputs!$B$27+Inputs!$B$29,MAX(0,(Inputs!$B$3-100)*3)+Inputs!$B$28+Inputs!$B$29)))</f>
        <v/>
      </c>
      <c r="E124">
        <f>INDEX(FactorTable!$B$2:$Y$301, MATCH(ROUND(MIN(300,MAX(1,D124)),0), FactorTable!$A$2:$A$301,0), Skills!M4+1)</f>
        <v/>
      </c>
      <c r="F124">
        <f>IF(Skills!N4=TRUE,(Skills!L4/10)*(E124/1000),Skills!L4/10)+Skills!O4</f>
        <v/>
      </c>
      <c r="G124">
        <f>Calc!G4</f>
        <v/>
      </c>
      <c r="H124">
        <f>Calc!H4</f>
        <v/>
      </c>
      <c r="I124">
        <f>IF(Skills!X4&lt;&gt;"",1+(Skills!X4/10)*(Z123/1000)/100,1)</f>
        <v/>
      </c>
      <c r="J124">
        <f>((Inputs!$B$6*(1+Inputs!$B$7/100))+(((Inputs!$B$12*(1+Inputs!$B$13/100))-(Inputs!$B$12*(1+Inputs!$B$13/100)))+0.25*(Inputs!$B$14-Inputs!$B$14))*(1+Inputs!$B$7/100))*(F124/100)</f>
        <v/>
      </c>
      <c r="K124">
        <f>J124*(1+((Inputs!$B$12*(1+Inputs!$B$13/100))*0.01+Inputs!$B$14*0.0025)/100)*(1+(Inputs!$B$15+1)/100)*(1+Inputs!$B$16/100)*(5000/(6000+Inputs!$B$42*(1-Inputs!$B$19/100)))*(1+Inputs!$B$24/100)*(1+F143/100)*(1+IF(Inputs!$B$3&gt;=120,F146,0)/100)^5*(1+(IF(Skills!A4="BASIC_ATTACK",Inputs!$B$17,Inputs!$B$18+IF(Inputs!$B$3&gt;=125,F147*5,0)))/100)*(B150*B151*B152*I124)</f>
        <v/>
      </c>
      <c r="L124">
        <f>K124*(MIN(Inputs!$B$22+(F142-Calc!F22),Inputs!$B$23)/100+Inputs!$B$23/100)/2</f>
        <v/>
      </c>
      <c r="M124">
        <f>L124*(1+(Inputs!$B$10+(F141-Calc!F21))/100)</f>
        <v/>
      </c>
      <c r="N124">
        <f>L124*(1-MIN(Inputs!$B$9+(F140-Calc!F20),100)/100)+M124*(MIN(Inputs!$B$9+(F140-Calc!F20),100)/100)</f>
        <v/>
      </c>
      <c r="O124">
        <f>(1-Summary!$B$56)*S124+Summary!$B$56*U124</f>
        <v/>
      </c>
      <c r="P124">
        <f>IF(B161=0,0,O124/B161)</f>
        <v/>
      </c>
      <c r="Q124">
        <f>IFERROR(1/IF(Inputs!$B$38="pvp",15,MAX(0.1,Skills!E4-IF(Skills!F4=TRUE,Inputs!$B$32,0))),0)</f>
        <v/>
      </c>
      <c r="R124">
        <f>IF(AND(Inputs!$B$38&lt;&gt;"pvp",Inputs!$B$43&gt;0),IF(MAX(0,Inputs!$B$43-B158)&lt;=0,0,(INT(MAX(0,Inputs!$B$43-B158)/IF(Inputs!$B$38="pvp",15,MAX(0.1,Skills!E4-IF(Skills!F4=TRUE,Inputs!$B$32,0))))+1)),0)</f>
        <v/>
      </c>
      <c r="S124">
        <f>IF(C124,(H124*N124*IF(AND(Inputs!$B$38&lt;&gt;"pvp",Inputs!$B$43&gt;0),((Skills!G4*((R124-1)*IF(Skills!H4&gt;0,Skills!I4/Skills!H4,1)+IF(Skills!H4&gt;0,MIN(Skills!I4,MAX(0,MAX(0,Inputs!$B$43-B158)-((R124-1)*IF(Inputs!$B$38="pvp",15,MAX(0.1,Skills!E4-IF(Skills!F4=TRUE,Inputs!$B$32,0))))))/Skills!H4,1)))/Inputs!$B$43),G124*Q124))*IF(Inputs!$B$38="pvp",1,1+(Inputs!$B$20+Skills!P4)/100),0)</f>
        <v/>
      </c>
      <c r="T124">
        <f>290*T123/1000</f>
        <v/>
      </c>
      <c r="U124">
        <f>IF(C124,(H124*N124*IF(AND(Inputs!$B$38&lt;&gt;"pvp",Inputs!$B$43&gt;0),((Skills!G4*((R124-1)*IF(Skills!H4&gt;0,Skills!I4/Skills!H4,1)+IF(Skills!H4&gt;0,MIN(Skills!I4,MAX(0,MAX(0,Inputs!$B$43-B158)-((R124-1)*IF(Inputs!$B$38="pvp",15,MAX(0.1,Skills!E4-IF(Skills!F4=TRUE,Inputs!$B$32,0))))))/Skills!H4,1)))/Inputs!$B$43),G124*Q124))*IF(Inputs!$B$38="pvp",1,(1+(Inputs!$B$21+Skills!Q4)/100)*(MIN(Skills!R4,Inputs!$B$37))),0)</f>
        <v/>
      </c>
    </row>
    <row r="125">
      <c r="A125">
        <f>Skills!A5</f>
        <v/>
      </c>
      <c r="B125">
        <f>Skills!B5</f>
        <v/>
      </c>
      <c r="C125">
        <f>TRUE</f>
        <v/>
      </c>
      <c r="D125">
        <f>IF(Skills!C5=1,60+Inputs!$B$25+Inputs!$B$29,IF(Skills!C5=2,90+Inputs!$B$26+Inputs!$B$29,IF(Skills!C5=3,120+Inputs!$B$27+Inputs!$B$29,MAX(0,(Inputs!$B$3-100)*3)+Inputs!$B$28+Inputs!$B$29)))</f>
        <v/>
      </c>
      <c r="E125">
        <f>INDEX(FactorTable!$B$2:$Y$301, MATCH(ROUND(MIN(300,MAX(1,D125)),0), FactorTable!$A$2:$A$301,0), Skills!M5+1)</f>
        <v/>
      </c>
      <c r="F125">
        <f>IF(Skills!N5=TRUE,(Skills!L5/10)*(E125/1000),Skills!L5/10)+Skills!O5</f>
        <v/>
      </c>
      <c r="G125">
        <f>Calc!G5</f>
        <v/>
      </c>
      <c r="H125">
        <f>Calc!H5</f>
        <v/>
      </c>
      <c r="I125">
        <f>IF(Skills!X5&lt;&gt;"",1+(Skills!X5/10)*(Z123/1000)/100,1)</f>
        <v/>
      </c>
      <c r="J125">
        <f>((Inputs!$B$6*(1+Inputs!$B$7/100))+(((Inputs!$B$12*(1+Inputs!$B$13/100))-(Inputs!$B$12*(1+Inputs!$B$13/100)))+0.25*(Inputs!$B$14-Inputs!$B$14))*(1+Inputs!$B$7/100))*(F125/100)</f>
        <v/>
      </c>
      <c r="K125">
        <f>J125*(1+((Inputs!$B$12*(1+Inputs!$B$13/100))*0.01+Inputs!$B$14*0.0025)/100)*(1+(Inputs!$B$15+1)/100)*(1+Inputs!$B$16/100)*(5000/(6000+Inputs!$B$42*(1-Inputs!$B$19/100)))*(1+Inputs!$B$24/100)*(1+F143/100)*(1+IF(Inputs!$B$3&gt;=120,F146,0)/100)^5*(1+(IF(Skills!A5="BASIC_ATTACK",Inputs!$B$17,Inputs!$B$18+IF(Inputs!$B$3&gt;=125,F147*5,0)))/100)*(B150*B151*B152*I125)</f>
        <v/>
      </c>
      <c r="L125">
        <f>K125*(MIN(Inputs!$B$22+(F142-Calc!F22),Inputs!$B$23)/100+Inputs!$B$23/100)/2</f>
        <v/>
      </c>
      <c r="M125">
        <f>L125*(1+(Inputs!$B$10+(F141-Calc!F21))/100)</f>
        <v/>
      </c>
      <c r="N125">
        <f>L125*(1-MIN(Inputs!$B$9+(F140-Calc!F20),100)/100)+M125*(MIN(Inputs!$B$9+(F140-Calc!F20),100)/100)</f>
        <v/>
      </c>
      <c r="O125">
        <f>(1-Summary!$B$56)*S125+Summary!$B$56*U125</f>
        <v/>
      </c>
      <c r="P125">
        <f>IF(B161=0,0,O125/B161)</f>
        <v/>
      </c>
      <c r="Q125">
        <f>IFERROR(1/IF(Inputs!$B$38="pvp",15,MAX(0.1,Skills!E5-IF(Skills!F5=TRUE,Inputs!$B$32,0))),0)</f>
        <v/>
      </c>
      <c r="R125">
        <f>IF(AND(Inputs!$B$38&lt;&gt;"pvp",Inputs!$B$43&gt;0),IF(MAX(0,Inputs!$B$43-B158)&lt;=0,0,(INT(MAX(0,Inputs!$B$43-B158)/IF(Inputs!$B$38="pvp",15,MAX(0.1,Skills!E5-IF(Skills!F5=TRUE,Inputs!$B$32,0))))+1)),0)</f>
        <v/>
      </c>
      <c r="S125">
        <f>IF(C125,(H125*N125*IF(AND(Inputs!$B$38&lt;&gt;"pvp",Inputs!$B$43&gt;0),((Skills!G5*((R125-1)*IF(Skills!H5&gt;0,Skills!I5/Skills!H5,1)+IF(Skills!H5&gt;0,MIN(Skills!I5,MAX(0,MAX(0,Inputs!$B$43-B158)-((R125-1)*IF(Inputs!$B$38="pvp",15,MAX(0.1,Skills!E5-IF(Skills!F5=TRUE,Inputs!$B$32,0))))))/Skills!H5,1)))/Inputs!$B$43),G125*Q125))*IF(Inputs!$B$38="pvp",1,1+(Inputs!$B$20+Skills!P5)/100),0)</f>
        <v/>
      </c>
      <c r="U125">
        <f>IF(C125,(H125*N125*IF(AND(Inputs!$B$38&lt;&gt;"pvp",Inputs!$B$43&gt;0),((Skills!G5*((R125-1)*IF(Skills!H5&gt;0,Skills!I5/Skills!H5,1)+IF(Skills!H5&gt;0,MIN(Skills!I5,MAX(0,MAX(0,Inputs!$B$43-B158)-((R125-1)*IF(Inputs!$B$38="pvp",15,MAX(0.1,Skills!E5-IF(Skills!F5=TRUE,Inputs!$B$32,0))))))/Skills!H5,1)))/Inputs!$B$43),G125*Q125))*IF(Inputs!$B$38="pvp",1,(1+(Inputs!$B$21+Skills!Q5)/100)*(MIN(Skills!R5,Inputs!$B$37))),0)</f>
        <v/>
      </c>
    </row>
    <row r="126">
      <c r="A126">
        <f>Skills!A6</f>
        <v/>
      </c>
      <c r="B126">
        <f>Skills!B6</f>
        <v/>
      </c>
      <c r="C126">
        <f>TRUE</f>
        <v/>
      </c>
      <c r="D126">
        <f>IF(Skills!C6=1,60+Inputs!$B$25+Inputs!$B$29,IF(Skills!C6=2,90+Inputs!$B$26+Inputs!$B$29,IF(Skills!C6=3,120+Inputs!$B$27+Inputs!$B$29,MAX(0,(Inputs!$B$3-100)*3)+Inputs!$B$28+Inputs!$B$29)))</f>
        <v/>
      </c>
      <c r="E126">
        <f>INDEX(FactorTable!$B$2:$Y$301, MATCH(ROUND(MIN(300,MAX(1,D126)),0), FactorTable!$A$2:$A$301,0), Skills!M6+1)</f>
        <v/>
      </c>
      <c r="F126">
        <f>IF(Skills!N6=TRUE,(Skills!L6/10)*(E126/1000),Skills!L6/10)+Skills!O6</f>
        <v/>
      </c>
      <c r="G126">
        <f>Calc!G6</f>
        <v/>
      </c>
      <c r="H126">
        <f>Calc!H6</f>
        <v/>
      </c>
      <c r="I126">
        <f>IF(Skills!X6&lt;&gt;"",1+(Skills!X6/10)*(Z123/1000)/100,1)</f>
        <v/>
      </c>
      <c r="J126" t="inlineStr"/>
      <c r="K126" t="inlineStr"/>
      <c r="L126" t="inlineStr"/>
      <c r="M126" t="inlineStr"/>
      <c r="N126" t="inlineStr"/>
      <c r="O126">
        <f>(1-Summary!$B$56)*S126+Summary!$B$56*U126</f>
        <v/>
      </c>
      <c r="P126">
        <f>IF(B161=0,0,O126/B161)</f>
        <v/>
      </c>
      <c r="Q126">
        <f>IFERROR(1/IF(Inputs!$B$38="pvp",15,MAX(0.1,Skills!E6-IF(Skills!F6=TRUE,Inputs!$B$32,0))),0)</f>
        <v/>
      </c>
      <c r="R126">
        <f>IF(AND(Inputs!$B$38&lt;&gt;"pvp",Inputs!$B$43&gt;0),IF(Inputs!$B$43&lt;=0,0,(INT(Inputs!$B$43/IF(Inputs!$B$38="pvp",15,MAX(0.1,Skills!E6-IF(Skills!F6=TRUE,Inputs!$B$32,0))))+1)),0)</f>
        <v/>
      </c>
      <c r="S126" t="n">
        <v>0</v>
      </c>
      <c r="U126" t="n">
        <v>0</v>
      </c>
    </row>
    <row r="127">
      <c r="A127">
        <f>Skills!A7</f>
        <v/>
      </c>
      <c r="B127">
        <f>Skills!B7</f>
        <v/>
      </c>
      <c r="C127">
        <f>TRUE</f>
        <v/>
      </c>
      <c r="D127">
        <f>IF(Skills!C7=1,60+Inputs!$B$25+Inputs!$B$29,IF(Skills!C7=2,90+Inputs!$B$26+Inputs!$B$29,IF(Skills!C7=3,120+Inputs!$B$27+Inputs!$B$29,MAX(0,(Inputs!$B$3-100)*3)+Inputs!$B$28+Inputs!$B$29)))</f>
        <v/>
      </c>
      <c r="E127">
        <f>INDEX(FactorTable!$B$2:$Y$301, MATCH(ROUND(MIN(300,MAX(1,D127)),0), FactorTable!$A$2:$A$301,0), Skills!M7+1)</f>
        <v/>
      </c>
      <c r="F127">
        <f>IF(Skills!N7=TRUE,(Skills!L7/10)*(E127/1000),Skills!L7/10)+Skills!O7</f>
        <v/>
      </c>
      <c r="G127">
        <f>Calc!G7</f>
        <v/>
      </c>
      <c r="H127">
        <f>Calc!H7</f>
        <v/>
      </c>
      <c r="I127">
        <f>IF(Skills!X7&lt;&gt;"",1+(Skills!X7/10)*(Z123/1000)/100,1)</f>
        <v/>
      </c>
      <c r="J127">
        <f>((Inputs!$B$6*(1+Inputs!$B$7/100))+(((Inputs!$B$12*(1+Inputs!$B$13/100))-(Inputs!$B$12*(1+Inputs!$B$13/100)))+0.25*(Inputs!$B$14-Inputs!$B$14))*(1+Inputs!$B$7/100))*(F127/100)</f>
        <v/>
      </c>
      <c r="K127">
        <f>J127*(1+((Inputs!$B$12*(1+Inputs!$B$13/100))*0.01+Inputs!$B$14*0.0025)/100)*(1+(Inputs!$B$15+1)/100)*(1+Inputs!$B$16/100)*(5000/(6000+Inputs!$B$42*(1-Inputs!$B$19/100)))*(1+Inputs!$B$24/100)*(1+F143/100)*(1+IF(Inputs!$B$3&gt;=120,F146,0)/100)^5*(1+(IF(Skills!A7="BASIC_ATTACK",Inputs!$B$17,Inputs!$B$18+IF(Inputs!$B$3&gt;=125,F147*5,0)))/100)*(B150*B151*B152*I127)</f>
        <v/>
      </c>
      <c r="L127">
        <f>K127*(MIN(Inputs!$B$22+(F142-Calc!F22),Inputs!$B$23)/100+Inputs!$B$23/100)/2</f>
        <v/>
      </c>
      <c r="M127">
        <f>L127*(1+(Inputs!$B$10+(F141-Calc!F21))/100)</f>
        <v/>
      </c>
      <c r="N127">
        <f>L127*(1-MIN(Inputs!$B$9+(F140-Calc!F20),100)/100)+M127*(MIN(Inputs!$B$9+(F140-Calc!F20),100)/100)</f>
        <v/>
      </c>
      <c r="O127">
        <f>(1-Summary!$B$56)*S127+Summary!$B$56*U127</f>
        <v/>
      </c>
      <c r="P127">
        <f>IF(B161=0,0,O127/B161)</f>
        <v/>
      </c>
      <c r="Q127">
        <f>IFERROR(1/IF(Inputs!$B$38="pvp",15,MAX(0.1,Skills!E7-IF(Skills!F7=TRUE,Inputs!$B$32,0))),0)</f>
        <v/>
      </c>
      <c r="R127">
        <f>IF(AND(Inputs!$B$38&lt;&gt;"pvp",Inputs!$B$43&gt;0),IF(MAX(0,Inputs!$B$43-B158)&lt;=0,0,(INT(MAX(0,Inputs!$B$43-B158)/IF(Inputs!$B$38="pvp",15,MAX(0.1,Skills!E7-IF(Skills!F7=TRUE,Inputs!$B$32,0))))+1)),0)</f>
        <v/>
      </c>
      <c r="S127">
        <f>IF(C127,(H127*N127*IF(AND(Inputs!$B$38&lt;&gt;"pvp",Inputs!$B$43&gt;0),((Skills!G7*((R127-1)*IF(Skills!H7&gt;0,Skills!I7/Skills!H7,1)+IF(Skills!H7&gt;0,MIN(Skills!I7,MAX(0,MAX(0,Inputs!$B$43-B158)-((R127-1)*IF(Inputs!$B$38="pvp",15,MAX(0.1,Skills!E7-IF(Skills!F7=TRUE,Inputs!$B$32,0))))))/Skills!H7,1)))/Inputs!$B$43),G127*Q127))*IF(Inputs!$B$38="pvp",1,1+(Inputs!$B$20+Skills!P7)/100),0)</f>
        <v/>
      </c>
      <c r="U127">
        <f>IF(C127,(H127*N127*IF(AND(Inputs!$B$38&lt;&gt;"pvp",Inputs!$B$43&gt;0),((Skills!G7*((R127-1)*IF(Skills!H7&gt;0,Skills!I7/Skills!H7,1)+IF(Skills!H7&gt;0,MIN(Skills!I7,MAX(0,MAX(0,Inputs!$B$43-B158)-((R127-1)*IF(Inputs!$B$38="pvp",15,MAX(0.1,Skills!E7-IF(Skills!F7=TRUE,Inputs!$B$32,0))))))/Skills!H7,1)))/Inputs!$B$43),G127*Q127))*IF(Inputs!$B$38="pvp",1,(1+(Inputs!$B$21+Skills!Q7)/100)*(MIN(Skills!R7,Inputs!$B$37))),0)</f>
        <v/>
      </c>
    </row>
    <row r="128">
      <c r="A128">
        <f>Skills!A8</f>
        <v/>
      </c>
      <c r="B128">
        <f>Skills!B8</f>
        <v/>
      </c>
      <c r="C128">
        <f>TRUE</f>
        <v/>
      </c>
      <c r="D128">
        <f>IF(Skills!C8=1,60+Inputs!$B$25+Inputs!$B$29,IF(Skills!C8=2,90+Inputs!$B$26+Inputs!$B$29,IF(Skills!C8=3,120+Inputs!$B$27+Inputs!$B$29,MAX(0,(Inputs!$B$3-100)*3)+Inputs!$B$28+Inputs!$B$29)))</f>
        <v/>
      </c>
      <c r="E128">
        <f>INDEX(FactorTable!$B$2:$Y$301, MATCH(ROUND(MIN(300,MAX(1,D128)),0), FactorTable!$A$2:$A$301,0), Skills!M8+1)</f>
        <v/>
      </c>
      <c r="F128">
        <f>IF(Skills!N8=TRUE,(Skills!L8/10)*(E128/1000),Skills!L8/10)+Skills!O8</f>
        <v/>
      </c>
      <c r="G128">
        <f>Calc!G8</f>
        <v/>
      </c>
      <c r="H128">
        <f>Calc!H8</f>
        <v/>
      </c>
      <c r="I128">
        <f>IF(Skills!X8&lt;&gt;"",1+(Skills!X8/10)*(Z123/1000)/100,1)</f>
        <v/>
      </c>
      <c r="J128">
        <f>((Inputs!$B$6*(1+Inputs!$B$7/100))+(((Inputs!$B$12*(1+Inputs!$B$13/100))-(Inputs!$B$12*(1+Inputs!$B$13/100)))+0.25*(Inputs!$B$14-Inputs!$B$14))*(1+Inputs!$B$7/100))*(F128/100)</f>
        <v/>
      </c>
      <c r="K128">
        <f>J128*(1+((Inputs!$B$12*(1+Inputs!$B$13/100))*0.01+Inputs!$B$14*0.0025)/100)*(1+(Inputs!$B$15+1)/100)*(1+Inputs!$B$16/100)*(5000/(6000+Inputs!$B$42*(1-Inputs!$B$19/100)))*(1+Inputs!$B$24/100)*(1+F143/100)*(1+IF(Inputs!$B$3&gt;=120,F146,0)/100)^5*(1+(IF(Skills!A8="BASIC_ATTACK",Inputs!$B$17,Inputs!$B$18+IF(Inputs!$B$3&gt;=125,F147*5,0)))/100)*(B150*B151*B152*I128)</f>
        <v/>
      </c>
      <c r="L128">
        <f>K128*(MIN(Inputs!$B$22+(F142-Calc!F22),Inputs!$B$23)/100+Inputs!$B$23/100)/2</f>
        <v/>
      </c>
      <c r="M128">
        <f>L128*(1+(Inputs!$B$10+(F141-Calc!F21))/100)</f>
        <v/>
      </c>
      <c r="N128">
        <f>L128*(1-MIN(Inputs!$B$9+(F140-Calc!F20),100)/100)+M128*(MIN(Inputs!$B$9+(F140-Calc!F20),100)/100)</f>
        <v/>
      </c>
      <c r="O128">
        <f>(1-Summary!$B$56)*S128+Summary!$B$56*U128</f>
        <v/>
      </c>
      <c r="P128">
        <f>IF(B161=0,0,O128/B161)</f>
        <v/>
      </c>
      <c r="Q128">
        <f>IFERROR(1/IF(Inputs!$B$38="pvp",15,MAX(0.1,Skills!E8-IF(Skills!F8=TRUE,Inputs!$B$32,0))),0)</f>
        <v/>
      </c>
      <c r="R128">
        <f>IF(AND(Inputs!$B$38&lt;&gt;"pvp",Inputs!$B$43&gt;0),IF(MAX(0,Inputs!$B$43-B158)&lt;=0,0,(INT(MAX(0,Inputs!$B$43-B158)/IF(Inputs!$B$38="pvp",15,MAX(0.1,Skills!E8-IF(Skills!F8=TRUE,Inputs!$B$32,0))))+1)),0)</f>
        <v/>
      </c>
      <c r="S128">
        <f>IF(C128,(H128*N128*IF(AND(Inputs!$B$38&lt;&gt;"pvp",Inputs!$B$43&gt;0),((Skills!G8*((R128-1)*IF(Skills!H8&gt;0,Skills!I8/Skills!H8,1)+IF(Skills!H8&gt;0,MIN(Skills!I8,MAX(0,MAX(0,Inputs!$B$43-B158)-((R128-1)*IF(Inputs!$B$38="pvp",15,MAX(0.1,Skills!E8-IF(Skills!F8=TRUE,Inputs!$B$32,0))))))/Skills!H8,1)))/Inputs!$B$43),G128*Q128))*IF(Inputs!$B$38="pvp",1,1+(Inputs!$B$20+Skills!P8)/100),0)</f>
        <v/>
      </c>
      <c r="U128">
        <f>IF(C128,(H128*N128*IF(AND(Inputs!$B$38&lt;&gt;"pvp",Inputs!$B$43&gt;0),((Skills!G8*((R128-1)*IF(Skills!H8&gt;0,Skills!I8/Skills!H8,1)+IF(Skills!H8&gt;0,MIN(Skills!I8,MAX(0,MAX(0,Inputs!$B$43-B158)-((R128-1)*IF(Inputs!$B$38="pvp",15,MAX(0.1,Skills!E8-IF(Skills!F8=TRUE,Inputs!$B$32,0))))))/Skills!H8,1)))/Inputs!$B$43),G128*Q128))*IF(Inputs!$B$38="pvp",1,(1+(Inputs!$B$21+Skills!Q8)/100)*(MIN(Skills!R8,Inputs!$B$37))),0)</f>
        <v/>
      </c>
    </row>
    <row r="129">
      <c r="A129">
        <f>Skills!A9</f>
        <v/>
      </c>
      <c r="B129">
        <f>Skills!B9</f>
        <v/>
      </c>
      <c r="C129">
        <f>Inputs!$B$3&gt;=103</f>
        <v/>
      </c>
      <c r="D129">
        <f>IF(Skills!C9=1,60+Inputs!$B$25+Inputs!$B$29,IF(Skills!C9=2,90+Inputs!$B$26+Inputs!$B$29,IF(Skills!C9=3,120+Inputs!$B$27+Inputs!$B$29,MAX(0,(Inputs!$B$3-100)*3)+Inputs!$B$28+Inputs!$B$29)))</f>
        <v/>
      </c>
      <c r="E129">
        <f>INDEX(FactorTable!$B$2:$Y$301, MATCH(ROUND(MIN(300,MAX(1,D129)),0), FactorTable!$A$2:$A$301,0), Skills!M9+1)</f>
        <v/>
      </c>
      <c r="F129">
        <f>IF(Skills!N9=TRUE,(Skills!L9/10)*(E129/1000),Skills!L9/10)+Skills!O9</f>
        <v/>
      </c>
      <c r="G129">
        <f>Calc!G9</f>
        <v/>
      </c>
      <c r="H129">
        <f>Calc!H9</f>
        <v/>
      </c>
      <c r="I129">
        <f>IF(Skills!X9&lt;&gt;"",1+(Skills!X9/10)*(Z123/1000)/100,1)</f>
        <v/>
      </c>
      <c r="J129">
        <f>((Inputs!$B$6*(1+Inputs!$B$7/100))+(((Inputs!$B$12*(1+Inputs!$B$13/100))-(Inputs!$B$12*(1+Inputs!$B$13/100)))+0.25*(Inputs!$B$14-Inputs!$B$14))*(1+Inputs!$B$7/100))*(F129/100)</f>
        <v/>
      </c>
      <c r="K129">
        <f>J129*(1+((Inputs!$B$12*(1+Inputs!$B$13/100))*0.01+Inputs!$B$14*0.0025)/100)*(1+(Inputs!$B$15+1)/100)*(1+Inputs!$B$16/100)*(5000/(6000+Inputs!$B$42*(1-Inputs!$B$19/100)))*(1+Inputs!$B$24/100)*(1+F143/100)*(1+IF(Inputs!$B$3&gt;=120,F146,0)/100)^5*(1+(IF(Skills!A9="BASIC_ATTACK",Inputs!$B$17,Inputs!$B$18+IF(Inputs!$B$3&gt;=125,F147*5,0)))/100)*(B150*B151*B152*I129)</f>
        <v/>
      </c>
      <c r="L129">
        <f>K129*(MIN(Inputs!$B$22+(F142-Calc!F22),Inputs!$B$23)/100+Inputs!$B$23/100)/2</f>
        <v/>
      </c>
      <c r="M129">
        <f>L129*(1+(Inputs!$B$10+(F141-Calc!F21))/100)</f>
        <v/>
      </c>
      <c r="N129">
        <f>L129*(1-MIN(Inputs!$B$9+(F140-Calc!F20),100)/100)+M129*(MIN(Inputs!$B$9+(F140-Calc!F20),100)/100)</f>
        <v/>
      </c>
      <c r="O129">
        <f>(1-Summary!$B$56)*S129+Summary!$B$56*U129</f>
        <v/>
      </c>
      <c r="P129">
        <f>IF(B161=0,0,O129/B161)</f>
        <v/>
      </c>
      <c r="Q129">
        <f>IFERROR(1/IF(Inputs!$B$38="pvp",15,MAX(0.1,Skills!E9-IF(Skills!F7=TRUE,Inputs!$B$32,0))),0)</f>
        <v/>
      </c>
      <c r="R129">
        <f>IF(AND(Inputs!$B$38&lt;&gt;"pvp",Inputs!$B$43&gt;0),IF(MAX(0,Inputs!$B$43-B158)&lt;=0,0,(INT(MAX(0,Inputs!$B$43-B158)/IF(Inputs!$B$38="pvp",15,MAX(0.1,Skills!E9-IF(Skills!F7=TRUE,Inputs!$B$32,0))))+1)),0)</f>
        <v/>
      </c>
      <c r="S129">
        <f>IF(C129,(H129*N129*IF(AND(Inputs!$B$38&lt;&gt;"pvp",Inputs!$B$43&gt;0),((Skills!G9*((R129-1)*IF(Skills!H9&gt;0,Skills!I9/Skills!H9,1)+IF(Skills!H9&gt;0,MIN(Skills!I9,MAX(0,MAX(0,Inputs!$B$43-B158)-((R129-1)*IF(Inputs!$B$38="pvp",15,MAX(0.1,Skills!E9-IF(Skills!F7=TRUE,Inputs!$B$32,0))))))/Skills!H9,1)))/Inputs!$B$43),G129*Q129))*IF(Inputs!$B$38="pvp",1,1+(Inputs!$B$20+Skills!P9)/100),0)</f>
        <v/>
      </c>
      <c r="U129">
        <f>IF(C129,(H129*N129*IF(AND(Inputs!$B$38&lt;&gt;"pvp",Inputs!$B$43&gt;0),((Skills!G9*((R129-1)*IF(Skills!H9&gt;0,Skills!I9/Skills!H9,1)+IF(Skills!H9&gt;0,MIN(Skills!I9,MAX(0,MAX(0,Inputs!$B$43-B158)-((R129-1)*IF(Inputs!$B$38="pvp",15,MAX(0.1,Skills!E9-IF(Skills!F7=TRUE,Inputs!$B$32,0))))))/Skills!H9,1)))/Inputs!$B$43),G129*Q129))*IF(Inputs!$B$38="pvp",1,(1+(Inputs!$B$21+Skills!Q9)/100)*(MIN(Skills!R9,Inputs!$B$37))),0)</f>
        <v/>
      </c>
    </row>
    <row r="130">
      <c r="A130">
        <f>Skills!A10</f>
        <v/>
      </c>
      <c r="B130">
        <f>Skills!B10</f>
        <v/>
      </c>
      <c r="C130">
        <f>TRUE</f>
        <v/>
      </c>
      <c r="D130">
        <f>IF(Skills!C10=1,60+Inputs!$B$25+Inputs!$B$29,IF(Skills!C10=2,90+Inputs!$B$26+Inputs!$B$29,IF(Skills!C10=3,120+Inputs!$B$27+Inputs!$B$29,MAX(0,(Inputs!$B$3-100)*3)+Inputs!$B$28+Inputs!$B$29)))</f>
        <v/>
      </c>
      <c r="E130">
        <f>INDEX(FactorTable!$B$2:$Y$301, MATCH(ROUND(MIN(300,MAX(1,D130)),0), FactorTable!$A$2:$A$301,0), Skills!M10+1)</f>
        <v/>
      </c>
      <c r="F130">
        <f>IF(Skills!N10=TRUE,(Skills!L10/10)*(E130/1000),Skills!L10/10)+Skills!O10</f>
        <v/>
      </c>
      <c r="G130">
        <f>Calc!G10</f>
        <v/>
      </c>
      <c r="H130">
        <f>Calc!H10</f>
        <v/>
      </c>
      <c r="I130">
        <f>IF(Skills!X10&lt;&gt;"",1+(Skills!X10/10)*(Z123/1000)/100,1)</f>
        <v/>
      </c>
      <c r="J130">
        <f>((Inputs!$B$6*(1+Inputs!$B$7/100))+(((Inputs!$B$12*(1+Inputs!$B$13/100))-(Inputs!$B$12*(1+Inputs!$B$13/100)))+0.25*(Inputs!$B$14-Inputs!$B$14))*(1+Inputs!$B$7/100))*(F130/100)</f>
        <v/>
      </c>
      <c r="K130">
        <f>J130*(1+((Inputs!$B$12*(1+Inputs!$B$13/100))*0.01+Inputs!$B$14*0.0025)/100)*(1+(Inputs!$B$15+1)/100)*(1+Inputs!$B$16/100)*(5000/(6000+Inputs!$B$42*(1-Inputs!$B$19/100)))*(1+Inputs!$B$24/100)*(1+F143/100)*(1+IF(Inputs!$B$3&gt;=120,F146,0)/100)^5*(1+(IF(Skills!A10="BASIC_ATTACK",Inputs!$B$17,Inputs!$B$18+IF(Inputs!$B$3&gt;=125,F147*5,0)))/100)*(B150*B151*B152*I130)</f>
        <v/>
      </c>
      <c r="L130">
        <f>K130*(MIN(Inputs!$B$22+(F142-Calc!F22),Inputs!$B$23)/100+Inputs!$B$23/100)/2</f>
        <v/>
      </c>
      <c r="M130">
        <f>L130*(1+(Inputs!$B$10+(F141-Calc!F21))/100)</f>
        <v/>
      </c>
      <c r="N130">
        <f>L130*(1-MIN(Inputs!$B$9+(F140-Calc!F20),100)/100)+M130*(MIN(Inputs!$B$9+(F140-Calc!F20),100)/100)</f>
        <v/>
      </c>
      <c r="O130">
        <f>(1-Summary!$B$56)*S130+Summary!$B$56*U130</f>
        <v/>
      </c>
      <c r="P130">
        <f>IF(B161=0,0,O130/B161)</f>
        <v/>
      </c>
      <c r="Q130">
        <f>IFERROR(1/IF(Inputs!$B$38="pvp",15,MAX(0.1,Skills!E10-IF(Skills!F10=TRUE,Inputs!$B$32,0))),0)</f>
        <v/>
      </c>
      <c r="R130">
        <f>IF(AND(Inputs!$B$38&lt;&gt;"pvp",Inputs!$B$43&gt;0),IF(MAX(0,Inputs!$B$43-B158)&lt;=0,0,(INT(MAX(0,Inputs!$B$43-B158)/IF(Inputs!$B$38="pvp",15,MAX(0.1,Skills!E10-IF(Skills!F10=TRUE,Inputs!$B$32,0))))+1)),0)</f>
        <v/>
      </c>
      <c r="S130">
        <f>IF(C130,(H130*N130*IF(AND(Inputs!$B$38&lt;&gt;"pvp",Inputs!$B$43&gt;0),((Skills!G10*((R130-1)*IF(Skills!H10&gt;0,Skills!I10/Skills!H10,1)+IF(Skills!H10&gt;0,MIN(Skills!I10,MAX(0,MAX(0,Inputs!$B$43-B158)-((R130-1)*IF(Inputs!$B$38="pvp",15,MAX(0.1,Skills!E10-IF(Skills!F10=TRUE,Inputs!$B$32,0))))))/Skills!H10,1)))/Inputs!$B$43),G130*Q130))*IF(Inputs!$B$38="pvp",1,1+(Inputs!$B$20+Skills!P10)/100),0)</f>
        <v/>
      </c>
      <c r="U130">
        <f>IF(C130,(H130*N130*IF(AND(Inputs!$B$38&lt;&gt;"pvp",Inputs!$B$43&gt;0),((Skills!G10*((R130-1)*IF(Skills!H10&gt;0,Skills!I10/Skills!H10,1)+IF(Skills!H10&gt;0,MIN(Skills!I10,MAX(0,MAX(0,Inputs!$B$43-B158)-((R130-1)*IF(Inputs!$B$38="pvp",15,MAX(0.1,Skills!E10-IF(Skills!F10=TRUE,Inputs!$B$32,0))))))/Skills!H10,1)))/Inputs!$B$43),G130*Q130))*IF(Inputs!$B$38="pvp",1,(1+(Inputs!$B$21+Skills!Q10)/100)*(MIN(Skills!R10,Inputs!$B$37))),0)</f>
        <v/>
      </c>
    </row>
    <row r="131">
      <c r="A131">
        <f>Skills!A11</f>
        <v/>
      </c>
      <c r="B131">
        <f>Skills!B11</f>
        <v/>
      </c>
      <c r="C131">
        <f>TRUE</f>
        <v/>
      </c>
      <c r="D131">
        <f>IF(Skills!C11=1,60+Inputs!$B$25+Inputs!$B$29,IF(Skills!C11=2,90+Inputs!$B$26+Inputs!$B$29,IF(Skills!C11=3,120+Inputs!$B$27+Inputs!$B$29,MAX(0,(Inputs!$B$3-100)*3)+Inputs!$B$28+Inputs!$B$29)))</f>
        <v/>
      </c>
      <c r="E131">
        <f>INDEX(FactorTable!$B$2:$Y$301, MATCH(ROUND(MIN(300,MAX(1,D131)),0), FactorTable!$A$2:$A$301,0), Skills!M11+1)</f>
        <v/>
      </c>
      <c r="F131">
        <f>IF(Skills!N11=TRUE,(Skills!L11/10)*(E131/1000),Skills!L11/10)+Skills!O11</f>
        <v/>
      </c>
      <c r="G131">
        <f>Calc!G11</f>
        <v/>
      </c>
      <c r="H131">
        <f>Calc!H11</f>
        <v/>
      </c>
      <c r="I131">
        <f>IF(Skills!X11&lt;&gt;"",1+(Skills!X11/10)*(Z123/1000)/100,1)</f>
        <v/>
      </c>
      <c r="J131" t="inlineStr"/>
      <c r="K131" t="inlineStr"/>
      <c r="L131" t="inlineStr"/>
      <c r="M131" t="inlineStr"/>
      <c r="N131" t="inlineStr"/>
      <c r="O131">
        <f>(1-Summary!$B$56)*S131+Summary!$B$56*U131</f>
        <v/>
      </c>
      <c r="P131">
        <f>IF(B161=0,0,O131/B161)</f>
        <v/>
      </c>
      <c r="Q131">
        <f>IFERROR(1/IF(Inputs!$B$38="pvp",15,MAX(0.1,Skills!E11-IF(Skills!F11=TRUE,Inputs!$B$32,0))),0)</f>
        <v/>
      </c>
      <c r="R131" t="n">
        <v>0</v>
      </c>
      <c r="S131" t="n">
        <v>0</v>
      </c>
      <c r="U131" t="n">
        <v>0</v>
      </c>
    </row>
    <row r="132">
      <c r="A132">
        <f>Skills!A12</f>
        <v/>
      </c>
      <c r="B132">
        <f>Skills!B12</f>
        <v/>
      </c>
      <c r="C132">
        <f>TRUE</f>
        <v/>
      </c>
      <c r="D132">
        <f>IF(Skills!C12=1,60+Inputs!$B$25+Inputs!$B$29,IF(Skills!C12=2,90+Inputs!$B$26+Inputs!$B$29,IF(Skills!C12=3,120+Inputs!$B$27+Inputs!$B$29,MAX(0,(Inputs!$B$3-100)*3)+Inputs!$B$28+Inputs!$B$29)))</f>
        <v/>
      </c>
      <c r="E132">
        <f>INDEX(FactorTable!$B$2:$Y$301, MATCH(ROUND(MIN(300,MAX(1,D132)),0), FactorTable!$A$2:$A$301,0), Skills!M12+1)</f>
        <v/>
      </c>
      <c r="F132">
        <f>IF(Skills!N12=TRUE,(Skills!L12/10)*(E132/1000),Skills!L12/10)+Skills!O12</f>
        <v/>
      </c>
      <c r="G132">
        <f>Calc!G12</f>
        <v/>
      </c>
      <c r="H132">
        <f>Calc!H12</f>
        <v/>
      </c>
      <c r="I132">
        <f>IF(Skills!X12&lt;&gt;"",1+(Skills!X12/10)*(Z123/1000)/100,1)</f>
        <v/>
      </c>
      <c r="J132" t="inlineStr"/>
      <c r="K132" t="inlineStr"/>
      <c r="L132" t="inlineStr"/>
      <c r="M132" t="inlineStr"/>
      <c r="N132" t="inlineStr"/>
      <c r="O132">
        <f>(1-Summary!$B$56)*S132+Summary!$B$56*U132</f>
        <v/>
      </c>
      <c r="P132">
        <f>IF(B161=0,0,O132/B161)</f>
        <v/>
      </c>
      <c r="Q132">
        <f>IFERROR(1/IF(Inputs!$B$38="pvp",15,MAX(0.1,Skills!E12-IF(Skills!F12=TRUE,Inputs!$B$32,0))),0)</f>
        <v/>
      </c>
      <c r="R132" t="n">
        <v>0</v>
      </c>
      <c r="S132" t="n">
        <v>0</v>
      </c>
      <c r="U132" t="n">
        <v>0</v>
      </c>
    </row>
    <row r="133">
      <c r="A133">
        <f>Skills!A13</f>
        <v/>
      </c>
      <c r="B133">
        <f>Skills!B13</f>
        <v/>
      </c>
      <c r="C133">
        <f>Inputs!$B$3&gt;=105</f>
        <v/>
      </c>
      <c r="D133">
        <f>IF(Skills!C13=1,60+Inputs!$B$25+Inputs!$B$29,IF(Skills!C13=2,90+Inputs!$B$26+Inputs!$B$29,IF(Skills!C13=3,120+Inputs!$B$27+Inputs!$B$29,MAX(0,(Inputs!$B$3-100)*3)+Inputs!$B$28+Inputs!$B$29)))</f>
        <v/>
      </c>
      <c r="E133">
        <f>INDEX(FactorTable!$B$2:$Y$301, MATCH(ROUND(MIN(300,MAX(1,D133)),0), FactorTable!$A$2:$A$301,0), Skills!M13+1)</f>
        <v/>
      </c>
      <c r="F133">
        <f>IF(Skills!N13=TRUE,(Skills!L13/10)*(E133/1000),Skills!L13/10)+Skills!O13</f>
        <v/>
      </c>
      <c r="G133">
        <f>Calc!G13</f>
        <v/>
      </c>
      <c r="H133">
        <f>Calc!H13</f>
        <v/>
      </c>
      <c r="I133">
        <f>IF(Skills!X13&lt;&gt;"",1+(Skills!X13/10)*(Z123/1000)/100,1)</f>
        <v/>
      </c>
      <c r="J133">
        <f>((Inputs!$B$6*(1+Inputs!$B$7/100))+(((Inputs!$B$12*(1+Inputs!$B$13/100))-(Inputs!$B$12*(1+Inputs!$B$13/100)))+0.25*(Inputs!$B$14-Inputs!$B$14))*(1+Inputs!$B$7/100))*(F133/100)</f>
        <v/>
      </c>
      <c r="K133">
        <f>J133*(1+((Inputs!$B$12*(1+Inputs!$B$13/100))*0.01+Inputs!$B$14*0.0025)/100)*(1+(Inputs!$B$15+1)/100)*(1+Inputs!$B$16/100)*(5000/(6000+Inputs!$B$42*(1-Inputs!$B$19/100)))*(1+Inputs!$B$24/100)*(1+F143/100)*(1+IF(Inputs!$B$3&gt;=120,F146,0)/100)^5*(1+(IF(Skills!A13="BASIC_ATTACK",Inputs!$B$17,Inputs!$B$18+IF(Inputs!$B$3&gt;=125,F147*5,0)))/100)*(B150*B151*B152*I133)</f>
        <v/>
      </c>
      <c r="L133">
        <f>K133*(MIN(Inputs!$B$22+(F142-Calc!F22),Inputs!$B$23)/100+Inputs!$B$23/100)/2</f>
        <v/>
      </c>
      <c r="M133">
        <f>L133*(1+(Inputs!$B$10+(F141-Calc!F21))/100)</f>
        <v/>
      </c>
      <c r="N133">
        <f>L133*(1-MIN(Inputs!$B$9+(F140-Calc!F20),100)/100)+M133*(MIN(Inputs!$B$9+(F140-Calc!F20),100)/100)</f>
        <v/>
      </c>
      <c r="O133">
        <f>(1-Summary!$B$56)*S133+Summary!$B$56*U133</f>
        <v/>
      </c>
      <c r="P133">
        <f>IF(B161=0,0,O133/B161)</f>
        <v/>
      </c>
      <c r="Q133">
        <f>IFERROR(1/IF(Inputs!$B$38="pvp",15,MAX(0.1,Skills!E13-IF(Skills!F13=TRUE,Inputs!$B$32,0))),0)</f>
        <v/>
      </c>
      <c r="R133">
        <f>IF(AND(Inputs!$B$38&lt;&gt;"pvp",Inputs!$B$43&gt;0),IF(MAX(0,Inputs!$B$43-B158)&lt;=0,0,(INT(MAX(0,Inputs!$B$43-B158)/IF(Inputs!$B$38="pvp",15,MAX(0.1,Skills!E13-IF(Skills!F13=TRUE,Inputs!$B$32,0))))+1)),0)</f>
        <v/>
      </c>
      <c r="S133">
        <f>IF(C133,(H133*N133*IF(AND(Inputs!$B$38&lt;&gt;"pvp",Inputs!$B$43&gt;0),((Skills!G13*((R133-1)*IF(Skills!H13&gt;0,Skills!I13/Skills!H13,1)+IF(Skills!H13&gt;0,MIN(Skills!I13,MAX(0,MAX(0,Inputs!$B$43-B158)-((R133-1)*IF(Inputs!$B$38="pvp",15,MAX(0.1,Skills!E13-IF(Skills!F13=TRUE,Inputs!$B$32,0))))))/Skills!H13,1)))/Inputs!$B$43),G133*Q133))*IF(Inputs!$B$38="pvp",1,1+(Inputs!$B$20+Skills!P13)/100),0)</f>
        <v/>
      </c>
      <c r="U133">
        <f>IF(C133,(H133*N133*IF(AND(Inputs!$B$38&lt;&gt;"pvp",Inputs!$B$43&gt;0),((Skills!G13*((R133-1)*IF(Skills!H13&gt;0,Skills!I13/Skills!H13,1)+IF(Skills!H13&gt;0,MIN(Skills!I13,MAX(0,MAX(0,Inputs!$B$43-B158)-((R133-1)*IF(Inputs!$B$38="pvp",15,MAX(0.1,Skills!E13-IF(Skills!F13=TRUE,Inputs!$B$32,0))))))/Skills!H13,1)))/Inputs!$B$43),G133*Q133))*IF(Inputs!$B$38="pvp",1,(1+(Inputs!$B$21+Skills!Q13)/100)*(MIN(Skills!R13,Inputs!$B$37))),0)</f>
        <v/>
      </c>
    </row>
    <row r="134">
      <c r="A134">
        <f>Skills!A14</f>
        <v/>
      </c>
      <c r="B134">
        <f>Skills!B14</f>
        <v/>
      </c>
      <c r="C134">
        <f>Inputs!$B$3&gt;=113</f>
        <v/>
      </c>
      <c r="D134">
        <f>IF(Skills!C14=1,60+Inputs!$B$25+Inputs!$B$29,IF(Skills!C14=2,90+Inputs!$B$26+Inputs!$B$29,IF(Skills!C14=3,120+Inputs!$B$27+Inputs!$B$29,MAX(0,(Inputs!$B$3-100)*3)+Inputs!$B$28+Inputs!$B$29)))</f>
        <v/>
      </c>
      <c r="E134">
        <f>INDEX(FactorTable!$B$2:$Y$301, MATCH(ROUND(MIN(300,MAX(1,D134)),0), FactorTable!$A$2:$A$301,0), Skills!M14+1)</f>
        <v/>
      </c>
      <c r="F134">
        <f>IF(Skills!N14=TRUE,(Skills!L14/10)*(E134/1000),Skills!L14/10)+Skills!O14</f>
        <v/>
      </c>
      <c r="G134">
        <f>Calc!G14</f>
        <v/>
      </c>
      <c r="H134">
        <f>Calc!H14</f>
        <v/>
      </c>
      <c r="I134">
        <f>IF(Skills!X14&lt;&gt;"",1+(Skills!X14/10)*(Z123/1000)/100,1)</f>
        <v/>
      </c>
      <c r="J134">
        <f>((Inputs!$B$6*(1+Inputs!$B$7/100))+(((Inputs!$B$12*(1+Inputs!$B$13/100))-(Inputs!$B$12*(1+Inputs!$B$13/100)))+0.25*(Inputs!$B$14-Inputs!$B$14))*(1+Inputs!$B$7/100))*(F134/100)</f>
        <v/>
      </c>
      <c r="K134">
        <f>J134*(1+((Inputs!$B$12*(1+Inputs!$B$13/100))*0.01+Inputs!$B$14*0.0025)/100)*(1+(Inputs!$B$15+1)/100)*(1+Inputs!$B$16/100)*(5000/(6000+Inputs!$B$42*(1-Inputs!$B$19/100)))*(1+Inputs!$B$24/100)*(1+F143/100)*(1+IF(Inputs!$B$3&gt;=120,F146,0)/100)^5*(1+(IF(Skills!A14="BASIC_ATTACK",Inputs!$B$17,Inputs!$B$18+IF(Inputs!$B$3&gt;=125,F147*5,0)))/100)*(B150*B151*B152*I134)</f>
        <v/>
      </c>
      <c r="L134">
        <f>K134*(MIN(Inputs!$B$22+(F142-Calc!F22),Inputs!$B$23)/100+Inputs!$B$23/100)/2</f>
        <v/>
      </c>
      <c r="M134">
        <f>L134*(1+(Inputs!$B$10+(F141-Calc!F21))/100)</f>
        <v/>
      </c>
      <c r="N134">
        <f>L134*(1-MIN(Inputs!$B$9+(F140-Calc!F20),100)/100)+M134*(MIN(Inputs!$B$9+(F140-Calc!F20),100)/100)</f>
        <v/>
      </c>
      <c r="O134">
        <f>(1-Summary!$B$56)*S134+Summary!$B$56*U134</f>
        <v/>
      </c>
      <c r="P134">
        <f>IF(B161=0,0,O134/B161)</f>
        <v/>
      </c>
      <c r="Q134">
        <f>IFERROR(1/IF(Inputs!$B$38="pvp",15,MAX(0.1,Skills!E14-IF(Skills!F14=TRUE,Inputs!$B$32,0))),0)</f>
        <v/>
      </c>
      <c r="R134" t="n">
        <v>0</v>
      </c>
      <c r="S134">
        <f>IF(C134,((H134*B157)/(1+Skills!H14*H134*B157)*N134)*IF(Inputs!$B$38="pvp",1,1+(Inputs!$B$20+Skills!P14)/100),0)</f>
        <v/>
      </c>
      <c r="U134">
        <f>IF(C134,((H134*B157)/(1+Skills!H14*H134*B157)*N134)*IF(Inputs!$B$38="pvp",1,(1+(Inputs!$B$21+Skills!Q14)/100)*(MIN(Skills!R14,Inputs!$B$37))),0)</f>
        <v/>
      </c>
    </row>
    <row r="135">
      <c r="A135">
        <f>Skills!A15</f>
        <v/>
      </c>
      <c r="B135">
        <f>Skills!B15</f>
        <v/>
      </c>
      <c r="C135">
        <f>Inputs!$B$3&gt;=107</f>
        <v/>
      </c>
      <c r="D135">
        <f>IF(Skills!C15=1,60+Inputs!$B$25+Inputs!$B$29,IF(Skills!C15=2,90+Inputs!$B$26+Inputs!$B$29,IF(Skills!C15=3,120+Inputs!$B$27+Inputs!$B$29,MAX(0,(Inputs!$B$3-100)*3)+Inputs!$B$28+Inputs!$B$29)))</f>
        <v/>
      </c>
      <c r="E135">
        <f>INDEX(FactorTable!$B$2:$Y$301, MATCH(ROUND(MIN(300,MAX(1,D135)),0), FactorTable!$A$2:$A$301,0), Skills!M15+1)</f>
        <v/>
      </c>
      <c r="F135">
        <f>IF(Skills!N15=TRUE,(Skills!L15/10)*(E135/1000),Skills!L15/10)+Skills!O15</f>
        <v/>
      </c>
      <c r="G135">
        <f>Calc!G15</f>
        <v/>
      </c>
      <c r="H135">
        <f>Calc!H15</f>
        <v/>
      </c>
      <c r="I135">
        <f>IF(Skills!X15&lt;&gt;"",1+(Skills!X15/10)*(Z123/1000)/100,1)</f>
        <v/>
      </c>
      <c r="J135">
        <f>((Inputs!$B$6*(1+Inputs!$B$7/100))+(((Inputs!$B$12*(1+Inputs!$B$13/100))-(Inputs!$B$12*(1+Inputs!$B$13/100)))+0.25*(Inputs!$B$14-Inputs!$B$14))*(1+Inputs!$B$7/100))*(F135/100)</f>
        <v/>
      </c>
      <c r="K135">
        <f>J135*(1+((Inputs!$B$12*(1+Inputs!$B$13/100))*0.01+Inputs!$B$14*0.0025)/100)*(1+(Inputs!$B$15+1)/100)*(1+Inputs!$B$16/100)*(5000/(6000+Inputs!$B$42*(1-Inputs!$B$19/100)))*(1+Inputs!$B$24/100)*(1+F143/100)*(1+IF(Inputs!$B$3&gt;=120,F146,0)/100)^5*(1+(IF(Skills!A15="BASIC_ATTACK",Inputs!$B$17,Inputs!$B$18+IF(Inputs!$B$3&gt;=125,F147*5,0)))/100)*(B150*B151*B152*I135)</f>
        <v/>
      </c>
      <c r="L135">
        <f>K135*(MIN(Inputs!$B$22+(F142-Calc!F22),Inputs!$B$23)/100+Inputs!$B$23/100)/2</f>
        <v/>
      </c>
      <c r="M135">
        <f>L135*(1+(Inputs!$B$10+(F141-Calc!F21))/100)</f>
        <v/>
      </c>
      <c r="N135">
        <f>L135*(1-MIN(Inputs!$B$9+(F140-Calc!F20),100)/100)+M135*(MIN(Inputs!$B$9+(F140-Calc!F20),100)/100)</f>
        <v/>
      </c>
      <c r="O135">
        <f>(1-Summary!$B$56)*S135+Summary!$B$56*U135</f>
        <v/>
      </c>
      <c r="P135">
        <f>IF(B161=0,0,O135/B161)</f>
        <v/>
      </c>
      <c r="Q135">
        <f>IFERROR(1/IF(Inputs!$B$38="pvp",15,MAX(0.1,Skills!E15-IF(Skills!F15=TRUE,Inputs!$B$32,0))),0)</f>
        <v/>
      </c>
      <c r="R135">
        <f>IF(AND(Inputs!$B$38&lt;&gt;"pvp",Inputs!$B$43&gt;0),IF(MAX(0,Inputs!$B$43-B158)&lt;=0,0,(INT(MAX(0,Inputs!$B$43-B158)/IF(Inputs!$B$38="pvp",15,MAX(0.1,Skills!E15-IF(Skills!F15=TRUE,Inputs!$B$32,0))))+1)),0)</f>
        <v/>
      </c>
      <c r="S135">
        <f>IF(C135,(H135*N135*IF(AND(Inputs!$B$38&lt;&gt;"pvp",Inputs!$B$43&gt;0),((Skills!G15*((R135-1)*IF(Skills!H15&gt;0,Skills!I15/Skills!H15,1)+IF(Skills!H15&gt;0,MIN(Skills!I15,MAX(0,MAX(0,Inputs!$B$43-B158)-((R135-1)*IF(Inputs!$B$38="pvp",15,MAX(0.1,Skills!E15-IF(Skills!F15=TRUE,Inputs!$B$32,0))))))/Skills!H15,1)))/Inputs!$B$43),G135*Q135))*IF(Inputs!$B$38="pvp",1,1+(Inputs!$B$20+Skills!P15)/100),0)</f>
        <v/>
      </c>
      <c r="U135">
        <f>IF(C135,(H135*N135*IF(AND(Inputs!$B$38&lt;&gt;"pvp",Inputs!$B$43&gt;0),((Skills!G15*((R135-1)*IF(Skills!H15&gt;0,Skills!I15/Skills!H15,1)+IF(Skills!H15&gt;0,MIN(Skills!I15,MAX(0,MAX(0,Inputs!$B$43-B158)-((R135-1)*IF(Inputs!$B$38="pvp",15,MAX(0.1,Skills!E15-IF(Skills!F15=TRUE,Inputs!$B$32,0))))))/Skills!H15,1)))/Inputs!$B$43),G135*Q135))*IF(Inputs!$B$38="pvp",1,(1+(Inputs!$B$21+Skills!Q15)/100)*(MIN(Skills!R15,Inputs!$B$37))),0)</f>
        <v/>
      </c>
    </row>
    <row r="136">
      <c r="A136">
        <f>Skills!A16</f>
        <v/>
      </c>
      <c r="B136">
        <f>Skills!B16</f>
        <v/>
      </c>
      <c r="C136">
        <f>Inputs!$B$3&gt;=107</f>
        <v/>
      </c>
      <c r="D136">
        <f>IF(Skills!C16=1,60+Inputs!$B$25+Inputs!$B$29,IF(Skills!C16=2,90+Inputs!$B$26+Inputs!$B$29,IF(Skills!C16=3,120+Inputs!$B$27+Inputs!$B$29,MAX(0,(Inputs!$B$3-100)*3)+Inputs!$B$28+Inputs!$B$29)))</f>
        <v/>
      </c>
      <c r="E136">
        <f>INDEX(FactorTable!$B$2:$Y$301, MATCH(ROUND(MIN(300,MAX(1,D136)),0), FactorTable!$A$2:$A$301,0), Skills!M16+1)</f>
        <v/>
      </c>
      <c r="F136">
        <f>IF(Skills!N16=TRUE,(Skills!L16/10)*(E136/1000),Skills!L16/10)+Skills!O16</f>
        <v/>
      </c>
      <c r="G136">
        <f>Calc!G16</f>
        <v/>
      </c>
      <c r="H136">
        <f>Calc!H16</f>
        <v/>
      </c>
      <c r="I136">
        <f>IF(Skills!X16&lt;&gt;"",1+(Skills!X16/10)*(Z123/1000)/100,1)</f>
        <v/>
      </c>
      <c r="J136">
        <f>((Inputs!$B$6*(1+Inputs!$B$7/100))+(((Inputs!$B$12*(1+Inputs!$B$13/100))-(Inputs!$B$12*(1+Inputs!$B$13/100)))+0.25*(Inputs!$B$14-Inputs!$B$14))*(1+Inputs!$B$7/100))*(F136/100)</f>
        <v/>
      </c>
      <c r="K136">
        <f>J136*(1+((Inputs!$B$12*(1+Inputs!$B$13/100))*0.01+Inputs!$B$14*0.0025)/100)*(1+(Inputs!$B$15+1)/100)*(1+Inputs!$B$16/100)*(5000/(6000+Inputs!$B$42*(1-Inputs!$B$19/100)))*(1+Inputs!$B$24/100)*(1+F143/100)*(1+IF(Inputs!$B$3&gt;=120,F146,0)/100)^5*(1+(IF(Skills!A16="BASIC_ATTACK",Inputs!$B$17,Inputs!$B$18+IF(Inputs!$B$3&gt;=125,F147*5,0)))/100)*(B150*B151*B152*I136)</f>
        <v/>
      </c>
      <c r="L136">
        <f>K136*(MIN(Inputs!$B$22+(F142-Calc!F22),Inputs!$B$23)/100+Inputs!$B$23/100)/2</f>
        <v/>
      </c>
      <c r="M136">
        <f>L136*(1+(Inputs!$B$10+(F141-Calc!F21))/100)</f>
        <v/>
      </c>
      <c r="N136">
        <f>L136*(1-MIN(Inputs!$B$9+(F140-Calc!F20),100)/100)+M136*(MIN(Inputs!$B$9+(F140-Calc!F20),100)/100)</f>
        <v/>
      </c>
      <c r="O136">
        <f>(1-Summary!$B$56)*S136+Summary!$B$56*U136</f>
        <v/>
      </c>
      <c r="P136">
        <f>IF(B161=0,0,O136/B161)</f>
        <v/>
      </c>
      <c r="Q136">
        <f>IFERROR(1/IF(Inputs!$B$38="pvp",15,MAX(0.1,Skills!E16-IF(Skills!F16=TRUE,Inputs!$B$32,0))),0)</f>
        <v/>
      </c>
      <c r="R136">
        <f>IF(AND(Inputs!$B$38&lt;&gt;"pvp",Inputs!$B$43&gt;0),IF(MAX(0,Inputs!$B$43-B158)&lt;=0,0,(INT(MAX(0,Inputs!$B$43-B158)/IF(Inputs!$B$38="pvp",15,MAX(0.1,Skills!E16-IF(Skills!F16=TRUE,Inputs!$B$32,0))))+1)),0)</f>
        <v/>
      </c>
      <c r="S136">
        <f>IF(C136,(H136*N136*IF(AND(Inputs!$B$38&lt;&gt;"pvp",Inputs!$B$43&gt;0),((Skills!G16*((R136-1)*IF(Skills!H16&gt;0,Skills!I16/Skills!H16,1)+IF(Skills!H16&gt;0,MIN(Skills!I16,MAX(0,MAX(0,Inputs!$B$43-B158)-((R136-1)*IF(Inputs!$B$38="pvp",15,MAX(0.1,Skills!E16-IF(Skills!F16=TRUE,Inputs!$B$32,0))))))/Skills!H16,1)))/Inputs!$B$43),G136*Q136)*(1+IF(Inputs!$B$3&gt;=126,0.05*(B156+Q133+(H134*B157)/(1+Skills!H14*H134*B157)+Q144),0)*Skills!E15))*IF(Inputs!$B$38="pvp",1,1+(Inputs!$B$20+Skills!P16)/100),0)</f>
        <v/>
      </c>
      <c r="U136">
        <f>IF(C136,(H136*N136*IF(AND(Inputs!$B$38&lt;&gt;"pvp",Inputs!$B$43&gt;0),((Skills!G16*((R136-1)*IF(Skills!H16&gt;0,Skills!I16/Skills!H16,1)+IF(Skills!H16&gt;0,MIN(Skills!I16,MAX(0,MAX(0,Inputs!$B$43-B158)-((R136-1)*IF(Inputs!$B$38="pvp",15,MAX(0.1,Skills!E16-IF(Skills!F16=TRUE,Inputs!$B$32,0))))))/Skills!H16,1)))/Inputs!$B$43),G136*Q136)*(1+IF(Inputs!$B$3&gt;=126,0.05*(B156+Q133+(H134*B157)/(1+Skills!H14*H134*B157)+Q144),0)*Skills!E15))*IF(Inputs!$B$38="pvp",1,(1+(Inputs!$B$21+Skills!Q16)/100)*(MIN(Skills!R16,Inputs!$B$37))),0)</f>
        <v/>
      </c>
    </row>
    <row r="137">
      <c r="A137">
        <f>Skills!A17</f>
        <v/>
      </c>
      <c r="B137">
        <f>Skills!B17</f>
        <v/>
      </c>
      <c r="C137">
        <f>TRUE</f>
        <v/>
      </c>
      <c r="D137">
        <f>IF(Skills!C17=1,60+Inputs!$B$25+Inputs!$B$29,IF(Skills!C17=2,90+Inputs!$B$26+Inputs!$B$29,IF(Skills!C17=3,120+Inputs!$B$27+Inputs!$B$29,MAX(0,(Inputs!$B$3-100)*3)+Inputs!$B$28+Inputs!$B$29)))</f>
        <v/>
      </c>
      <c r="E137">
        <f>INDEX(FactorTable!$B$2:$Y$301, MATCH(ROUND(MIN(300,MAX(1,D137)),0), FactorTable!$A$2:$A$301,0), Skills!M17+1)</f>
        <v/>
      </c>
      <c r="F137">
        <f>IF(Skills!N17=TRUE,(Skills!L17/10)*(E137/1000),Skills!L17/10)+Skills!O17</f>
        <v/>
      </c>
      <c r="G137">
        <f>Calc!G17</f>
        <v/>
      </c>
      <c r="H137">
        <f>Calc!H17</f>
        <v/>
      </c>
      <c r="I137">
        <f>IF(Skills!X17&lt;&gt;"",1+(Skills!X17/10)*(Z123/1000)/100,1)</f>
        <v/>
      </c>
      <c r="J137" t="inlineStr"/>
      <c r="K137" t="inlineStr"/>
      <c r="L137" t="inlineStr"/>
      <c r="M137" t="inlineStr"/>
      <c r="N137" t="inlineStr"/>
      <c r="O137">
        <f>(1-Summary!$B$56)*S137+Summary!$B$56*U137</f>
        <v/>
      </c>
      <c r="P137">
        <f>IF(B161=0,0,O137/B161)</f>
        <v/>
      </c>
      <c r="Q137">
        <f>IFERROR(1/IF(Inputs!$B$38="pvp",15,MAX(0.1,Skills!E17-IF(Skills!F17=TRUE,Inputs!$B$32,0))),0)</f>
        <v/>
      </c>
      <c r="R137">
        <f>IF(AND(Inputs!$B$38&lt;&gt;"pvp",Inputs!$B$43&gt;0),IF(Inputs!$B$43&lt;=0,0,(INT(Inputs!$B$43/IF(Inputs!$B$38="pvp",15,MAX(0.1,Skills!E17-IF(Skills!F17=TRUE,Inputs!$B$32,0))))+1)),0)</f>
        <v/>
      </c>
      <c r="S137" t="n">
        <v>0</v>
      </c>
      <c r="U137" t="n">
        <v>0</v>
      </c>
    </row>
    <row r="138">
      <c r="A138">
        <f>Skills!A18</f>
        <v/>
      </c>
      <c r="B138">
        <f>Skills!B18</f>
        <v/>
      </c>
      <c r="C138">
        <f>TRUE</f>
        <v/>
      </c>
      <c r="D138">
        <f>IF(Skills!C18=1,60+Inputs!$B$25+Inputs!$B$29,IF(Skills!C18=2,90+Inputs!$B$26+Inputs!$B$29,IF(Skills!C18=3,120+Inputs!$B$27+Inputs!$B$29,MAX(0,(Inputs!$B$3-100)*3)+Inputs!$B$28+Inputs!$B$29)))</f>
        <v/>
      </c>
      <c r="E138">
        <f>INDEX(FactorTable!$B$2:$Y$301, MATCH(ROUND(MIN(300,MAX(1,D138)),0), FactorTable!$A$2:$A$301,0), Skills!M18+1)</f>
        <v/>
      </c>
      <c r="F138">
        <f>IF(Skills!N18=TRUE,(Skills!L18/10)*(E138/1000),Skills!L18/10)+Skills!O18</f>
        <v/>
      </c>
      <c r="G138">
        <f>Calc!G18</f>
        <v/>
      </c>
      <c r="H138">
        <f>Calc!H18</f>
        <v/>
      </c>
      <c r="I138">
        <f>IF(Skills!X18&lt;&gt;"",1+(Skills!X18/10)*(Z123/1000)/100,1)</f>
        <v/>
      </c>
      <c r="J138" t="inlineStr"/>
      <c r="K138" t="inlineStr"/>
      <c r="L138" t="inlineStr"/>
      <c r="M138" t="inlineStr"/>
      <c r="N138" t="inlineStr"/>
      <c r="O138">
        <f>(1-Summary!$B$56)*S138+Summary!$B$56*U138</f>
        <v/>
      </c>
      <c r="P138">
        <f>IF(B161=0,0,O138/B161)</f>
        <v/>
      </c>
      <c r="Q138">
        <f>IFERROR(1/IF(Inputs!$B$38="pvp",15,MAX(0.1,Skills!E18-IF(Skills!F18=TRUE,Inputs!$B$32,0))),0)</f>
        <v/>
      </c>
      <c r="R138">
        <f>IF(AND(Inputs!$B$38&lt;&gt;"pvp",Inputs!$B$43&gt;0),IF(Inputs!$B$43&lt;=0,0,(INT(Inputs!$B$43/IF(Inputs!$B$38="pvp",15,MAX(0.1,Skills!E18-IF(Skills!F18=TRUE,Inputs!$B$32,0))))+1)),0)</f>
        <v/>
      </c>
      <c r="S138" t="n">
        <v>0</v>
      </c>
      <c r="U138" t="n">
        <v>0</v>
      </c>
    </row>
    <row r="139">
      <c r="A139">
        <f>Skills!A19</f>
        <v/>
      </c>
      <c r="B139">
        <f>Skills!B19</f>
        <v/>
      </c>
      <c r="C139">
        <f>Inputs!$B$3&gt;=110</f>
        <v/>
      </c>
      <c r="D139">
        <f>IF(Skills!C19=1,60+Inputs!$B$25+Inputs!$B$29,IF(Skills!C19=2,90+Inputs!$B$26+Inputs!$B$29,IF(Skills!C19=3,120+Inputs!$B$27+Inputs!$B$29,MAX(0,(Inputs!$B$3-100)*3)+Inputs!$B$28+Inputs!$B$29)))</f>
        <v/>
      </c>
      <c r="E139">
        <f>INDEX(FactorTable!$B$2:$Y$301, MATCH(ROUND(MIN(300,MAX(1,D139)),0), FactorTable!$A$2:$A$301,0), Skills!M19+1)</f>
        <v/>
      </c>
      <c r="F139">
        <f>IF(Skills!N19=TRUE,(Skills!L19/10)*(E139/1000),Skills!L19/10)+Skills!O19</f>
        <v/>
      </c>
      <c r="G139">
        <f>Calc!G19</f>
        <v/>
      </c>
      <c r="H139">
        <f>Calc!H19</f>
        <v/>
      </c>
      <c r="I139">
        <f>IF(Skills!X19&lt;&gt;"",1+(Skills!X19/10)*(Z123/1000)/100,1)</f>
        <v/>
      </c>
      <c r="J139" t="inlineStr"/>
      <c r="K139" t="inlineStr"/>
      <c r="L139" t="inlineStr"/>
      <c r="M139" t="inlineStr"/>
      <c r="N139" t="inlineStr"/>
      <c r="O139">
        <f>(1-Summary!$B$56)*S139+Summary!$B$56*U139</f>
        <v/>
      </c>
      <c r="P139">
        <f>IF(B161=0,0,O139/B161)</f>
        <v/>
      </c>
      <c r="Q139">
        <f>IFERROR(1/IF(Inputs!$B$38="pvp",15,MAX(0.1,Skills!E19-IF(Skills!F19=TRUE,Inputs!$B$32,0))),0)</f>
        <v/>
      </c>
      <c r="R139">
        <f>IF(AND(Inputs!$B$38&lt;&gt;"pvp",Inputs!$B$43&gt;0),IF(Inputs!$B$43&lt;=0,0,(INT(Inputs!$B$43/IF(Inputs!$B$38="pvp",15,MAX(0.1,Skills!E19-IF(Skills!F19=TRUE,Inputs!$B$32,0))))+1)),0)</f>
        <v/>
      </c>
      <c r="S139" t="n">
        <v>0</v>
      </c>
      <c r="U139" t="n">
        <v>0</v>
      </c>
    </row>
    <row r="140">
      <c r="A140">
        <f>Skills!A20</f>
        <v/>
      </c>
      <c r="B140">
        <f>Skills!B20</f>
        <v/>
      </c>
      <c r="C140">
        <f>TRUE</f>
        <v/>
      </c>
      <c r="D140">
        <f>IF(Skills!C20=1,60+Inputs!$B$25+Inputs!$B$29,IF(Skills!C20=2,90+Inputs!$B$26+Inputs!$B$29,IF(Skills!C20=3,120+Inputs!$B$27+Inputs!$B$29,MAX(0,(Inputs!$B$3-100)*3)+Inputs!$B$28+Inputs!$B$29)))</f>
        <v/>
      </c>
      <c r="E140">
        <f>INDEX(FactorTable!$B$2:$Y$301, MATCH(ROUND(MIN(300,MAX(1,D140)),0), FactorTable!$A$2:$A$301,0), Skills!M20+1)</f>
        <v/>
      </c>
      <c r="F140">
        <f>IF(Skills!N20=TRUE,(Skills!L20/10)*(E140/1000),Skills!L20/10)+Skills!O20</f>
        <v/>
      </c>
      <c r="G140">
        <f>Calc!G20</f>
        <v/>
      </c>
      <c r="H140">
        <f>Calc!H20</f>
        <v/>
      </c>
      <c r="I140">
        <f>IF(Skills!X20&lt;&gt;"",1+(Skills!X20/10)*(Z123/1000)/100,1)</f>
        <v/>
      </c>
      <c r="J140" t="inlineStr"/>
      <c r="K140" t="inlineStr"/>
      <c r="L140" t="inlineStr"/>
      <c r="M140" t="inlineStr"/>
      <c r="N140" t="inlineStr"/>
      <c r="O140">
        <f>(1-Summary!$B$56)*S140+Summary!$B$56*U140</f>
        <v/>
      </c>
      <c r="P140">
        <f>IF(B161=0,0,O140/B161)</f>
        <v/>
      </c>
      <c r="Q140">
        <f>IFERROR(1/IF(Inputs!$B$38="pvp",15,MAX(0.1,Skills!E20-IF(Skills!F20=TRUE,Inputs!$B$32,0))),0)</f>
        <v/>
      </c>
      <c r="R140" t="n">
        <v>0</v>
      </c>
      <c r="S140" t="n">
        <v>0</v>
      </c>
      <c r="U140" t="n">
        <v>0</v>
      </c>
    </row>
    <row r="141">
      <c r="A141">
        <f>Skills!A21</f>
        <v/>
      </c>
      <c r="B141">
        <f>Skills!B21</f>
        <v/>
      </c>
      <c r="C141">
        <f>TRUE</f>
        <v/>
      </c>
      <c r="D141">
        <f>IF(Skills!C21=1,60+Inputs!$B$25+Inputs!$B$29,IF(Skills!C21=2,90+Inputs!$B$26+Inputs!$B$29,IF(Skills!C21=3,120+Inputs!$B$27+Inputs!$B$29,MAX(0,(Inputs!$B$3-100)*3)+Inputs!$B$28+Inputs!$B$29)))</f>
        <v/>
      </c>
      <c r="E141">
        <f>INDEX(FactorTable!$B$2:$Y$301, MATCH(ROUND(MIN(300,MAX(1,D141)),0), FactorTable!$A$2:$A$301,0), Skills!M21+1)</f>
        <v/>
      </c>
      <c r="F141">
        <f>IF(Skills!N21=TRUE,(Skills!L21/10)*(E141/1000),Skills!L21/10)+Skills!O21</f>
        <v/>
      </c>
      <c r="G141">
        <f>Calc!G21</f>
        <v/>
      </c>
      <c r="H141">
        <f>Calc!H21</f>
        <v/>
      </c>
      <c r="I141">
        <f>IF(Skills!X21&lt;&gt;"",1+(Skills!X21/10)*(Z123/1000)/100,1)</f>
        <v/>
      </c>
      <c r="J141" t="inlineStr"/>
      <c r="K141" t="inlineStr"/>
      <c r="L141" t="inlineStr"/>
      <c r="M141" t="inlineStr"/>
      <c r="N141" t="inlineStr"/>
      <c r="O141">
        <f>(1-Summary!$B$56)*S141+Summary!$B$56*U141</f>
        <v/>
      </c>
      <c r="P141">
        <f>IF(B161=0,0,O141/B161)</f>
        <v/>
      </c>
      <c r="Q141">
        <f>IFERROR(1/IF(Inputs!$B$38="pvp",15,MAX(0.1,Skills!E21-IF(Skills!F21=TRUE,Inputs!$B$32,0))),0)</f>
        <v/>
      </c>
      <c r="R141" t="n">
        <v>0</v>
      </c>
      <c r="S141" t="n">
        <v>0</v>
      </c>
      <c r="U141" t="n">
        <v>0</v>
      </c>
    </row>
    <row r="142">
      <c r="A142">
        <f>Skills!A22</f>
        <v/>
      </c>
      <c r="B142">
        <f>Skills!B22</f>
        <v/>
      </c>
      <c r="C142">
        <f>TRUE</f>
        <v/>
      </c>
      <c r="D142">
        <f>IF(Skills!C22=1,60+Inputs!$B$25+Inputs!$B$29,IF(Skills!C22=2,90+Inputs!$B$26+Inputs!$B$29,IF(Skills!C22=3,120+Inputs!$B$27+Inputs!$B$29,MAX(0,(Inputs!$B$3-100)*3)+Inputs!$B$28+Inputs!$B$29)))</f>
        <v/>
      </c>
      <c r="E142">
        <f>INDEX(FactorTable!$B$2:$Y$301, MATCH(ROUND(MIN(300,MAX(1,D142)),0), FactorTable!$A$2:$A$301,0), Skills!M22+1)</f>
        <v/>
      </c>
      <c r="F142">
        <f>IF(Skills!N22=TRUE,(Skills!L22/10)*(E142/1000),Skills!L22/10)+Skills!O22</f>
        <v/>
      </c>
      <c r="G142">
        <f>Calc!G22</f>
        <v/>
      </c>
      <c r="H142">
        <f>Calc!H22</f>
        <v/>
      </c>
      <c r="I142">
        <f>IF(Skills!X22&lt;&gt;"",1+(Skills!X22/10)*(Z123/1000)/100,1)</f>
        <v/>
      </c>
      <c r="J142" t="inlineStr"/>
      <c r="K142" t="inlineStr"/>
      <c r="L142" t="inlineStr"/>
      <c r="M142" t="inlineStr"/>
      <c r="N142" t="inlineStr"/>
      <c r="O142">
        <f>(1-Summary!$B$56)*S142+Summary!$B$56*U142</f>
        <v/>
      </c>
      <c r="P142">
        <f>IF(B161=0,0,O142/B161)</f>
        <v/>
      </c>
      <c r="Q142">
        <f>IFERROR(1/IF(Inputs!$B$38="pvp",15,MAX(0.1,Skills!E22-IF(Skills!F22=TRUE,Inputs!$B$32,0))),0)</f>
        <v/>
      </c>
      <c r="R142" t="n">
        <v>0</v>
      </c>
      <c r="S142" t="n">
        <v>0</v>
      </c>
      <c r="U142" t="n">
        <v>0</v>
      </c>
    </row>
    <row r="143">
      <c r="A143">
        <f>Skills!A23</f>
        <v/>
      </c>
      <c r="B143">
        <f>Skills!B23</f>
        <v/>
      </c>
      <c r="C143">
        <f>TRUE</f>
        <v/>
      </c>
      <c r="D143">
        <f>IF(Skills!C23=1,60+Inputs!$B$25+Inputs!$B$29,IF(Skills!C23=2,90+Inputs!$B$26+Inputs!$B$29,IF(Skills!C23=3,120+Inputs!$B$27+Inputs!$B$29,MAX(0,(Inputs!$B$3-100)*3)+Inputs!$B$28+Inputs!$B$29)))</f>
        <v/>
      </c>
      <c r="E143">
        <f>INDEX(FactorTable!$B$2:$Y$301, MATCH(ROUND(MIN(300,MAX(1,D143)),0), FactorTable!$A$2:$A$301,0), Skills!M23+1)</f>
        <v/>
      </c>
      <c r="F143">
        <f>IF(Skills!N23=TRUE,(Skills!L23/10)*(E143/1000),Skills!L23/10)+Skills!O23</f>
        <v/>
      </c>
      <c r="G143">
        <f>Calc!G23</f>
        <v/>
      </c>
      <c r="H143">
        <f>Calc!H23</f>
        <v/>
      </c>
      <c r="I143">
        <f>IF(Skills!X23&lt;&gt;"",1+(Skills!X23/10)*(Z123/1000)/100,1)</f>
        <v/>
      </c>
      <c r="J143" t="inlineStr"/>
      <c r="K143" t="inlineStr"/>
      <c r="L143" t="inlineStr"/>
      <c r="M143" t="inlineStr"/>
      <c r="N143" t="inlineStr"/>
      <c r="O143">
        <f>(1-Summary!$B$56)*S143+Summary!$B$56*U143</f>
        <v/>
      </c>
      <c r="P143">
        <f>IF(B161=0,0,O143/B161)</f>
        <v/>
      </c>
      <c r="Q143">
        <f>IFERROR(1/IF(Inputs!$B$38="pvp",15,MAX(0.1,Skills!E23-IF(Skills!F23=TRUE,Inputs!$B$32,0))),0)</f>
        <v/>
      </c>
      <c r="R143" t="n">
        <v>0</v>
      </c>
      <c r="S143" t="n">
        <v>0</v>
      </c>
      <c r="U143" t="n">
        <v>0</v>
      </c>
    </row>
    <row r="144">
      <c r="A144">
        <f>Skills!A24</f>
        <v/>
      </c>
      <c r="B144">
        <f>Skills!B24</f>
        <v/>
      </c>
      <c r="C144">
        <f>Inputs!$B$3&gt;=115</f>
        <v/>
      </c>
      <c r="D144">
        <f>IF(Skills!C24=1,60+Inputs!$B$25+Inputs!$B$29,IF(Skills!C24=2,90+Inputs!$B$26+Inputs!$B$29,IF(Skills!C24=3,120+Inputs!$B$27+Inputs!$B$29,MAX(0,(Inputs!$B$3-100)*3)+Inputs!$B$28+Inputs!$B$29)))</f>
        <v/>
      </c>
      <c r="E144">
        <f>INDEX(FactorTable!$B$2:$Y$301, MATCH(ROUND(MIN(300,MAX(1,D144)),0), FactorTable!$A$2:$A$301,0), Skills!M24+1)</f>
        <v/>
      </c>
      <c r="F144">
        <f>IF(Skills!N24=TRUE,(Skills!L24/10)*(E144/1000),Skills!L24/10)+Skills!O24</f>
        <v/>
      </c>
      <c r="G144">
        <f>Calc!G24</f>
        <v/>
      </c>
      <c r="H144">
        <f>Calc!H24</f>
        <v/>
      </c>
      <c r="I144">
        <f>IF(Skills!X24&lt;&gt;"",1+(Skills!X24/10)*(Z123/1000)/100,1)</f>
        <v/>
      </c>
      <c r="J144">
        <f>((Inputs!$B$6*(1+Inputs!$B$7/100))+(((Inputs!$B$12*(1+Inputs!$B$13/100))-(Inputs!$B$12*(1+Inputs!$B$13/100)))+0.25*(Inputs!$B$14-Inputs!$B$14))*(1+Inputs!$B$7/100))*(F144/100)</f>
        <v/>
      </c>
      <c r="K144">
        <f>J144*(1+((Inputs!$B$12*(1+Inputs!$B$13/100))*0.01+Inputs!$B$14*0.0025)/100)*(1+(Inputs!$B$15+1)/100)*(1+Inputs!$B$16/100)*(5000/(6000+Inputs!$B$42*(1-Inputs!$B$19/100)))*(1+Inputs!$B$24/100)*(1+F143/100)*(1+IF(Inputs!$B$3&gt;=120,F146,0)/100)^5*(1+(IF(Skills!A24="BASIC_ATTACK",Inputs!$B$17,Inputs!$B$18+IF(Inputs!$B$3&gt;=125,F147*5,0)))/100)*(B150*B151*B152*I144)</f>
        <v/>
      </c>
      <c r="L144">
        <f>K144*(MIN(Inputs!$B$22+(F142-Calc!F22),Inputs!$B$23)/100+Inputs!$B$23/100)/2</f>
        <v/>
      </c>
      <c r="M144">
        <f>L144*(1+(Inputs!$B$10+(F141-Calc!F21))/100)</f>
        <v/>
      </c>
      <c r="N144">
        <f>L144*(1-MIN(Inputs!$B$9+(F140-Calc!F20),100)/100)+M144*(MIN(Inputs!$B$9+(F140-Calc!F20),100)/100)</f>
        <v/>
      </c>
      <c r="O144">
        <f>(1-Summary!$B$56)*S144+Summary!$B$56*U144</f>
        <v/>
      </c>
      <c r="P144">
        <f>IF(B161=0,0,O144/B161)</f>
        <v/>
      </c>
      <c r="Q144">
        <f>IFERROR(1/IF(Inputs!$B$38="pvp",15,MAX(0.1,Skills!E24-IF(Skills!F24=TRUE,Inputs!$B$32,0))),0)</f>
        <v/>
      </c>
      <c r="R144">
        <f>IF(AND(Inputs!$B$38&lt;&gt;"pvp",Inputs!$B$43&gt;0),IF(MAX(0,Inputs!$B$43-B158)&lt;=0,0,(INT(MAX(0,Inputs!$B$43-B158)/IF(Inputs!$B$38="pvp",15,MAX(0.1,Skills!E24-IF(Skills!F24=TRUE,Inputs!$B$32,0))))+1)),0)</f>
        <v/>
      </c>
      <c r="S144">
        <f>IF(C144,(H144*N144*IF(AND(Inputs!$B$38&lt;&gt;"pvp",Inputs!$B$43&gt;0),((Skills!G24*((R144-1)*IF(Skills!H24&gt;0,Skills!I24/Skills!H24,1)+IF(Skills!H24&gt;0,MIN(Skills!I24,MAX(0,MAX(0,Inputs!$B$43-B158)-((R144-1)*IF(Inputs!$B$38="pvp",15,MAX(0.1,Skills!E24-IF(Skills!F24=TRUE,Inputs!$B$32,0))))))/Skills!H24,1)))/Inputs!$B$43),G144*Q144)*(1+IF(Inputs!$B$3&gt;=130,0.2*(Skills!I16/Skills!E15+IF(Inputs!$B$3&gt;=126,0.05*(B156+Q133+(H134*B157)/(1+Skills!H14*H134*B157)+Q144),0)*Skills!I16),0)))*IF(Inputs!$B$38="pvp",1,1+(Inputs!$B$20+Skills!P24)/100),0)</f>
        <v/>
      </c>
      <c r="U144">
        <f>IF(C144,(H144*N144*IF(AND(Inputs!$B$38&lt;&gt;"pvp",Inputs!$B$43&gt;0),((Skills!G24*((R144-1)*IF(Skills!H24&gt;0,Skills!I24/Skills!H24,1)+IF(Skills!H24&gt;0,MIN(Skills!I24,MAX(0,MAX(0,Inputs!$B$43-B158)-((R144-1)*IF(Inputs!$B$38="pvp",15,MAX(0.1,Skills!E24-IF(Skills!F24=TRUE,Inputs!$B$32,0))))))/Skills!H24,1)))/Inputs!$B$43),G144*Q144)*(1+IF(Inputs!$B$3&gt;=130,0.2*(Skills!I16/Skills!E15+IF(Inputs!$B$3&gt;=126,0.05*(B156+Q133+(H134*B157)/(1+Skills!H14*H134*B157)+Q144),0)*Skills!I16),0)))*IF(Inputs!$B$38="pvp",1,(1+(Inputs!$B$21+Skills!Q24)/100)*(MIN(Skills!R24,Inputs!$B$37))),0)</f>
        <v/>
      </c>
    </row>
    <row r="145">
      <c r="A145">
        <f>Skills!A25</f>
        <v/>
      </c>
      <c r="B145">
        <f>Skills!B25</f>
        <v/>
      </c>
      <c r="C145">
        <f>Inputs!$B$3&gt;=117</f>
        <v/>
      </c>
      <c r="D145">
        <f>IF(Skills!C25=1,60+Inputs!$B$25+Inputs!$B$29,IF(Skills!C25=2,90+Inputs!$B$26+Inputs!$B$29,IF(Skills!C25=3,120+Inputs!$B$27+Inputs!$B$29,MAX(0,(Inputs!$B$3-100)*3)+Inputs!$B$28+Inputs!$B$29)))</f>
        <v/>
      </c>
      <c r="E145">
        <f>INDEX(FactorTable!$B$2:$Y$301, MATCH(ROUND(MIN(300,MAX(1,D145)),0), FactorTable!$A$2:$A$301,0), Skills!M25+1)</f>
        <v/>
      </c>
      <c r="F145">
        <f>IF(Skills!N25=TRUE,(Skills!L25/10)*(E145/1000),Skills!L25/10)+Skills!O25</f>
        <v/>
      </c>
      <c r="G145">
        <f>Calc!G25</f>
        <v/>
      </c>
      <c r="H145">
        <f>Calc!H25</f>
        <v/>
      </c>
      <c r="I145">
        <f>IF(Skills!X25&lt;&gt;"",1+(Skills!X25/10)*(Z123/1000)/100,1)</f>
        <v/>
      </c>
      <c r="J145" t="inlineStr"/>
      <c r="K145" t="inlineStr"/>
      <c r="L145" t="inlineStr"/>
      <c r="M145" t="inlineStr"/>
      <c r="N145" t="inlineStr"/>
      <c r="O145">
        <f>(1-Summary!$B$56)*S145+Summary!$B$56*U145</f>
        <v/>
      </c>
      <c r="P145">
        <f>IF(B161=0,0,O145/B161)</f>
        <v/>
      </c>
      <c r="Q145">
        <f>IFERROR(1/IF(Inputs!$B$38="pvp",15,MAX(0.1,Skills!E25-IF(Skills!F25=TRUE,Inputs!$B$32,0))),0)</f>
        <v/>
      </c>
      <c r="R145" t="n">
        <v>0</v>
      </c>
      <c r="S145" t="n">
        <v>0</v>
      </c>
      <c r="U145" t="n">
        <v>0</v>
      </c>
    </row>
    <row r="146">
      <c r="A146">
        <f>Skills!A26</f>
        <v/>
      </c>
      <c r="B146">
        <f>Skills!B26</f>
        <v/>
      </c>
      <c r="C146">
        <f>Inputs!$B$3&gt;=120</f>
        <v/>
      </c>
      <c r="D146">
        <f>IF(Skills!C26=1,60+Inputs!$B$25+Inputs!$B$29,IF(Skills!C26=2,90+Inputs!$B$26+Inputs!$B$29,IF(Skills!C26=3,120+Inputs!$B$27+Inputs!$B$29,MAX(0,(Inputs!$B$3-100)*3)+Inputs!$B$28+Inputs!$B$29)))</f>
        <v/>
      </c>
      <c r="E146">
        <f>INDEX(FactorTable!$B$2:$Y$301, MATCH(ROUND(MIN(300,MAX(1,D146)),0), FactorTable!$A$2:$A$301,0), Skills!M26+1)</f>
        <v/>
      </c>
      <c r="F146">
        <f>IF(Skills!N26=TRUE,(Skills!L26/10)*(E146/1000),Skills!L26/10)+Skills!O26</f>
        <v/>
      </c>
      <c r="G146">
        <f>Calc!G26</f>
        <v/>
      </c>
      <c r="H146">
        <f>Calc!H26</f>
        <v/>
      </c>
      <c r="I146">
        <f>IF(Skills!X26&lt;&gt;"",1+(Skills!X26/10)*(Z123/1000)/100,1)</f>
        <v/>
      </c>
      <c r="J146" t="inlineStr"/>
      <c r="K146" t="inlineStr"/>
      <c r="L146" t="inlineStr"/>
      <c r="M146" t="inlineStr"/>
      <c r="N146" t="inlineStr"/>
      <c r="O146">
        <f>(1-Summary!$B$56)*S146+Summary!$B$56*U146</f>
        <v/>
      </c>
      <c r="P146">
        <f>IF(B161=0,0,O146/B161)</f>
        <v/>
      </c>
      <c r="Q146">
        <f>IFERROR(1/IF(Inputs!$B$38="pvp",15,MAX(0.1,Skills!E26-IF(Skills!F26=TRUE,Inputs!$B$32,0))),0)</f>
        <v/>
      </c>
      <c r="R146" t="n">
        <v>0</v>
      </c>
      <c r="S146" t="n">
        <v>0</v>
      </c>
      <c r="U146" t="n">
        <v>0</v>
      </c>
    </row>
    <row r="147">
      <c r="A147">
        <f>Skills!A27</f>
        <v/>
      </c>
      <c r="B147">
        <f>Skills!B27</f>
        <v/>
      </c>
      <c r="C147">
        <f>Inputs!$B$3&gt;=125</f>
        <v/>
      </c>
      <c r="D147">
        <f>IF(Skills!C27=1,60+Inputs!$B$25+Inputs!$B$29,IF(Skills!C27=2,90+Inputs!$B$26+Inputs!$B$29,IF(Skills!C27=3,120+Inputs!$B$27+Inputs!$B$29,MAX(0,(Inputs!$B$3-100)*3)+Inputs!$B$28+Inputs!$B$29)))</f>
        <v/>
      </c>
      <c r="E147">
        <f>INDEX(FactorTable!$B$2:$Y$301, MATCH(ROUND(MIN(300,MAX(1,D147)),0), FactorTable!$A$2:$A$301,0), Skills!M27+1)</f>
        <v/>
      </c>
      <c r="F147">
        <f>IF(Skills!N27=TRUE,(Skills!L27/10)*(E147/1000),Skills!L27/10)+Skills!O27</f>
        <v/>
      </c>
      <c r="G147">
        <f>Calc!G27</f>
        <v/>
      </c>
      <c r="H147">
        <f>Calc!H27</f>
        <v/>
      </c>
      <c r="I147">
        <f>IF(Skills!X27&lt;&gt;"",1+(Skills!X27/10)*(Z123/1000)/100,1)</f>
        <v/>
      </c>
      <c r="J147" t="inlineStr"/>
      <c r="K147" t="inlineStr"/>
      <c r="L147" t="inlineStr"/>
      <c r="M147" t="inlineStr"/>
      <c r="N147" t="inlineStr"/>
      <c r="O147">
        <f>(1-Summary!$B$56)*S147+Summary!$B$56*U147</f>
        <v/>
      </c>
      <c r="P147">
        <f>IF(B161=0,0,O147/B161)</f>
        <v/>
      </c>
      <c r="Q147">
        <f>IFERROR(1/IF(Inputs!$B$38="pvp",15,MAX(0.1,Skills!E27-IF(Skills!F27=TRUE,Inputs!$B$32,0))),0)</f>
        <v/>
      </c>
      <c r="R147" t="n">
        <v>0</v>
      </c>
      <c r="S147" t="n">
        <v>0</v>
      </c>
      <c r="U147" t="n">
        <v>0</v>
      </c>
    </row>
    <row r="148">
      <c r="A148">
        <f>Skills!A28</f>
        <v/>
      </c>
      <c r="B148">
        <f>Skills!B28</f>
        <v/>
      </c>
      <c r="C148">
        <f>Inputs!$B$3&gt;=118</f>
        <v/>
      </c>
      <c r="D148">
        <f>IF(Skills!C28=1,60+Inputs!$B$25+Inputs!$B$29,IF(Skills!C28=2,90+Inputs!$B$26+Inputs!$B$29,IF(Skills!C28=3,120+Inputs!$B$27+Inputs!$B$29,MAX(0,(Inputs!$B$3-100)*3)+Inputs!$B$28+Inputs!$B$29)))</f>
        <v/>
      </c>
      <c r="E148">
        <f>INDEX(FactorTable!$B$2:$Y$301, MATCH(ROUND(MIN(300,MAX(1,D148)),0), FactorTable!$A$2:$A$301,0), Skills!M28+1)</f>
        <v/>
      </c>
      <c r="F148">
        <f>IF(Skills!N28=TRUE,(Skills!L28/10)*(E148/1000),Skills!L28/10)+Skills!O28</f>
        <v/>
      </c>
      <c r="G148">
        <f>Calc!G28</f>
        <v/>
      </c>
      <c r="H148">
        <f>Calc!H28</f>
        <v/>
      </c>
      <c r="I148">
        <f>IF(Skills!X28&lt;&gt;"",1+(Skills!X28/10)*(Z123/1000)/100,1)</f>
        <v/>
      </c>
      <c r="J148">
        <f>((Inputs!$B$6*(1+Inputs!$B$7/100))+(((Inputs!$B$12*(1+Inputs!$B$13/100))-(Inputs!$B$12*(1+Inputs!$B$13/100)))+0.25*(Inputs!$B$14-Inputs!$B$14))*(1+Inputs!$B$7/100))*(F148/100)</f>
        <v/>
      </c>
      <c r="K148">
        <f>J148*(1+((Inputs!$B$12*(1+Inputs!$B$13/100))*0.01+Inputs!$B$14*0.0025)/100)*(1+(Inputs!$B$15+1)/100)*(1+Inputs!$B$16/100)*(5000/(6000+Inputs!$B$42*(1-Inputs!$B$19/100)))*(1+Inputs!$B$24/100)*(1+F143/100)*(1+IF(Inputs!$B$3&gt;=120,F146,0)/100)^5*(1+(IF(Skills!A28="BASIC_ATTACK",Inputs!$B$17,Inputs!$B$18+IF(Inputs!$B$3&gt;=125,F147*5,0)))/100)*(B150*B151*B152*I148)</f>
        <v/>
      </c>
      <c r="L148">
        <f>K148*(MIN(Inputs!$B$22+(F142-Calc!F22),Inputs!$B$23)/100+Inputs!$B$23/100)/2</f>
        <v/>
      </c>
      <c r="M148">
        <f>L148*(1+(Inputs!$B$10+(F141-Calc!F21))/100)</f>
        <v/>
      </c>
      <c r="N148">
        <f>L148*(1-MIN(Inputs!$B$9+(F140-Calc!F20),100)/100)+M148*(MIN(Inputs!$B$9+(F140-Calc!F20),100)/100)</f>
        <v/>
      </c>
      <c r="O148">
        <f>(1-Summary!$B$56)*S148+Summary!$B$56*U148</f>
        <v/>
      </c>
      <c r="P148">
        <f>IF(B161=0,0,O148/B161)</f>
        <v/>
      </c>
      <c r="Q148">
        <f>IFERROR(1/IF(Inputs!$B$38="pvp",15,MAX(0.1,Skills!E28-IF(Skills!F28=TRUE,Inputs!$B$32,0))),0)</f>
        <v/>
      </c>
      <c r="R148">
        <f>IF(AND(Inputs!$B$38&lt;&gt;"pvp",Inputs!$B$43&gt;0),IF(MAX(0,Inputs!$B$43-B158)&lt;=0,0,(INT(MAX(0,Inputs!$B$43-B158)/IF(Inputs!$B$38="pvp",15,MAX(0.1,Skills!E28-IF(Skills!F28=TRUE,Inputs!$B$32,0))))+1)),0)</f>
        <v/>
      </c>
      <c r="S148">
        <f>IF(C148,(H148*N148*IF(AND(Inputs!$B$38&lt;&gt;"pvp",Inputs!$B$43&gt;0),((Skills!G28*((R148-1)*IF(Skills!H28&gt;0,Skills!I28/Skills!H28,1)+IF(Skills!H28&gt;0,MIN(Skills!I28,MAX(0,MAX(0,Inputs!$B$43-B158)-((R148-1)*IF(Inputs!$B$38="pvp",15,MAX(0.1,Skills!E28-IF(Skills!F28=TRUE,Inputs!$B$32,0))))))/Skills!H28,1)))/Inputs!$B$43),G148*Q148))*IF(Inputs!$B$38="pvp",1,1+(Inputs!$B$20+Skills!P28)/100),0)</f>
        <v/>
      </c>
      <c r="U148">
        <f>IF(C148,(H148*N148*IF(AND(Inputs!$B$38&lt;&gt;"pvp",Inputs!$B$43&gt;0),((Skills!G28*((R148-1)*IF(Skills!H28&gt;0,Skills!I28/Skills!H28,1)+IF(Skills!H28&gt;0,MIN(Skills!I28,MAX(0,MAX(0,Inputs!$B$43-B158)-((R148-1)*IF(Inputs!$B$38="pvp",15,MAX(0.1,Skills!E28-IF(Skills!F28=TRUE,Inputs!$B$32,0))))))/Skills!H28,1)))/Inputs!$B$43),G148*Q148))*IF(Inputs!$B$38="pvp",1,(1+(Inputs!$B$21+Skills!Q28)/100)*(MIN(Skills!R28,Inputs!$B$37))),0)</f>
        <v/>
      </c>
    </row>
    <row r="150">
      <c r="A150" t="inlineStr">
        <is>
          <t>Burning Magic Multiplier</t>
        </is>
      </c>
      <c r="B150">
        <f>1+(F131*Skills!Z11)/100</f>
        <v/>
      </c>
    </row>
    <row r="151">
      <c r="A151" t="inlineStr">
        <is>
          <t>Elemental Decrease Multiplier (always-on)</t>
        </is>
      </c>
      <c r="B151">
        <f>1+F132/100</f>
        <v/>
      </c>
    </row>
    <row r="152">
      <c r="A152" t="inlineStr">
        <is>
          <t>Average Buff Multiplier (Magic Guard + Meditation, summed; then Infinity)</t>
        </is>
      </c>
      <c r="B152">
        <f>(1+(F126*IF(AND(Inputs!$B$38&lt;&gt;"pvp",Inputs!$B$43&gt;0),(((R126-1)*(Skills!T6*(1+(Inputs!$B$34+IF(Inputs!$B$3&gt;=117,F145,0))/100))+MIN((Skills!T6*(1+(Inputs!$B$34+IF(Inputs!$B$3&gt;=117,F145,0))/100)),MAX(0,Inputs!$B$43-((R126-1)*Skills!E6))))/Inputs!$B$43),IF(Inputs!$B$38="pvp",MIN((Skills!T6*(1+(Inputs!$B$34+IF(Inputs!$B$3&gt;=117,F145,0))/100)),15)/15,(Skills!T6*(1+(Inputs!$B$34+IF(Inputs!$B$3&gt;=117,F145,0))/100))/Skills!E6))+F137*IF(AND(Inputs!$B$38&lt;&gt;"pvp",Inputs!$B$43&gt;0),(((R137-1)*(Skills!T17*(1+(Inputs!$B$34+IF(Inputs!$B$3&gt;=117,F145,0))/100))+MIN((Skills!T17*(1+(Inputs!$B$34+IF(Inputs!$B$3&gt;=117,F145,0))/100)),MAX(0,Inputs!$B$43-((R137-1)*Skills!E17))))/Inputs!$B$43),IF(Inputs!$B$38="pvp",MIN((Skills!T17*(1+(Inputs!$B$34+IF(Inputs!$B$3&gt;=117,F145,0))/100)),15)/15,(Skills!T17*(1+(Inputs!$B$34+IF(Inputs!$B$3&gt;=117,F145,0))/100))/Skills!E17)))/100)*IF(C139=TRUE,(1+F139*IF(AND(Inputs!$B$38&lt;&gt;"pvp",Inputs!$B$43&gt;0),(((R139-1)*(Skills!T19*(1+(Inputs!$B$34+IF(Inputs!$B$3&gt;=117,F145,0))/100))+MIN((Skills!T19*(1+(Inputs!$B$34+IF(Inputs!$B$3&gt;=117,F145,0))/100)),MAX(0,Inputs!$B$43-((R139-1)*Skills!E19))))/Inputs!$B$43),IF(Inputs!$B$38="pvp",MIN((Skills!T19*(1+(Inputs!$B$34+IF(Inputs!$B$3&gt;=117,F145,0))/100)),15)/15,(Skills!T19*(1+(Inputs!$B$34+IF(Inputs!$B$3&gt;=117,F145,0))/100))/Skills!E19))/100),1)</f>
        <v/>
      </c>
    </row>
    <row r="153">
      <c r="A153" t="inlineStr">
        <is>
          <t>Attack Speed Buff Bonus % (Nimble Feet, averaged)</t>
        </is>
      </c>
      <c r="B153">
        <f>F138*IF(AND(Inputs!$B$38&lt;&gt;"pvp",Inputs!$B$43&gt;0),(((R138-1)*(Skills!T18*(1+(Inputs!$B$34+IF(Inputs!$B$3&gt;=117,F145,0))/100))+MIN((Skills!T18*(1+(Inputs!$B$34+IF(Inputs!$B$3&gt;=117,F145,0))/100)),MAX(0,Inputs!$B$43-((R138-1)*Skills!E18))))/Inputs!$B$43),IF(Inputs!$B$38="pvp",MIN((Skills!T18*(1+(Inputs!$B$34+IF(Inputs!$B$3&gt;=117,F145,0))/100)),15)/15,(Skills!T18*(1+(Inputs!$B$34+IF(Inputs!$B$3&gt;=117,F145,0))/100))/Skills!E18))</f>
        <v/>
      </c>
    </row>
    <row r="154">
      <c r="A154" t="inlineStr">
        <is>
          <t>Actions Per Second</t>
        </is>
      </c>
      <c r="B154">
        <f>1+MIN(150,150*(1-(1-Inputs!$B$11/150)*(1-B153/150)))/100</f>
        <v/>
      </c>
    </row>
    <row r="155">
      <c r="A155" t="inlineStr">
        <is>
          <t>Skill + Buff Cast Rate</t>
        </is>
      </c>
      <c r="B155">
        <f>IF(AND(Inputs!$B$38&lt;&gt;"pvp",Inputs!$B$43&gt;0),SUMPRODUCT((Skills!F2:F28=TRUE)*(C122:C148=TRUE)*R122:R148)/Inputs!$B$43,SUMPRODUCT((Skills!F2:F28=TRUE)*(C122:C148=TRUE)*Q122:Q148))</f>
        <v/>
      </c>
    </row>
    <row r="156">
      <c r="A156" t="inlineStr">
        <is>
          <t>Basic Attacks Per Second</t>
        </is>
      </c>
      <c r="B156">
        <f>MAX(0,B154-B155)</f>
        <v/>
      </c>
    </row>
    <row r="157">
      <c r="A157" t="inlineStr">
        <is>
          <t>Meteor Proc — combined trigger cast rate</t>
        </is>
      </c>
      <c r="B157">
        <f>IF(AND(Inputs!$B$38&lt;&gt;"pvp",Inputs!$B$43&gt;0),SUMPRODUCT((Skills!V2:V28=TRUE)*(C122:C148=TRUE)*R122:R148*Skills!W2:W28)/Inputs!$B$43,SUMPRODUCT((Skills!V2:V28=TRUE)*(C122:C148=TRUE)*Q122:Q148*Skills!W2:W28))+B156</f>
        <v/>
      </c>
    </row>
    <row r="158">
      <c r="A158" t="inlineStr">
        <is>
          <t>Buff-Casting Startup Delay (s, fixed-duration only)</t>
        </is>
      </c>
      <c r="B158">
        <f>IF(AND(Inputs!$B$38&lt;&gt;"pvp",Inputs!$B$43&gt;0),SUMPRODUCT((Skills!T2:T28&gt;0)*(Skills!F2:F28=TRUE)*(C122:C148=TRUE))/B154,0)</f>
        <v/>
      </c>
    </row>
    <row r="159">
      <c r="A159" t="inlineStr">
        <is>
          <t>Boss-Only Total DPS (this block's swept value)</t>
        </is>
      </c>
      <c r="B159">
        <f>SUM(S122:S148)</f>
        <v/>
      </c>
    </row>
    <row r="160">
      <c r="A160" t="inlineStr">
        <is>
          <t>Normal-Only Total DPS (this block's swept value)</t>
        </is>
      </c>
      <c r="B160">
        <f>SUM(U122:U148)</f>
        <v/>
      </c>
    </row>
    <row r="161">
      <c r="A161" s="5" t="inlineStr">
        <is>
          <t>TOTAL DPS</t>
        </is>
      </c>
      <c r="B161" s="5">
        <f>SUM(O122:O148)</f>
        <v/>
      </c>
    </row>
    <row r="164">
      <c r="A164" s="5" t="inlineStr">
        <is>
          <t>Stat: DAMAGE_AMP %</t>
        </is>
      </c>
    </row>
    <row r="165">
      <c r="A165" s="9" t="inlineStr">
        <is>
          <t>Key</t>
        </is>
      </c>
      <c r="B165" s="9" t="inlineStr">
        <is>
          <t>Name</t>
        </is>
      </c>
      <c r="C165" s="9" t="inlineStr">
        <is>
          <t>Unlocked</t>
        </is>
      </c>
      <c r="D165" s="9" t="inlineStr">
        <is>
          <t>InputLevel</t>
        </is>
      </c>
      <c r="E165" s="9" t="inlineStr">
        <is>
          <t>Factor</t>
        </is>
      </c>
      <c r="F165" s="9" t="inlineStr">
        <is>
          <t>CoefficientPercent</t>
        </is>
      </c>
      <c r="G165" s="9" t="inlineStr">
        <is>
          <t>EffectiveHits</t>
        </is>
      </c>
      <c r="H165" s="9" t="inlineStr">
        <is>
          <t>ProcProbability</t>
        </is>
      </c>
      <c r="I165" s="9" t="inlineStr">
        <is>
          <t>MapleHeroMultiplier</t>
        </is>
      </c>
      <c r="J165" s="9" t="inlineStr">
        <is>
          <t>BaseDamage</t>
        </is>
      </c>
      <c r="K165" s="9" t="inlineStr">
        <is>
          <t>BaseHitDamage</t>
        </is>
      </c>
      <c r="L165" s="9" t="inlineStr">
        <is>
          <t>NonCritAvg</t>
        </is>
      </c>
      <c r="M165" s="9" t="inlineStr">
        <is>
          <t>CritAvg</t>
        </is>
      </c>
      <c r="N165" s="9" t="inlineStr">
        <is>
          <t>ExpectedDamage(perHit)</t>
        </is>
      </c>
      <c r="O165" s="9" t="inlineStr">
        <is>
          <t>DPS</t>
        </is>
      </c>
      <c r="P165" s="9" t="inlineStr">
        <is>
          <t>% of Total</t>
        </is>
      </c>
      <c r="R165" t="inlineStr">
        <is>
          <t>helpers</t>
        </is>
      </c>
    </row>
    <row r="166">
      <c r="A166">
        <f>Skills!A2</f>
        <v/>
      </c>
      <c r="B166">
        <f>Skills!B2</f>
        <v/>
      </c>
      <c r="C166">
        <f>TRUE</f>
        <v/>
      </c>
      <c r="D166" t="inlineStr"/>
      <c r="E166" t="inlineStr"/>
      <c r="F166">
        <f>T168+Skills!O2</f>
        <v/>
      </c>
      <c r="G166">
        <f>Calc!G2</f>
        <v/>
      </c>
      <c r="H166">
        <f>Calc!H2</f>
        <v/>
      </c>
      <c r="I166">
        <f>IF(Skills!X2&lt;&gt;"",1+(Skills!X2/10)*(Z167/1000)/100,1)</f>
        <v/>
      </c>
      <c r="J166">
        <f>((Inputs!$B$6*(1+Inputs!$B$7/100))+(((Inputs!$B$12*(1+Inputs!$B$13/100))-(Inputs!$B$12*(1+Inputs!$B$13/100)))+0.25*(Inputs!$B$14-Inputs!$B$14))*(1+Inputs!$B$7/100))*(F166/100)</f>
        <v/>
      </c>
      <c r="K166">
        <f>J166*(1+((Inputs!$B$12*(1+Inputs!$B$13/100))*0.01+Inputs!$B$14*0.0025)/100)*(1+Inputs!$B$15/100)*(1+(Inputs!$B$16+1)/100)*(5000/(6000+Inputs!$B$42*(1-Inputs!$B$19/100)))*(1+Inputs!$B$24/100)*(1+F187/100)*(1+IF(Inputs!$B$3&gt;=120,F190,0)/100)^5*(1+(IF(Skills!A2="BASIC_ATTACK",Inputs!$B$17,Inputs!$B$18+IF(Inputs!$B$3&gt;=125,F191*5,0)))/100)*(B194*B195*B196*I166)</f>
        <v/>
      </c>
      <c r="L166">
        <f>K166*(MIN(Inputs!$B$22+(F186-Calc!F22),Inputs!$B$23)/100+Inputs!$B$23/100)/2</f>
        <v/>
      </c>
      <c r="M166">
        <f>L166*(1+(Inputs!$B$10+(F185-Calc!F21))/100)</f>
        <v/>
      </c>
      <c r="N166">
        <f>L166*(1-MIN(Inputs!$B$9+(F184-Calc!F20),100)/100)+M166*(MIN(Inputs!$B$9+(F184-Calc!F20),100)/100)</f>
        <v/>
      </c>
      <c r="O166">
        <f>(1-Summary!$B$56)*S166+Summary!$B$56*U166</f>
        <v/>
      </c>
      <c r="P166">
        <f>IF(B205=0,0,O166/B205)</f>
        <v/>
      </c>
      <c r="Q166">
        <f>IFERROR(1/IF(Inputs!$B$38="pvp",15,MAX(0.1,Skills!E2-IF(Skills!F2=TRUE,Inputs!$B$32,0))),0)</f>
        <v/>
      </c>
      <c r="R166" t="n">
        <v>0</v>
      </c>
      <c r="S166">
        <f>(Skills!G2*N166*B200)*IF(Inputs!$B$38="pvp",1,1+(Inputs!$B$20+Skills!P2)/100)</f>
        <v/>
      </c>
      <c r="T166">
        <f>MAX(0,(Inputs!$B$3-100)*3)+Inputs!$B$28+Inputs!$B$29</f>
        <v/>
      </c>
      <c r="U166">
        <f>(Skills!G2*N166*B200)*IF(Inputs!$B$38="pvp",1,(1+(Inputs!$B$21+Skills!Q2)/100)*(MIN((6+Inputs!$B$33+IF(Inputs!$B$3&gt;=136,1,0)),Inputs!$B$37)))</f>
        <v/>
      </c>
      <c r="Z166">
        <f>MAX(0,(Inputs!$B$3-100)*3)+Inputs!$B$28+Inputs!$B$29</f>
        <v/>
      </c>
    </row>
    <row r="167">
      <c r="A167">
        <f>Skills!A3</f>
        <v/>
      </c>
      <c r="B167">
        <f>Skills!B3</f>
        <v/>
      </c>
      <c r="C167">
        <f>TRUE</f>
        <v/>
      </c>
      <c r="D167">
        <f>IF(Skills!C3=1,60+Inputs!$B$25+Inputs!$B$29,IF(Skills!C3=2,90+Inputs!$B$26+Inputs!$B$29,IF(Skills!C3=3,120+Inputs!$B$27+Inputs!$B$29,MAX(0,(Inputs!$B$3-100)*3)+Inputs!$B$28+Inputs!$B$29)))</f>
        <v/>
      </c>
      <c r="E167">
        <f>INDEX(FactorTable!$B$2:$Y$301, MATCH(ROUND(MIN(300,MAX(1,D167)),0), FactorTable!$A$2:$A$301,0), Skills!M3+1)</f>
        <v/>
      </c>
      <c r="F167">
        <f>IF(Skills!N3=TRUE,(Skills!L3/10)*(E167/1000),Skills!L3/10)+Skills!O3</f>
        <v/>
      </c>
      <c r="G167">
        <f>Calc!G3</f>
        <v/>
      </c>
      <c r="H167">
        <f>Calc!H3</f>
        <v/>
      </c>
      <c r="I167">
        <f>IF(Skills!X3&lt;&gt;"",1+(Skills!X3/10)*(Z167/1000)/100,1)</f>
        <v/>
      </c>
      <c r="J167">
        <f>((Inputs!$B$6*(1+Inputs!$B$7/100))+(((Inputs!$B$12*(1+Inputs!$B$13/100))-(Inputs!$B$12*(1+Inputs!$B$13/100)))+0.25*(Inputs!$B$14-Inputs!$B$14))*(1+Inputs!$B$7/100))*(F167/100)</f>
        <v/>
      </c>
      <c r="K167">
        <f>J167*(1+((Inputs!$B$12*(1+Inputs!$B$13/100))*0.01+Inputs!$B$14*0.0025)/100)*(1+Inputs!$B$15/100)*(1+(Inputs!$B$16+1)/100)*(5000/(6000+Inputs!$B$42*(1-Inputs!$B$19/100)))*(1+Inputs!$B$24/100)*(1+F187/100)*(1+IF(Inputs!$B$3&gt;=120,F190,0)/100)^5*(1+(IF(Skills!A3="BASIC_ATTACK",Inputs!$B$17,Inputs!$B$18+IF(Inputs!$B$3&gt;=125,F191*5,0)))/100)*(B194*B195*B196*I167)</f>
        <v/>
      </c>
      <c r="L167">
        <f>K167*(MIN(Inputs!$B$22+(F186-Calc!F22),Inputs!$B$23)/100+Inputs!$B$23/100)/2</f>
        <v/>
      </c>
      <c r="M167">
        <f>L167*(1+(Inputs!$B$10+(F185-Calc!F21))/100)</f>
        <v/>
      </c>
      <c r="N167">
        <f>L167*(1-MIN(Inputs!$B$9+(F184-Calc!F20),100)/100)+M167*(MIN(Inputs!$B$9+(F184-Calc!F20),100)/100)</f>
        <v/>
      </c>
      <c r="O167">
        <f>(1-Summary!$B$56)*S167+Summary!$B$56*U167</f>
        <v/>
      </c>
      <c r="P167">
        <f>IF(B205=0,0,O167/B205)</f>
        <v/>
      </c>
      <c r="Q167">
        <f>IFERROR(1/IF(Inputs!$B$38="pvp",15,MAX(0.1,Skills!E3-IF(Skills!F3=TRUE,Inputs!$B$32,0))),0)</f>
        <v/>
      </c>
      <c r="R167">
        <f>IF(AND(Inputs!$B$38&lt;&gt;"pvp",Inputs!$B$43&gt;0),IF(MAX(0,Inputs!$B$43-B202)&lt;=0,0,(INT(MAX(0,Inputs!$B$43-B202)/IF(Inputs!$B$38="pvp",15,MAX(0.1,Skills!E3-IF(Skills!F3=TRUE,Inputs!$B$32,0))))+1)),0)</f>
        <v/>
      </c>
      <c r="S167">
        <f>IF(C167,(H167*N167*IF(AND(Inputs!$B$38&lt;&gt;"pvp",Inputs!$B$43&gt;0),((Skills!G3*((R167-1)*IF(Skills!H3&gt;0,Skills!I3/Skills!H3,1)+IF(Skills!H3&gt;0,MIN(Skills!I3,MAX(0,MAX(0,Inputs!$B$43-B202)-((R167-1)*IF(Inputs!$B$38="pvp",15,MAX(0.1,Skills!E3-IF(Skills!F3=TRUE,Inputs!$B$32,0))))))/Skills!H3,1)))/Inputs!$B$43),G167*Q167))*IF(Inputs!$B$38="pvp",1,1+(Inputs!$B$20+Skills!P3)/100),0)</f>
        <v/>
      </c>
      <c r="T167">
        <f>INDEX(FactorTable!$B$2:$Y$301, MATCH(ROUND(MIN(300,MAX(1,T166)),0), FactorTable!$A$2:$A$301,0), 22)</f>
        <v/>
      </c>
      <c r="U167">
        <f>IF(C167,(H167*N167*IF(AND(Inputs!$B$38&lt;&gt;"pvp",Inputs!$B$43&gt;0),((Skills!G3*((R167-1)*IF(Skills!H3&gt;0,Skills!I3/Skills!H3,1)+IF(Skills!H3&gt;0,MIN(Skills!I3,MAX(0,MAX(0,Inputs!$B$43-B202)-((R167-1)*IF(Inputs!$B$38="pvp",15,MAX(0.1,Skills!E3-IF(Skills!F3=TRUE,Inputs!$B$32,0))))))/Skills!H3,1)))/Inputs!$B$43),G167*Q167))*IF(Inputs!$B$38="pvp",1,(1+(Inputs!$B$21+Skills!Q3)/100)*(MIN(Skills!R3,Inputs!$B$37))),0)</f>
        <v/>
      </c>
      <c r="Z167">
        <f>INDEX(FactorTable!$B$2:$Y$301, MATCH(ROUND(MIN(300,MAX(1,Z166)),0), FactorTable!$A$2:$A$301,0), 24)</f>
        <v/>
      </c>
    </row>
    <row r="168">
      <c r="A168">
        <f>Skills!A4</f>
        <v/>
      </c>
      <c r="B168">
        <f>Skills!B4</f>
        <v/>
      </c>
      <c r="C168">
        <f>TRUE</f>
        <v/>
      </c>
      <c r="D168">
        <f>IF(Skills!C4=1,60+Inputs!$B$25+Inputs!$B$29,IF(Skills!C4=2,90+Inputs!$B$26+Inputs!$B$29,IF(Skills!C4=3,120+Inputs!$B$27+Inputs!$B$29,MAX(0,(Inputs!$B$3-100)*3)+Inputs!$B$28+Inputs!$B$29)))</f>
        <v/>
      </c>
      <c r="E168">
        <f>INDEX(FactorTable!$B$2:$Y$301, MATCH(ROUND(MIN(300,MAX(1,D168)),0), FactorTable!$A$2:$A$301,0), Skills!M4+1)</f>
        <v/>
      </c>
      <c r="F168">
        <f>IF(Skills!N4=TRUE,(Skills!L4/10)*(E168/1000),Skills!L4/10)+Skills!O4</f>
        <v/>
      </c>
      <c r="G168">
        <f>Calc!G4</f>
        <v/>
      </c>
      <c r="H168">
        <f>Calc!H4</f>
        <v/>
      </c>
      <c r="I168">
        <f>IF(Skills!X4&lt;&gt;"",1+(Skills!X4/10)*(Z167/1000)/100,1)</f>
        <v/>
      </c>
      <c r="J168">
        <f>((Inputs!$B$6*(1+Inputs!$B$7/100))+(((Inputs!$B$12*(1+Inputs!$B$13/100))-(Inputs!$B$12*(1+Inputs!$B$13/100)))+0.25*(Inputs!$B$14-Inputs!$B$14))*(1+Inputs!$B$7/100))*(F168/100)</f>
        <v/>
      </c>
      <c r="K168">
        <f>J168*(1+((Inputs!$B$12*(1+Inputs!$B$13/100))*0.01+Inputs!$B$14*0.0025)/100)*(1+Inputs!$B$15/100)*(1+(Inputs!$B$16+1)/100)*(5000/(6000+Inputs!$B$42*(1-Inputs!$B$19/100)))*(1+Inputs!$B$24/100)*(1+F187/100)*(1+IF(Inputs!$B$3&gt;=120,F190,0)/100)^5*(1+(IF(Skills!A4="BASIC_ATTACK",Inputs!$B$17,Inputs!$B$18+IF(Inputs!$B$3&gt;=125,F191*5,0)))/100)*(B194*B195*B196*I168)</f>
        <v/>
      </c>
      <c r="L168">
        <f>K168*(MIN(Inputs!$B$22+(F186-Calc!F22),Inputs!$B$23)/100+Inputs!$B$23/100)/2</f>
        <v/>
      </c>
      <c r="M168">
        <f>L168*(1+(Inputs!$B$10+(F185-Calc!F21))/100)</f>
        <v/>
      </c>
      <c r="N168">
        <f>L168*(1-MIN(Inputs!$B$9+(F184-Calc!F20),100)/100)+M168*(MIN(Inputs!$B$9+(F184-Calc!F20),100)/100)</f>
        <v/>
      </c>
      <c r="O168">
        <f>(1-Summary!$B$56)*S168+Summary!$B$56*U168</f>
        <v/>
      </c>
      <c r="P168">
        <f>IF(B205=0,0,O168/B205)</f>
        <v/>
      </c>
      <c r="Q168">
        <f>IFERROR(1/IF(Inputs!$B$38="pvp",15,MAX(0.1,Skills!E4-IF(Skills!F4=TRUE,Inputs!$B$32,0))),0)</f>
        <v/>
      </c>
      <c r="R168">
        <f>IF(AND(Inputs!$B$38&lt;&gt;"pvp",Inputs!$B$43&gt;0),IF(MAX(0,Inputs!$B$43-B202)&lt;=0,0,(INT(MAX(0,Inputs!$B$43-B202)/IF(Inputs!$B$38="pvp",15,MAX(0.1,Skills!E4-IF(Skills!F4=TRUE,Inputs!$B$32,0))))+1)),0)</f>
        <v/>
      </c>
      <c r="S168">
        <f>IF(C168,(H168*N168*IF(AND(Inputs!$B$38&lt;&gt;"pvp",Inputs!$B$43&gt;0),((Skills!G4*((R168-1)*IF(Skills!H4&gt;0,Skills!I4/Skills!H4,1)+IF(Skills!H4&gt;0,MIN(Skills!I4,MAX(0,MAX(0,Inputs!$B$43-B202)-((R168-1)*IF(Inputs!$B$38="pvp",15,MAX(0.1,Skills!E4-IF(Skills!F4=TRUE,Inputs!$B$32,0))))))/Skills!H4,1)))/Inputs!$B$43),G168*Q168))*IF(Inputs!$B$38="pvp",1,1+(Inputs!$B$20+Skills!P4)/100),0)</f>
        <v/>
      </c>
      <c r="T168">
        <f>290*T167/1000</f>
        <v/>
      </c>
      <c r="U168">
        <f>IF(C168,(H168*N168*IF(AND(Inputs!$B$38&lt;&gt;"pvp",Inputs!$B$43&gt;0),((Skills!G4*((R168-1)*IF(Skills!H4&gt;0,Skills!I4/Skills!H4,1)+IF(Skills!H4&gt;0,MIN(Skills!I4,MAX(0,MAX(0,Inputs!$B$43-B202)-((R168-1)*IF(Inputs!$B$38="pvp",15,MAX(0.1,Skills!E4-IF(Skills!F4=TRUE,Inputs!$B$32,0))))))/Skills!H4,1)))/Inputs!$B$43),G168*Q168))*IF(Inputs!$B$38="pvp",1,(1+(Inputs!$B$21+Skills!Q4)/100)*(MIN(Skills!R4,Inputs!$B$37))),0)</f>
        <v/>
      </c>
    </row>
    <row r="169">
      <c r="A169">
        <f>Skills!A5</f>
        <v/>
      </c>
      <c r="B169">
        <f>Skills!B5</f>
        <v/>
      </c>
      <c r="C169">
        <f>TRUE</f>
        <v/>
      </c>
      <c r="D169">
        <f>IF(Skills!C5=1,60+Inputs!$B$25+Inputs!$B$29,IF(Skills!C5=2,90+Inputs!$B$26+Inputs!$B$29,IF(Skills!C5=3,120+Inputs!$B$27+Inputs!$B$29,MAX(0,(Inputs!$B$3-100)*3)+Inputs!$B$28+Inputs!$B$29)))</f>
        <v/>
      </c>
      <c r="E169">
        <f>INDEX(FactorTable!$B$2:$Y$301, MATCH(ROUND(MIN(300,MAX(1,D169)),0), FactorTable!$A$2:$A$301,0), Skills!M5+1)</f>
        <v/>
      </c>
      <c r="F169">
        <f>IF(Skills!N5=TRUE,(Skills!L5/10)*(E169/1000),Skills!L5/10)+Skills!O5</f>
        <v/>
      </c>
      <c r="G169">
        <f>Calc!G5</f>
        <v/>
      </c>
      <c r="H169">
        <f>Calc!H5</f>
        <v/>
      </c>
      <c r="I169">
        <f>IF(Skills!X5&lt;&gt;"",1+(Skills!X5/10)*(Z167/1000)/100,1)</f>
        <v/>
      </c>
      <c r="J169">
        <f>((Inputs!$B$6*(1+Inputs!$B$7/100))+(((Inputs!$B$12*(1+Inputs!$B$13/100))-(Inputs!$B$12*(1+Inputs!$B$13/100)))+0.25*(Inputs!$B$14-Inputs!$B$14))*(1+Inputs!$B$7/100))*(F169/100)</f>
        <v/>
      </c>
      <c r="K169">
        <f>J169*(1+((Inputs!$B$12*(1+Inputs!$B$13/100))*0.01+Inputs!$B$14*0.0025)/100)*(1+Inputs!$B$15/100)*(1+(Inputs!$B$16+1)/100)*(5000/(6000+Inputs!$B$42*(1-Inputs!$B$19/100)))*(1+Inputs!$B$24/100)*(1+F187/100)*(1+IF(Inputs!$B$3&gt;=120,F190,0)/100)^5*(1+(IF(Skills!A5="BASIC_ATTACK",Inputs!$B$17,Inputs!$B$18+IF(Inputs!$B$3&gt;=125,F191*5,0)))/100)*(B194*B195*B196*I169)</f>
        <v/>
      </c>
      <c r="L169">
        <f>K169*(MIN(Inputs!$B$22+(F186-Calc!F22),Inputs!$B$23)/100+Inputs!$B$23/100)/2</f>
        <v/>
      </c>
      <c r="M169">
        <f>L169*(1+(Inputs!$B$10+(F185-Calc!F21))/100)</f>
        <v/>
      </c>
      <c r="N169">
        <f>L169*(1-MIN(Inputs!$B$9+(F184-Calc!F20),100)/100)+M169*(MIN(Inputs!$B$9+(F184-Calc!F20),100)/100)</f>
        <v/>
      </c>
      <c r="O169">
        <f>(1-Summary!$B$56)*S169+Summary!$B$56*U169</f>
        <v/>
      </c>
      <c r="P169">
        <f>IF(B205=0,0,O169/B205)</f>
        <v/>
      </c>
      <c r="Q169">
        <f>IFERROR(1/IF(Inputs!$B$38="pvp",15,MAX(0.1,Skills!E5-IF(Skills!F5=TRUE,Inputs!$B$32,0))),0)</f>
        <v/>
      </c>
      <c r="R169">
        <f>IF(AND(Inputs!$B$38&lt;&gt;"pvp",Inputs!$B$43&gt;0),IF(MAX(0,Inputs!$B$43-B202)&lt;=0,0,(INT(MAX(0,Inputs!$B$43-B202)/IF(Inputs!$B$38="pvp",15,MAX(0.1,Skills!E5-IF(Skills!F5=TRUE,Inputs!$B$32,0))))+1)),0)</f>
        <v/>
      </c>
      <c r="S169">
        <f>IF(C169,(H169*N169*IF(AND(Inputs!$B$38&lt;&gt;"pvp",Inputs!$B$43&gt;0),((Skills!G5*((R169-1)*IF(Skills!H5&gt;0,Skills!I5/Skills!H5,1)+IF(Skills!H5&gt;0,MIN(Skills!I5,MAX(0,MAX(0,Inputs!$B$43-B202)-((R169-1)*IF(Inputs!$B$38="pvp",15,MAX(0.1,Skills!E5-IF(Skills!F5=TRUE,Inputs!$B$32,0))))))/Skills!H5,1)))/Inputs!$B$43),G169*Q169))*IF(Inputs!$B$38="pvp",1,1+(Inputs!$B$20+Skills!P5)/100),0)</f>
        <v/>
      </c>
      <c r="U169">
        <f>IF(C169,(H169*N169*IF(AND(Inputs!$B$38&lt;&gt;"pvp",Inputs!$B$43&gt;0),((Skills!G5*((R169-1)*IF(Skills!H5&gt;0,Skills!I5/Skills!H5,1)+IF(Skills!H5&gt;0,MIN(Skills!I5,MAX(0,MAX(0,Inputs!$B$43-B202)-((R169-1)*IF(Inputs!$B$38="pvp",15,MAX(0.1,Skills!E5-IF(Skills!F5=TRUE,Inputs!$B$32,0))))))/Skills!H5,1)))/Inputs!$B$43),G169*Q169))*IF(Inputs!$B$38="pvp",1,(1+(Inputs!$B$21+Skills!Q5)/100)*(MIN(Skills!R5,Inputs!$B$37))),0)</f>
        <v/>
      </c>
    </row>
    <row r="170">
      <c r="A170">
        <f>Skills!A6</f>
        <v/>
      </c>
      <c r="B170">
        <f>Skills!B6</f>
        <v/>
      </c>
      <c r="C170">
        <f>TRUE</f>
        <v/>
      </c>
      <c r="D170">
        <f>IF(Skills!C6=1,60+Inputs!$B$25+Inputs!$B$29,IF(Skills!C6=2,90+Inputs!$B$26+Inputs!$B$29,IF(Skills!C6=3,120+Inputs!$B$27+Inputs!$B$29,MAX(0,(Inputs!$B$3-100)*3)+Inputs!$B$28+Inputs!$B$29)))</f>
        <v/>
      </c>
      <c r="E170">
        <f>INDEX(FactorTable!$B$2:$Y$301, MATCH(ROUND(MIN(300,MAX(1,D170)),0), FactorTable!$A$2:$A$301,0), Skills!M6+1)</f>
        <v/>
      </c>
      <c r="F170">
        <f>IF(Skills!N6=TRUE,(Skills!L6/10)*(E170/1000),Skills!L6/10)+Skills!O6</f>
        <v/>
      </c>
      <c r="G170">
        <f>Calc!G6</f>
        <v/>
      </c>
      <c r="H170">
        <f>Calc!H6</f>
        <v/>
      </c>
      <c r="I170">
        <f>IF(Skills!X6&lt;&gt;"",1+(Skills!X6/10)*(Z167/1000)/100,1)</f>
        <v/>
      </c>
      <c r="J170" t="inlineStr"/>
      <c r="K170" t="inlineStr"/>
      <c r="L170" t="inlineStr"/>
      <c r="M170" t="inlineStr"/>
      <c r="N170" t="inlineStr"/>
      <c r="O170">
        <f>(1-Summary!$B$56)*S170+Summary!$B$56*U170</f>
        <v/>
      </c>
      <c r="P170">
        <f>IF(B205=0,0,O170/B205)</f>
        <v/>
      </c>
      <c r="Q170">
        <f>IFERROR(1/IF(Inputs!$B$38="pvp",15,MAX(0.1,Skills!E6-IF(Skills!F6=TRUE,Inputs!$B$32,0))),0)</f>
        <v/>
      </c>
      <c r="R170">
        <f>IF(AND(Inputs!$B$38&lt;&gt;"pvp",Inputs!$B$43&gt;0),IF(Inputs!$B$43&lt;=0,0,(INT(Inputs!$B$43/IF(Inputs!$B$38="pvp",15,MAX(0.1,Skills!E6-IF(Skills!F6=TRUE,Inputs!$B$32,0))))+1)),0)</f>
        <v/>
      </c>
      <c r="S170" t="n">
        <v>0</v>
      </c>
      <c r="U170" t="n">
        <v>0</v>
      </c>
    </row>
    <row r="171">
      <c r="A171">
        <f>Skills!A7</f>
        <v/>
      </c>
      <c r="B171">
        <f>Skills!B7</f>
        <v/>
      </c>
      <c r="C171">
        <f>TRUE</f>
        <v/>
      </c>
      <c r="D171">
        <f>IF(Skills!C7=1,60+Inputs!$B$25+Inputs!$B$29,IF(Skills!C7=2,90+Inputs!$B$26+Inputs!$B$29,IF(Skills!C7=3,120+Inputs!$B$27+Inputs!$B$29,MAX(0,(Inputs!$B$3-100)*3)+Inputs!$B$28+Inputs!$B$29)))</f>
        <v/>
      </c>
      <c r="E171">
        <f>INDEX(FactorTable!$B$2:$Y$301, MATCH(ROUND(MIN(300,MAX(1,D171)),0), FactorTable!$A$2:$A$301,0), Skills!M7+1)</f>
        <v/>
      </c>
      <c r="F171">
        <f>IF(Skills!N7=TRUE,(Skills!L7/10)*(E171/1000),Skills!L7/10)+Skills!O7</f>
        <v/>
      </c>
      <c r="G171">
        <f>Calc!G7</f>
        <v/>
      </c>
      <c r="H171">
        <f>Calc!H7</f>
        <v/>
      </c>
      <c r="I171">
        <f>IF(Skills!X7&lt;&gt;"",1+(Skills!X7/10)*(Z167/1000)/100,1)</f>
        <v/>
      </c>
      <c r="J171">
        <f>((Inputs!$B$6*(1+Inputs!$B$7/100))+(((Inputs!$B$12*(1+Inputs!$B$13/100))-(Inputs!$B$12*(1+Inputs!$B$13/100)))+0.25*(Inputs!$B$14-Inputs!$B$14))*(1+Inputs!$B$7/100))*(F171/100)</f>
        <v/>
      </c>
      <c r="K171">
        <f>J171*(1+((Inputs!$B$12*(1+Inputs!$B$13/100))*0.01+Inputs!$B$14*0.0025)/100)*(1+Inputs!$B$15/100)*(1+(Inputs!$B$16+1)/100)*(5000/(6000+Inputs!$B$42*(1-Inputs!$B$19/100)))*(1+Inputs!$B$24/100)*(1+F187/100)*(1+IF(Inputs!$B$3&gt;=120,F190,0)/100)^5*(1+(IF(Skills!A7="BASIC_ATTACK",Inputs!$B$17,Inputs!$B$18+IF(Inputs!$B$3&gt;=125,F191*5,0)))/100)*(B194*B195*B196*I171)</f>
        <v/>
      </c>
      <c r="L171">
        <f>K171*(MIN(Inputs!$B$22+(F186-Calc!F22),Inputs!$B$23)/100+Inputs!$B$23/100)/2</f>
        <v/>
      </c>
      <c r="M171">
        <f>L171*(1+(Inputs!$B$10+(F185-Calc!F21))/100)</f>
        <v/>
      </c>
      <c r="N171">
        <f>L171*(1-MIN(Inputs!$B$9+(F184-Calc!F20),100)/100)+M171*(MIN(Inputs!$B$9+(F184-Calc!F20),100)/100)</f>
        <v/>
      </c>
      <c r="O171">
        <f>(1-Summary!$B$56)*S171+Summary!$B$56*U171</f>
        <v/>
      </c>
      <c r="P171">
        <f>IF(B205=0,0,O171/B205)</f>
        <v/>
      </c>
      <c r="Q171">
        <f>IFERROR(1/IF(Inputs!$B$38="pvp",15,MAX(0.1,Skills!E7-IF(Skills!F7=TRUE,Inputs!$B$32,0))),0)</f>
        <v/>
      </c>
      <c r="R171">
        <f>IF(AND(Inputs!$B$38&lt;&gt;"pvp",Inputs!$B$43&gt;0),IF(MAX(0,Inputs!$B$43-B202)&lt;=0,0,(INT(MAX(0,Inputs!$B$43-B202)/IF(Inputs!$B$38="pvp",15,MAX(0.1,Skills!E7-IF(Skills!F7=TRUE,Inputs!$B$32,0))))+1)),0)</f>
        <v/>
      </c>
      <c r="S171">
        <f>IF(C171,(H171*N171*IF(AND(Inputs!$B$38&lt;&gt;"pvp",Inputs!$B$43&gt;0),((Skills!G7*((R171-1)*IF(Skills!H7&gt;0,Skills!I7/Skills!H7,1)+IF(Skills!H7&gt;0,MIN(Skills!I7,MAX(0,MAX(0,Inputs!$B$43-B202)-((R171-1)*IF(Inputs!$B$38="pvp",15,MAX(0.1,Skills!E7-IF(Skills!F7=TRUE,Inputs!$B$32,0))))))/Skills!H7,1)))/Inputs!$B$43),G171*Q171))*IF(Inputs!$B$38="pvp",1,1+(Inputs!$B$20+Skills!P7)/100),0)</f>
        <v/>
      </c>
      <c r="U171">
        <f>IF(C171,(H171*N171*IF(AND(Inputs!$B$38&lt;&gt;"pvp",Inputs!$B$43&gt;0),((Skills!G7*((R171-1)*IF(Skills!H7&gt;0,Skills!I7/Skills!H7,1)+IF(Skills!H7&gt;0,MIN(Skills!I7,MAX(0,MAX(0,Inputs!$B$43-B202)-((R171-1)*IF(Inputs!$B$38="pvp",15,MAX(0.1,Skills!E7-IF(Skills!F7=TRUE,Inputs!$B$32,0))))))/Skills!H7,1)))/Inputs!$B$43),G171*Q171))*IF(Inputs!$B$38="pvp",1,(1+(Inputs!$B$21+Skills!Q7)/100)*(MIN(Skills!R7,Inputs!$B$37))),0)</f>
        <v/>
      </c>
    </row>
    <row r="172">
      <c r="A172">
        <f>Skills!A8</f>
        <v/>
      </c>
      <c r="B172">
        <f>Skills!B8</f>
        <v/>
      </c>
      <c r="C172">
        <f>TRUE</f>
        <v/>
      </c>
      <c r="D172">
        <f>IF(Skills!C8=1,60+Inputs!$B$25+Inputs!$B$29,IF(Skills!C8=2,90+Inputs!$B$26+Inputs!$B$29,IF(Skills!C8=3,120+Inputs!$B$27+Inputs!$B$29,MAX(0,(Inputs!$B$3-100)*3)+Inputs!$B$28+Inputs!$B$29)))</f>
        <v/>
      </c>
      <c r="E172">
        <f>INDEX(FactorTable!$B$2:$Y$301, MATCH(ROUND(MIN(300,MAX(1,D172)),0), FactorTable!$A$2:$A$301,0), Skills!M8+1)</f>
        <v/>
      </c>
      <c r="F172">
        <f>IF(Skills!N8=TRUE,(Skills!L8/10)*(E172/1000),Skills!L8/10)+Skills!O8</f>
        <v/>
      </c>
      <c r="G172">
        <f>Calc!G8</f>
        <v/>
      </c>
      <c r="H172">
        <f>Calc!H8</f>
        <v/>
      </c>
      <c r="I172">
        <f>IF(Skills!X8&lt;&gt;"",1+(Skills!X8/10)*(Z167/1000)/100,1)</f>
        <v/>
      </c>
      <c r="J172">
        <f>((Inputs!$B$6*(1+Inputs!$B$7/100))+(((Inputs!$B$12*(1+Inputs!$B$13/100))-(Inputs!$B$12*(1+Inputs!$B$13/100)))+0.25*(Inputs!$B$14-Inputs!$B$14))*(1+Inputs!$B$7/100))*(F172/100)</f>
        <v/>
      </c>
      <c r="K172">
        <f>J172*(1+((Inputs!$B$12*(1+Inputs!$B$13/100))*0.01+Inputs!$B$14*0.0025)/100)*(1+Inputs!$B$15/100)*(1+(Inputs!$B$16+1)/100)*(5000/(6000+Inputs!$B$42*(1-Inputs!$B$19/100)))*(1+Inputs!$B$24/100)*(1+F187/100)*(1+IF(Inputs!$B$3&gt;=120,F190,0)/100)^5*(1+(IF(Skills!A8="BASIC_ATTACK",Inputs!$B$17,Inputs!$B$18+IF(Inputs!$B$3&gt;=125,F191*5,0)))/100)*(B194*B195*B196*I172)</f>
        <v/>
      </c>
      <c r="L172">
        <f>K172*(MIN(Inputs!$B$22+(F186-Calc!F22),Inputs!$B$23)/100+Inputs!$B$23/100)/2</f>
        <v/>
      </c>
      <c r="M172">
        <f>L172*(1+(Inputs!$B$10+(F185-Calc!F21))/100)</f>
        <v/>
      </c>
      <c r="N172">
        <f>L172*(1-MIN(Inputs!$B$9+(F184-Calc!F20),100)/100)+M172*(MIN(Inputs!$B$9+(F184-Calc!F20),100)/100)</f>
        <v/>
      </c>
      <c r="O172">
        <f>(1-Summary!$B$56)*S172+Summary!$B$56*U172</f>
        <v/>
      </c>
      <c r="P172">
        <f>IF(B205=0,0,O172/B205)</f>
        <v/>
      </c>
      <c r="Q172">
        <f>IFERROR(1/IF(Inputs!$B$38="pvp",15,MAX(0.1,Skills!E8-IF(Skills!F8=TRUE,Inputs!$B$32,0))),0)</f>
        <v/>
      </c>
      <c r="R172">
        <f>IF(AND(Inputs!$B$38&lt;&gt;"pvp",Inputs!$B$43&gt;0),IF(MAX(0,Inputs!$B$43-B202)&lt;=0,0,(INT(MAX(0,Inputs!$B$43-B202)/IF(Inputs!$B$38="pvp",15,MAX(0.1,Skills!E8-IF(Skills!F8=TRUE,Inputs!$B$32,0))))+1)),0)</f>
        <v/>
      </c>
      <c r="S172">
        <f>IF(C172,(H172*N172*IF(AND(Inputs!$B$38&lt;&gt;"pvp",Inputs!$B$43&gt;0),((Skills!G8*((R172-1)*IF(Skills!H8&gt;0,Skills!I8/Skills!H8,1)+IF(Skills!H8&gt;0,MIN(Skills!I8,MAX(0,MAX(0,Inputs!$B$43-B202)-((R172-1)*IF(Inputs!$B$38="pvp",15,MAX(0.1,Skills!E8-IF(Skills!F8=TRUE,Inputs!$B$32,0))))))/Skills!H8,1)))/Inputs!$B$43),G172*Q172))*IF(Inputs!$B$38="pvp",1,1+(Inputs!$B$20+Skills!P8)/100),0)</f>
        <v/>
      </c>
      <c r="U172">
        <f>IF(C172,(H172*N172*IF(AND(Inputs!$B$38&lt;&gt;"pvp",Inputs!$B$43&gt;0),((Skills!G8*((R172-1)*IF(Skills!H8&gt;0,Skills!I8/Skills!H8,1)+IF(Skills!H8&gt;0,MIN(Skills!I8,MAX(0,MAX(0,Inputs!$B$43-B202)-((R172-1)*IF(Inputs!$B$38="pvp",15,MAX(0.1,Skills!E8-IF(Skills!F8=TRUE,Inputs!$B$32,0))))))/Skills!H8,1)))/Inputs!$B$43),G172*Q172))*IF(Inputs!$B$38="pvp",1,(1+(Inputs!$B$21+Skills!Q8)/100)*(MIN(Skills!R8,Inputs!$B$37))),0)</f>
        <v/>
      </c>
    </row>
    <row r="173">
      <c r="A173">
        <f>Skills!A9</f>
        <v/>
      </c>
      <c r="B173">
        <f>Skills!B9</f>
        <v/>
      </c>
      <c r="C173">
        <f>Inputs!$B$3&gt;=103</f>
        <v/>
      </c>
      <c r="D173">
        <f>IF(Skills!C9=1,60+Inputs!$B$25+Inputs!$B$29,IF(Skills!C9=2,90+Inputs!$B$26+Inputs!$B$29,IF(Skills!C9=3,120+Inputs!$B$27+Inputs!$B$29,MAX(0,(Inputs!$B$3-100)*3)+Inputs!$B$28+Inputs!$B$29)))</f>
        <v/>
      </c>
      <c r="E173">
        <f>INDEX(FactorTable!$B$2:$Y$301, MATCH(ROUND(MIN(300,MAX(1,D173)),0), FactorTable!$A$2:$A$301,0), Skills!M9+1)</f>
        <v/>
      </c>
      <c r="F173">
        <f>IF(Skills!N9=TRUE,(Skills!L9/10)*(E173/1000),Skills!L9/10)+Skills!O9</f>
        <v/>
      </c>
      <c r="G173">
        <f>Calc!G9</f>
        <v/>
      </c>
      <c r="H173">
        <f>Calc!H9</f>
        <v/>
      </c>
      <c r="I173">
        <f>IF(Skills!X9&lt;&gt;"",1+(Skills!X9/10)*(Z167/1000)/100,1)</f>
        <v/>
      </c>
      <c r="J173">
        <f>((Inputs!$B$6*(1+Inputs!$B$7/100))+(((Inputs!$B$12*(1+Inputs!$B$13/100))-(Inputs!$B$12*(1+Inputs!$B$13/100)))+0.25*(Inputs!$B$14-Inputs!$B$14))*(1+Inputs!$B$7/100))*(F173/100)</f>
        <v/>
      </c>
      <c r="K173">
        <f>J173*(1+((Inputs!$B$12*(1+Inputs!$B$13/100))*0.01+Inputs!$B$14*0.0025)/100)*(1+Inputs!$B$15/100)*(1+(Inputs!$B$16+1)/100)*(5000/(6000+Inputs!$B$42*(1-Inputs!$B$19/100)))*(1+Inputs!$B$24/100)*(1+F187/100)*(1+IF(Inputs!$B$3&gt;=120,F190,0)/100)^5*(1+(IF(Skills!A9="BASIC_ATTACK",Inputs!$B$17,Inputs!$B$18+IF(Inputs!$B$3&gt;=125,F191*5,0)))/100)*(B194*B195*B196*I173)</f>
        <v/>
      </c>
      <c r="L173">
        <f>K173*(MIN(Inputs!$B$22+(F186-Calc!F22),Inputs!$B$23)/100+Inputs!$B$23/100)/2</f>
        <v/>
      </c>
      <c r="M173">
        <f>L173*(1+(Inputs!$B$10+(F185-Calc!F21))/100)</f>
        <v/>
      </c>
      <c r="N173">
        <f>L173*(1-MIN(Inputs!$B$9+(F184-Calc!F20),100)/100)+M173*(MIN(Inputs!$B$9+(F184-Calc!F20),100)/100)</f>
        <v/>
      </c>
      <c r="O173">
        <f>(1-Summary!$B$56)*S173+Summary!$B$56*U173</f>
        <v/>
      </c>
      <c r="P173">
        <f>IF(B205=0,0,O173/B205)</f>
        <v/>
      </c>
      <c r="Q173">
        <f>IFERROR(1/IF(Inputs!$B$38="pvp",15,MAX(0.1,Skills!E9-IF(Skills!F7=TRUE,Inputs!$B$32,0))),0)</f>
        <v/>
      </c>
      <c r="R173">
        <f>IF(AND(Inputs!$B$38&lt;&gt;"pvp",Inputs!$B$43&gt;0),IF(MAX(0,Inputs!$B$43-B202)&lt;=0,0,(INT(MAX(0,Inputs!$B$43-B202)/IF(Inputs!$B$38="pvp",15,MAX(0.1,Skills!E9-IF(Skills!F7=TRUE,Inputs!$B$32,0))))+1)),0)</f>
        <v/>
      </c>
      <c r="S173">
        <f>IF(C173,(H173*N173*IF(AND(Inputs!$B$38&lt;&gt;"pvp",Inputs!$B$43&gt;0),((Skills!G9*((R173-1)*IF(Skills!H9&gt;0,Skills!I9/Skills!H9,1)+IF(Skills!H9&gt;0,MIN(Skills!I9,MAX(0,MAX(0,Inputs!$B$43-B202)-((R173-1)*IF(Inputs!$B$38="pvp",15,MAX(0.1,Skills!E9-IF(Skills!F7=TRUE,Inputs!$B$32,0))))))/Skills!H9,1)))/Inputs!$B$43),G173*Q173))*IF(Inputs!$B$38="pvp",1,1+(Inputs!$B$20+Skills!P9)/100),0)</f>
        <v/>
      </c>
      <c r="U173">
        <f>IF(C173,(H173*N173*IF(AND(Inputs!$B$38&lt;&gt;"pvp",Inputs!$B$43&gt;0),((Skills!G9*((R173-1)*IF(Skills!H9&gt;0,Skills!I9/Skills!H9,1)+IF(Skills!H9&gt;0,MIN(Skills!I9,MAX(0,MAX(0,Inputs!$B$43-B202)-((R173-1)*IF(Inputs!$B$38="pvp",15,MAX(0.1,Skills!E9-IF(Skills!F7=TRUE,Inputs!$B$32,0))))))/Skills!H9,1)))/Inputs!$B$43),G173*Q173))*IF(Inputs!$B$38="pvp",1,(1+(Inputs!$B$21+Skills!Q9)/100)*(MIN(Skills!R9,Inputs!$B$37))),0)</f>
        <v/>
      </c>
    </row>
    <row r="174">
      <c r="A174">
        <f>Skills!A10</f>
        <v/>
      </c>
      <c r="B174">
        <f>Skills!B10</f>
        <v/>
      </c>
      <c r="C174">
        <f>TRUE</f>
        <v/>
      </c>
      <c r="D174">
        <f>IF(Skills!C10=1,60+Inputs!$B$25+Inputs!$B$29,IF(Skills!C10=2,90+Inputs!$B$26+Inputs!$B$29,IF(Skills!C10=3,120+Inputs!$B$27+Inputs!$B$29,MAX(0,(Inputs!$B$3-100)*3)+Inputs!$B$28+Inputs!$B$29)))</f>
        <v/>
      </c>
      <c r="E174">
        <f>INDEX(FactorTable!$B$2:$Y$301, MATCH(ROUND(MIN(300,MAX(1,D174)),0), FactorTable!$A$2:$A$301,0), Skills!M10+1)</f>
        <v/>
      </c>
      <c r="F174">
        <f>IF(Skills!N10=TRUE,(Skills!L10/10)*(E174/1000),Skills!L10/10)+Skills!O10</f>
        <v/>
      </c>
      <c r="G174">
        <f>Calc!G10</f>
        <v/>
      </c>
      <c r="H174">
        <f>Calc!H10</f>
        <v/>
      </c>
      <c r="I174">
        <f>IF(Skills!X10&lt;&gt;"",1+(Skills!X10/10)*(Z167/1000)/100,1)</f>
        <v/>
      </c>
      <c r="J174">
        <f>((Inputs!$B$6*(1+Inputs!$B$7/100))+(((Inputs!$B$12*(1+Inputs!$B$13/100))-(Inputs!$B$12*(1+Inputs!$B$13/100)))+0.25*(Inputs!$B$14-Inputs!$B$14))*(1+Inputs!$B$7/100))*(F174/100)</f>
        <v/>
      </c>
      <c r="K174">
        <f>J174*(1+((Inputs!$B$12*(1+Inputs!$B$13/100))*0.01+Inputs!$B$14*0.0025)/100)*(1+Inputs!$B$15/100)*(1+(Inputs!$B$16+1)/100)*(5000/(6000+Inputs!$B$42*(1-Inputs!$B$19/100)))*(1+Inputs!$B$24/100)*(1+F187/100)*(1+IF(Inputs!$B$3&gt;=120,F190,0)/100)^5*(1+(IF(Skills!A10="BASIC_ATTACK",Inputs!$B$17,Inputs!$B$18+IF(Inputs!$B$3&gt;=125,F191*5,0)))/100)*(B194*B195*B196*I174)</f>
        <v/>
      </c>
      <c r="L174">
        <f>K174*(MIN(Inputs!$B$22+(F186-Calc!F22),Inputs!$B$23)/100+Inputs!$B$23/100)/2</f>
        <v/>
      </c>
      <c r="M174">
        <f>L174*(1+(Inputs!$B$10+(F185-Calc!F21))/100)</f>
        <v/>
      </c>
      <c r="N174">
        <f>L174*(1-MIN(Inputs!$B$9+(F184-Calc!F20),100)/100)+M174*(MIN(Inputs!$B$9+(F184-Calc!F20),100)/100)</f>
        <v/>
      </c>
      <c r="O174">
        <f>(1-Summary!$B$56)*S174+Summary!$B$56*U174</f>
        <v/>
      </c>
      <c r="P174">
        <f>IF(B205=0,0,O174/B205)</f>
        <v/>
      </c>
      <c r="Q174">
        <f>IFERROR(1/IF(Inputs!$B$38="pvp",15,MAX(0.1,Skills!E10-IF(Skills!F10=TRUE,Inputs!$B$32,0))),0)</f>
        <v/>
      </c>
      <c r="R174">
        <f>IF(AND(Inputs!$B$38&lt;&gt;"pvp",Inputs!$B$43&gt;0),IF(MAX(0,Inputs!$B$43-B202)&lt;=0,0,(INT(MAX(0,Inputs!$B$43-B202)/IF(Inputs!$B$38="pvp",15,MAX(0.1,Skills!E10-IF(Skills!F10=TRUE,Inputs!$B$32,0))))+1)),0)</f>
        <v/>
      </c>
      <c r="S174">
        <f>IF(C174,(H174*N174*IF(AND(Inputs!$B$38&lt;&gt;"pvp",Inputs!$B$43&gt;0),((Skills!G10*((R174-1)*IF(Skills!H10&gt;0,Skills!I10/Skills!H10,1)+IF(Skills!H10&gt;0,MIN(Skills!I10,MAX(0,MAX(0,Inputs!$B$43-B202)-((R174-1)*IF(Inputs!$B$38="pvp",15,MAX(0.1,Skills!E10-IF(Skills!F10=TRUE,Inputs!$B$32,0))))))/Skills!H10,1)))/Inputs!$B$43),G174*Q174))*IF(Inputs!$B$38="pvp",1,1+(Inputs!$B$20+Skills!P10)/100),0)</f>
        <v/>
      </c>
      <c r="U174">
        <f>IF(C174,(H174*N174*IF(AND(Inputs!$B$38&lt;&gt;"pvp",Inputs!$B$43&gt;0),((Skills!G10*((R174-1)*IF(Skills!H10&gt;0,Skills!I10/Skills!H10,1)+IF(Skills!H10&gt;0,MIN(Skills!I10,MAX(0,MAX(0,Inputs!$B$43-B202)-((R174-1)*IF(Inputs!$B$38="pvp",15,MAX(0.1,Skills!E10-IF(Skills!F10=TRUE,Inputs!$B$32,0))))))/Skills!H10,1)))/Inputs!$B$43),G174*Q174))*IF(Inputs!$B$38="pvp",1,(1+(Inputs!$B$21+Skills!Q10)/100)*(MIN(Skills!R10,Inputs!$B$37))),0)</f>
        <v/>
      </c>
    </row>
    <row r="175">
      <c r="A175">
        <f>Skills!A11</f>
        <v/>
      </c>
      <c r="B175">
        <f>Skills!B11</f>
        <v/>
      </c>
      <c r="C175">
        <f>TRUE</f>
        <v/>
      </c>
      <c r="D175">
        <f>IF(Skills!C11=1,60+Inputs!$B$25+Inputs!$B$29,IF(Skills!C11=2,90+Inputs!$B$26+Inputs!$B$29,IF(Skills!C11=3,120+Inputs!$B$27+Inputs!$B$29,MAX(0,(Inputs!$B$3-100)*3)+Inputs!$B$28+Inputs!$B$29)))</f>
        <v/>
      </c>
      <c r="E175">
        <f>INDEX(FactorTable!$B$2:$Y$301, MATCH(ROUND(MIN(300,MAX(1,D175)),0), FactorTable!$A$2:$A$301,0), Skills!M11+1)</f>
        <v/>
      </c>
      <c r="F175">
        <f>IF(Skills!N11=TRUE,(Skills!L11/10)*(E175/1000),Skills!L11/10)+Skills!O11</f>
        <v/>
      </c>
      <c r="G175">
        <f>Calc!G11</f>
        <v/>
      </c>
      <c r="H175">
        <f>Calc!H11</f>
        <v/>
      </c>
      <c r="I175">
        <f>IF(Skills!X11&lt;&gt;"",1+(Skills!X11/10)*(Z167/1000)/100,1)</f>
        <v/>
      </c>
      <c r="J175" t="inlineStr"/>
      <c r="K175" t="inlineStr"/>
      <c r="L175" t="inlineStr"/>
      <c r="M175" t="inlineStr"/>
      <c r="N175" t="inlineStr"/>
      <c r="O175">
        <f>(1-Summary!$B$56)*S175+Summary!$B$56*U175</f>
        <v/>
      </c>
      <c r="P175">
        <f>IF(B205=0,0,O175/B205)</f>
        <v/>
      </c>
      <c r="Q175">
        <f>IFERROR(1/IF(Inputs!$B$38="pvp",15,MAX(0.1,Skills!E11-IF(Skills!F11=TRUE,Inputs!$B$32,0))),0)</f>
        <v/>
      </c>
      <c r="R175" t="n">
        <v>0</v>
      </c>
      <c r="S175" t="n">
        <v>0</v>
      </c>
      <c r="U175" t="n">
        <v>0</v>
      </c>
    </row>
    <row r="176">
      <c r="A176">
        <f>Skills!A12</f>
        <v/>
      </c>
      <c r="B176">
        <f>Skills!B12</f>
        <v/>
      </c>
      <c r="C176">
        <f>TRUE</f>
        <v/>
      </c>
      <c r="D176">
        <f>IF(Skills!C12=1,60+Inputs!$B$25+Inputs!$B$29,IF(Skills!C12=2,90+Inputs!$B$26+Inputs!$B$29,IF(Skills!C12=3,120+Inputs!$B$27+Inputs!$B$29,MAX(0,(Inputs!$B$3-100)*3)+Inputs!$B$28+Inputs!$B$29)))</f>
        <v/>
      </c>
      <c r="E176">
        <f>INDEX(FactorTable!$B$2:$Y$301, MATCH(ROUND(MIN(300,MAX(1,D176)),0), FactorTable!$A$2:$A$301,0), Skills!M12+1)</f>
        <v/>
      </c>
      <c r="F176">
        <f>IF(Skills!N12=TRUE,(Skills!L12/10)*(E176/1000),Skills!L12/10)+Skills!O12</f>
        <v/>
      </c>
      <c r="G176">
        <f>Calc!G12</f>
        <v/>
      </c>
      <c r="H176">
        <f>Calc!H12</f>
        <v/>
      </c>
      <c r="I176">
        <f>IF(Skills!X12&lt;&gt;"",1+(Skills!X12/10)*(Z167/1000)/100,1)</f>
        <v/>
      </c>
      <c r="J176" t="inlineStr"/>
      <c r="K176" t="inlineStr"/>
      <c r="L176" t="inlineStr"/>
      <c r="M176" t="inlineStr"/>
      <c r="N176" t="inlineStr"/>
      <c r="O176">
        <f>(1-Summary!$B$56)*S176+Summary!$B$56*U176</f>
        <v/>
      </c>
      <c r="P176">
        <f>IF(B205=0,0,O176/B205)</f>
        <v/>
      </c>
      <c r="Q176">
        <f>IFERROR(1/IF(Inputs!$B$38="pvp",15,MAX(0.1,Skills!E12-IF(Skills!F12=TRUE,Inputs!$B$32,0))),0)</f>
        <v/>
      </c>
      <c r="R176" t="n">
        <v>0</v>
      </c>
      <c r="S176" t="n">
        <v>0</v>
      </c>
      <c r="U176" t="n">
        <v>0</v>
      </c>
    </row>
    <row r="177">
      <c r="A177">
        <f>Skills!A13</f>
        <v/>
      </c>
      <c r="B177">
        <f>Skills!B13</f>
        <v/>
      </c>
      <c r="C177">
        <f>Inputs!$B$3&gt;=105</f>
        <v/>
      </c>
      <c r="D177">
        <f>IF(Skills!C13=1,60+Inputs!$B$25+Inputs!$B$29,IF(Skills!C13=2,90+Inputs!$B$26+Inputs!$B$29,IF(Skills!C13=3,120+Inputs!$B$27+Inputs!$B$29,MAX(0,(Inputs!$B$3-100)*3)+Inputs!$B$28+Inputs!$B$29)))</f>
        <v/>
      </c>
      <c r="E177">
        <f>INDEX(FactorTable!$B$2:$Y$301, MATCH(ROUND(MIN(300,MAX(1,D177)),0), FactorTable!$A$2:$A$301,0), Skills!M13+1)</f>
        <v/>
      </c>
      <c r="F177">
        <f>IF(Skills!N13=TRUE,(Skills!L13/10)*(E177/1000),Skills!L13/10)+Skills!O13</f>
        <v/>
      </c>
      <c r="G177">
        <f>Calc!G13</f>
        <v/>
      </c>
      <c r="H177">
        <f>Calc!H13</f>
        <v/>
      </c>
      <c r="I177">
        <f>IF(Skills!X13&lt;&gt;"",1+(Skills!X13/10)*(Z167/1000)/100,1)</f>
        <v/>
      </c>
      <c r="J177">
        <f>((Inputs!$B$6*(1+Inputs!$B$7/100))+(((Inputs!$B$12*(1+Inputs!$B$13/100))-(Inputs!$B$12*(1+Inputs!$B$13/100)))+0.25*(Inputs!$B$14-Inputs!$B$14))*(1+Inputs!$B$7/100))*(F177/100)</f>
        <v/>
      </c>
      <c r="K177">
        <f>J177*(1+((Inputs!$B$12*(1+Inputs!$B$13/100))*0.01+Inputs!$B$14*0.0025)/100)*(1+Inputs!$B$15/100)*(1+(Inputs!$B$16+1)/100)*(5000/(6000+Inputs!$B$42*(1-Inputs!$B$19/100)))*(1+Inputs!$B$24/100)*(1+F187/100)*(1+IF(Inputs!$B$3&gt;=120,F190,0)/100)^5*(1+(IF(Skills!A13="BASIC_ATTACK",Inputs!$B$17,Inputs!$B$18+IF(Inputs!$B$3&gt;=125,F191*5,0)))/100)*(B194*B195*B196*I177)</f>
        <v/>
      </c>
      <c r="L177">
        <f>K177*(MIN(Inputs!$B$22+(F186-Calc!F22),Inputs!$B$23)/100+Inputs!$B$23/100)/2</f>
        <v/>
      </c>
      <c r="M177">
        <f>L177*(1+(Inputs!$B$10+(F185-Calc!F21))/100)</f>
        <v/>
      </c>
      <c r="N177">
        <f>L177*(1-MIN(Inputs!$B$9+(F184-Calc!F20),100)/100)+M177*(MIN(Inputs!$B$9+(F184-Calc!F20),100)/100)</f>
        <v/>
      </c>
      <c r="O177">
        <f>(1-Summary!$B$56)*S177+Summary!$B$56*U177</f>
        <v/>
      </c>
      <c r="P177">
        <f>IF(B205=0,0,O177/B205)</f>
        <v/>
      </c>
      <c r="Q177">
        <f>IFERROR(1/IF(Inputs!$B$38="pvp",15,MAX(0.1,Skills!E13-IF(Skills!F13=TRUE,Inputs!$B$32,0))),0)</f>
        <v/>
      </c>
      <c r="R177">
        <f>IF(AND(Inputs!$B$38&lt;&gt;"pvp",Inputs!$B$43&gt;0),IF(MAX(0,Inputs!$B$43-B202)&lt;=0,0,(INT(MAX(0,Inputs!$B$43-B202)/IF(Inputs!$B$38="pvp",15,MAX(0.1,Skills!E13-IF(Skills!F13=TRUE,Inputs!$B$32,0))))+1)),0)</f>
        <v/>
      </c>
      <c r="S177">
        <f>IF(C177,(H177*N177*IF(AND(Inputs!$B$38&lt;&gt;"pvp",Inputs!$B$43&gt;0),((Skills!G13*((R177-1)*IF(Skills!H13&gt;0,Skills!I13/Skills!H13,1)+IF(Skills!H13&gt;0,MIN(Skills!I13,MAX(0,MAX(0,Inputs!$B$43-B202)-((R177-1)*IF(Inputs!$B$38="pvp",15,MAX(0.1,Skills!E13-IF(Skills!F13=TRUE,Inputs!$B$32,0))))))/Skills!H13,1)))/Inputs!$B$43),G177*Q177))*IF(Inputs!$B$38="pvp",1,1+(Inputs!$B$20+Skills!P13)/100),0)</f>
        <v/>
      </c>
      <c r="U177">
        <f>IF(C177,(H177*N177*IF(AND(Inputs!$B$38&lt;&gt;"pvp",Inputs!$B$43&gt;0),((Skills!G13*((R177-1)*IF(Skills!H13&gt;0,Skills!I13/Skills!H13,1)+IF(Skills!H13&gt;0,MIN(Skills!I13,MAX(0,MAX(0,Inputs!$B$43-B202)-((R177-1)*IF(Inputs!$B$38="pvp",15,MAX(0.1,Skills!E13-IF(Skills!F13=TRUE,Inputs!$B$32,0))))))/Skills!H13,1)))/Inputs!$B$43),G177*Q177))*IF(Inputs!$B$38="pvp",1,(1+(Inputs!$B$21+Skills!Q13)/100)*(MIN(Skills!R13,Inputs!$B$37))),0)</f>
        <v/>
      </c>
    </row>
    <row r="178">
      <c r="A178">
        <f>Skills!A14</f>
        <v/>
      </c>
      <c r="B178">
        <f>Skills!B14</f>
        <v/>
      </c>
      <c r="C178">
        <f>Inputs!$B$3&gt;=113</f>
        <v/>
      </c>
      <c r="D178">
        <f>IF(Skills!C14=1,60+Inputs!$B$25+Inputs!$B$29,IF(Skills!C14=2,90+Inputs!$B$26+Inputs!$B$29,IF(Skills!C14=3,120+Inputs!$B$27+Inputs!$B$29,MAX(0,(Inputs!$B$3-100)*3)+Inputs!$B$28+Inputs!$B$29)))</f>
        <v/>
      </c>
      <c r="E178">
        <f>INDEX(FactorTable!$B$2:$Y$301, MATCH(ROUND(MIN(300,MAX(1,D178)),0), FactorTable!$A$2:$A$301,0), Skills!M14+1)</f>
        <v/>
      </c>
      <c r="F178">
        <f>IF(Skills!N14=TRUE,(Skills!L14/10)*(E178/1000),Skills!L14/10)+Skills!O14</f>
        <v/>
      </c>
      <c r="G178">
        <f>Calc!G14</f>
        <v/>
      </c>
      <c r="H178">
        <f>Calc!H14</f>
        <v/>
      </c>
      <c r="I178">
        <f>IF(Skills!X14&lt;&gt;"",1+(Skills!X14/10)*(Z167/1000)/100,1)</f>
        <v/>
      </c>
      <c r="J178">
        <f>((Inputs!$B$6*(1+Inputs!$B$7/100))+(((Inputs!$B$12*(1+Inputs!$B$13/100))-(Inputs!$B$12*(1+Inputs!$B$13/100)))+0.25*(Inputs!$B$14-Inputs!$B$14))*(1+Inputs!$B$7/100))*(F178/100)</f>
        <v/>
      </c>
      <c r="K178">
        <f>J178*(1+((Inputs!$B$12*(1+Inputs!$B$13/100))*0.01+Inputs!$B$14*0.0025)/100)*(1+Inputs!$B$15/100)*(1+(Inputs!$B$16+1)/100)*(5000/(6000+Inputs!$B$42*(1-Inputs!$B$19/100)))*(1+Inputs!$B$24/100)*(1+F187/100)*(1+IF(Inputs!$B$3&gt;=120,F190,0)/100)^5*(1+(IF(Skills!A14="BASIC_ATTACK",Inputs!$B$17,Inputs!$B$18+IF(Inputs!$B$3&gt;=125,F191*5,0)))/100)*(B194*B195*B196*I178)</f>
        <v/>
      </c>
      <c r="L178">
        <f>K178*(MIN(Inputs!$B$22+(F186-Calc!F22),Inputs!$B$23)/100+Inputs!$B$23/100)/2</f>
        <v/>
      </c>
      <c r="M178">
        <f>L178*(1+(Inputs!$B$10+(F185-Calc!F21))/100)</f>
        <v/>
      </c>
      <c r="N178">
        <f>L178*(1-MIN(Inputs!$B$9+(F184-Calc!F20),100)/100)+M178*(MIN(Inputs!$B$9+(F184-Calc!F20),100)/100)</f>
        <v/>
      </c>
      <c r="O178">
        <f>(1-Summary!$B$56)*S178+Summary!$B$56*U178</f>
        <v/>
      </c>
      <c r="P178">
        <f>IF(B205=0,0,O178/B205)</f>
        <v/>
      </c>
      <c r="Q178">
        <f>IFERROR(1/IF(Inputs!$B$38="pvp",15,MAX(0.1,Skills!E14-IF(Skills!F14=TRUE,Inputs!$B$32,0))),0)</f>
        <v/>
      </c>
      <c r="R178" t="n">
        <v>0</v>
      </c>
      <c r="S178">
        <f>IF(C178,((H178*B201)/(1+Skills!H14*H178*B201)*N178)*IF(Inputs!$B$38="pvp",1,1+(Inputs!$B$20+Skills!P14)/100),0)</f>
        <v/>
      </c>
      <c r="U178">
        <f>IF(C178,((H178*B201)/(1+Skills!H14*H178*B201)*N178)*IF(Inputs!$B$38="pvp",1,(1+(Inputs!$B$21+Skills!Q14)/100)*(MIN(Skills!R14,Inputs!$B$37))),0)</f>
        <v/>
      </c>
    </row>
    <row r="179">
      <c r="A179">
        <f>Skills!A15</f>
        <v/>
      </c>
      <c r="B179">
        <f>Skills!B15</f>
        <v/>
      </c>
      <c r="C179">
        <f>Inputs!$B$3&gt;=107</f>
        <v/>
      </c>
      <c r="D179">
        <f>IF(Skills!C15=1,60+Inputs!$B$25+Inputs!$B$29,IF(Skills!C15=2,90+Inputs!$B$26+Inputs!$B$29,IF(Skills!C15=3,120+Inputs!$B$27+Inputs!$B$29,MAX(0,(Inputs!$B$3-100)*3)+Inputs!$B$28+Inputs!$B$29)))</f>
        <v/>
      </c>
      <c r="E179">
        <f>INDEX(FactorTable!$B$2:$Y$301, MATCH(ROUND(MIN(300,MAX(1,D179)),0), FactorTable!$A$2:$A$301,0), Skills!M15+1)</f>
        <v/>
      </c>
      <c r="F179">
        <f>IF(Skills!N15=TRUE,(Skills!L15/10)*(E179/1000),Skills!L15/10)+Skills!O15</f>
        <v/>
      </c>
      <c r="G179">
        <f>Calc!G15</f>
        <v/>
      </c>
      <c r="H179">
        <f>Calc!H15</f>
        <v/>
      </c>
      <c r="I179">
        <f>IF(Skills!X15&lt;&gt;"",1+(Skills!X15/10)*(Z167/1000)/100,1)</f>
        <v/>
      </c>
      <c r="J179">
        <f>((Inputs!$B$6*(1+Inputs!$B$7/100))+(((Inputs!$B$12*(1+Inputs!$B$13/100))-(Inputs!$B$12*(1+Inputs!$B$13/100)))+0.25*(Inputs!$B$14-Inputs!$B$14))*(1+Inputs!$B$7/100))*(F179/100)</f>
        <v/>
      </c>
      <c r="K179">
        <f>J179*(1+((Inputs!$B$12*(1+Inputs!$B$13/100))*0.01+Inputs!$B$14*0.0025)/100)*(1+Inputs!$B$15/100)*(1+(Inputs!$B$16+1)/100)*(5000/(6000+Inputs!$B$42*(1-Inputs!$B$19/100)))*(1+Inputs!$B$24/100)*(1+F187/100)*(1+IF(Inputs!$B$3&gt;=120,F190,0)/100)^5*(1+(IF(Skills!A15="BASIC_ATTACK",Inputs!$B$17,Inputs!$B$18+IF(Inputs!$B$3&gt;=125,F191*5,0)))/100)*(B194*B195*B196*I179)</f>
        <v/>
      </c>
      <c r="L179">
        <f>K179*(MIN(Inputs!$B$22+(F186-Calc!F22),Inputs!$B$23)/100+Inputs!$B$23/100)/2</f>
        <v/>
      </c>
      <c r="M179">
        <f>L179*(1+(Inputs!$B$10+(F185-Calc!F21))/100)</f>
        <v/>
      </c>
      <c r="N179">
        <f>L179*(1-MIN(Inputs!$B$9+(F184-Calc!F20),100)/100)+M179*(MIN(Inputs!$B$9+(F184-Calc!F20),100)/100)</f>
        <v/>
      </c>
      <c r="O179">
        <f>(1-Summary!$B$56)*S179+Summary!$B$56*U179</f>
        <v/>
      </c>
      <c r="P179">
        <f>IF(B205=0,0,O179/B205)</f>
        <v/>
      </c>
      <c r="Q179">
        <f>IFERROR(1/IF(Inputs!$B$38="pvp",15,MAX(0.1,Skills!E15-IF(Skills!F15=TRUE,Inputs!$B$32,0))),0)</f>
        <v/>
      </c>
      <c r="R179">
        <f>IF(AND(Inputs!$B$38&lt;&gt;"pvp",Inputs!$B$43&gt;0),IF(MAX(0,Inputs!$B$43-B202)&lt;=0,0,(INT(MAX(0,Inputs!$B$43-B202)/IF(Inputs!$B$38="pvp",15,MAX(0.1,Skills!E15-IF(Skills!F15=TRUE,Inputs!$B$32,0))))+1)),0)</f>
        <v/>
      </c>
      <c r="S179">
        <f>IF(C179,(H179*N179*IF(AND(Inputs!$B$38&lt;&gt;"pvp",Inputs!$B$43&gt;0),((Skills!G15*((R179-1)*IF(Skills!H15&gt;0,Skills!I15/Skills!H15,1)+IF(Skills!H15&gt;0,MIN(Skills!I15,MAX(0,MAX(0,Inputs!$B$43-B202)-((R179-1)*IF(Inputs!$B$38="pvp",15,MAX(0.1,Skills!E15-IF(Skills!F15=TRUE,Inputs!$B$32,0))))))/Skills!H15,1)))/Inputs!$B$43),G179*Q179))*IF(Inputs!$B$38="pvp",1,1+(Inputs!$B$20+Skills!P15)/100),0)</f>
        <v/>
      </c>
      <c r="U179">
        <f>IF(C179,(H179*N179*IF(AND(Inputs!$B$38&lt;&gt;"pvp",Inputs!$B$43&gt;0),((Skills!G15*((R179-1)*IF(Skills!H15&gt;0,Skills!I15/Skills!H15,1)+IF(Skills!H15&gt;0,MIN(Skills!I15,MAX(0,MAX(0,Inputs!$B$43-B202)-((R179-1)*IF(Inputs!$B$38="pvp",15,MAX(0.1,Skills!E15-IF(Skills!F15=TRUE,Inputs!$B$32,0))))))/Skills!H15,1)))/Inputs!$B$43),G179*Q179))*IF(Inputs!$B$38="pvp",1,(1+(Inputs!$B$21+Skills!Q15)/100)*(MIN(Skills!R15,Inputs!$B$37))),0)</f>
        <v/>
      </c>
    </row>
    <row r="180">
      <c r="A180">
        <f>Skills!A16</f>
        <v/>
      </c>
      <c r="B180">
        <f>Skills!B16</f>
        <v/>
      </c>
      <c r="C180">
        <f>Inputs!$B$3&gt;=107</f>
        <v/>
      </c>
      <c r="D180">
        <f>IF(Skills!C16=1,60+Inputs!$B$25+Inputs!$B$29,IF(Skills!C16=2,90+Inputs!$B$26+Inputs!$B$29,IF(Skills!C16=3,120+Inputs!$B$27+Inputs!$B$29,MAX(0,(Inputs!$B$3-100)*3)+Inputs!$B$28+Inputs!$B$29)))</f>
        <v/>
      </c>
      <c r="E180">
        <f>INDEX(FactorTable!$B$2:$Y$301, MATCH(ROUND(MIN(300,MAX(1,D180)),0), FactorTable!$A$2:$A$301,0), Skills!M16+1)</f>
        <v/>
      </c>
      <c r="F180">
        <f>IF(Skills!N16=TRUE,(Skills!L16/10)*(E180/1000),Skills!L16/10)+Skills!O16</f>
        <v/>
      </c>
      <c r="G180">
        <f>Calc!G16</f>
        <v/>
      </c>
      <c r="H180">
        <f>Calc!H16</f>
        <v/>
      </c>
      <c r="I180">
        <f>IF(Skills!X16&lt;&gt;"",1+(Skills!X16/10)*(Z167/1000)/100,1)</f>
        <v/>
      </c>
      <c r="J180">
        <f>((Inputs!$B$6*(1+Inputs!$B$7/100))+(((Inputs!$B$12*(1+Inputs!$B$13/100))-(Inputs!$B$12*(1+Inputs!$B$13/100)))+0.25*(Inputs!$B$14-Inputs!$B$14))*(1+Inputs!$B$7/100))*(F180/100)</f>
        <v/>
      </c>
      <c r="K180">
        <f>J180*(1+((Inputs!$B$12*(1+Inputs!$B$13/100))*0.01+Inputs!$B$14*0.0025)/100)*(1+Inputs!$B$15/100)*(1+(Inputs!$B$16+1)/100)*(5000/(6000+Inputs!$B$42*(1-Inputs!$B$19/100)))*(1+Inputs!$B$24/100)*(1+F187/100)*(1+IF(Inputs!$B$3&gt;=120,F190,0)/100)^5*(1+(IF(Skills!A16="BASIC_ATTACK",Inputs!$B$17,Inputs!$B$18+IF(Inputs!$B$3&gt;=125,F191*5,0)))/100)*(B194*B195*B196*I180)</f>
        <v/>
      </c>
      <c r="L180">
        <f>K180*(MIN(Inputs!$B$22+(F186-Calc!F22),Inputs!$B$23)/100+Inputs!$B$23/100)/2</f>
        <v/>
      </c>
      <c r="M180">
        <f>L180*(1+(Inputs!$B$10+(F185-Calc!F21))/100)</f>
        <v/>
      </c>
      <c r="N180">
        <f>L180*(1-MIN(Inputs!$B$9+(F184-Calc!F20),100)/100)+M180*(MIN(Inputs!$B$9+(F184-Calc!F20),100)/100)</f>
        <v/>
      </c>
      <c r="O180">
        <f>(1-Summary!$B$56)*S180+Summary!$B$56*U180</f>
        <v/>
      </c>
      <c r="P180">
        <f>IF(B205=0,0,O180/B205)</f>
        <v/>
      </c>
      <c r="Q180">
        <f>IFERROR(1/IF(Inputs!$B$38="pvp",15,MAX(0.1,Skills!E16-IF(Skills!F16=TRUE,Inputs!$B$32,0))),0)</f>
        <v/>
      </c>
      <c r="R180">
        <f>IF(AND(Inputs!$B$38&lt;&gt;"pvp",Inputs!$B$43&gt;0),IF(MAX(0,Inputs!$B$43-B202)&lt;=0,0,(INT(MAX(0,Inputs!$B$43-B202)/IF(Inputs!$B$38="pvp",15,MAX(0.1,Skills!E16-IF(Skills!F16=TRUE,Inputs!$B$32,0))))+1)),0)</f>
        <v/>
      </c>
      <c r="S180">
        <f>IF(C180,(H180*N180*IF(AND(Inputs!$B$38&lt;&gt;"pvp",Inputs!$B$43&gt;0),((Skills!G16*((R180-1)*IF(Skills!H16&gt;0,Skills!I16/Skills!H16,1)+IF(Skills!H16&gt;0,MIN(Skills!I16,MAX(0,MAX(0,Inputs!$B$43-B202)-((R180-1)*IF(Inputs!$B$38="pvp",15,MAX(0.1,Skills!E16-IF(Skills!F16=TRUE,Inputs!$B$32,0))))))/Skills!H16,1)))/Inputs!$B$43),G180*Q180)*(1+IF(Inputs!$B$3&gt;=126,0.05*(B200+Q177+(H178*B201)/(1+Skills!H14*H178*B201)+Q188),0)*Skills!E15))*IF(Inputs!$B$38="pvp",1,1+(Inputs!$B$20+Skills!P16)/100),0)</f>
        <v/>
      </c>
      <c r="U180">
        <f>IF(C180,(H180*N180*IF(AND(Inputs!$B$38&lt;&gt;"pvp",Inputs!$B$43&gt;0),((Skills!G16*((R180-1)*IF(Skills!H16&gt;0,Skills!I16/Skills!H16,1)+IF(Skills!H16&gt;0,MIN(Skills!I16,MAX(0,MAX(0,Inputs!$B$43-B202)-((R180-1)*IF(Inputs!$B$38="pvp",15,MAX(0.1,Skills!E16-IF(Skills!F16=TRUE,Inputs!$B$32,0))))))/Skills!H16,1)))/Inputs!$B$43),G180*Q180)*(1+IF(Inputs!$B$3&gt;=126,0.05*(B200+Q177+(H178*B201)/(1+Skills!H14*H178*B201)+Q188),0)*Skills!E15))*IF(Inputs!$B$38="pvp",1,(1+(Inputs!$B$21+Skills!Q16)/100)*(MIN(Skills!R16,Inputs!$B$37))),0)</f>
        <v/>
      </c>
    </row>
    <row r="181">
      <c r="A181">
        <f>Skills!A17</f>
        <v/>
      </c>
      <c r="B181">
        <f>Skills!B17</f>
        <v/>
      </c>
      <c r="C181">
        <f>TRUE</f>
        <v/>
      </c>
      <c r="D181">
        <f>IF(Skills!C17=1,60+Inputs!$B$25+Inputs!$B$29,IF(Skills!C17=2,90+Inputs!$B$26+Inputs!$B$29,IF(Skills!C17=3,120+Inputs!$B$27+Inputs!$B$29,MAX(0,(Inputs!$B$3-100)*3)+Inputs!$B$28+Inputs!$B$29)))</f>
        <v/>
      </c>
      <c r="E181">
        <f>INDEX(FactorTable!$B$2:$Y$301, MATCH(ROUND(MIN(300,MAX(1,D181)),0), FactorTable!$A$2:$A$301,0), Skills!M17+1)</f>
        <v/>
      </c>
      <c r="F181">
        <f>IF(Skills!N17=TRUE,(Skills!L17/10)*(E181/1000),Skills!L17/10)+Skills!O17</f>
        <v/>
      </c>
      <c r="G181">
        <f>Calc!G17</f>
        <v/>
      </c>
      <c r="H181">
        <f>Calc!H17</f>
        <v/>
      </c>
      <c r="I181">
        <f>IF(Skills!X17&lt;&gt;"",1+(Skills!X17/10)*(Z167/1000)/100,1)</f>
        <v/>
      </c>
      <c r="J181" t="inlineStr"/>
      <c r="K181" t="inlineStr"/>
      <c r="L181" t="inlineStr"/>
      <c r="M181" t="inlineStr"/>
      <c r="N181" t="inlineStr"/>
      <c r="O181">
        <f>(1-Summary!$B$56)*S181+Summary!$B$56*U181</f>
        <v/>
      </c>
      <c r="P181">
        <f>IF(B205=0,0,O181/B205)</f>
        <v/>
      </c>
      <c r="Q181">
        <f>IFERROR(1/IF(Inputs!$B$38="pvp",15,MAX(0.1,Skills!E17-IF(Skills!F17=TRUE,Inputs!$B$32,0))),0)</f>
        <v/>
      </c>
      <c r="R181">
        <f>IF(AND(Inputs!$B$38&lt;&gt;"pvp",Inputs!$B$43&gt;0),IF(Inputs!$B$43&lt;=0,0,(INT(Inputs!$B$43/IF(Inputs!$B$38="pvp",15,MAX(0.1,Skills!E17-IF(Skills!F17=TRUE,Inputs!$B$32,0))))+1)),0)</f>
        <v/>
      </c>
      <c r="S181" t="n">
        <v>0</v>
      </c>
      <c r="U181" t="n">
        <v>0</v>
      </c>
    </row>
    <row r="182">
      <c r="A182">
        <f>Skills!A18</f>
        <v/>
      </c>
      <c r="B182">
        <f>Skills!B18</f>
        <v/>
      </c>
      <c r="C182">
        <f>TRUE</f>
        <v/>
      </c>
      <c r="D182">
        <f>IF(Skills!C18=1,60+Inputs!$B$25+Inputs!$B$29,IF(Skills!C18=2,90+Inputs!$B$26+Inputs!$B$29,IF(Skills!C18=3,120+Inputs!$B$27+Inputs!$B$29,MAX(0,(Inputs!$B$3-100)*3)+Inputs!$B$28+Inputs!$B$29)))</f>
        <v/>
      </c>
      <c r="E182">
        <f>INDEX(FactorTable!$B$2:$Y$301, MATCH(ROUND(MIN(300,MAX(1,D182)),0), FactorTable!$A$2:$A$301,0), Skills!M18+1)</f>
        <v/>
      </c>
      <c r="F182">
        <f>IF(Skills!N18=TRUE,(Skills!L18/10)*(E182/1000),Skills!L18/10)+Skills!O18</f>
        <v/>
      </c>
      <c r="G182">
        <f>Calc!G18</f>
        <v/>
      </c>
      <c r="H182">
        <f>Calc!H18</f>
        <v/>
      </c>
      <c r="I182">
        <f>IF(Skills!X18&lt;&gt;"",1+(Skills!X18/10)*(Z167/1000)/100,1)</f>
        <v/>
      </c>
      <c r="J182" t="inlineStr"/>
      <c r="K182" t="inlineStr"/>
      <c r="L182" t="inlineStr"/>
      <c r="M182" t="inlineStr"/>
      <c r="N182" t="inlineStr"/>
      <c r="O182">
        <f>(1-Summary!$B$56)*S182+Summary!$B$56*U182</f>
        <v/>
      </c>
      <c r="P182">
        <f>IF(B205=0,0,O182/B205)</f>
        <v/>
      </c>
      <c r="Q182">
        <f>IFERROR(1/IF(Inputs!$B$38="pvp",15,MAX(0.1,Skills!E18-IF(Skills!F18=TRUE,Inputs!$B$32,0))),0)</f>
        <v/>
      </c>
      <c r="R182">
        <f>IF(AND(Inputs!$B$38&lt;&gt;"pvp",Inputs!$B$43&gt;0),IF(Inputs!$B$43&lt;=0,0,(INT(Inputs!$B$43/IF(Inputs!$B$38="pvp",15,MAX(0.1,Skills!E18-IF(Skills!F18=TRUE,Inputs!$B$32,0))))+1)),0)</f>
        <v/>
      </c>
      <c r="S182" t="n">
        <v>0</v>
      </c>
      <c r="U182" t="n">
        <v>0</v>
      </c>
    </row>
    <row r="183">
      <c r="A183">
        <f>Skills!A19</f>
        <v/>
      </c>
      <c r="B183">
        <f>Skills!B19</f>
        <v/>
      </c>
      <c r="C183">
        <f>Inputs!$B$3&gt;=110</f>
        <v/>
      </c>
      <c r="D183">
        <f>IF(Skills!C19=1,60+Inputs!$B$25+Inputs!$B$29,IF(Skills!C19=2,90+Inputs!$B$26+Inputs!$B$29,IF(Skills!C19=3,120+Inputs!$B$27+Inputs!$B$29,MAX(0,(Inputs!$B$3-100)*3)+Inputs!$B$28+Inputs!$B$29)))</f>
        <v/>
      </c>
      <c r="E183">
        <f>INDEX(FactorTable!$B$2:$Y$301, MATCH(ROUND(MIN(300,MAX(1,D183)),0), FactorTable!$A$2:$A$301,0), Skills!M19+1)</f>
        <v/>
      </c>
      <c r="F183">
        <f>IF(Skills!N19=TRUE,(Skills!L19/10)*(E183/1000),Skills!L19/10)+Skills!O19</f>
        <v/>
      </c>
      <c r="G183">
        <f>Calc!G19</f>
        <v/>
      </c>
      <c r="H183">
        <f>Calc!H19</f>
        <v/>
      </c>
      <c r="I183">
        <f>IF(Skills!X19&lt;&gt;"",1+(Skills!X19/10)*(Z167/1000)/100,1)</f>
        <v/>
      </c>
      <c r="J183" t="inlineStr"/>
      <c r="K183" t="inlineStr"/>
      <c r="L183" t="inlineStr"/>
      <c r="M183" t="inlineStr"/>
      <c r="N183" t="inlineStr"/>
      <c r="O183">
        <f>(1-Summary!$B$56)*S183+Summary!$B$56*U183</f>
        <v/>
      </c>
      <c r="P183">
        <f>IF(B205=0,0,O183/B205)</f>
        <v/>
      </c>
      <c r="Q183">
        <f>IFERROR(1/IF(Inputs!$B$38="pvp",15,MAX(0.1,Skills!E19-IF(Skills!F19=TRUE,Inputs!$B$32,0))),0)</f>
        <v/>
      </c>
      <c r="R183">
        <f>IF(AND(Inputs!$B$38&lt;&gt;"pvp",Inputs!$B$43&gt;0),IF(Inputs!$B$43&lt;=0,0,(INT(Inputs!$B$43/IF(Inputs!$B$38="pvp",15,MAX(0.1,Skills!E19-IF(Skills!F19=TRUE,Inputs!$B$32,0))))+1)),0)</f>
        <v/>
      </c>
      <c r="S183" t="n">
        <v>0</v>
      </c>
      <c r="U183" t="n">
        <v>0</v>
      </c>
    </row>
    <row r="184">
      <c r="A184">
        <f>Skills!A20</f>
        <v/>
      </c>
      <c r="B184">
        <f>Skills!B20</f>
        <v/>
      </c>
      <c r="C184">
        <f>TRUE</f>
        <v/>
      </c>
      <c r="D184">
        <f>IF(Skills!C20=1,60+Inputs!$B$25+Inputs!$B$29,IF(Skills!C20=2,90+Inputs!$B$26+Inputs!$B$29,IF(Skills!C20=3,120+Inputs!$B$27+Inputs!$B$29,MAX(0,(Inputs!$B$3-100)*3)+Inputs!$B$28+Inputs!$B$29)))</f>
        <v/>
      </c>
      <c r="E184">
        <f>INDEX(FactorTable!$B$2:$Y$301, MATCH(ROUND(MIN(300,MAX(1,D184)),0), FactorTable!$A$2:$A$301,0), Skills!M20+1)</f>
        <v/>
      </c>
      <c r="F184">
        <f>IF(Skills!N20=TRUE,(Skills!L20/10)*(E184/1000),Skills!L20/10)+Skills!O20</f>
        <v/>
      </c>
      <c r="G184">
        <f>Calc!G20</f>
        <v/>
      </c>
      <c r="H184">
        <f>Calc!H20</f>
        <v/>
      </c>
      <c r="I184">
        <f>IF(Skills!X20&lt;&gt;"",1+(Skills!X20/10)*(Z167/1000)/100,1)</f>
        <v/>
      </c>
      <c r="J184" t="inlineStr"/>
      <c r="K184" t="inlineStr"/>
      <c r="L184" t="inlineStr"/>
      <c r="M184" t="inlineStr"/>
      <c r="N184" t="inlineStr"/>
      <c r="O184">
        <f>(1-Summary!$B$56)*S184+Summary!$B$56*U184</f>
        <v/>
      </c>
      <c r="P184">
        <f>IF(B205=0,0,O184/B205)</f>
        <v/>
      </c>
      <c r="Q184">
        <f>IFERROR(1/IF(Inputs!$B$38="pvp",15,MAX(0.1,Skills!E20-IF(Skills!F20=TRUE,Inputs!$B$32,0))),0)</f>
        <v/>
      </c>
      <c r="R184" t="n">
        <v>0</v>
      </c>
      <c r="S184" t="n">
        <v>0</v>
      </c>
      <c r="U184" t="n">
        <v>0</v>
      </c>
    </row>
    <row r="185">
      <c r="A185">
        <f>Skills!A21</f>
        <v/>
      </c>
      <c r="B185">
        <f>Skills!B21</f>
        <v/>
      </c>
      <c r="C185">
        <f>TRUE</f>
        <v/>
      </c>
      <c r="D185">
        <f>IF(Skills!C21=1,60+Inputs!$B$25+Inputs!$B$29,IF(Skills!C21=2,90+Inputs!$B$26+Inputs!$B$29,IF(Skills!C21=3,120+Inputs!$B$27+Inputs!$B$29,MAX(0,(Inputs!$B$3-100)*3)+Inputs!$B$28+Inputs!$B$29)))</f>
        <v/>
      </c>
      <c r="E185">
        <f>INDEX(FactorTable!$B$2:$Y$301, MATCH(ROUND(MIN(300,MAX(1,D185)),0), FactorTable!$A$2:$A$301,0), Skills!M21+1)</f>
        <v/>
      </c>
      <c r="F185">
        <f>IF(Skills!N21=TRUE,(Skills!L21/10)*(E185/1000),Skills!L21/10)+Skills!O21</f>
        <v/>
      </c>
      <c r="G185">
        <f>Calc!G21</f>
        <v/>
      </c>
      <c r="H185">
        <f>Calc!H21</f>
        <v/>
      </c>
      <c r="I185">
        <f>IF(Skills!X21&lt;&gt;"",1+(Skills!X21/10)*(Z167/1000)/100,1)</f>
        <v/>
      </c>
      <c r="J185" t="inlineStr"/>
      <c r="K185" t="inlineStr"/>
      <c r="L185" t="inlineStr"/>
      <c r="M185" t="inlineStr"/>
      <c r="N185" t="inlineStr"/>
      <c r="O185">
        <f>(1-Summary!$B$56)*S185+Summary!$B$56*U185</f>
        <v/>
      </c>
      <c r="P185">
        <f>IF(B205=0,0,O185/B205)</f>
        <v/>
      </c>
      <c r="Q185">
        <f>IFERROR(1/IF(Inputs!$B$38="pvp",15,MAX(0.1,Skills!E21-IF(Skills!F21=TRUE,Inputs!$B$32,0))),0)</f>
        <v/>
      </c>
      <c r="R185" t="n">
        <v>0</v>
      </c>
      <c r="S185" t="n">
        <v>0</v>
      </c>
      <c r="U185" t="n">
        <v>0</v>
      </c>
    </row>
    <row r="186">
      <c r="A186">
        <f>Skills!A22</f>
        <v/>
      </c>
      <c r="B186">
        <f>Skills!B22</f>
        <v/>
      </c>
      <c r="C186">
        <f>TRUE</f>
        <v/>
      </c>
      <c r="D186">
        <f>IF(Skills!C22=1,60+Inputs!$B$25+Inputs!$B$29,IF(Skills!C22=2,90+Inputs!$B$26+Inputs!$B$29,IF(Skills!C22=3,120+Inputs!$B$27+Inputs!$B$29,MAX(0,(Inputs!$B$3-100)*3)+Inputs!$B$28+Inputs!$B$29)))</f>
        <v/>
      </c>
      <c r="E186">
        <f>INDEX(FactorTable!$B$2:$Y$301, MATCH(ROUND(MIN(300,MAX(1,D186)),0), FactorTable!$A$2:$A$301,0), Skills!M22+1)</f>
        <v/>
      </c>
      <c r="F186">
        <f>IF(Skills!N22=TRUE,(Skills!L22/10)*(E186/1000),Skills!L22/10)+Skills!O22</f>
        <v/>
      </c>
      <c r="G186">
        <f>Calc!G22</f>
        <v/>
      </c>
      <c r="H186">
        <f>Calc!H22</f>
        <v/>
      </c>
      <c r="I186">
        <f>IF(Skills!X22&lt;&gt;"",1+(Skills!X22/10)*(Z167/1000)/100,1)</f>
        <v/>
      </c>
      <c r="J186" t="inlineStr"/>
      <c r="K186" t="inlineStr"/>
      <c r="L186" t="inlineStr"/>
      <c r="M186" t="inlineStr"/>
      <c r="N186" t="inlineStr"/>
      <c r="O186">
        <f>(1-Summary!$B$56)*S186+Summary!$B$56*U186</f>
        <v/>
      </c>
      <c r="P186">
        <f>IF(B205=0,0,O186/B205)</f>
        <v/>
      </c>
      <c r="Q186">
        <f>IFERROR(1/IF(Inputs!$B$38="pvp",15,MAX(0.1,Skills!E22-IF(Skills!F22=TRUE,Inputs!$B$32,0))),0)</f>
        <v/>
      </c>
      <c r="R186" t="n">
        <v>0</v>
      </c>
      <c r="S186" t="n">
        <v>0</v>
      </c>
      <c r="U186" t="n">
        <v>0</v>
      </c>
    </row>
    <row r="187">
      <c r="A187">
        <f>Skills!A23</f>
        <v/>
      </c>
      <c r="B187">
        <f>Skills!B23</f>
        <v/>
      </c>
      <c r="C187">
        <f>TRUE</f>
        <v/>
      </c>
      <c r="D187">
        <f>IF(Skills!C23=1,60+Inputs!$B$25+Inputs!$B$29,IF(Skills!C23=2,90+Inputs!$B$26+Inputs!$B$29,IF(Skills!C23=3,120+Inputs!$B$27+Inputs!$B$29,MAX(0,(Inputs!$B$3-100)*3)+Inputs!$B$28+Inputs!$B$29)))</f>
        <v/>
      </c>
      <c r="E187">
        <f>INDEX(FactorTable!$B$2:$Y$301, MATCH(ROUND(MIN(300,MAX(1,D187)),0), FactorTable!$A$2:$A$301,0), Skills!M23+1)</f>
        <v/>
      </c>
      <c r="F187">
        <f>IF(Skills!N23=TRUE,(Skills!L23/10)*(E187/1000),Skills!L23/10)+Skills!O23</f>
        <v/>
      </c>
      <c r="G187">
        <f>Calc!G23</f>
        <v/>
      </c>
      <c r="H187">
        <f>Calc!H23</f>
        <v/>
      </c>
      <c r="I187">
        <f>IF(Skills!X23&lt;&gt;"",1+(Skills!X23/10)*(Z167/1000)/100,1)</f>
        <v/>
      </c>
      <c r="J187" t="inlineStr"/>
      <c r="K187" t="inlineStr"/>
      <c r="L187" t="inlineStr"/>
      <c r="M187" t="inlineStr"/>
      <c r="N187" t="inlineStr"/>
      <c r="O187">
        <f>(1-Summary!$B$56)*S187+Summary!$B$56*U187</f>
        <v/>
      </c>
      <c r="P187">
        <f>IF(B205=0,0,O187/B205)</f>
        <v/>
      </c>
      <c r="Q187">
        <f>IFERROR(1/IF(Inputs!$B$38="pvp",15,MAX(0.1,Skills!E23-IF(Skills!F23=TRUE,Inputs!$B$32,0))),0)</f>
        <v/>
      </c>
      <c r="R187" t="n">
        <v>0</v>
      </c>
      <c r="S187" t="n">
        <v>0</v>
      </c>
      <c r="U187" t="n">
        <v>0</v>
      </c>
    </row>
    <row r="188">
      <c r="A188">
        <f>Skills!A24</f>
        <v/>
      </c>
      <c r="B188">
        <f>Skills!B24</f>
        <v/>
      </c>
      <c r="C188">
        <f>Inputs!$B$3&gt;=115</f>
        <v/>
      </c>
      <c r="D188">
        <f>IF(Skills!C24=1,60+Inputs!$B$25+Inputs!$B$29,IF(Skills!C24=2,90+Inputs!$B$26+Inputs!$B$29,IF(Skills!C24=3,120+Inputs!$B$27+Inputs!$B$29,MAX(0,(Inputs!$B$3-100)*3)+Inputs!$B$28+Inputs!$B$29)))</f>
        <v/>
      </c>
      <c r="E188">
        <f>INDEX(FactorTable!$B$2:$Y$301, MATCH(ROUND(MIN(300,MAX(1,D188)),0), FactorTable!$A$2:$A$301,0), Skills!M24+1)</f>
        <v/>
      </c>
      <c r="F188">
        <f>IF(Skills!N24=TRUE,(Skills!L24/10)*(E188/1000),Skills!L24/10)+Skills!O24</f>
        <v/>
      </c>
      <c r="G188">
        <f>Calc!G24</f>
        <v/>
      </c>
      <c r="H188">
        <f>Calc!H24</f>
        <v/>
      </c>
      <c r="I188">
        <f>IF(Skills!X24&lt;&gt;"",1+(Skills!X24/10)*(Z167/1000)/100,1)</f>
        <v/>
      </c>
      <c r="J188">
        <f>((Inputs!$B$6*(1+Inputs!$B$7/100))+(((Inputs!$B$12*(1+Inputs!$B$13/100))-(Inputs!$B$12*(1+Inputs!$B$13/100)))+0.25*(Inputs!$B$14-Inputs!$B$14))*(1+Inputs!$B$7/100))*(F188/100)</f>
        <v/>
      </c>
      <c r="K188">
        <f>J188*(1+((Inputs!$B$12*(1+Inputs!$B$13/100))*0.01+Inputs!$B$14*0.0025)/100)*(1+Inputs!$B$15/100)*(1+(Inputs!$B$16+1)/100)*(5000/(6000+Inputs!$B$42*(1-Inputs!$B$19/100)))*(1+Inputs!$B$24/100)*(1+F187/100)*(1+IF(Inputs!$B$3&gt;=120,F190,0)/100)^5*(1+(IF(Skills!A24="BASIC_ATTACK",Inputs!$B$17,Inputs!$B$18+IF(Inputs!$B$3&gt;=125,F191*5,0)))/100)*(B194*B195*B196*I188)</f>
        <v/>
      </c>
      <c r="L188">
        <f>K188*(MIN(Inputs!$B$22+(F186-Calc!F22),Inputs!$B$23)/100+Inputs!$B$23/100)/2</f>
        <v/>
      </c>
      <c r="M188">
        <f>L188*(1+(Inputs!$B$10+(F185-Calc!F21))/100)</f>
        <v/>
      </c>
      <c r="N188">
        <f>L188*(1-MIN(Inputs!$B$9+(F184-Calc!F20),100)/100)+M188*(MIN(Inputs!$B$9+(F184-Calc!F20),100)/100)</f>
        <v/>
      </c>
      <c r="O188">
        <f>(1-Summary!$B$56)*S188+Summary!$B$56*U188</f>
        <v/>
      </c>
      <c r="P188">
        <f>IF(B205=0,0,O188/B205)</f>
        <v/>
      </c>
      <c r="Q188">
        <f>IFERROR(1/IF(Inputs!$B$38="pvp",15,MAX(0.1,Skills!E24-IF(Skills!F24=TRUE,Inputs!$B$32,0))),0)</f>
        <v/>
      </c>
      <c r="R188">
        <f>IF(AND(Inputs!$B$38&lt;&gt;"pvp",Inputs!$B$43&gt;0),IF(MAX(0,Inputs!$B$43-B202)&lt;=0,0,(INT(MAX(0,Inputs!$B$43-B202)/IF(Inputs!$B$38="pvp",15,MAX(0.1,Skills!E24-IF(Skills!F24=TRUE,Inputs!$B$32,0))))+1)),0)</f>
        <v/>
      </c>
      <c r="S188">
        <f>IF(C188,(H188*N188*IF(AND(Inputs!$B$38&lt;&gt;"pvp",Inputs!$B$43&gt;0),((Skills!G24*((R188-1)*IF(Skills!H24&gt;0,Skills!I24/Skills!H24,1)+IF(Skills!H24&gt;0,MIN(Skills!I24,MAX(0,MAX(0,Inputs!$B$43-B202)-((R188-1)*IF(Inputs!$B$38="pvp",15,MAX(0.1,Skills!E24-IF(Skills!F24=TRUE,Inputs!$B$32,0))))))/Skills!H24,1)))/Inputs!$B$43),G188*Q188)*(1+IF(Inputs!$B$3&gt;=130,0.2*(Skills!I16/Skills!E15+IF(Inputs!$B$3&gt;=126,0.05*(B200+Q177+(H178*B201)/(1+Skills!H14*H178*B201)+Q188),0)*Skills!I16),0)))*IF(Inputs!$B$38="pvp",1,1+(Inputs!$B$20+Skills!P24)/100),0)</f>
        <v/>
      </c>
      <c r="U188">
        <f>IF(C188,(H188*N188*IF(AND(Inputs!$B$38&lt;&gt;"pvp",Inputs!$B$43&gt;0),((Skills!G24*((R188-1)*IF(Skills!H24&gt;0,Skills!I24/Skills!H24,1)+IF(Skills!H24&gt;0,MIN(Skills!I24,MAX(0,MAX(0,Inputs!$B$43-B202)-((R188-1)*IF(Inputs!$B$38="pvp",15,MAX(0.1,Skills!E24-IF(Skills!F24=TRUE,Inputs!$B$32,0))))))/Skills!H24,1)))/Inputs!$B$43),G188*Q188)*(1+IF(Inputs!$B$3&gt;=130,0.2*(Skills!I16/Skills!E15+IF(Inputs!$B$3&gt;=126,0.05*(B200+Q177+(H178*B201)/(1+Skills!H14*H178*B201)+Q188),0)*Skills!I16),0)))*IF(Inputs!$B$38="pvp",1,(1+(Inputs!$B$21+Skills!Q24)/100)*(MIN(Skills!R24,Inputs!$B$37))),0)</f>
        <v/>
      </c>
    </row>
    <row r="189">
      <c r="A189">
        <f>Skills!A25</f>
        <v/>
      </c>
      <c r="B189">
        <f>Skills!B25</f>
        <v/>
      </c>
      <c r="C189">
        <f>Inputs!$B$3&gt;=117</f>
        <v/>
      </c>
      <c r="D189">
        <f>IF(Skills!C25=1,60+Inputs!$B$25+Inputs!$B$29,IF(Skills!C25=2,90+Inputs!$B$26+Inputs!$B$29,IF(Skills!C25=3,120+Inputs!$B$27+Inputs!$B$29,MAX(0,(Inputs!$B$3-100)*3)+Inputs!$B$28+Inputs!$B$29)))</f>
        <v/>
      </c>
      <c r="E189">
        <f>INDEX(FactorTable!$B$2:$Y$301, MATCH(ROUND(MIN(300,MAX(1,D189)),0), FactorTable!$A$2:$A$301,0), Skills!M25+1)</f>
        <v/>
      </c>
      <c r="F189">
        <f>IF(Skills!N25=TRUE,(Skills!L25/10)*(E189/1000),Skills!L25/10)+Skills!O25</f>
        <v/>
      </c>
      <c r="G189">
        <f>Calc!G25</f>
        <v/>
      </c>
      <c r="H189">
        <f>Calc!H25</f>
        <v/>
      </c>
      <c r="I189">
        <f>IF(Skills!X25&lt;&gt;"",1+(Skills!X25/10)*(Z167/1000)/100,1)</f>
        <v/>
      </c>
      <c r="J189" t="inlineStr"/>
      <c r="K189" t="inlineStr"/>
      <c r="L189" t="inlineStr"/>
      <c r="M189" t="inlineStr"/>
      <c r="N189" t="inlineStr"/>
      <c r="O189">
        <f>(1-Summary!$B$56)*S189+Summary!$B$56*U189</f>
        <v/>
      </c>
      <c r="P189">
        <f>IF(B205=0,0,O189/B205)</f>
        <v/>
      </c>
      <c r="Q189">
        <f>IFERROR(1/IF(Inputs!$B$38="pvp",15,MAX(0.1,Skills!E25-IF(Skills!F25=TRUE,Inputs!$B$32,0))),0)</f>
        <v/>
      </c>
      <c r="R189" t="n">
        <v>0</v>
      </c>
      <c r="S189" t="n">
        <v>0</v>
      </c>
      <c r="U189" t="n">
        <v>0</v>
      </c>
    </row>
    <row r="190">
      <c r="A190">
        <f>Skills!A26</f>
        <v/>
      </c>
      <c r="B190">
        <f>Skills!B26</f>
        <v/>
      </c>
      <c r="C190">
        <f>Inputs!$B$3&gt;=120</f>
        <v/>
      </c>
      <c r="D190">
        <f>IF(Skills!C26=1,60+Inputs!$B$25+Inputs!$B$29,IF(Skills!C26=2,90+Inputs!$B$26+Inputs!$B$29,IF(Skills!C26=3,120+Inputs!$B$27+Inputs!$B$29,MAX(0,(Inputs!$B$3-100)*3)+Inputs!$B$28+Inputs!$B$29)))</f>
        <v/>
      </c>
      <c r="E190">
        <f>INDEX(FactorTable!$B$2:$Y$301, MATCH(ROUND(MIN(300,MAX(1,D190)),0), FactorTable!$A$2:$A$301,0), Skills!M26+1)</f>
        <v/>
      </c>
      <c r="F190">
        <f>IF(Skills!N26=TRUE,(Skills!L26/10)*(E190/1000),Skills!L26/10)+Skills!O26</f>
        <v/>
      </c>
      <c r="G190">
        <f>Calc!G26</f>
        <v/>
      </c>
      <c r="H190">
        <f>Calc!H26</f>
        <v/>
      </c>
      <c r="I190">
        <f>IF(Skills!X26&lt;&gt;"",1+(Skills!X26/10)*(Z167/1000)/100,1)</f>
        <v/>
      </c>
      <c r="J190" t="inlineStr"/>
      <c r="K190" t="inlineStr"/>
      <c r="L190" t="inlineStr"/>
      <c r="M190" t="inlineStr"/>
      <c r="N190" t="inlineStr"/>
      <c r="O190">
        <f>(1-Summary!$B$56)*S190+Summary!$B$56*U190</f>
        <v/>
      </c>
      <c r="P190">
        <f>IF(B205=0,0,O190/B205)</f>
        <v/>
      </c>
      <c r="Q190">
        <f>IFERROR(1/IF(Inputs!$B$38="pvp",15,MAX(0.1,Skills!E26-IF(Skills!F26=TRUE,Inputs!$B$32,0))),0)</f>
        <v/>
      </c>
      <c r="R190" t="n">
        <v>0</v>
      </c>
      <c r="S190" t="n">
        <v>0</v>
      </c>
      <c r="U190" t="n">
        <v>0</v>
      </c>
    </row>
    <row r="191">
      <c r="A191">
        <f>Skills!A27</f>
        <v/>
      </c>
      <c r="B191">
        <f>Skills!B27</f>
        <v/>
      </c>
      <c r="C191">
        <f>Inputs!$B$3&gt;=125</f>
        <v/>
      </c>
      <c r="D191">
        <f>IF(Skills!C27=1,60+Inputs!$B$25+Inputs!$B$29,IF(Skills!C27=2,90+Inputs!$B$26+Inputs!$B$29,IF(Skills!C27=3,120+Inputs!$B$27+Inputs!$B$29,MAX(0,(Inputs!$B$3-100)*3)+Inputs!$B$28+Inputs!$B$29)))</f>
        <v/>
      </c>
      <c r="E191">
        <f>INDEX(FactorTable!$B$2:$Y$301, MATCH(ROUND(MIN(300,MAX(1,D191)),0), FactorTable!$A$2:$A$301,0), Skills!M27+1)</f>
        <v/>
      </c>
      <c r="F191">
        <f>IF(Skills!N27=TRUE,(Skills!L27/10)*(E191/1000),Skills!L27/10)+Skills!O27</f>
        <v/>
      </c>
      <c r="G191">
        <f>Calc!G27</f>
        <v/>
      </c>
      <c r="H191">
        <f>Calc!H27</f>
        <v/>
      </c>
      <c r="I191">
        <f>IF(Skills!X27&lt;&gt;"",1+(Skills!X27/10)*(Z167/1000)/100,1)</f>
        <v/>
      </c>
      <c r="J191" t="inlineStr"/>
      <c r="K191" t="inlineStr"/>
      <c r="L191" t="inlineStr"/>
      <c r="M191" t="inlineStr"/>
      <c r="N191" t="inlineStr"/>
      <c r="O191">
        <f>(1-Summary!$B$56)*S191+Summary!$B$56*U191</f>
        <v/>
      </c>
      <c r="P191">
        <f>IF(B205=0,0,O191/B205)</f>
        <v/>
      </c>
      <c r="Q191">
        <f>IFERROR(1/IF(Inputs!$B$38="pvp",15,MAX(0.1,Skills!E27-IF(Skills!F27=TRUE,Inputs!$B$32,0))),0)</f>
        <v/>
      </c>
      <c r="R191" t="n">
        <v>0</v>
      </c>
      <c r="S191" t="n">
        <v>0</v>
      </c>
      <c r="U191" t="n">
        <v>0</v>
      </c>
    </row>
    <row r="192">
      <c r="A192">
        <f>Skills!A28</f>
        <v/>
      </c>
      <c r="B192">
        <f>Skills!B28</f>
        <v/>
      </c>
      <c r="C192">
        <f>Inputs!$B$3&gt;=118</f>
        <v/>
      </c>
      <c r="D192">
        <f>IF(Skills!C28=1,60+Inputs!$B$25+Inputs!$B$29,IF(Skills!C28=2,90+Inputs!$B$26+Inputs!$B$29,IF(Skills!C28=3,120+Inputs!$B$27+Inputs!$B$29,MAX(0,(Inputs!$B$3-100)*3)+Inputs!$B$28+Inputs!$B$29)))</f>
        <v/>
      </c>
      <c r="E192">
        <f>INDEX(FactorTable!$B$2:$Y$301, MATCH(ROUND(MIN(300,MAX(1,D192)),0), FactorTable!$A$2:$A$301,0), Skills!M28+1)</f>
        <v/>
      </c>
      <c r="F192">
        <f>IF(Skills!N28=TRUE,(Skills!L28/10)*(E192/1000),Skills!L28/10)+Skills!O28</f>
        <v/>
      </c>
      <c r="G192">
        <f>Calc!G28</f>
        <v/>
      </c>
      <c r="H192">
        <f>Calc!H28</f>
        <v/>
      </c>
      <c r="I192">
        <f>IF(Skills!X28&lt;&gt;"",1+(Skills!X28/10)*(Z167/1000)/100,1)</f>
        <v/>
      </c>
      <c r="J192">
        <f>((Inputs!$B$6*(1+Inputs!$B$7/100))+(((Inputs!$B$12*(1+Inputs!$B$13/100))-(Inputs!$B$12*(1+Inputs!$B$13/100)))+0.25*(Inputs!$B$14-Inputs!$B$14))*(1+Inputs!$B$7/100))*(F192/100)</f>
        <v/>
      </c>
      <c r="K192">
        <f>J192*(1+((Inputs!$B$12*(1+Inputs!$B$13/100))*0.01+Inputs!$B$14*0.0025)/100)*(1+Inputs!$B$15/100)*(1+(Inputs!$B$16+1)/100)*(5000/(6000+Inputs!$B$42*(1-Inputs!$B$19/100)))*(1+Inputs!$B$24/100)*(1+F187/100)*(1+IF(Inputs!$B$3&gt;=120,F190,0)/100)^5*(1+(IF(Skills!A28="BASIC_ATTACK",Inputs!$B$17,Inputs!$B$18+IF(Inputs!$B$3&gt;=125,F191*5,0)))/100)*(B194*B195*B196*I192)</f>
        <v/>
      </c>
      <c r="L192">
        <f>K192*(MIN(Inputs!$B$22+(F186-Calc!F22),Inputs!$B$23)/100+Inputs!$B$23/100)/2</f>
        <v/>
      </c>
      <c r="M192">
        <f>L192*(1+(Inputs!$B$10+(F185-Calc!F21))/100)</f>
        <v/>
      </c>
      <c r="N192">
        <f>L192*(1-MIN(Inputs!$B$9+(F184-Calc!F20),100)/100)+M192*(MIN(Inputs!$B$9+(F184-Calc!F20),100)/100)</f>
        <v/>
      </c>
      <c r="O192">
        <f>(1-Summary!$B$56)*S192+Summary!$B$56*U192</f>
        <v/>
      </c>
      <c r="P192">
        <f>IF(B205=0,0,O192/B205)</f>
        <v/>
      </c>
      <c r="Q192">
        <f>IFERROR(1/IF(Inputs!$B$38="pvp",15,MAX(0.1,Skills!E28-IF(Skills!F28=TRUE,Inputs!$B$32,0))),0)</f>
        <v/>
      </c>
      <c r="R192">
        <f>IF(AND(Inputs!$B$38&lt;&gt;"pvp",Inputs!$B$43&gt;0),IF(MAX(0,Inputs!$B$43-B202)&lt;=0,0,(INT(MAX(0,Inputs!$B$43-B202)/IF(Inputs!$B$38="pvp",15,MAX(0.1,Skills!E28-IF(Skills!F28=TRUE,Inputs!$B$32,0))))+1)),0)</f>
        <v/>
      </c>
      <c r="S192">
        <f>IF(C192,(H192*N192*IF(AND(Inputs!$B$38&lt;&gt;"pvp",Inputs!$B$43&gt;0),((Skills!G28*((R192-1)*IF(Skills!H28&gt;0,Skills!I28/Skills!H28,1)+IF(Skills!H28&gt;0,MIN(Skills!I28,MAX(0,MAX(0,Inputs!$B$43-B202)-((R192-1)*IF(Inputs!$B$38="pvp",15,MAX(0.1,Skills!E28-IF(Skills!F28=TRUE,Inputs!$B$32,0))))))/Skills!H28,1)))/Inputs!$B$43),G192*Q192))*IF(Inputs!$B$38="pvp",1,1+(Inputs!$B$20+Skills!P28)/100),0)</f>
        <v/>
      </c>
      <c r="U192">
        <f>IF(C192,(H192*N192*IF(AND(Inputs!$B$38&lt;&gt;"pvp",Inputs!$B$43&gt;0),((Skills!G28*((R192-1)*IF(Skills!H28&gt;0,Skills!I28/Skills!H28,1)+IF(Skills!H28&gt;0,MIN(Skills!I28,MAX(0,MAX(0,Inputs!$B$43-B202)-((R192-1)*IF(Inputs!$B$38="pvp",15,MAX(0.1,Skills!E28-IF(Skills!F28=TRUE,Inputs!$B$32,0))))))/Skills!H28,1)))/Inputs!$B$43),G192*Q192))*IF(Inputs!$B$38="pvp",1,(1+(Inputs!$B$21+Skills!Q28)/100)*(MIN(Skills!R28,Inputs!$B$37))),0)</f>
        <v/>
      </c>
    </row>
    <row r="194">
      <c r="A194" t="inlineStr">
        <is>
          <t>Burning Magic Multiplier</t>
        </is>
      </c>
      <c r="B194">
        <f>1+(F175*Skills!Z11)/100</f>
        <v/>
      </c>
    </row>
    <row r="195">
      <c r="A195" t="inlineStr">
        <is>
          <t>Elemental Decrease Multiplier (always-on)</t>
        </is>
      </c>
      <c r="B195">
        <f>1+F176/100</f>
        <v/>
      </c>
    </row>
    <row r="196">
      <c r="A196" t="inlineStr">
        <is>
          <t>Average Buff Multiplier (Magic Guard + Meditation, summed; then Infinity)</t>
        </is>
      </c>
      <c r="B196">
        <f>(1+(F170*IF(AND(Inputs!$B$38&lt;&gt;"pvp",Inputs!$B$43&gt;0),(((R170-1)*(Skills!T6*(1+(Inputs!$B$34+IF(Inputs!$B$3&gt;=117,F189,0))/100))+MIN((Skills!T6*(1+(Inputs!$B$34+IF(Inputs!$B$3&gt;=117,F189,0))/100)),MAX(0,Inputs!$B$43-((R170-1)*Skills!E6))))/Inputs!$B$43),IF(Inputs!$B$38="pvp",MIN((Skills!T6*(1+(Inputs!$B$34+IF(Inputs!$B$3&gt;=117,F189,0))/100)),15)/15,(Skills!T6*(1+(Inputs!$B$34+IF(Inputs!$B$3&gt;=117,F189,0))/100))/Skills!E6))+F181*IF(AND(Inputs!$B$38&lt;&gt;"pvp",Inputs!$B$43&gt;0),(((R181-1)*(Skills!T17*(1+(Inputs!$B$34+IF(Inputs!$B$3&gt;=117,F189,0))/100))+MIN((Skills!T17*(1+(Inputs!$B$34+IF(Inputs!$B$3&gt;=117,F189,0))/100)),MAX(0,Inputs!$B$43-((R181-1)*Skills!E17))))/Inputs!$B$43),IF(Inputs!$B$38="pvp",MIN((Skills!T17*(1+(Inputs!$B$34+IF(Inputs!$B$3&gt;=117,F189,0))/100)),15)/15,(Skills!T17*(1+(Inputs!$B$34+IF(Inputs!$B$3&gt;=117,F189,0))/100))/Skills!E17)))/100)*IF(C183=TRUE,(1+F183*IF(AND(Inputs!$B$38&lt;&gt;"pvp",Inputs!$B$43&gt;0),(((R183-1)*(Skills!T19*(1+(Inputs!$B$34+IF(Inputs!$B$3&gt;=117,F189,0))/100))+MIN((Skills!T19*(1+(Inputs!$B$34+IF(Inputs!$B$3&gt;=117,F189,0))/100)),MAX(0,Inputs!$B$43-((R183-1)*Skills!E19))))/Inputs!$B$43),IF(Inputs!$B$38="pvp",MIN((Skills!T19*(1+(Inputs!$B$34+IF(Inputs!$B$3&gt;=117,F189,0))/100)),15)/15,(Skills!T19*(1+(Inputs!$B$34+IF(Inputs!$B$3&gt;=117,F189,0))/100))/Skills!E19))/100),1)</f>
        <v/>
      </c>
    </row>
    <row r="197">
      <c r="A197" t="inlineStr">
        <is>
          <t>Attack Speed Buff Bonus % (Nimble Feet, averaged)</t>
        </is>
      </c>
      <c r="B197">
        <f>F182*IF(AND(Inputs!$B$38&lt;&gt;"pvp",Inputs!$B$43&gt;0),(((R182-1)*(Skills!T18*(1+(Inputs!$B$34+IF(Inputs!$B$3&gt;=117,F189,0))/100))+MIN((Skills!T18*(1+(Inputs!$B$34+IF(Inputs!$B$3&gt;=117,F189,0))/100)),MAX(0,Inputs!$B$43-((R182-1)*Skills!E18))))/Inputs!$B$43),IF(Inputs!$B$38="pvp",MIN((Skills!T18*(1+(Inputs!$B$34+IF(Inputs!$B$3&gt;=117,F189,0))/100)),15)/15,(Skills!T18*(1+(Inputs!$B$34+IF(Inputs!$B$3&gt;=117,F189,0))/100))/Skills!E18))</f>
        <v/>
      </c>
    </row>
    <row r="198">
      <c r="A198" t="inlineStr">
        <is>
          <t>Actions Per Second</t>
        </is>
      </c>
      <c r="B198">
        <f>1+MIN(150,150*(1-(1-Inputs!$B$11/150)*(1-B197/150)))/100</f>
        <v/>
      </c>
    </row>
    <row r="199">
      <c r="A199" t="inlineStr">
        <is>
          <t>Skill + Buff Cast Rate</t>
        </is>
      </c>
      <c r="B199">
        <f>IF(AND(Inputs!$B$38&lt;&gt;"pvp",Inputs!$B$43&gt;0),SUMPRODUCT((Skills!F2:F28=TRUE)*(C166:C192=TRUE)*R166:R192)/Inputs!$B$43,SUMPRODUCT((Skills!F2:F28=TRUE)*(C166:C192=TRUE)*Q166:Q192))</f>
        <v/>
      </c>
    </row>
    <row r="200">
      <c r="A200" t="inlineStr">
        <is>
          <t>Basic Attacks Per Second</t>
        </is>
      </c>
      <c r="B200">
        <f>MAX(0,B198-B199)</f>
        <v/>
      </c>
    </row>
    <row r="201">
      <c r="A201" t="inlineStr">
        <is>
          <t>Meteor Proc — combined trigger cast rate</t>
        </is>
      </c>
      <c r="B201">
        <f>IF(AND(Inputs!$B$38&lt;&gt;"pvp",Inputs!$B$43&gt;0),SUMPRODUCT((Skills!V2:V28=TRUE)*(C166:C192=TRUE)*R166:R192*Skills!W2:W28)/Inputs!$B$43,SUMPRODUCT((Skills!V2:V28=TRUE)*(C166:C192=TRUE)*Q166:Q192*Skills!W2:W28))+B200</f>
        <v/>
      </c>
    </row>
    <row r="202">
      <c r="A202" t="inlineStr">
        <is>
          <t>Buff-Casting Startup Delay (s, fixed-duration only)</t>
        </is>
      </c>
      <c r="B202">
        <f>IF(AND(Inputs!$B$38&lt;&gt;"pvp",Inputs!$B$43&gt;0),SUMPRODUCT((Skills!T2:T28&gt;0)*(Skills!F2:F28=TRUE)*(C166:C192=TRUE))/B198,0)</f>
        <v/>
      </c>
    </row>
    <row r="203">
      <c r="A203" t="inlineStr">
        <is>
          <t>Boss-Only Total DPS (this block's swept value)</t>
        </is>
      </c>
      <c r="B203">
        <f>SUM(S166:S192)</f>
        <v/>
      </c>
    </row>
    <row r="204">
      <c r="A204" t="inlineStr">
        <is>
          <t>Normal-Only Total DPS (this block's swept value)</t>
        </is>
      </c>
      <c r="B204">
        <f>SUM(U166:U192)</f>
        <v/>
      </c>
    </row>
    <row r="205">
      <c r="A205" s="5" t="inlineStr">
        <is>
          <t>TOTAL DPS</t>
        </is>
      </c>
      <c r="B205" s="5">
        <f>SUM(O166:O192)</f>
        <v/>
      </c>
    </row>
    <row r="208">
      <c r="A208" s="5" t="inlineStr">
        <is>
          <t>Stat: BOSS_DAMAGE %</t>
        </is>
      </c>
    </row>
    <row r="209">
      <c r="A209" s="9" t="inlineStr">
        <is>
          <t>Key</t>
        </is>
      </c>
      <c r="B209" s="9" t="inlineStr">
        <is>
          <t>Name</t>
        </is>
      </c>
      <c r="C209" s="9" t="inlineStr">
        <is>
          <t>Unlocked</t>
        </is>
      </c>
      <c r="D209" s="9" t="inlineStr">
        <is>
          <t>InputLevel</t>
        </is>
      </c>
      <c r="E209" s="9" t="inlineStr">
        <is>
          <t>Factor</t>
        </is>
      </c>
      <c r="F209" s="9" t="inlineStr">
        <is>
          <t>CoefficientPercent</t>
        </is>
      </c>
      <c r="G209" s="9" t="inlineStr">
        <is>
          <t>EffectiveHits</t>
        </is>
      </c>
      <c r="H209" s="9" t="inlineStr">
        <is>
          <t>ProcProbability</t>
        </is>
      </c>
      <c r="I209" s="9" t="inlineStr">
        <is>
          <t>MapleHeroMultiplier</t>
        </is>
      </c>
      <c r="J209" s="9" t="inlineStr">
        <is>
          <t>BaseDamage</t>
        </is>
      </c>
      <c r="K209" s="9" t="inlineStr">
        <is>
          <t>BaseHitDamage</t>
        </is>
      </c>
      <c r="L209" s="9" t="inlineStr">
        <is>
          <t>NonCritAvg</t>
        </is>
      </c>
      <c r="M209" s="9" t="inlineStr">
        <is>
          <t>CritAvg</t>
        </is>
      </c>
      <c r="N209" s="9" t="inlineStr">
        <is>
          <t>ExpectedDamage(perHit)</t>
        </is>
      </c>
      <c r="O209" s="9" t="inlineStr">
        <is>
          <t>DPS</t>
        </is>
      </c>
      <c r="P209" s="9" t="inlineStr">
        <is>
          <t>% of Total</t>
        </is>
      </c>
      <c r="R209" t="inlineStr">
        <is>
          <t>helpers</t>
        </is>
      </c>
    </row>
    <row r="210">
      <c r="A210">
        <f>Skills!A2</f>
        <v/>
      </c>
      <c r="B210">
        <f>Skills!B2</f>
        <v/>
      </c>
      <c r="C210">
        <f>TRUE</f>
        <v/>
      </c>
      <c r="D210" t="inlineStr"/>
      <c r="E210" t="inlineStr"/>
      <c r="F210">
        <f>T212+Skills!O2</f>
        <v/>
      </c>
      <c r="G210">
        <f>Calc!G2</f>
        <v/>
      </c>
      <c r="H210">
        <f>Calc!H2</f>
        <v/>
      </c>
      <c r="I210">
        <f>IF(Skills!X2&lt;&gt;"",1+(Skills!X2/10)*(Z211/1000)/100,1)</f>
        <v/>
      </c>
      <c r="J210">
        <f>((Inputs!$B$6*(1+Inputs!$B$7/100))+(((Inputs!$B$12*(1+Inputs!$B$13/100))-(Inputs!$B$12*(1+Inputs!$B$13/100)))+0.25*(Inputs!$B$14-Inputs!$B$14))*(1+Inputs!$B$7/100))*(F210/100)</f>
        <v/>
      </c>
      <c r="K210">
        <f>J210*(1+((Inputs!$B$12*(1+Inputs!$B$13/100))*0.01+Inputs!$B$14*0.0025)/100)*(1+Inputs!$B$15/100)*(1+Inputs!$B$16/100)*(5000/(6000+Inputs!$B$42*(1-Inputs!$B$19/100)))*(1+Inputs!$B$24/100)*(1+F231/100)*(1+IF(Inputs!$B$3&gt;=120,F234,0)/100)^5*(1+(IF(Skills!A2="BASIC_ATTACK",Inputs!$B$17,Inputs!$B$18+IF(Inputs!$B$3&gt;=125,F235*5,0)))/100)*(B238*B239*B240*I210)</f>
        <v/>
      </c>
      <c r="L210">
        <f>K210*(MIN(Inputs!$B$22+(F230-Calc!F22),Inputs!$B$23)/100+Inputs!$B$23/100)/2</f>
        <v/>
      </c>
      <c r="M210">
        <f>L210*(1+(Inputs!$B$10+(F229-Calc!F21))/100)</f>
        <v/>
      </c>
      <c r="N210">
        <f>L210*(1-MIN(Inputs!$B$9+(F228-Calc!F20),100)/100)+M210*(MIN(Inputs!$B$9+(F228-Calc!F20),100)/100)</f>
        <v/>
      </c>
      <c r="O210">
        <f>(1-Summary!$B$56)*S210+Summary!$B$56*U210</f>
        <v/>
      </c>
      <c r="P210">
        <f>IF(B249=0,0,O210/B249)</f>
        <v/>
      </c>
      <c r="Q210">
        <f>IFERROR(1/IF(Inputs!$B$38="pvp",15,MAX(0.1,Skills!E2-IF(Skills!F2=TRUE,Inputs!$B$32,0))),0)</f>
        <v/>
      </c>
      <c r="R210" t="n">
        <v>0</v>
      </c>
      <c r="S210">
        <f>(Skills!G2*N210*B244)*IF(Inputs!$B$38="pvp",1,1+((Inputs!$B$20+1)+Skills!P2)/100)</f>
        <v/>
      </c>
      <c r="T210">
        <f>MAX(0,(Inputs!$B$3-100)*3)+Inputs!$B$28+Inputs!$B$29</f>
        <v/>
      </c>
      <c r="U210">
        <f>(Skills!G2*N210*B244)*IF(Inputs!$B$38="pvp",1,(1+(Inputs!$B$21+Skills!Q2)/100)*(MIN((6+Inputs!$B$33+IF(Inputs!$B$3&gt;=136,1,0)),Inputs!$B$37)))</f>
        <v/>
      </c>
      <c r="Z210">
        <f>MAX(0,(Inputs!$B$3-100)*3)+Inputs!$B$28+Inputs!$B$29</f>
        <v/>
      </c>
    </row>
    <row r="211">
      <c r="A211">
        <f>Skills!A3</f>
        <v/>
      </c>
      <c r="B211">
        <f>Skills!B3</f>
        <v/>
      </c>
      <c r="C211">
        <f>TRUE</f>
        <v/>
      </c>
      <c r="D211">
        <f>IF(Skills!C3=1,60+Inputs!$B$25+Inputs!$B$29,IF(Skills!C3=2,90+Inputs!$B$26+Inputs!$B$29,IF(Skills!C3=3,120+Inputs!$B$27+Inputs!$B$29,MAX(0,(Inputs!$B$3-100)*3)+Inputs!$B$28+Inputs!$B$29)))</f>
        <v/>
      </c>
      <c r="E211">
        <f>INDEX(FactorTable!$B$2:$Y$301, MATCH(ROUND(MIN(300,MAX(1,D211)),0), FactorTable!$A$2:$A$301,0), Skills!M3+1)</f>
        <v/>
      </c>
      <c r="F211">
        <f>IF(Skills!N3=TRUE,(Skills!L3/10)*(E211/1000),Skills!L3/10)+Skills!O3</f>
        <v/>
      </c>
      <c r="G211">
        <f>Calc!G3</f>
        <v/>
      </c>
      <c r="H211">
        <f>Calc!H3</f>
        <v/>
      </c>
      <c r="I211">
        <f>IF(Skills!X3&lt;&gt;"",1+(Skills!X3/10)*(Z211/1000)/100,1)</f>
        <v/>
      </c>
      <c r="J211">
        <f>((Inputs!$B$6*(1+Inputs!$B$7/100))+(((Inputs!$B$12*(1+Inputs!$B$13/100))-(Inputs!$B$12*(1+Inputs!$B$13/100)))+0.25*(Inputs!$B$14-Inputs!$B$14))*(1+Inputs!$B$7/100))*(F211/100)</f>
        <v/>
      </c>
      <c r="K211">
        <f>J211*(1+((Inputs!$B$12*(1+Inputs!$B$13/100))*0.01+Inputs!$B$14*0.0025)/100)*(1+Inputs!$B$15/100)*(1+Inputs!$B$16/100)*(5000/(6000+Inputs!$B$42*(1-Inputs!$B$19/100)))*(1+Inputs!$B$24/100)*(1+F231/100)*(1+IF(Inputs!$B$3&gt;=120,F234,0)/100)^5*(1+(IF(Skills!A3="BASIC_ATTACK",Inputs!$B$17,Inputs!$B$18+IF(Inputs!$B$3&gt;=125,F235*5,0)))/100)*(B238*B239*B240*I211)</f>
        <v/>
      </c>
      <c r="L211">
        <f>K211*(MIN(Inputs!$B$22+(F230-Calc!F22),Inputs!$B$23)/100+Inputs!$B$23/100)/2</f>
        <v/>
      </c>
      <c r="M211">
        <f>L211*(1+(Inputs!$B$10+(F229-Calc!F21))/100)</f>
        <v/>
      </c>
      <c r="N211">
        <f>L211*(1-MIN(Inputs!$B$9+(F228-Calc!F20),100)/100)+M211*(MIN(Inputs!$B$9+(F228-Calc!F20),100)/100)</f>
        <v/>
      </c>
      <c r="O211">
        <f>(1-Summary!$B$56)*S211+Summary!$B$56*U211</f>
        <v/>
      </c>
      <c r="P211">
        <f>IF(B249=0,0,O211/B249)</f>
        <v/>
      </c>
      <c r="Q211">
        <f>IFERROR(1/IF(Inputs!$B$38="pvp",15,MAX(0.1,Skills!E3-IF(Skills!F3=TRUE,Inputs!$B$32,0))),0)</f>
        <v/>
      </c>
      <c r="R211">
        <f>IF(AND(Inputs!$B$38&lt;&gt;"pvp",Inputs!$B$43&gt;0),IF(MAX(0,Inputs!$B$43-B246)&lt;=0,0,(INT(MAX(0,Inputs!$B$43-B246)/IF(Inputs!$B$38="pvp",15,MAX(0.1,Skills!E3-IF(Skills!F3=TRUE,Inputs!$B$32,0))))+1)),0)</f>
        <v/>
      </c>
      <c r="S211">
        <f>IF(C211,(H211*N211*IF(AND(Inputs!$B$38&lt;&gt;"pvp",Inputs!$B$43&gt;0),((Skills!G3*((R211-1)*IF(Skills!H3&gt;0,Skills!I3/Skills!H3,1)+IF(Skills!H3&gt;0,MIN(Skills!I3,MAX(0,MAX(0,Inputs!$B$43-B246)-((R211-1)*IF(Inputs!$B$38="pvp",15,MAX(0.1,Skills!E3-IF(Skills!F3=TRUE,Inputs!$B$32,0))))))/Skills!H3,1)))/Inputs!$B$43),G211*Q211))*IF(Inputs!$B$38="pvp",1,1+((Inputs!$B$20+1)+Skills!P3)/100),0)</f>
        <v/>
      </c>
      <c r="T211">
        <f>INDEX(FactorTable!$B$2:$Y$301, MATCH(ROUND(MIN(300,MAX(1,T210)),0), FactorTable!$A$2:$A$301,0), 22)</f>
        <v/>
      </c>
      <c r="U211">
        <f>IF(C211,(H211*N211*IF(AND(Inputs!$B$38&lt;&gt;"pvp",Inputs!$B$43&gt;0),((Skills!G3*((R211-1)*IF(Skills!H3&gt;0,Skills!I3/Skills!H3,1)+IF(Skills!H3&gt;0,MIN(Skills!I3,MAX(0,MAX(0,Inputs!$B$43-B246)-((R211-1)*IF(Inputs!$B$38="pvp",15,MAX(0.1,Skills!E3-IF(Skills!F3=TRUE,Inputs!$B$32,0))))))/Skills!H3,1)))/Inputs!$B$43),G211*Q211))*IF(Inputs!$B$38="pvp",1,(1+(Inputs!$B$21+Skills!Q3)/100)*(MIN(Skills!R3,Inputs!$B$37))),0)</f>
        <v/>
      </c>
      <c r="Z211">
        <f>INDEX(FactorTable!$B$2:$Y$301, MATCH(ROUND(MIN(300,MAX(1,Z210)),0), FactorTable!$A$2:$A$301,0), 24)</f>
        <v/>
      </c>
    </row>
    <row r="212">
      <c r="A212">
        <f>Skills!A4</f>
        <v/>
      </c>
      <c r="B212">
        <f>Skills!B4</f>
        <v/>
      </c>
      <c r="C212">
        <f>TRUE</f>
        <v/>
      </c>
      <c r="D212">
        <f>IF(Skills!C4=1,60+Inputs!$B$25+Inputs!$B$29,IF(Skills!C4=2,90+Inputs!$B$26+Inputs!$B$29,IF(Skills!C4=3,120+Inputs!$B$27+Inputs!$B$29,MAX(0,(Inputs!$B$3-100)*3)+Inputs!$B$28+Inputs!$B$29)))</f>
        <v/>
      </c>
      <c r="E212">
        <f>INDEX(FactorTable!$B$2:$Y$301, MATCH(ROUND(MIN(300,MAX(1,D212)),0), FactorTable!$A$2:$A$301,0), Skills!M4+1)</f>
        <v/>
      </c>
      <c r="F212">
        <f>IF(Skills!N4=TRUE,(Skills!L4/10)*(E212/1000),Skills!L4/10)+Skills!O4</f>
        <v/>
      </c>
      <c r="G212">
        <f>Calc!G4</f>
        <v/>
      </c>
      <c r="H212">
        <f>Calc!H4</f>
        <v/>
      </c>
      <c r="I212">
        <f>IF(Skills!X4&lt;&gt;"",1+(Skills!X4/10)*(Z211/1000)/100,1)</f>
        <v/>
      </c>
      <c r="J212">
        <f>((Inputs!$B$6*(1+Inputs!$B$7/100))+(((Inputs!$B$12*(1+Inputs!$B$13/100))-(Inputs!$B$12*(1+Inputs!$B$13/100)))+0.25*(Inputs!$B$14-Inputs!$B$14))*(1+Inputs!$B$7/100))*(F212/100)</f>
        <v/>
      </c>
      <c r="K212">
        <f>J212*(1+((Inputs!$B$12*(1+Inputs!$B$13/100))*0.01+Inputs!$B$14*0.0025)/100)*(1+Inputs!$B$15/100)*(1+Inputs!$B$16/100)*(5000/(6000+Inputs!$B$42*(1-Inputs!$B$19/100)))*(1+Inputs!$B$24/100)*(1+F231/100)*(1+IF(Inputs!$B$3&gt;=120,F234,0)/100)^5*(1+(IF(Skills!A4="BASIC_ATTACK",Inputs!$B$17,Inputs!$B$18+IF(Inputs!$B$3&gt;=125,F235*5,0)))/100)*(B238*B239*B240*I212)</f>
        <v/>
      </c>
      <c r="L212">
        <f>K212*(MIN(Inputs!$B$22+(F230-Calc!F22),Inputs!$B$23)/100+Inputs!$B$23/100)/2</f>
        <v/>
      </c>
      <c r="M212">
        <f>L212*(1+(Inputs!$B$10+(F229-Calc!F21))/100)</f>
        <v/>
      </c>
      <c r="N212">
        <f>L212*(1-MIN(Inputs!$B$9+(F228-Calc!F20),100)/100)+M212*(MIN(Inputs!$B$9+(F228-Calc!F20),100)/100)</f>
        <v/>
      </c>
      <c r="O212">
        <f>(1-Summary!$B$56)*S212+Summary!$B$56*U212</f>
        <v/>
      </c>
      <c r="P212">
        <f>IF(B249=0,0,O212/B249)</f>
        <v/>
      </c>
      <c r="Q212">
        <f>IFERROR(1/IF(Inputs!$B$38="pvp",15,MAX(0.1,Skills!E4-IF(Skills!F4=TRUE,Inputs!$B$32,0))),0)</f>
        <v/>
      </c>
      <c r="R212">
        <f>IF(AND(Inputs!$B$38&lt;&gt;"pvp",Inputs!$B$43&gt;0),IF(MAX(0,Inputs!$B$43-B246)&lt;=0,0,(INT(MAX(0,Inputs!$B$43-B246)/IF(Inputs!$B$38="pvp",15,MAX(0.1,Skills!E4-IF(Skills!F4=TRUE,Inputs!$B$32,0))))+1)),0)</f>
        <v/>
      </c>
      <c r="S212">
        <f>IF(C212,(H212*N212*IF(AND(Inputs!$B$38&lt;&gt;"pvp",Inputs!$B$43&gt;0),((Skills!G4*((R212-1)*IF(Skills!H4&gt;0,Skills!I4/Skills!H4,1)+IF(Skills!H4&gt;0,MIN(Skills!I4,MAX(0,MAX(0,Inputs!$B$43-B246)-((R212-1)*IF(Inputs!$B$38="pvp",15,MAX(0.1,Skills!E4-IF(Skills!F4=TRUE,Inputs!$B$32,0))))))/Skills!H4,1)))/Inputs!$B$43),G212*Q212))*IF(Inputs!$B$38="pvp",1,1+((Inputs!$B$20+1)+Skills!P4)/100),0)</f>
        <v/>
      </c>
      <c r="T212">
        <f>290*T211/1000</f>
        <v/>
      </c>
      <c r="U212">
        <f>IF(C212,(H212*N212*IF(AND(Inputs!$B$38&lt;&gt;"pvp",Inputs!$B$43&gt;0),((Skills!G4*((R212-1)*IF(Skills!H4&gt;0,Skills!I4/Skills!H4,1)+IF(Skills!H4&gt;0,MIN(Skills!I4,MAX(0,MAX(0,Inputs!$B$43-B246)-((R212-1)*IF(Inputs!$B$38="pvp",15,MAX(0.1,Skills!E4-IF(Skills!F4=TRUE,Inputs!$B$32,0))))))/Skills!H4,1)))/Inputs!$B$43),G212*Q212))*IF(Inputs!$B$38="pvp",1,(1+(Inputs!$B$21+Skills!Q4)/100)*(MIN(Skills!R4,Inputs!$B$37))),0)</f>
        <v/>
      </c>
    </row>
    <row r="213">
      <c r="A213">
        <f>Skills!A5</f>
        <v/>
      </c>
      <c r="B213">
        <f>Skills!B5</f>
        <v/>
      </c>
      <c r="C213">
        <f>TRUE</f>
        <v/>
      </c>
      <c r="D213">
        <f>IF(Skills!C5=1,60+Inputs!$B$25+Inputs!$B$29,IF(Skills!C5=2,90+Inputs!$B$26+Inputs!$B$29,IF(Skills!C5=3,120+Inputs!$B$27+Inputs!$B$29,MAX(0,(Inputs!$B$3-100)*3)+Inputs!$B$28+Inputs!$B$29)))</f>
        <v/>
      </c>
      <c r="E213">
        <f>INDEX(FactorTable!$B$2:$Y$301, MATCH(ROUND(MIN(300,MAX(1,D213)),0), FactorTable!$A$2:$A$301,0), Skills!M5+1)</f>
        <v/>
      </c>
      <c r="F213">
        <f>IF(Skills!N5=TRUE,(Skills!L5/10)*(E213/1000),Skills!L5/10)+Skills!O5</f>
        <v/>
      </c>
      <c r="G213">
        <f>Calc!G5</f>
        <v/>
      </c>
      <c r="H213">
        <f>Calc!H5</f>
        <v/>
      </c>
      <c r="I213">
        <f>IF(Skills!X5&lt;&gt;"",1+(Skills!X5/10)*(Z211/1000)/100,1)</f>
        <v/>
      </c>
      <c r="J213">
        <f>((Inputs!$B$6*(1+Inputs!$B$7/100))+(((Inputs!$B$12*(1+Inputs!$B$13/100))-(Inputs!$B$12*(1+Inputs!$B$13/100)))+0.25*(Inputs!$B$14-Inputs!$B$14))*(1+Inputs!$B$7/100))*(F213/100)</f>
        <v/>
      </c>
      <c r="K213">
        <f>J213*(1+((Inputs!$B$12*(1+Inputs!$B$13/100))*0.01+Inputs!$B$14*0.0025)/100)*(1+Inputs!$B$15/100)*(1+Inputs!$B$16/100)*(5000/(6000+Inputs!$B$42*(1-Inputs!$B$19/100)))*(1+Inputs!$B$24/100)*(1+F231/100)*(1+IF(Inputs!$B$3&gt;=120,F234,0)/100)^5*(1+(IF(Skills!A5="BASIC_ATTACK",Inputs!$B$17,Inputs!$B$18+IF(Inputs!$B$3&gt;=125,F235*5,0)))/100)*(B238*B239*B240*I213)</f>
        <v/>
      </c>
      <c r="L213">
        <f>K213*(MIN(Inputs!$B$22+(F230-Calc!F22),Inputs!$B$23)/100+Inputs!$B$23/100)/2</f>
        <v/>
      </c>
      <c r="M213">
        <f>L213*(1+(Inputs!$B$10+(F229-Calc!F21))/100)</f>
        <v/>
      </c>
      <c r="N213">
        <f>L213*(1-MIN(Inputs!$B$9+(F228-Calc!F20),100)/100)+M213*(MIN(Inputs!$B$9+(F228-Calc!F20),100)/100)</f>
        <v/>
      </c>
      <c r="O213">
        <f>(1-Summary!$B$56)*S213+Summary!$B$56*U213</f>
        <v/>
      </c>
      <c r="P213">
        <f>IF(B249=0,0,O213/B249)</f>
        <v/>
      </c>
      <c r="Q213">
        <f>IFERROR(1/IF(Inputs!$B$38="pvp",15,MAX(0.1,Skills!E5-IF(Skills!F5=TRUE,Inputs!$B$32,0))),0)</f>
        <v/>
      </c>
      <c r="R213">
        <f>IF(AND(Inputs!$B$38&lt;&gt;"pvp",Inputs!$B$43&gt;0),IF(MAX(0,Inputs!$B$43-B246)&lt;=0,0,(INT(MAX(0,Inputs!$B$43-B246)/IF(Inputs!$B$38="pvp",15,MAX(0.1,Skills!E5-IF(Skills!F5=TRUE,Inputs!$B$32,0))))+1)),0)</f>
        <v/>
      </c>
      <c r="S213">
        <f>IF(C213,(H213*N213*IF(AND(Inputs!$B$38&lt;&gt;"pvp",Inputs!$B$43&gt;0),((Skills!G5*((R213-1)*IF(Skills!H5&gt;0,Skills!I5/Skills!H5,1)+IF(Skills!H5&gt;0,MIN(Skills!I5,MAX(0,MAX(0,Inputs!$B$43-B246)-((R213-1)*IF(Inputs!$B$38="pvp",15,MAX(0.1,Skills!E5-IF(Skills!F5=TRUE,Inputs!$B$32,0))))))/Skills!H5,1)))/Inputs!$B$43),G213*Q213))*IF(Inputs!$B$38="pvp",1,1+((Inputs!$B$20+1)+Skills!P5)/100),0)</f>
        <v/>
      </c>
      <c r="U213">
        <f>IF(C213,(H213*N213*IF(AND(Inputs!$B$38&lt;&gt;"pvp",Inputs!$B$43&gt;0),((Skills!G5*((R213-1)*IF(Skills!H5&gt;0,Skills!I5/Skills!H5,1)+IF(Skills!H5&gt;0,MIN(Skills!I5,MAX(0,MAX(0,Inputs!$B$43-B246)-((R213-1)*IF(Inputs!$B$38="pvp",15,MAX(0.1,Skills!E5-IF(Skills!F5=TRUE,Inputs!$B$32,0))))))/Skills!H5,1)))/Inputs!$B$43),G213*Q213))*IF(Inputs!$B$38="pvp",1,(1+(Inputs!$B$21+Skills!Q5)/100)*(MIN(Skills!R5,Inputs!$B$37))),0)</f>
        <v/>
      </c>
    </row>
    <row r="214">
      <c r="A214">
        <f>Skills!A6</f>
        <v/>
      </c>
      <c r="B214">
        <f>Skills!B6</f>
        <v/>
      </c>
      <c r="C214">
        <f>TRUE</f>
        <v/>
      </c>
      <c r="D214">
        <f>IF(Skills!C6=1,60+Inputs!$B$25+Inputs!$B$29,IF(Skills!C6=2,90+Inputs!$B$26+Inputs!$B$29,IF(Skills!C6=3,120+Inputs!$B$27+Inputs!$B$29,MAX(0,(Inputs!$B$3-100)*3)+Inputs!$B$28+Inputs!$B$29)))</f>
        <v/>
      </c>
      <c r="E214">
        <f>INDEX(FactorTable!$B$2:$Y$301, MATCH(ROUND(MIN(300,MAX(1,D214)),0), FactorTable!$A$2:$A$301,0), Skills!M6+1)</f>
        <v/>
      </c>
      <c r="F214">
        <f>IF(Skills!N6=TRUE,(Skills!L6/10)*(E214/1000),Skills!L6/10)+Skills!O6</f>
        <v/>
      </c>
      <c r="G214">
        <f>Calc!G6</f>
        <v/>
      </c>
      <c r="H214">
        <f>Calc!H6</f>
        <v/>
      </c>
      <c r="I214">
        <f>IF(Skills!X6&lt;&gt;"",1+(Skills!X6/10)*(Z211/1000)/100,1)</f>
        <v/>
      </c>
      <c r="J214" t="inlineStr"/>
      <c r="K214" t="inlineStr"/>
      <c r="L214" t="inlineStr"/>
      <c r="M214" t="inlineStr"/>
      <c r="N214" t="inlineStr"/>
      <c r="O214">
        <f>(1-Summary!$B$56)*S214+Summary!$B$56*U214</f>
        <v/>
      </c>
      <c r="P214">
        <f>IF(B249=0,0,O214/B249)</f>
        <v/>
      </c>
      <c r="Q214">
        <f>IFERROR(1/IF(Inputs!$B$38="pvp",15,MAX(0.1,Skills!E6-IF(Skills!F6=TRUE,Inputs!$B$32,0))),0)</f>
        <v/>
      </c>
      <c r="R214">
        <f>IF(AND(Inputs!$B$38&lt;&gt;"pvp",Inputs!$B$43&gt;0),IF(Inputs!$B$43&lt;=0,0,(INT(Inputs!$B$43/IF(Inputs!$B$38="pvp",15,MAX(0.1,Skills!E6-IF(Skills!F6=TRUE,Inputs!$B$32,0))))+1)),0)</f>
        <v/>
      </c>
      <c r="S214" t="n">
        <v>0</v>
      </c>
      <c r="U214" t="n">
        <v>0</v>
      </c>
    </row>
    <row r="215">
      <c r="A215">
        <f>Skills!A7</f>
        <v/>
      </c>
      <c r="B215">
        <f>Skills!B7</f>
        <v/>
      </c>
      <c r="C215">
        <f>TRUE</f>
        <v/>
      </c>
      <c r="D215">
        <f>IF(Skills!C7=1,60+Inputs!$B$25+Inputs!$B$29,IF(Skills!C7=2,90+Inputs!$B$26+Inputs!$B$29,IF(Skills!C7=3,120+Inputs!$B$27+Inputs!$B$29,MAX(0,(Inputs!$B$3-100)*3)+Inputs!$B$28+Inputs!$B$29)))</f>
        <v/>
      </c>
      <c r="E215">
        <f>INDEX(FactorTable!$B$2:$Y$301, MATCH(ROUND(MIN(300,MAX(1,D215)),0), FactorTable!$A$2:$A$301,0), Skills!M7+1)</f>
        <v/>
      </c>
      <c r="F215">
        <f>IF(Skills!N7=TRUE,(Skills!L7/10)*(E215/1000),Skills!L7/10)+Skills!O7</f>
        <v/>
      </c>
      <c r="G215">
        <f>Calc!G7</f>
        <v/>
      </c>
      <c r="H215">
        <f>Calc!H7</f>
        <v/>
      </c>
      <c r="I215">
        <f>IF(Skills!X7&lt;&gt;"",1+(Skills!X7/10)*(Z211/1000)/100,1)</f>
        <v/>
      </c>
      <c r="J215">
        <f>((Inputs!$B$6*(1+Inputs!$B$7/100))+(((Inputs!$B$12*(1+Inputs!$B$13/100))-(Inputs!$B$12*(1+Inputs!$B$13/100)))+0.25*(Inputs!$B$14-Inputs!$B$14))*(1+Inputs!$B$7/100))*(F215/100)</f>
        <v/>
      </c>
      <c r="K215">
        <f>J215*(1+((Inputs!$B$12*(1+Inputs!$B$13/100))*0.01+Inputs!$B$14*0.0025)/100)*(1+Inputs!$B$15/100)*(1+Inputs!$B$16/100)*(5000/(6000+Inputs!$B$42*(1-Inputs!$B$19/100)))*(1+Inputs!$B$24/100)*(1+F231/100)*(1+IF(Inputs!$B$3&gt;=120,F234,0)/100)^5*(1+(IF(Skills!A7="BASIC_ATTACK",Inputs!$B$17,Inputs!$B$18+IF(Inputs!$B$3&gt;=125,F235*5,0)))/100)*(B238*B239*B240*I215)</f>
        <v/>
      </c>
      <c r="L215">
        <f>K215*(MIN(Inputs!$B$22+(F230-Calc!F22),Inputs!$B$23)/100+Inputs!$B$23/100)/2</f>
        <v/>
      </c>
      <c r="M215">
        <f>L215*(1+(Inputs!$B$10+(F229-Calc!F21))/100)</f>
        <v/>
      </c>
      <c r="N215">
        <f>L215*(1-MIN(Inputs!$B$9+(F228-Calc!F20),100)/100)+M215*(MIN(Inputs!$B$9+(F228-Calc!F20),100)/100)</f>
        <v/>
      </c>
      <c r="O215">
        <f>(1-Summary!$B$56)*S215+Summary!$B$56*U215</f>
        <v/>
      </c>
      <c r="P215">
        <f>IF(B249=0,0,O215/B249)</f>
        <v/>
      </c>
      <c r="Q215">
        <f>IFERROR(1/IF(Inputs!$B$38="pvp",15,MAX(0.1,Skills!E7-IF(Skills!F7=TRUE,Inputs!$B$32,0))),0)</f>
        <v/>
      </c>
      <c r="R215">
        <f>IF(AND(Inputs!$B$38&lt;&gt;"pvp",Inputs!$B$43&gt;0),IF(MAX(0,Inputs!$B$43-B246)&lt;=0,0,(INT(MAX(0,Inputs!$B$43-B246)/IF(Inputs!$B$38="pvp",15,MAX(0.1,Skills!E7-IF(Skills!F7=TRUE,Inputs!$B$32,0))))+1)),0)</f>
        <v/>
      </c>
      <c r="S215">
        <f>IF(C215,(H215*N215*IF(AND(Inputs!$B$38&lt;&gt;"pvp",Inputs!$B$43&gt;0),((Skills!G7*((R215-1)*IF(Skills!H7&gt;0,Skills!I7/Skills!H7,1)+IF(Skills!H7&gt;0,MIN(Skills!I7,MAX(0,MAX(0,Inputs!$B$43-B246)-((R215-1)*IF(Inputs!$B$38="pvp",15,MAX(0.1,Skills!E7-IF(Skills!F7=TRUE,Inputs!$B$32,0))))))/Skills!H7,1)))/Inputs!$B$43),G215*Q215))*IF(Inputs!$B$38="pvp",1,1+((Inputs!$B$20+1)+Skills!P7)/100),0)</f>
        <v/>
      </c>
      <c r="U215">
        <f>IF(C215,(H215*N215*IF(AND(Inputs!$B$38&lt;&gt;"pvp",Inputs!$B$43&gt;0),((Skills!G7*((R215-1)*IF(Skills!H7&gt;0,Skills!I7/Skills!H7,1)+IF(Skills!H7&gt;0,MIN(Skills!I7,MAX(0,MAX(0,Inputs!$B$43-B246)-((R215-1)*IF(Inputs!$B$38="pvp",15,MAX(0.1,Skills!E7-IF(Skills!F7=TRUE,Inputs!$B$32,0))))))/Skills!H7,1)))/Inputs!$B$43),G215*Q215))*IF(Inputs!$B$38="pvp",1,(1+(Inputs!$B$21+Skills!Q7)/100)*(MIN(Skills!R7,Inputs!$B$37))),0)</f>
        <v/>
      </c>
    </row>
    <row r="216">
      <c r="A216">
        <f>Skills!A8</f>
        <v/>
      </c>
      <c r="B216">
        <f>Skills!B8</f>
        <v/>
      </c>
      <c r="C216">
        <f>TRUE</f>
        <v/>
      </c>
      <c r="D216">
        <f>IF(Skills!C8=1,60+Inputs!$B$25+Inputs!$B$29,IF(Skills!C8=2,90+Inputs!$B$26+Inputs!$B$29,IF(Skills!C8=3,120+Inputs!$B$27+Inputs!$B$29,MAX(0,(Inputs!$B$3-100)*3)+Inputs!$B$28+Inputs!$B$29)))</f>
        <v/>
      </c>
      <c r="E216">
        <f>INDEX(FactorTable!$B$2:$Y$301, MATCH(ROUND(MIN(300,MAX(1,D216)),0), FactorTable!$A$2:$A$301,0), Skills!M8+1)</f>
        <v/>
      </c>
      <c r="F216">
        <f>IF(Skills!N8=TRUE,(Skills!L8/10)*(E216/1000),Skills!L8/10)+Skills!O8</f>
        <v/>
      </c>
      <c r="G216">
        <f>Calc!G8</f>
        <v/>
      </c>
      <c r="H216">
        <f>Calc!H8</f>
        <v/>
      </c>
      <c r="I216">
        <f>IF(Skills!X8&lt;&gt;"",1+(Skills!X8/10)*(Z211/1000)/100,1)</f>
        <v/>
      </c>
      <c r="J216">
        <f>((Inputs!$B$6*(1+Inputs!$B$7/100))+(((Inputs!$B$12*(1+Inputs!$B$13/100))-(Inputs!$B$12*(1+Inputs!$B$13/100)))+0.25*(Inputs!$B$14-Inputs!$B$14))*(1+Inputs!$B$7/100))*(F216/100)</f>
        <v/>
      </c>
      <c r="K216">
        <f>J216*(1+((Inputs!$B$12*(1+Inputs!$B$13/100))*0.01+Inputs!$B$14*0.0025)/100)*(1+Inputs!$B$15/100)*(1+Inputs!$B$16/100)*(5000/(6000+Inputs!$B$42*(1-Inputs!$B$19/100)))*(1+Inputs!$B$24/100)*(1+F231/100)*(1+IF(Inputs!$B$3&gt;=120,F234,0)/100)^5*(1+(IF(Skills!A8="BASIC_ATTACK",Inputs!$B$17,Inputs!$B$18+IF(Inputs!$B$3&gt;=125,F235*5,0)))/100)*(B238*B239*B240*I216)</f>
        <v/>
      </c>
      <c r="L216">
        <f>K216*(MIN(Inputs!$B$22+(F230-Calc!F22),Inputs!$B$23)/100+Inputs!$B$23/100)/2</f>
        <v/>
      </c>
      <c r="M216">
        <f>L216*(1+(Inputs!$B$10+(F229-Calc!F21))/100)</f>
        <v/>
      </c>
      <c r="N216">
        <f>L216*(1-MIN(Inputs!$B$9+(F228-Calc!F20),100)/100)+M216*(MIN(Inputs!$B$9+(F228-Calc!F20),100)/100)</f>
        <v/>
      </c>
      <c r="O216">
        <f>(1-Summary!$B$56)*S216+Summary!$B$56*U216</f>
        <v/>
      </c>
      <c r="P216">
        <f>IF(B249=0,0,O216/B249)</f>
        <v/>
      </c>
      <c r="Q216">
        <f>IFERROR(1/IF(Inputs!$B$38="pvp",15,MAX(0.1,Skills!E8-IF(Skills!F8=TRUE,Inputs!$B$32,0))),0)</f>
        <v/>
      </c>
      <c r="R216">
        <f>IF(AND(Inputs!$B$38&lt;&gt;"pvp",Inputs!$B$43&gt;0),IF(MAX(0,Inputs!$B$43-B246)&lt;=0,0,(INT(MAX(0,Inputs!$B$43-B246)/IF(Inputs!$B$38="pvp",15,MAX(0.1,Skills!E8-IF(Skills!F8=TRUE,Inputs!$B$32,0))))+1)),0)</f>
        <v/>
      </c>
      <c r="S216">
        <f>IF(C216,(H216*N216*IF(AND(Inputs!$B$38&lt;&gt;"pvp",Inputs!$B$43&gt;0),((Skills!G8*((R216-1)*IF(Skills!H8&gt;0,Skills!I8/Skills!H8,1)+IF(Skills!H8&gt;0,MIN(Skills!I8,MAX(0,MAX(0,Inputs!$B$43-B246)-((R216-1)*IF(Inputs!$B$38="pvp",15,MAX(0.1,Skills!E8-IF(Skills!F8=TRUE,Inputs!$B$32,0))))))/Skills!H8,1)))/Inputs!$B$43),G216*Q216))*IF(Inputs!$B$38="pvp",1,1+((Inputs!$B$20+1)+Skills!P8)/100),0)</f>
        <v/>
      </c>
      <c r="U216">
        <f>IF(C216,(H216*N216*IF(AND(Inputs!$B$38&lt;&gt;"pvp",Inputs!$B$43&gt;0),((Skills!G8*((R216-1)*IF(Skills!H8&gt;0,Skills!I8/Skills!H8,1)+IF(Skills!H8&gt;0,MIN(Skills!I8,MAX(0,MAX(0,Inputs!$B$43-B246)-((R216-1)*IF(Inputs!$B$38="pvp",15,MAX(0.1,Skills!E8-IF(Skills!F8=TRUE,Inputs!$B$32,0))))))/Skills!H8,1)))/Inputs!$B$43),G216*Q216))*IF(Inputs!$B$38="pvp",1,(1+(Inputs!$B$21+Skills!Q8)/100)*(MIN(Skills!R8,Inputs!$B$37))),0)</f>
        <v/>
      </c>
    </row>
    <row r="217">
      <c r="A217">
        <f>Skills!A9</f>
        <v/>
      </c>
      <c r="B217">
        <f>Skills!B9</f>
        <v/>
      </c>
      <c r="C217">
        <f>Inputs!$B$3&gt;=103</f>
        <v/>
      </c>
      <c r="D217">
        <f>IF(Skills!C9=1,60+Inputs!$B$25+Inputs!$B$29,IF(Skills!C9=2,90+Inputs!$B$26+Inputs!$B$29,IF(Skills!C9=3,120+Inputs!$B$27+Inputs!$B$29,MAX(0,(Inputs!$B$3-100)*3)+Inputs!$B$28+Inputs!$B$29)))</f>
        <v/>
      </c>
      <c r="E217">
        <f>INDEX(FactorTable!$B$2:$Y$301, MATCH(ROUND(MIN(300,MAX(1,D217)),0), FactorTable!$A$2:$A$301,0), Skills!M9+1)</f>
        <v/>
      </c>
      <c r="F217">
        <f>IF(Skills!N9=TRUE,(Skills!L9/10)*(E217/1000),Skills!L9/10)+Skills!O9</f>
        <v/>
      </c>
      <c r="G217">
        <f>Calc!G9</f>
        <v/>
      </c>
      <c r="H217">
        <f>Calc!H9</f>
        <v/>
      </c>
      <c r="I217">
        <f>IF(Skills!X9&lt;&gt;"",1+(Skills!X9/10)*(Z211/1000)/100,1)</f>
        <v/>
      </c>
      <c r="J217">
        <f>((Inputs!$B$6*(1+Inputs!$B$7/100))+(((Inputs!$B$12*(1+Inputs!$B$13/100))-(Inputs!$B$12*(1+Inputs!$B$13/100)))+0.25*(Inputs!$B$14-Inputs!$B$14))*(1+Inputs!$B$7/100))*(F217/100)</f>
        <v/>
      </c>
      <c r="K217">
        <f>J217*(1+((Inputs!$B$12*(1+Inputs!$B$13/100))*0.01+Inputs!$B$14*0.0025)/100)*(1+Inputs!$B$15/100)*(1+Inputs!$B$16/100)*(5000/(6000+Inputs!$B$42*(1-Inputs!$B$19/100)))*(1+Inputs!$B$24/100)*(1+F231/100)*(1+IF(Inputs!$B$3&gt;=120,F234,0)/100)^5*(1+(IF(Skills!A9="BASIC_ATTACK",Inputs!$B$17,Inputs!$B$18+IF(Inputs!$B$3&gt;=125,F235*5,0)))/100)*(B238*B239*B240*I217)</f>
        <v/>
      </c>
      <c r="L217">
        <f>K217*(MIN(Inputs!$B$22+(F230-Calc!F22),Inputs!$B$23)/100+Inputs!$B$23/100)/2</f>
        <v/>
      </c>
      <c r="M217">
        <f>L217*(1+(Inputs!$B$10+(F229-Calc!F21))/100)</f>
        <v/>
      </c>
      <c r="N217">
        <f>L217*(1-MIN(Inputs!$B$9+(F228-Calc!F20),100)/100)+M217*(MIN(Inputs!$B$9+(F228-Calc!F20),100)/100)</f>
        <v/>
      </c>
      <c r="O217">
        <f>(1-Summary!$B$56)*S217+Summary!$B$56*U217</f>
        <v/>
      </c>
      <c r="P217">
        <f>IF(B249=0,0,O217/B249)</f>
        <v/>
      </c>
      <c r="Q217">
        <f>IFERROR(1/IF(Inputs!$B$38="pvp",15,MAX(0.1,Skills!E9-IF(Skills!F7=TRUE,Inputs!$B$32,0))),0)</f>
        <v/>
      </c>
      <c r="R217">
        <f>IF(AND(Inputs!$B$38&lt;&gt;"pvp",Inputs!$B$43&gt;0),IF(MAX(0,Inputs!$B$43-B246)&lt;=0,0,(INT(MAX(0,Inputs!$B$43-B246)/IF(Inputs!$B$38="pvp",15,MAX(0.1,Skills!E9-IF(Skills!F7=TRUE,Inputs!$B$32,0))))+1)),0)</f>
        <v/>
      </c>
      <c r="S217">
        <f>IF(C217,(H217*N217*IF(AND(Inputs!$B$38&lt;&gt;"pvp",Inputs!$B$43&gt;0),((Skills!G9*((R217-1)*IF(Skills!H9&gt;0,Skills!I9/Skills!H9,1)+IF(Skills!H9&gt;0,MIN(Skills!I9,MAX(0,MAX(0,Inputs!$B$43-B246)-((R217-1)*IF(Inputs!$B$38="pvp",15,MAX(0.1,Skills!E9-IF(Skills!F7=TRUE,Inputs!$B$32,0))))))/Skills!H9,1)))/Inputs!$B$43),G217*Q217))*IF(Inputs!$B$38="pvp",1,1+((Inputs!$B$20+1)+Skills!P9)/100),0)</f>
        <v/>
      </c>
      <c r="U217">
        <f>IF(C217,(H217*N217*IF(AND(Inputs!$B$38&lt;&gt;"pvp",Inputs!$B$43&gt;0),((Skills!G9*((R217-1)*IF(Skills!H9&gt;0,Skills!I9/Skills!H9,1)+IF(Skills!H9&gt;0,MIN(Skills!I9,MAX(0,MAX(0,Inputs!$B$43-B246)-((R217-1)*IF(Inputs!$B$38="pvp",15,MAX(0.1,Skills!E9-IF(Skills!F7=TRUE,Inputs!$B$32,0))))))/Skills!H9,1)))/Inputs!$B$43),G217*Q217))*IF(Inputs!$B$38="pvp",1,(1+(Inputs!$B$21+Skills!Q9)/100)*(MIN(Skills!R9,Inputs!$B$37))),0)</f>
        <v/>
      </c>
    </row>
    <row r="218">
      <c r="A218">
        <f>Skills!A10</f>
        <v/>
      </c>
      <c r="B218">
        <f>Skills!B10</f>
        <v/>
      </c>
      <c r="C218">
        <f>TRUE</f>
        <v/>
      </c>
      <c r="D218">
        <f>IF(Skills!C10=1,60+Inputs!$B$25+Inputs!$B$29,IF(Skills!C10=2,90+Inputs!$B$26+Inputs!$B$29,IF(Skills!C10=3,120+Inputs!$B$27+Inputs!$B$29,MAX(0,(Inputs!$B$3-100)*3)+Inputs!$B$28+Inputs!$B$29)))</f>
        <v/>
      </c>
      <c r="E218">
        <f>INDEX(FactorTable!$B$2:$Y$301, MATCH(ROUND(MIN(300,MAX(1,D218)),0), FactorTable!$A$2:$A$301,0), Skills!M10+1)</f>
        <v/>
      </c>
      <c r="F218">
        <f>IF(Skills!N10=TRUE,(Skills!L10/10)*(E218/1000),Skills!L10/10)+Skills!O10</f>
        <v/>
      </c>
      <c r="G218">
        <f>Calc!G10</f>
        <v/>
      </c>
      <c r="H218">
        <f>Calc!H10</f>
        <v/>
      </c>
      <c r="I218">
        <f>IF(Skills!X10&lt;&gt;"",1+(Skills!X10/10)*(Z211/1000)/100,1)</f>
        <v/>
      </c>
      <c r="J218">
        <f>((Inputs!$B$6*(1+Inputs!$B$7/100))+(((Inputs!$B$12*(1+Inputs!$B$13/100))-(Inputs!$B$12*(1+Inputs!$B$13/100)))+0.25*(Inputs!$B$14-Inputs!$B$14))*(1+Inputs!$B$7/100))*(F218/100)</f>
        <v/>
      </c>
      <c r="K218">
        <f>J218*(1+((Inputs!$B$12*(1+Inputs!$B$13/100))*0.01+Inputs!$B$14*0.0025)/100)*(1+Inputs!$B$15/100)*(1+Inputs!$B$16/100)*(5000/(6000+Inputs!$B$42*(1-Inputs!$B$19/100)))*(1+Inputs!$B$24/100)*(1+F231/100)*(1+IF(Inputs!$B$3&gt;=120,F234,0)/100)^5*(1+(IF(Skills!A10="BASIC_ATTACK",Inputs!$B$17,Inputs!$B$18+IF(Inputs!$B$3&gt;=125,F235*5,0)))/100)*(B238*B239*B240*I218)</f>
        <v/>
      </c>
      <c r="L218">
        <f>K218*(MIN(Inputs!$B$22+(F230-Calc!F22),Inputs!$B$23)/100+Inputs!$B$23/100)/2</f>
        <v/>
      </c>
      <c r="M218">
        <f>L218*(1+(Inputs!$B$10+(F229-Calc!F21))/100)</f>
        <v/>
      </c>
      <c r="N218">
        <f>L218*(1-MIN(Inputs!$B$9+(F228-Calc!F20),100)/100)+M218*(MIN(Inputs!$B$9+(F228-Calc!F20),100)/100)</f>
        <v/>
      </c>
      <c r="O218">
        <f>(1-Summary!$B$56)*S218+Summary!$B$56*U218</f>
        <v/>
      </c>
      <c r="P218">
        <f>IF(B249=0,0,O218/B249)</f>
        <v/>
      </c>
      <c r="Q218">
        <f>IFERROR(1/IF(Inputs!$B$38="pvp",15,MAX(0.1,Skills!E10-IF(Skills!F10=TRUE,Inputs!$B$32,0))),0)</f>
        <v/>
      </c>
      <c r="R218">
        <f>IF(AND(Inputs!$B$38&lt;&gt;"pvp",Inputs!$B$43&gt;0),IF(MAX(0,Inputs!$B$43-B246)&lt;=0,0,(INT(MAX(0,Inputs!$B$43-B246)/IF(Inputs!$B$38="pvp",15,MAX(0.1,Skills!E10-IF(Skills!F10=TRUE,Inputs!$B$32,0))))+1)),0)</f>
        <v/>
      </c>
      <c r="S218">
        <f>IF(C218,(H218*N218*IF(AND(Inputs!$B$38&lt;&gt;"pvp",Inputs!$B$43&gt;0),((Skills!G10*((R218-1)*IF(Skills!H10&gt;0,Skills!I10/Skills!H10,1)+IF(Skills!H10&gt;0,MIN(Skills!I10,MAX(0,MAX(0,Inputs!$B$43-B246)-((R218-1)*IF(Inputs!$B$38="pvp",15,MAX(0.1,Skills!E10-IF(Skills!F10=TRUE,Inputs!$B$32,0))))))/Skills!H10,1)))/Inputs!$B$43),G218*Q218))*IF(Inputs!$B$38="pvp",1,1+((Inputs!$B$20+1)+Skills!P10)/100),0)</f>
        <v/>
      </c>
      <c r="U218">
        <f>IF(C218,(H218*N218*IF(AND(Inputs!$B$38&lt;&gt;"pvp",Inputs!$B$43&gt;0),((Skills!G10*((R218-1)*IF(Skills!H10&gt;0,Skills!I10/Skills!H10,1)+IF(Skills!H10&gt;0,MIN(Skills!I10,MAX(0,MAX(0,Inputs!$B$43-B246)-((R218-1)*IF(Inputs!$B$38="pvp",15,MAX(0.1,Skills!E10-IF(Skills!F10=TRUE,Inputs!$B$32,0))))))/Skills!H10,1)))/Inputs!$B$43),G218*Q218))*IF(Inputs!$B$38="pvp",1,(1+(Inputs!$B$21+Skills!Q10)/100)*(MIN(Skills!R10,Inputs!$B$37))),0)</f>
        <v/>
      </c>
    </row>
    <row r="219">
      <c r="A219">
        <f>Skills!A11</f>
        <v/>
      </c>
      <c r="B219">
        <f>Skills!B11</f>
        <v/>
      </c>
      <c r="C219">
        <f>TRUE</f>
        <v/>
      </c>
      <c r="D219">
        <f>IF(Skills!C11=1,60+Inputs!$B$25+Inputs!$B$29,IF(Skills!C11=2,90+Inputs!$B$26+Inputs!$B$29,IF(Skills!C11=3,120+Inputs!$B$27+Inputs!$B$29,MAX(0,(Inputs!$B$3-100)*3)+Inputs!$B$28+Inputs!$B$29)))</f>
        <v/>
      </c>
      <c r="E219">
        <f>INDEX(FactorTable!$B$2:$Y$301, MATCH(ROUND(MIN(300,MAX(1,D219)),0), FactorTable!$A$2:$A$301,0), Skills!M11+1)</f>
        <v/>
      </c>
      <c r="F219">
        <f>IF(Skills!N11=TRUE,(Skills!L11/10)*(E219/1000),Skills!L11/10)+Skills!O11</f>
        <v/>
      </c>
      <c r="G219">
        <f>Calc!G11</f>
        <v/>
      </c>
      <c r="H219">
        <f>Calc!H11</f>
        <v/>
      </c>
      <c r="I219">
        <f>IF(Skills!X11&lt;&gt;"",1+(Skills!X11/10)*(Z211/1000)/100,1)</f>
        <v/>
      </c>
      <c r="J219" t="inlineStr"/>
      <c r="K219" t="inlineStr"/>
      <c r="L219" t="inlineStr"/>
      <c r="M219" t="inlineStr"/>
      <c r="N219" t="inlineStr"/>
      <c r="O219">
        <f>(1-Summary!$B$56)*S219+Summary!$B$56*U219</f>
        <v/>
      </c>
      <c r="P219">
        <f>IF(B249=0,0,O219/B249)</f>
        <v/>
      </c>
      <c r="Q219">
        <f>IFERROR(1/IF(Inputs!$B$38="pvp",15,MAX(0.1,Skills!E11-IF(Skills!F11=TRUE,Inputs!$B$32,0))),0)</f>
        <v/>
      </c>
      <c r="R219" t="n">
        <v>0</v>
      </c>
      <c r="S219" t="n">
        <v>0</v>
      </c>
      <c r="U219" t="n">
        <v>0</v>
      </c>
    </row>
    <row r="220">
      <c r="A220">
        <f>Skills!A12</f>
        <v/>
      </c>
      <c r="B220">
        <f>Skills!B12</f>
        <v/>
      </c>
      <c r="C220">
        <f>TRUE</f>
        <v/>
      </c>
      <c r="D220">
        <f>IF(Skills!C12=1,60+Inputs!$B$25+Inputs!$B$29,IF(Skills!C12=2,90+Inputs!$B$26+Inputs!$B$29,IF(Skills!C12=3,120+Inputs!$B$27+Inputs!$B$29,MAX(0,(Inputs!$B$3-100)*3)+Inputs!$B$28+Inputs!$B$29)))</f>
        <v/>
      </c>
      <c r="E220">
        <f>INDEX(FactorTable!$B$2:$Y$301, MATCH(ROUND(MIN(300,MAX(1,D220)),0), FactorTable!$A$2:$A$301,0), Skills!M12+1)</f>
        <v/>
      </c>
      <c r="F220">
        <f>IF(Skills!N12=TRUE,(Skills!L12/10)*(E220/1000),Skills!L12/10)+Skills!O12</f>
        <v/>
      </c>
      <c r="G220">
        <f>Calc!G12</f>
        <v/>
      </c>
      <c r="H220">
        <f>Calc!H12</f>
        <v/>
      </c>
      <c r="I220">
        <f>IF(Skills!X12&lt;&gt;"",1+(Skills!X12/10)*(Z211/1000)/100,1)</f>
        <v/>
      </c>
      <c r="J220" t="inlineStr"/>
      <c r="K220" t="inlineStr"/>
      <c r="L220" t="inlineStr"/>
      <c r="M220" t="inlineStr"/>
      <c r="N220" t="inlineStr"/>
      <c r="O220">
        <f>(1-Summary!$B$56)*S220+Summary!$B$56*U220</f>
        <v/>
      </c>
      <c r="P220">
        <f>IF(B249=0,0,O220/B249)</f>
        <v/>
      </c>
      <c r="Q220">
        <f>IFERROR(1/IF(Inputs!$B$38="pvp",15,MAX(0.1,Skills!E12-IF(Skills!F12=TRUE,Inputs!$B$32,0))),0)</f>
        <v/>
      </c>
      <c r="R220" t="n">
        <v>0</v>
      </c>
      <c r="S220" t="n">
        <v>0</v>
      </c>
      <c r="U220" t="n">
        <v>0</v>
      </c>
    </row>
    <row r="221">
      <c r="A221">
        <f>Skills!A13</f>
        <v/>
      </c>
      <c r="B221">
        <f>Skills!B13</f>
        <v/>
      </c>
      <c r="C221">
        <f>Inputs!$B$3&gt;=105</f>
        <v/>
      </c>
      <c r="D221">
        <f>IF(Skills!C13=1,60+Inputs!$B$25+Inputs!$B$29,IF(Skills!C13=2,90+Inputs!$B$26+Inputs!$B$29,IF(Skills!C13=3,120+Inputs!$B$27+Inputs!$B$29,MAX(0,(Inputs!$B$3-100)*3)+Inputs!$B$28+Inputs!$B$29)))</f>
        <v/>
      </c>
      <c r="E221">
        <f>INDEX(FactorTable!$B$2:$Y$301, MATCH(ROUND(MIN(300,MAX(1,D221)),0), FactorTable!$A$2:$A$301,0), Skills!M13+1)</f>
        <v/>
      </c>
      <c r="F221">
        <f>IF(Skills!N13=TRUE,(Skills!L13/10)*(E221/1000),Skills!L13/10)+Skills!O13</f>
        <v/>
      </c>
      <c r="G221">
        <f>Calc!G13</f>
        <v/>
      </c>
      <c r="H221">
        <f>Calc!H13</f>
        <v/>
      </c>
      <c r="I221">
        <f>IF(Skills!X13&lt;&gt;"",1+(Skills!X13/10)*(Z211/1000)/100,1)</f>
        <v/>
      </c>
      <c r="J221">
        <f>((Inputs!$B$6*(1+Inputs!$B$7/100))+(((Inputs!$B$12*(1+Inputs!$B$13/100))-(Inputs!$B$12*(1+Inputs!$B$13/100)))+0.25*(Inputs!$B$14-Inputs!$B$14))*(1+Inputs!$B$7/100))*(F221/100)</f>
        <v/>
      </c>
      <c r="K221">
        <f>J221*(1+((Inputs!$B$12*(1+Inputs!$B$13/100))*0.01+Inputs!$B$14*0.0025)/100)*(1+Inputs!$B$15/100)*(1+Inputs!$B$16/100)*(5000/(6000+Inputs!$B$42*(1-Inputs!$B$19/100)))*(1+Inputs!$B$24/100)*(1+F231/100)*(1+IF(Inputs!$B$3&gt;=120,F234,0)/100)^5*(1+(IF(Skills!A13="BASIC_ATTACK",Inputs!$B$17,Inputs!$B$18+IF(Inputs!$B$3&gt;=125,F235*5,0)))/100)*(B238*B239*B240*I221)</f>
        <v/>
      </c>
      <c r="L221">
        <f>K221*(MIN(Inputs!$B$22+(F230-Calc!F22),Inputs!$B$23)/100+Inputs!$B$23/100)/2</f>
        <v/>
      </c>
      <c r="M221">
        <f>L221*(1+(Inputs!$B$10+(F229-Calc!F21))/100)</f>
        <v/>
      </c>
      <c r="N221">
        <f>L221*(1-MIN(Inputs!$B$9+(F228-Calc!F20),100)/100)+M221*(MIN(Inputs!$B$9+(F228-Calc!F20),100)/100)</f>
        <v/>
      </c>
      <c r="O221">
        <f>(1-Summary!$B$56)*S221+Summary!$B$56*U221</f>
        <v/>
      </c>
      <c r="P221">
        <f>IF(B249=0,0,O221/B249)</f>
        <v/>
      </c>
      <c r="Q221">
        <f>IFERROR(1/IF(Inputs!$B$38="pvp",15,MAX(0.1,Skills!E13-IF(Skills!F13=TRUE,Inputs!$B$32,0))),0)</f>
        <v/>
      </c>
      <c r="R221">
        <f>IF(AND(Inputs!$B$38&lt;&gt;"pvp",Inputs!$B$43&gt;0),IF(MAX(0,Inputs!$B$43-B246)&lt;=0,0,(INT(MAX(0,Inputs!$B$43-B246)/IF(Inputs!$B$38="pvp",15,MAX(0.1,Skills!E13-IF(Skills!F13=TRUE,Inputs!$B$32,0))))+1)),0)</f>
        <v/>
      </c>
      <c r="S221">
        <f>IF(C221,(H221*N221*IF(AND(Inputs!$B$38&lt;&gt;"pvp",Inputs!$B$43&gt;0),((Skills!G13*((R221-1)*IF(Skills!H13&gt;0,Skills!I13/Skills!H13,1)+IF(Skills!H13&gt;0,MIN(Skills!I13,MAX(0,MAX(0,Inputs!$B$43-B246)-((R221-1)*IF(Inputs!$B$38="pvp",15,MAX(0.1,Skills!E13-IF(Skills!F13=TRUE,Inputs!$B$32,0))))))/Skills!H13,1)))/Inputs!$B$43),G221*Q221))*IF(Inputs!$B$38="pvp",1,1+((Inputs!$B$20+1)+Skills!P13)/100),0)</f>
        <v/>
      </c>
      <c r="U221">
        <f>IF(C221,(H221*N221*IF(AND(Inputs!$B$38&lt;&gt;"pvp",Inputs!$B$43&gt;0),((Skills!G13*((R221-1)*IF(Skills!H13&gt;0,Skills!I13/Skills!H13,1)+IF(Skills!H13&gt;0,MIN(Skills!I13,MAX(0,MAX(0,Inputs!$B$43-B246)-((R221-1)*IF(Inputs!$B$38="pvp",15,MAX(0.1,Skills!E13-IF(Skills!F13=TRUE,Inputs!$B$32,0))))))/Skills!H13,1)))/Inputs!$B$43),G221*Q221))*IF(Inputs!$B$38="pvp",1,(1+(Inputs!$B$21+Skills!Q13)/100)*(MIN(Skills!R13,Inputs!$B$37))),0)</f>
        <v/>
      </c>
    </row>
    <row r="222">
      <c r="A222">
        <f>Skills!A14</f>
        <v/>
      </c>
      <c r="B222">
        <f>Skills!B14</f>
        <v/>
      </c>
      <c r="C222">
        <f>Inputs!$B$3&gt;=113</f>
        <v/>
      </c>
      <c r="D222">
        <f>IF(Skills!C14=1,60+Inputs!$B$25+Inputs!$B$29,IF(Skills!C14=2,90+Inputs!$B$26+Inputs!$B$29,IF(Skills!C14=3,120+Inputs!$B$27+Inputs!$B$29,MAX(0,(Inputs!$B$3-100)*3)+Inputs!$B$28+Inputs!$B$29)))</f>
        <v/>
      </c>
      <c r="E222">
        <f>INDEX(FactorTable!$B$2:$Y$301, MATCH(ROUND(MIN(300,MAX(1,D222)),0), FactorTable!$A$2:$A$301,0), Skills!M14+1)</f>
        <v/>
      </c>
      <c r="F222">
        <f>IF(Skills!N14=TRUE,(Skills!L14/10)*(E222/1000),Skills!L14/10)+Skills!O14</f>
        <v/>
      </c>
      <c r="G222">
        <f>Calc!G14</f>
        <v/>
      </c>
      <c r="H222">
        <f>Calc!H14</f>
        <v/>
      </c>
      <c r="I222">
        <f>IF(Skills!X14&lt;&gt;"",1+(Skills!X14/10)*(Z211/1000)/100,1)</f>
        <v/>
      </c>
      <c r="J222">
        <f>((Inputs!$B$6*(1+Inputs!$B$7/100))+(((Inputs!$B$12*(1+Inputs!$B$13/100))-(Inputs!$B$12*(1+Inputs!$B$13/100)))+0.25*(Inputs!$B$14-Inputs!$B$14))*(1+Inputs!$B$7/100))*(F222/100)</f>
        <v/>
      </c>
      <c r="K222">
        <f>J222*(1+((Inputs!$B$12*(1+Inputs!$B$13/100))*0.01+Inputs!$B$14*0.0025)/100)*(1+Inputs!$B$15/100)*(1+Inputs!$B$16/100)*(5000/(6000+Inputs!$B$42*(1-Inputs!$B$19/100)))*(1+Inputs!$B$24/100)*(1+F231/100)*(1+IF(Inputs!$B$3&gt;=120,F234,0)/100)^5*(1+(IF(Skills!A14="BASIC_ATTACK",Inputs!$B$17,Inputs!$B$18+IF(Inputs!$B$3&gt;=125,F235*5,0)))/100)*(B238*B239*B240*I222)</f>
        <v/>
      </c>
      <c r="L222">
        <f>K222*(MIN(Inputs!$B$22+(F230-Calc!F22),Inputs!$B$23)/100+Inputs!$B$23/100)/2</f>
        <v/>
      </c>
      <c r="M222">
        <f>L222*(1+(Inputs!$B$10+(F229-Calc!F21))/100)</f>
        <v/>
      </c>
      <c r="N222">
        <f>L222*(1-MIN(Inputs!$B$9+(F228-Calc!F20),100)/100)+M222*(MIN(Inputs!$B$9+(F228-Calc!F20),100)/100)</f>
        <v/>
      </c>
      <c r="O222">
        <f>(1-Summary!$B$56)*S222+Summary!$B$56*U222</f>
        <v/>
      </c>
      <c r="P222">
        <f>IF(B249=0,0,O222/B249)</f>
        <v/>
      </c>
      <c r="Q222">
        <f>IFERROR(1/IF(Inputs!$B$38="pvp",15,MAX(0.1,Skills!E14-IF(Skills!F14=TRUE,Inputs!$B$32,0))),0)</f>
        <v/>
      </c>
      <c r="R222" t="n">
        <v>0</v>
      </c>
      <c r="S222">
        <f>IF(C222,((H222*B245)/(1+Skills!H14*H222*B245)*N222)*IF(Inputs!$B$38="pvp",1,1+((Inputs!$B$20+1)+Skills!P14)/100),0)</f>
        <v/>
      </c>
      <c r="U222">
        <f>IF(C222,((H222*B245)/(1+Skills!H14*H222*B245)*N222)*IF(Inputs!$B$38="pvp",1,(1+(Inputs!$B$21+Skills!Q14)/100)*(MIN(Skills!R14,Inputs!$B$37))),0)</f>
        <v/>
      </c>
    </row>
    <row r="223">
      <c r="A223">
        <f>Skills!A15</f>
        <v/>
      </c>
      <c r="B223">
        <f>Skills!B15</f>
        <v/>
      </c>
      <c r="C223">
        <f>Inputs!$B$3&gt;=107</f>
        <v/>
      </c>
      <c r="D223">
        <f>IF(Skills!C15=1,60+Inputs!$B$25+Inputs!$B$29,IF(Skills!C15=2,90+Inputs!$B$26+Inputs!$B$29,IF(Skills!C15=3,120+Inputs!$B$27+Inputs!$B$29,MAX(0,(Inputs!$B$3-100)*3)+Inputs!$B$28+Inputs!$B$29)))</f>
        <v/>
      </c>
      <c r="E223">
        <f>INDEX(FactorTable!$B$2:$Y$301, MATCH(ROUND(MIN(300,MAX(1,D223)),0), FactorTable!$A$2:$A$301,0), Skills!M15+1)</f>
        <v/>
      </c>
      <c r="F223">
        <f>IF(Skills!N15=TRUE,(Skills!L15/10)*(E223/1000),Skills!L15/10)+Skills!O15</f>
        <v/>
      </c>
      <c r="G223">
        <f>Calc!G15</f>
        <v/>
      </c>
      <c r="H223">
        <f>Calc!H15</f>
        <v/>
      </c>
      <c r="I223">
        <f>IF(Skills!X15&lt;&gt;"",1+(Skills!X15/10)*(Z211/1000)/100,1)</f>
        <v/>
      </c>
      <c r="J223">
        <f>((Inputs!$B$6*(1+Inputs!$B$7/100))+(((Inputs!$B$12*(1+Inputs!$B$13/100))-(Inputs!$B$12*(1+Inputs!$B$13/100)))+0.25*(Inputs!$B$14-Inputs!$B$14))*(1+Inputs!$B$7/100))*(F223/100)</f>
        <v/>
      </c>
      <c r="K223">
        <f>J223*(1+((Inputs!$B$12*(1+Inputs!$B$13/100))*0.01+Inputs!$B$14*0.0025)/100)*(1+Inputs!$B$15/100)*(1+Inputs!$B$16/100)*(5000/(6000+Inputs!$B$42*(1-Inputs!$B$19/100)))*(1+Inputs!$B$24/100)*(1+F231/100)*(1+IF(Inputs!$B$3&gt;=120,F234,0)/100)^5*(1+(IF(Skills!A15="BASIC_ATTACK",Inputs!$B$17,Inputs!$B$18+IF(Inputs!$B$3&gt;=125,F235*5,0)))/100)*(B238*B239*B240*I223)</f>
        <v/>
      </c>
      <c r="L223">
        <f>K223*(MIN(Inputs!$B$22+(F230-Calc!F22),Inputs!$B$23)/100+Inputs!$B$23/100)/2</f>
        <v/>
      </c>
      <c r="M223">
        <f>L223*(1+(Inputs!$B$10+(F229-Calc!F21))/100)</f>
        <v/>
      </c>
      <c r="N223">
        <f>L223*(1-MIN(Inputs!$B$9+(F228-Calc!F20),100)/100)+M223*(MIN(Inputs!$B$9+(F228-Calc!F20),100)/100)</f>
        <v/>
      </c>
      <c r="O223">
        <f>(1-Summary!$B$56)*S223+Summary!$B$56*U223</f>
        <v/>
      </c>
      <c r="P223">
        <f>IF(B249=0,0,O223/B249)</f>
        <v/>
      </c>
      <c r="Q223">
        <f>IFERROR(1/IF(Inputs!$B$38="pvp",15,MAX(0.1,Skills!E15-IF(Skills!F15=TRUE,Inputs!$B$32,0))),0)</f>
        <v/>
      </c>
      <c r="R223">
        <f>IF(AND(Inputs!$B$38&lt;&gt;"pvp",Inputs!$B$43&gt;0),IF(MAX(0,Inputs!$B$43-B246)&lt;=0,0,(INT(MAX(0,Inputs!$B$43-B246)/IF(Inputs!$B$38="pvp",15,MAX(0.1,Skills!E15-IF(Skills!F15=TRUE,Inputs!$B$32,0))))+1)),0)</f>
        <v/>
      </c>
      <c r="S223">
        <f>IF(C223,(H223*N223*IF(AND(Inputs!$B$38&lt;&gt;"pvp",Inputs!$B$43&gt;0),((Skills!G15*((R223-1)*IF(Skills!H15&gt;0,Skills!I15/Skills!H15,1)+IF(Skills!H15&gt;0,MIN(Skills!I15,MAX(0,MAX(0,Inputs!$B$43-B246)-((R223-1)*IF(Inputs!$B$38="pvp",15,MAX(0.1,Skills!E15-IF(Skills!F15=TRUE,Inputs!$B$32,0))))))/Skills!H15,1)))/Inputs!$B$43),G223*Q223))*IF(Inputs!$B$38="pvp",1,1+((Inputs!$B$20+1)+Skills!P15)/100),0)</f>
        <v/>
      </c>
      <c r="U223">
        <f>IF(C223,(H223*N223*IF(AND(Inputs!$B$38&lt;&gt;"pvp",Inputs!$B$43&gt;0),((Skills!G15*((R223-1)*IF(Skills!H15&gt;0,Skills!I15/Skills!H15,1)+IF(Skills!H15&gt;0,MIN(Skills!I15,MAX(0,MAX(0,Inputs!$B$43-B246)-((R223-1)*IF(Inputs!$B$38="pvp",15,MAX(0.1,Skills!E15-IF(Skills!F15=TRUE,Inputs!$B$32,0))))))/Skills!H15,1)))/Inputs!$B$43),G223*Q223))*IF(Inputs!$B$38="pvp",1,(1+(Inputs!$B$21+Skills!Q15)/100)*(MIN(Skills!R15,Inputs!$B$37))),0)</f>
        <v/>
      </c>
    </row>
    <row r="224">
      <c r="A224">
        <f>Skills!A16</f>
        <v/>
      </c>
      <c r="B224">
        <f>Skills!B16</f>
        <v/>
      </c>
      <c r="C224">
        <f>Inputs!$B$3&gt;=107</f>
        <v/>
      </c>
      <c r="D224">
        <f>IF(Skills!C16=1,60+Inputs!$B$25+Inputs!$B$29,IF(Skills!C16=2,90+Inputs!$B$26+Inputs!$B$29,IF(Skills!C16=3,120+Inputs!$B$27+Inputs!$B$29,MAX(0,(Inputs!$B$3-100)*3)+Inputs!$B$28+Inputs!$B$29)))</f>
        <v/>
      </c>
      <c r="E224">
        <f>INDEX(FactorTable!$B$2:$Y$301, MATCH(ROUND(MIN(300,MAX(1,D224)),0), FactorTable!$A$2:$A$301,0), Skills!M16+1)</f>
        <v/>
      </c>
      <c r="F224">
        <f>IF(Skills!N16=TRUE,(Skills!L16/10)*(E224/1000),Skills!L16/10)+Skills!O16</f>
        <v/>
      </c>
      <c r="G224">
        <f>Calc!G16</f>
        <v/>
      </c>
      <c r="H224">
        <f>Calc!H16</f>
        <v/>
      </c>
      <c r="I224">
        <f>IF(Skills!X16&lt;&gt;"",1+(Skills!X16/10)*(Z211/1000)/100,1)</f>
        <v/>
      </c>
      <c r="J224">
        <f>((Inputs!$B$6*(1+Inputs!$B$7/100))+(((Inputs!$B$12*(1+Inputs!$B$13/100))-(Inputs!$B$12*(1+Inputs!$B$13/100)))+0.25*(Inputs!$B$14-Inputs!$B$14))*(1+Inputs!$B$7/100))*(F224/100)</f>
        <v/>
      </c>
      <c r="K224">
        <f>J224*(1+((Inputs!$B$12*(1+Inputs!$B$13/100))*0.01+Inputs!$B$14*0.0025)/100)*(1+Inputs!$B$15/100)*(1+Inputs!$B$16/100)*(5000/(6000+Inputs!$B$42*(1-Inputs!$B$19/100)))*(1+Inputs!$B$24/100)*(1+F231/100)*(1+IF(Inputs!$B$3&gt;=120,F234,0)/100)^5*(1+(IF(Skills!A16="BASIC_ATTACK",Inputs!$B$17,Inputs!$B$18+IF(Inputs!$B$3&gt;=125,F235*5,0)))/100)*(B238*B239*B240*I224)</f>
        <v/>
      </c>
      <c r="L224">
        <f>K224*(MIN(Inputs!$B$22+(F230-Calc!F22),Inputs!$B$23)/100+Inputs!$B$23/100)/2</f>
        <v/>
      </c>
      <c r="M224">
        <f>L224*(1+(Inputs!$B$10+(F229-Calc!F21))/100)</f>
        <v/>
      </c>
      <c r="N224">
        <f>L224*(1-MIN(Inputs!$B$9+(F228-Calc!F20),100)/100)+M224*(MIN(Inputs!$B$9+(F228-Calc!F20),100)/100)</f>
        <v/>
      </c>
      <c r="O224">
        <f>(1-Summary!$B$56)*S224+Summary!$B$56*U224</f>
        <v/>
      </c>
      <c r="P224">
        <f>IF(B249=0,0,O224/B249)</f>
        <v/>
      </c>
      <c r="Q224">
        <f>IFERROR(1/IF(Inputs!$B$38="pvp",15,MAX(0.1,Skills!E16-IF(Skills!F16=TRUE,Inputs!$B$32,0))),0)</f>
        <v/>
      </c>
      <c r="R224">
        <f>IF(AND(Inputs!$B$38&lt;&gt;"pvp",Inputs!$B$43&gt;0),IF(MAX(0,Inputs!$B$43-B246)&lt;=0,0,(INT(MAX(0,Inputs!$B$43-B246)/IF(Inputs!$B$38="pvp",15,MAX(0.1,Skills!E16-IF(Skills!F16=TRUE,Inputs!$B$32,0))))+1)),0)</f>
        <v/>
      </c>
      <c r="S224">
        <f>IF(C224,(H224*N224*IF(AND(Inputs!$B$38&lt;&gt;"pvp",Inputs!$B$43&gt;0),((Skills!G16*((R224-1)*IF(Skills!H16&gt;0,Skills!I16/Skills!H16,1)+IF(Skills!H16&gt;0,MIN(Skills!I16,MAX(0,MAX(0,Inputs!$B$43-B246)-((R224-1)*IF(Inputs!$B$38="pvp",15,MAX(0.1,Skills!E16-IF(Skills!F16=TRUE,Inputs!$B$32,0))))))/Skills!H16,1)))/Inputs!$B$43),G224*Q224)*(1+IF(Inputs!$B$3&gt;=126,0.05*(B244+Q221+(H222*B245)/(1+Skills!H14*H222*B245)+Q232),0)*Skills!E15))*IF(Inputs!$B$38="pvp",1,1+((Inputs!$B$20+1)+Skills!P16)/100),0)</f>
        <v/>
      </c>
      <c r="U224">
        <f>IF(C224,(H224*N224*IF(AND(Inputs!$B$38&lt;&gt;"pvp",Inputs!$B$43&gt;0),((Skills!G16*((R224-1)*IF(Skills!H16&gt;0,Skills!I16/Skills!H16,1)+IF(Skills!H16&gt;0,MIN(Skills!I16,MAX(0,MAX(0,Inputs!$B$43-B246)-((R224-1)*IF(Inputs!$B$38="pvp",15,MAX(0.1,Skills!E16-IF(Skills!F16=TRUE,Inputs!$B$32,0))))))/Skills!H16,1)))/Inputs!$B$43),G224*Q224)*(1+IF(Inputs!$B$3&gt;=126,0.05*(B244+Q221+(H222*B245)/(1+Skills!H14*H222*B245)+Q232),0)*Skills!E15))*IF(Inputs!$B$38="pvp",1,(1+(Inputs!$B$21+Skills!Q16)/100)*(MIN(Skills!R16,Inputs!$B$37))),0)</f>
        <v/>
      </c>
    </row>
    <row r="225">
      <c r="A225">
        <f>Skills!A17</f>
        <v/>
      </c>
      <c r="B225">
        <f>Skills!B17</f>
        <v/>
      </c>
      <c r="C225">
        <f>TRUE</f>
        <v/>
      </c>
      <c r="D225">
        <f>IF(Skills!C17=1,60+Inputs!$B$25+Inputs!$B$29,IF(Skills!C17=2,90+Inputs!$B$26+Inputs!$B$29,IF(Skills!C17=3,120+Inputs!$B$27+Inputs!$B$29,MAX(0,(Inputs!$B$3-100)*3)+Inputs!$B$28+Inputs!$B$29)))</f>
        <v/>
      </c>
      <c r="E225">
        <f>INDEX(FactorTable!$B$2:$Y$301, MATCH(ROUND(MIN(300,MAX(1,D225)),0), FactorTable!$A$2:$A$301,0), Skills!M17+1)</f>
        <v/>
      </c>
      <c r="F225">
        <f>IF(Skills!N17=TRUE,(Skills!L17/10)*(E225/1000),Skills!L17/10)+Skills!O17</f>
        <v/>
      </c>
      <c r="G225">
        <f>Calc!G17</f>
        <v/>
      </c>
      <c r="H225">
        <f>Calc!H17</f>
        <v/>
      </c>
      <c r="I225">
        <f>IF(Skills!X17&lt;&gt;"",1+(Skills!X17/10)*(Z211/1000)/100,1)</f>
        <v/>
      </c>
      <c r="J225" t="inlineStr"/>
      <c r="K225" t="inlineStr"/>
      <c r="L225" t="inlineStr"/>
      <c r="M225" t="inlineStr"/>
      <c r="N225" t="inlineStr"/>
      <c r="O225">
        <f>(1-Summary!$B$56)*S225+Summary!$B$56*U225</f>
        <v/>
      </c>
      <c r="P225">
        <f>IF(B249=0,0,O225/B249)</f>
        <v/>
      </c>
      <c r="Q225">
        <f>IFERROR(1/IF(Inputs!$B$38="pvp",15,MAX(0.1,Skills!E17-IF(Skills!F17=TRUE,Inputs!$B$32,0))),0)</f>
        <v/>
      </c>
      <c r="R225">
        <f>IF(AND(Inputs!$B$38&lt;&gt;"pvp",Inputs!$B$43&gt;0),IF(Inputs!$B$43&lt;=0,0,(INT(Inputs!$B$43/IF(Inputs!$B$38="pvp",15,MAX(0.1,Skills!E17-IF(Skills!F17=TRUE,Inputs!$B$32,0))))+1)),0)</f>
        <v/>
      </c>
      <c r="S225" t="n">
        <v>0</v>
      </c>
      <c r="U225" t="n">
        <v>0</v>
      </c>
    </row>
    <row r="226">
      <c r="A226">
        <f>Skills!A18</f>
        <v/>
      </c>
      <c r="B226">
        <f>Skills!B18</f>
        <v/>
      </c>
      <c r="C226">
        <f>TRUE</f>
        <v/>
      </c>
      <c r="D226">
        <f>IF(Skills!C18=1,60+Inputs!$B$25+Inputs!$B$29,IF(Skills!C18=2,90+Inputs!$B$26+Inputs!$B$29,IF(Skills!C18=3,120+Inputs!$B$27+Inputs!$B$29,MAX(0,(Inputs!$B$3-100)*3)+Inputs!$B$28+Inputs!$B$29)))</f>
        <v/>
      </c>
      <c r="E226">
        <f>INDEX(FactorTable!$B$2:$Y$301, MATCH(ROUND(MIN(300,MAX(1,D226)),0), FactorTable!$A$2:$A$301,0), Skills!M18+1)</f>
        <v/>
      </c>
      <c r="F226">
        <f>IF(Skills!N18=TRUE,(Skills!L18/10)*(E226/1000),Skills!L18/10)+Skills!O18</f>
        <v/>
      </c>
      <c r="G226">
        <f>Calc!G18</f>
        <v/>
      </c>
      <c r="H226">
        <f>Calc!H18</f>
        <v/>
      </c>
      <c r="I226">
        <f>IF(Skills!X18&lt;&gt;"",1+(Skills!X18/10)*(Z211/1000)/100,1)</f>
        <v/>
      </c>
      <c r="J226" t="inlineStr"/>
      <c r="K226" t="inlineStr"/>
      <c r="L226" t="inlineStr"/>
      <c r="M226" t="inlineStr"/>
      <c r="N226" t="inlineStr"/>
      <c r="O226">
        <f>(1-Summary!$B$56)*S226+Summary!$B$56*U226</f>
        <v/>
      </c>
      <c r="P226">
        <f>IF(B249=0,0,O226/B249)</f>
        <v/>
      </c>
      <c r="Q226">
        <f>IFERROR(1/IF(Inputs!$B$38="pvp",15,MAX(0.1,Skills!E18-IF(Skills!F18=TRUE,Inputs!$B$32,0))),0)</f>
        <v/>
      </c>
      <c r="R226">
        <f>IF(AND(Inputs!$B$38&lt;&gt;"pvp",Inputs!$B$43&gt;0),IF(Inputs!$B$43&lt;=0,0,(INT(Inputs!$B$43/IF(Inputs!$B$38="pvp",15,MAX(0.1,Skills!E18-IF(Skills!F18=TRUE,Inputs!$B$32,0))))+1)),0)</f>
        <v/>
      </c>
      <c r="S226" t="n">
        <v>0</v>
      </c>
      <c r="U226" t="n">
        <v>0</v>
      </c>
    </row>
    <row r="227">
      <c r="A227">
        <f>Skills!A19</f>
        <v/>
      </c>
      <c r="B227">
        <f>Skills!B19</f>
        <v/>
      </c>
      <c r="C227">
        <f>Inputs!$B$3&gt;=110</f>
        <v/>
      </c>
      <c r="D227">
        <f>IF(Skills!C19=1,60+Inputs!$B$25+Inputs!$B$29,IF(Skills!C19=2,90+Inputs!$B$26+Inputs!$B$29,IF(Skills!C19=3,120+Inputs!$B$27+Inputs!$B$29,MAX(0,(Inputs!$B$3-100)*3)+Inputs!$B$28+Inputs!$B$29)))</f>
        <v/>
      </c>
      <c r="E227">
        <f>INDEX(FactorTable!$B$2:$Y$301, MATCH(ROUND(MIN(300,MAX(1,D227)),0), FactorTable!$A$2:$A$301,0), Skills!M19+1)</f>
        <v/>
      </c>
      <c r="F227">
        <f>IF(Skills!N19=TRUE,(Skills!L19/10)*(E227/1000),Skills!L19/10)+Skills!O19</f>
        <v/>
      </c>
      <c r="G227">
        <f>Calc!G19</f>
        <v/>
      </c>
      <c r="H227">
        <f>Calc!H19</f>
        <v/>
      </c>
      <c r="I227">
        <f>IF(Skills!X19&lt;&gt;"",1+(Skills!X19/10)*(Z211/1000)/100,1)</f>
        <v/>
      </c>
      <c r="J227" t="inlineStr"/>
      <c r="K227" t="inlineStr"/>
      <c r="L227" t="inlineStr"/>
      <c r="M227" t="inlineStr"/>
      <c r="N227" t="inlineStr"/>
      <c r="O227">
        <f>(1-Summary!$B$56)*S227+Summary!$B$56*U227</f>
        <v/>
      </c>
      <c r="P227">
        <f>IF(B249=0,0,O227/B249)</f>
        <v/>
      </c>
      <c r="Q227">
        <f>IFERROR(1/IF(Inputs!$B$38="pvp",15,MAX(0.1,Skills!E19-IF(Skills!F19=TRUE,Inputs!$B$32,0))),0)</f>
        <v/>
      </c>
      <c r="R227">
        <f>IF(AND(Inputs!$B$38&lt;&gt;"pvp",Inputs!$B$43&gt;0),IF(Inputs!$B$43&lt;=0,0,(INT(Inputs!$B$43/IF(Inputs!$B$38="pvp",15,MAX(0.1,Skills!E19-IF(Skills!F19=TRUE,Inputs!$B$32,0))))+1)),0)</f>
        <v/>
      </c>
      <c r="S227" t="n">
        <v>0</v>
      </c>
      <c r="U227" t="n">
        <v>0</v>
      </c>
    </row>
    <row r="228">
      <c r="A228">
        <f>Skills!A20</f>
        <v/>
      </c>
      <c r="B228">
        <f>Skills!B20</f>
        <v/>
      </c>
      <c r="C228">
        <f>TRUE</f>
        <v/>
      </c>
      <c r="D228">
        <f>IF(Skills!C20=1,60+Inputs!$B$25+Inputs!$B$29,IF(Skills!C20=2,90+Inputs!$B$26+Inputs!$B$29,IF(Skills!C20=3,120+Inputs!$B$27+Inputs!$B$29,MAX(0,(Inputs!$B$3-100)*3)+Inputs!$B$28+Inputs!$B$29)))</f>
        <v/>
      </c>
      <c r="E228">
        <f>INDEX(FactorTable!$B$2:$Y$301, MATCH(ROUND(MIN(300,MAX(1,D228)),0), FactorTable!$A$2:$A$301,0), Skills!M20+1)</f>
        <v/>
      </c>
      <c r="F228">
        <f>IF(Skills!N20=TRUE,(Skills!L20/10)*(E228/1000),Skills!L20/10)+Skills!O20</f>
        <v/>
      </c>
      <c r="G228">
        <f>Calc!G20</f>
        <v/>
      </c>
      <c r="H228">
        <f>Calc!H20</f>
        <v/>
      </c>
      <c r="I228">
        <f>IF(Skills!X20&lt;&gt;"",1+(Skills!X20/10)*(Z211/1000)/100,1)</f>
        <v/>
      </c>
      <c r="J228" t="inlineStr"/>
      <c r="K228" t="inlineStr"/>
      <c r="L228" t="inlineStr"/>
      <c r="M228" t="inlineStr"/>
      <c r="N228" t="inlineStr"/>
      <c r="O228">
        <f>(1-Summary!$B$56)*S228+Summary!$B$56*U228</f>
        <v/>
      </c>
      <c r="P228">
        <f>IF(B249=0,0,O228/B249)</f>
        <v/>
      </c>
      <c r="Q228">
        <f>IFERROR(1/IF(Inputs!$B$38="pvp",15,MAX(0.1,Skills!E20-IF(Skills!F20=TRUE,Inputs!$B$32,0))),0)</f>
        <v/>
      </c>
      <c r="R228" t="n">
        <v>0</v>
      </c>
      <c r="S228" t="n">
        <v>0</v>
      </c>
      <c r="U228" t="n">
        <v>0</v>
      </c>
    </row>
    <row r="229">
      <c r="A229">
        <f>Skills!A21</f>
        <v/>
      </c>
      <c r="B229">
        <f>Skills!B21</f>
        <v/>
      </c>
      <c r="C229">
        <f>TRUE</f>
        <v/>
      </c>
      <c r="D229">
        <f>IF(Skills!C21=1,60+Inputs!$B$25+Inputs!$B$29,IF(Skills!C21=2,90+Inputs!$B$26+Inputs!$B$29,IF(Skills!C21=3,120+Inputs!$B$27+Inputs!$B$29,MAX(0,(Inputs!$B$3-100)*3)+Inputs!$B$28+Inputs!$B$29)))</f>
        <v/>
      </c>
      <c r="E229">
        <f>INDEX(FactorTable!$B$2:$Y$301, MATCH(ROUND(MIN(300,MAX(1,D229)),0), FactorTable!$A$2:$A$301,0), Skills!M21+1)</f>
        <v/>
      </c>
      <c r="F229">
        <f>IF(Skills!N21=TRUE,(Skills!L21/10)*(E229/1000),Skills!L21/10)+Skills!O21</f>
        <v/>
      </c>
      <c r="G229">
        <f>Calc!G21</f>
        <v/>
      </c>
      <c r="H229">
        <f>Calc!H21</f>
        <v/>
      </c>
      <c r="I229">
        <f>IF(Skills!X21&lt;&gt;"",1+(Skills!X21/10)*(Z211/1000)/100,1)</f>
        <v/>
      </c>
      <c r="J229" t="inlineStr"/>
      <c r="K229" t="inlineStr"/>
      <c r="L229" t="inlineStr"/>
      <c r="M229" t="inlineStr"/>
      <c r="N229" t="inlineStr"/>
      <c r="O229">
        <f>(1-Summary!$B$56)*S229+Summary!$B$56*U229</f>
        <v/>
      </c>
      <c r="P229">
        <f>IF(B249=0,0,O229/B249)</f>
        <v/>
      </c>
      <c r="Q229">
        <f>IFERROR(1/IF(Inputs!$B$38="pvp",15,MAX(0.1,Skills!E21-IF(Skills!F21=TRUE,Inputs!$B$32,0))),0)</f>
        <v/>
      </c>
      <c r="R229" t="n">
        <v>0</v>
      </c>
      <c r="S229" t="n">
        <v>0</v>
      </c>
      <c r="U229" t="n">
        <v>0</v>
      </c>
    </row>
    <row r="230">
      <c r="A230">
        <f>Skills!A22</f>
        <v/>
      </c>
      <c r="B230">
        <f>Skills!B22</f>
        <v/>
      </c>
      <c r="C230">
        <f>TRUE</f>
        <v/>
      </c>
      <c r="D230">
        <f>IF(Skills!C22=1,60+Inputs!$B$25+Inputs!$B$29,IF(Skills!C22=2,90+Inputs!$B$26+Inputs!$B$29,IF(Skills!C22=3,120+Inputs!$B$27+Inputs!$B$29,MAX(0,(Inputs!$B$3-100)*3)+Inputs!$B$28+Inputs!$B$29)))</f>
        <v/>
      </c>
      <c r="E230">
        <f>INDEX(FactorTable!$B$2:$Y$301, MATCH(ROUND(MIN(300,MAX(1,D230)),0), FactorTable!$A$2:$A$301,0), Skills!M22+1)</f>
        <v/>
      </c>
      <c r="F230">
        <f>IF(Skills!N22=TRUE,(Skills!L22/10)*(E230/1000),Skills!L22/10)+Skills!O22</f>
        <v/>
      </c>
      <c r="G230">
        <f>Calc!G22</f>
        <v/>
      </c>
      <c r="H230">
        <f>Calc!H22</f>
        <v/>
      </c>
      <c r="I230">
        <f>IF(Skills!X22&lt;&gt;"",1+(Skills!X22/10)*(Z211/1000)/100,1)</f>
        <v/>
      </c>
      <c r="J230" t="inlineStr"/>
      <c r="K230" t="inlineStr"/>
      <c r="L230" t="inlineStr"/>
      <c r="M230" t="inlineStr"/>
      <c r="N230" t="inlineStr"/>
      <c r="O230">
        <f>(1-Summary!$B$56)*S230+Summary!$B$56*U230</f>
        <v/>
      </c>
      <c r="P230">
        <f>IF(B249=0,0,O230/B249)</f>
        <v/>
      </c>
      <c r="Q230">
        <f>IFERROR(1/IF(Inputs!$B$38="pvp",15,MAX(0.1,Skills!E22-IF(Skills!F22=TRUE,Inputs!$B$32,0))),0)</f>
        <v/>
      </c>
      <c r="R230" t="n">
        <v>0</v>
      </c>
      <c r="S230" t="n">
        <v>0</v>
      </c>
      <c r="U230" t="n">
        <v>0</v>
      </c>
    </row>
    <row r="231">
      <c r="A231">
        <f>Skills!A23</f>
        <v/>
      </c>
      <c r="B231">
        <f>Skills!B23</f>
        <v/>
      </c>
      <c r="C231">
        <f>TRUE</f>
        <v/>
      </c>
      <c r="D231">
        <f>IF(Skills!C23=1,60+Inputs!$B$25+Inputs!$B$29,IF(Skills!C23=2,90+Inputs!$B$26+Inputs!$B$29,IF(Skills!C23=3,120+Inputs!$B$27+Inputs!$B$29,MAX(0,(Inputs!$B$3-100)*3)+Inputs!$B$28+Inputs!$B$29)))</f>
        <v/>
      </c>
      <c r="E231">
        <f>INDEX(FactorTable!$B$2:$Y$301, MATCH(ROUND(MIN(300,MAX(1,D231)),0), FactorTable!$A$2:$A$301,0), Skills!M23+1)</f>
        <v/>
      </c>
      <c r="F231">
        <f>IF(Skills!N23=TRUE,(Skills!L23/10)*(E231/1000),Skills!L23/10)+Skills!O23</f>
        <v/>
      </c>
      <c r="G231">
        <f>Calc!G23</f>
        <v/>
      </c>
      <c r="H231">
        <f>Calc!H23</f>
        <v/>
      </c>
      <c r="I231">
        <f>IF(Skills!X23&lt;&gt;"",1+(Skills!X23/10)*(Z211/1000)/100,1)</f>
        <v/>
      </c>
      <c r="J231" t="inlineStr"/>
      <c r="K231" t="inlineStr"/>
      <c r="L231" t="inlineStr"/>
      <c r="M231" t="inlineStr"/>
      <c r="N231" t="inlineStr"/>
      <c r="O231">
        <f>(1-Summary!$B$56)*S231+Summary!$B$56*U231</f>
        <v/>
      </c>
      <c r="P231">
        <f>IF(B249=0,0,O231/B249)</f>
        <v/>
      </c>
      <c r="Q231">
        <f>IFERROR(1/IF(Inputs!$B$38="pvp",15,MAX(0.1,Skills!E23-IF(Skills!F23=TRUE,Inputs!$B$32,0))),0)</f>
        <v/>
      </c>
      <c r="R231" t="n">
        <v>0</v>
      </c>
      <c r="S231" t="n">
        <v>0</v>
      </c>
      <c r="U231" t="n">
        <v>0</v>
      </c>
    </row>
    <row r="232">
      <c r="A232">
        <f>Skills!A24</f>
        <v/>
      </c>
      <c r="B232">
        <f>Skills!B24</f>
        <v/>
      </c>
      <c r="C232">
        <f>Inputs!$B$3&gt;=115</f>
        <v/>
      </c>
      <c r="D232">
        <f>IF(Skills!C24=1,60+Inputs!$B$25+Inputs!$B$29,IF(Skills!C24=2,90+Inputs!$B$26+Inputs!$B$29,IF(Skills!C24=3,120+Inputs!$B$27+Inputs!$B$29,MAX(0,(Inputs!$B$3-100)*3)+Inputs!$B$28+Inputs!$B$29)))</f>
        <v/>
      </c>
      <c r="E232">
        <f>INDEX(FactorTable!$B$2:$Y$301, MATCH(ROUND(MIN(300,MAX(1,D232)),0), FactorTable!$A$2:$A$301,0), Skills!M24+1)</f>
        <v/>
      </c>
      <c r="F232">
        <f>IF(Skills!N24=TRUE,(Skills!L24/10)*(E232/1000),Skills!L24/10)+Skills!O24</f>
        <v/>
      </c>
      <c r="G232">
        <f>Calc!G24</f>
        <v/>
      </c>
      <c r="H232">
        <f>Calc!H24</f>
        <v/>
      </c>
      <c r="I232">
        <f>IF(Skills!X24&lt;&gt;"",1+(Skills!X24/10)*(Z211/1000)/100,1)</f>
        <v/>
      </c>
      <c r="J232">
        <f>((Inputs!$B$6*(1+Inputs!$B$7/100))+(((Inputs!$B$12*(1+Inputs!$B$13/100))-(Inputs!$B$12*(1+Inputs!$B$13/100)))+0.25*(Inputs!$B$14-Inputs!$B$14))*(1+Inputs!$B$7/100))*(F232/100)</f>
        <v/>
      </c>
      <c r="K232">
        <f>J232*(1+((Inputs!$B$12*(1+Inputs!$B$13/100))*0.01+Inputs!$B$14*0.0025)/100)*(1+Inputs!$B$15/100)*(1+Inputs!$B$16/100)*(5000/(6000+Inputs!$B$42*(1-Inputs!$B$19/100)))*(1+Inputs!$B$24/100)*(1+F231/100)*(1+IF(Inputs!$B$3&gt;=120,F234,0)/100)^5*(1+(IF(Skills!A24="BASIC_ATTACK",Inputs!$B$17,Inputs!$B$18+IF(Inputs!$B$3&gt;=125,F235*5,0)))/100)*(B238*B239*B240*I232)</f>
        <v/>
      </c>
      <c r="L232">
        <f>K232*(MIN(Inputs!$B$22+(F230-Calc!F22),Inputs!$B$23)/100+Inputs!$B$23/100)/2</f>
        <v/>
      </c>
      <c r="M232">
        <f>L232*(1+(Inputs!$B$10+(F229-Calc!F21))/100)</f>
        <v/>
      </c>
      <c r="N232">
        <f>L232*(1-MIN(Inputs!$B$9+(F228-Calc!F20),100)/100)+M232*(MIN(Inputs!$B$9+(F228-Calc!F20),100)/100)</f>
        <v/>
      </c>
      <c r="O232">
        <f>(1-Summary!$B$56)*S232+Summary!$B$56*U232</f>
        <v/>
      </c>
      <c r="P232">
        <f>IF(B249=0,0,O232/B249)</f>
        <v/>
      </c>
      <c r="Q232">
        <f>IFERROR(1/IF(Inputs!$B$38="pvp",15,MAX(0.1,Skills!E24-IF(Skills!F24=TRUE,Inputs!$B$32,0))),0)</f>
        <v/>
      </c>
      <c r="R232">
        <f>IF(AND(Inputs!$B$38&lt;&gt;"pvp",Inputs!$B$43&gt;0),IF(MAX(0,Inputs!$B$43-B246)&lt;=0,0,(INT(MAX(0,Inputs!$B$43-B246)/IF(Inputs!$B$38="pvp",15,MAX(0.1,Skills!E24-IF(Skills!F24=TRUE,Inputs!$B$32,0))))+1)),0)</f>
        <v/>
      </c>
      <c r="S232">
        <f>IF(C232,(H232*N232*IF(AND(Inputs!$B$38&lt;&gt;"pvp",Inputs!$B$43&gt;0),((Skills!G24*((R232-1)*IF(Skills!H24&gt;0,Skills!I24/Skills!H24,1)+IF(Skills!H24&gt;0,MIN(Skills!I24,MAX(0,MAX(0,Inputs!$B$43-B246)-((R232-1)*IF(Inputs!$B$38="pvp",15,MAX(0.1,Skills!E24-IF(Skills!F24=TRUE,Inputs!$B$32,0))))))/Skills!H24,1)))/Inputs!$B$43),G232*Q232)*(1+IF(Inputs!$B$3&gt;=130,0.2*(Skills!I16/Skills!E15+IF(Inputs!$B$3&gt;=126,0.05*(B244+Q221+(H222*B245)/(1+Skills!H14*H222*B245)+Q232),0)*Skills!I16),0)))*IF(Inputs!$B$38="pvp",1,1+((Inputs!$B$20+1)+Skills!P24)/100),0)</f>
        <v/>
      </c>
      <c r="U232">
        <f>IF(C232,(H232*N232*IF(AND(Inputs!$B$38&lt;&gt;"pvp",Inputs!$B$43&gt;0),((Skills!G24*((R232-1)*IF(Skills!H24&gt;0,Skills!I24/Skills!H24,1)+IF(Skills!H24&gt;0,MIN(Skills!I24,MAX(0,MAX(0,Inputs!$B$43-B246)-((R232-1)*IF(Inputs!$B$38="pvp",15,MAX(0.1,Skills!E24-IF(Skills!F24=TRUE,Inputs!$B$32,0))))))/Skills!H24,1)))/Inputs!$B$43),G232*Q232)*(1+IF(Inputs!$B$3&gt;=130,0.2*(Skills!I16/Skills!E15+IF(Inputs!$B$3&gt;=126,0.05*(B244+Q221+(H222*B245)/(1+Skills!H14*H222*B245)+Q232),0)*Skills!I16),0)))*IF(Inputs!$B$38="pvp",1,(1+(Inputs!$B$21+Skills!Q24)/100)*(MIN(Skills!R24,Inputs!$B$37))),0)</f>
        <v/>
      </c>
    </row>
    <row r="233">
      <c r="A233">
        <f>Skills!A25</f>
        <v/>
      </c>
      <c r="B233">
        <f>Skills!B25</f>
        <v/>
      </c>
      <c r="C233">
        <f>Inputs!$B$3&gt;=117</f>
        <v/>
      </c>
      <c r="D233">
        <f>IF(Skills!C25=1,60+Inputs!$B$25+Inputs!$B$29,IF(Skills!C25=2,90+Inputs!$B$26+Inputs!$B$29,IF(Skills!C25=3,120+Inputs!$B$27+Inputs!$B$29,MAX(0,(Inputs!$B$3-100)*3)+Inputs!$B$28+Inputs!$B$29)))</f>
        <v/>
      </c>
      <c r="E233">
        <f>INDEX(FactorTable!$B$2:$Y$301, MATCH(ROUND(MIN(300,MAX(1,D233)),0), FactorTable!$A$2:$A$301,0), Skills!M25+1)</f>
        <v/>
      </c>
      <c r="F233">
        <f>IF(Skills!N25=TRUE,(Skills!L25/10)*(E233/1000),Skills!L25/10)+Skills!O25</f>
        <v/>
      </c>
      <c r="G233">
        <f>Calc!G25</f>
        <v/>
      </c>
      <c r="H233">
        <f>Calc!H25</f>
        <v/>
      </c>
      <c r="I233">
        <f>IF(Skills!X25&lt;&gt;"",1+(Skills!X25/10)*(Z211/1000)/100,1)</f>
        <v/>
      </c>
      <c r="J233" t="inlineStr"/>
      <c r="K233" t="inlineStr"/>
      <c r="L233" t="inlineStr"/>
      <c r="M233" t="inlineStr"/>
      <c r="N233" t="inlineStr"/>
      <c r="O233">
        <f>(1-Summary!$B$56)*S233+Summary!$B$56*U233</f>
        <v/>
      </c>
      <c r="P233">
        <f>IF(B249=0,0,O233/B249)</f>
        <v/>
      </c>
      <c r="Q233">
        <f>IFERROR(1/IF(Inputs!$B$38="pvp",15,MAX(0.1,Skills!E25-IF(Skills!F25=TRUE,Inputs!$B$32,0))),0)</f>
        <v/>
      </c>
      <c r="R233" t="n">
        <v>0</v>
      </c>
      <c r="S233" t="n">
        <v>0</v>
      </c>
      <c r="U233" t="n">
        <v>0</v>
      </c>
    </row>
    <row r="234">
      <c r="A234">
        <f>Skills!A26</f>
        <v/>
      </c>
      <c r="B234">
        <f>Skills!B26</f>
        <v/>
      </c>
      <c r="C234">
        <f>Inputs!$B$3&gt;=120</f>
        <v/>
      </c>
      <c r="D234">
        <f>IF(Skills!C26=1,60+Inputs!$B$25+Inputs!$B$29,IF(Skills!C26=2,90+Inputs!$B$26+Inputs!$B$29,IF(Skills!C26=3,120+Inputs!$B$27+Inputs!$B$29,MAX(0,(Inputs!$B$3-100)*3)+Inputs!$B$28+Inputs!$B$29)))</f>
        <v/>
      </c>
      <c r="E234">
        <f>INDEX(FactorTable!$B$2:$Y$301, MATCH(ROUND(MIN(300,MAX(1,D234)),0), FactorTable!$A$2:$A$301,0), Skills!M26+1)</f>
        <v/>
      </c>
      <c r="F234">
        <f>IF(Skills!N26=TRUE,(Skills!L26/10)*(E234/1000),Skills!L26/10)+Skills!O26</f>
        <v/>
      </c>
      <c r="G234">
        <f>Calc!G26</f>
        <v/>
      </c>
      <c r="H234">
        <f>Calc!H26</f>
        <v/>
      </c>
      <c r="I234">
        <f>IF(Skills!X26&lt;&gt;"",1+(Skills!X26/10)*(Z211/1000)/100,1)</f>
        <v/>
      </c>
      <c r="J234" t="inlineStr"/>
      <c r="K234" t="inlineStr"/>
      <c r="L234" t="inlineStr"/>
      <c r="M234" t="inlineStr"/>
      <c r="N234" t="inlineStr"/>
      <c r="O234">
        <f>(1-Summary!$B$56)*S234+Summary!$B$56*U234</f>
        <v/>
      </c>
      <c r="P234">
        <f>IF(B249=0,0,O234/B249)</f>
        <v/>
      </c>
      <c r="Q234">
        <f>IFERROR(1/IF(Inputs!$B$38="pvp",15,MAX(0.1,Skills!E26-IF(Skills!F26=TRUE,Inputs!$B$32,0))),0)</f>
        <v/>
      </c>
      <c r="R234" t="n">
        <v>0</v>
      </c>
      <c r="S234" t="n">
        <v>0</v>
      </c>
      <c r="U234" t="n">
        <v>0</v>
      </c>
    </row>
    <row r="235">
      <c r="A235">
        <f>Skills!A27</f>
        <v/>
      </c>
      <c r="B235">
        <f>Skills!B27</f>
        <v/>
      </c>
      <c r="C235">
        <f>Inputs!$B$3&gt;=125</f>
        <v/>
      </c>
      <c r="D235">
        <f>IF(Skills!C27=1,60+Inputs!$B$25+Inputs!$B$29,IF(Skills!C27=2,90+Inputs!$B$26+Inputs!$B$29,IF(Skills!C27=3,120+Inputs!$B$27+Inputs!$B$29,MAX(0,(Inputs!$B$3-100)*3)+Inputs!$B$28+Inputs!$B$29)))</f>
        <v/>
      </c>
      <c r="E235">
        <f>INDEX(FactorTable!$B$2:$Y$301, MATCH(ROUND(MIN(300,MAX(1,D235)),0), FactorTable!$A$2:$A$301,0), Skills!M27+1)</f>
        <v/>
      </c>
      <c r="F235">
        <f>IF(Skills!N27=TRUE,(Skills!L27/10)*(E235/1000),Skills!L27/10)+Skills!O27</f>
        <v/>
      </c>
      <c r="G235">
        <f>Calc!G27</f>
        <v/>
      </c>
      <c r="H235">
        <f>Calc!H27</f>
        <v/>
      </c>
      <c r="I235">
        <f>IF(Skills!X27&lt;&gt;"",1+(Skills!X27/10)*(Z211/1000)/100,1)</f>
        <v/>
      </c>
      <c r="J235" t="inlineStr"/>
      <c r="K235" t="inlineStr"/>
      <c r="L235" t="inlineStr"/>
      <c r="M235" t="inlineStr"/>
      <c r="N235" t="inlineStr"/>
      <c r="O235">
        <f>(1-Summary!$B$56)*S235+Summary!$B$56*U235</f>
        <v/>
      </c>
      <c r="P235">
        <f>IF(B249=0,0,O235/B249)</f>
        <v/>
      </c>
      <c r="Q235">
        <f>IFERROR(1/IF(Inputs!$B$38="pvp",15,MAX(0.1,Skills!E27-IF(Skills!F27=TRUE,Inputs!$B$32,0))),0)</f>
        <v/>
      </c>
      <c r="R235" t="n">
        <v>0</v>
      </c>
      <c r="S235" t="n">
        <v>0</v>
      </c>
      <c r="U235" t="n">
        <v>0</v>
      </c>
    </row>
    <row r="236">
      <c r="A236">
        <f>Skills!A28</f>
        <v/>
      </c>
      <c r="B236">
        <f>Skills!B28</f>
        <v/>
      </c>
      <c r="C236">
        <f>Inputs!$B$3&gt;=118</f>
        <v/>
      </c>
      <c r="D236">
        <f>IF(Skills!C28=1,60+Inputs!$B$25+Inputs!$B$29,IF(Skills!C28=2,90+Inputs!$B$26+Inputs!$B$29,IF(Skills!C28=3,120+Inputs!$B$27+Inputs!$B$29,MAX(0,(Inputs!$B$3-100)*3)+Inputs!$B$28+Inputs!$B$29)))</f>
        <v/>
      </c>
      <c r="E236">
        <f>INDEX(FactorTable!$B$2:$Y$301, MATCH(ROUND(MIN(300,MAX(1,D236)),0), FactorTable!$A$2:$A$301,0), Skills!M28+1)</f>
        <v/>
      </c>
      <c r="F236">
        <f>IF(Skills!N28=TRUE,(Skills!L28/10)*(E236/1000),Skills!L28/10)+Skills!O28</f>
        <v/>
      </c>
      <c r="G236">
        <f>Calc!G28</f>
        <v/>
      </c>
      <c r="H236">
        <f>Calc!H28</f>
        <v/>
      </c>
      <c r="I236">
        <f>IF(Skills!X28&lt;&gt;"",1+(Skills!X28/10)*(Z211/1000)/100,1)</f>
        <v/>
      </c>
      <c r="J236">
        <f>((Inputs!$B$6*(1+Inputs!$B$7/100))+(((Inputs!$B$12*(1+Inputs!$B$13/100))-(Inputs!$B$12*(1+Inputs!$B$13/100)))+0.25*(Inputs!$B$14-Inputs!$B$14))*(1+Inputs!$B$7/100))*(F236/100)</f>
        <v/>
      </c>
      <c r="K236">
        <f>J236*(1+((Inputs!$B$12*(1+Inputs!$B$13/100))*0.01+Inputs!$B$14*0.0025)/100)*(1+Inputs!$B$15/100)*(1+Inputs!$B$16/100)*(5000/(6000+Inputs!$B$42*(1-Inputs!$B$19/100)))*(1+Inputs!$B$24/100)*(1+F231/100)*(1+IF(Inputs!$B$3&gt;=120,F234,0)/100)^5*(1+(IF(Skills!A28="BASIC_ATTACK",Inputs!$B$17,Inputs!$B$18+IF(Inputs!$B$3&gt;=125,F235*5,0)))/100)*(B238*B239*B240*I236)</f>
        <v/>
      </c>
      <c r="L236">
        <f>K236*(MIN(Inputs!$B$22+(F230-Calc!F22),Inputs!$B$23)/100+Inputs!$B$23/100)/2</f>
        <v/>
      </c>
      <c r="M236">
        <f>L236*(1+(Inputs!$B$10+(F229-Calc!F21))/100)</f>
        <v/>
      </c>
      <c r="N236">
        <f>L236*(1-MIN(Inputs!$B$9+(F228-Calc!F20),100)/100)+M236*(MIN(Inputs!$B$9+(F228-Calc!F20),100)/100)</f>
        <v/>
      </c>
      <c r="O236">
        <f>(1-Summary!$B$56)*S236+Summary!$B$56*U236</f>
        <v/>
      </c>
      <c r="P236">
        <f>IF(B249=0,0,O236/B249)</f>
        <v/>
      </c>
      <c r="Q236">
        <f>IFERROR(1/IF(Inputs!$B$38="pvp",15,MAX(0.1,Skills!E28-IF(Skills!F28=TRUE,Inputs!$B$32,0))),0)</f>
        <v/>
      </c>
      <c r="R236">
        <f>IF(AND(Inputs!$B$38&lt;&gt;"pvp",Inputs!$B$43&gt;0),IF(MAX(0,Inputs!$B$43-B246)&lt;=0,0,(INT(MAX(0,Inputs!$B$43-B246)/IF(Inputs!$B$38="pvp",15,MAX(0.1,Skills!E28-IF(Skills!F28=TRUE,Inputs!$B$32,0))))+1)),0)</f>
        <v/>
      </c>
      <c r="S236">
        <f>IF(C236,(H236*N236*IF(AND(Inputs!$B$38&lt;&gt;"pvp",Inputs!$B$43&gt;0),((Skills!G28*((R236-1)*IF(Skills!H28&gt;0,Skills!I28/Skills!H28,1)+IF(Skills!H28&gt;0,MIN(Skills!I28,MAX(0,MAX(0,Inputs!$B$43-B246)-((R236-1)*IF(Inputs!$B$38="pvp",15,MAX(0.1,Skills!E28-IF(Skills!F28=TRUE,Inputs!$B$32,0))))))/Skills!H28,1)))/Inputs!$B$43),G236*Q236))*IF(Inputs!$B$38="pvp",1,1+((Inputs!$B$20+1)+Skills!P28)/100),0)</f>
        <v/>
      </c>
      <c r="U236">
        <f>IF(C236,(H236*N236*IF(AND(Inputs!$B$38&lt;&gt;"pvp",Inputs!$B$43&gt;0),((Skills!G28*((R236-1)*IF(Skills!H28&gt;0,Skills!I28/Skills!H28,1)+IF(Skills!H28&gt;0,MIN(Skills!I28,MAX(0,MAX(0,Inputs!$B$43-B246)-((R236-1)*IF(Inputs!$B$38="pvp",15,MAX(0.1,Skills!E28-IF(Skills!F28=TRUE,Inputs!$B$32,0))))))/Skills!H28,1)))/Inputs!$B$43),G236*Q236))*IF(Inputs!$B$38="pvp",1,(1+(Inputs!$B$21+Skills!Q28)/100)*(MIN(Skills!R28,Inputs!$B$37))),0)</f>
        <v/>
      </c>
    </row>
    <row r="238">
      <c r="A238" t="inlineStr">
        <is>
          <t>Burning Magic Multiplier</t>
        </is>
      </c>
      <c r="B238">
        <f>1+(F219*Skills!Z11)/100</f>
        <v/>
      </c>
    </row>
    <row r="239">
      <c r="A239" t="inlineStr">
        <is>
          <t>Elemental Decrease Multiplier (always-on)</t>
        </is>
      </c>
      <c r="B239">
        <f>1+F220/100</f>
        <v/>
      </c>
    </row>
    <row r="240">
      <c r="A240" t="inlineStr">
        <is>
          <t>Average Buff Multiplier (Magic Guard + Meditation, summed; then Infinity)</t>
        </is>
      </c>
      <c r="B240">
        <f>(1+(F214*IF(AND(Inputs!$B$38&lt;&gt;"pvp",Inputs!$B$43&gt;0),(((R214-1)*(Skills!T6*(1+(Inputs!$B$34+IF(Inputs!$B$3&gt;=117,F233,0))/100))+MIN((Skills!T6*(1+(Inputs!$B$34+IF(Inputs!$B$3&gt;=117,F233,0))/100)),MAX(0,Inputs!$B$43-((R214-1)*Skills!E6))))/Inputs!$B$43),IF(Inputs!$B$38="pvp",MIN((Skills!T6*(1+(Inputs!$B$34+IF(Inputs!$B$3&gt;=117,F233,0))/100)),15)/15,(Skills!T6*(1+(Inputs!$B$34+IF(Inputs!$B$3&gt;=117,F233,0))/100))/Skills!E6))+F225*IF(AND(Inputs!$B$38&lt;&gt;"pvp",Inputs!$B$43&gt;0),(((R225-1)*(Skills!T17*(1+(Inputs!$B$34+IF(Inputs!$B$3&gt;=117,F233,0))/100))+MIN((Skills!T17*(1+(Inputs!$B$34+IF(Inputs!$B$3&gt;=117,F233,0))/100)),MAX(0,Inputs!$B$43-((R225-1)*Skills!E17))))/Inputs!$B$43),IF(Inputs!$B$38="pvp",MIN((Skills!T17*(1+(Inputs!$B$34+IF(Inputs!$B$3&gt;=117,F233,0))/100)),15)/15,(Skills!T17*(1+(Inputs!$B$34+IF(Inputs!$B$3&gt;=117,F233,0))/100))/Skills!E17)))/100)*IF(C227=TRUE,(1+F227*IF(AND(Inputs!$B$38&lt;&gt;"pvp",Inputs!$B$43&gt;0),(((R227-1)*(Skills!T19*(1+(Inputs!$B$34+IF(Inputs!$B$3&gt;=117,F233,0))/100))+MIN((Skills!T19*(1+(Inputs!$B$34+IF(Inputs!$B$3&gt;=117,F233,0))/100)),MAX(0,Inputs!$B$43-((R227-1)*Skills!E19))))/Inputs!$B$43),IF(Inputs!$B$38="pvp",MIN((Skills!T19*(1+(Inputs!$B$34+IF(Inputs!$B$3&gt;=117,F233,0))/100)),15)/15,(Skills!T19*(1+(Inputs!$B$34+IF(Inputs!$B$3&gt;=117,F233,0))/100))/Skills!E19))/100),1)</f>
        <v/>
      </c>
    </row>
    <row r="241">
      <c r="A241" t="inlineStr">
        <is>
          <t>Attack Speed Buff Bonus % (Nimble Feet, averaged)</t>
        </is>
      </c>
      <c r="B241">
        <f>F226*IF(AND(Inputs!$B$38&lt;&gt;"pvp",Inputs!$B$43&gt;0),(((R226-1)*(Skills!T18*(1+(Inputs!$B$34+IF(Inputs!$B$3&gt;=117,F233,0))/100))+MIN((Skills!T18*(1+(Inputs!$B$34+IF(Inputs!$B$3&gt;=117,F233,0))/100)),MAX(0,Inputs!$B$43-((R226-1)*Skills!E18))))/Inputs!$B$43),IF(Inputs!$B$38="pvp",MIN((Skills!T18*(1+(Inputs!$B$34+IF(Inputs!$B$3&gt;=117,F233,0))/100)),15)/15,(Skills!T18*(1+(Inputs!$B$34+IF(Inputs!$B$3&gt;=117,F233,0))/100))/Skills!E18))</f>
        <v/>
      </c>
    </row>
    <row r="242">
      <c r="A242" t="inlineStr">
        <is>
          <t>Actions Per Second</t>
        </is>
      </c>
      <c r="B242">
        <f>1+MIN(150,150*(1-(1-Inputs!$B$11/150)*(1-B241/150)))/100</f>
        <v/>
      </c>
    </row>
    <row r="243">
      <c r="A243" t="inlineStr">
        <is>
          <t>Skill + Buff Cast Rate</t>
        </is>
      </c>
      <c r="B243">
        <f>IF(AND(Inputs!$B$38&lt;&gt;"pvp",Inputs!$B$43&gt;0),SUMPRODUCT((Skills!F2:F28=TRUE)*(C210:C236=TRUE)*R210:R236)/Inputs!$B$43,SUMPRODUCT((Skills!F2:F28=TRUE)*(C210:C236=TRUE)*Q210:Q236))</f>
        <v/>
      </c>
    </row>
    <row r="244">
      <c r="A244" t="inlineStr">
        <is>
          <t>Basic Attacks Per Second</t>
        </is>
      </c>
      <c r="B244">
        <f>MAX(0,B242-B243)</f>
        <v/>
      </c>
    </row>
    <row r="245">
      <c r="A245" t="inlineStr">
        <is>
          <t>Meteor Proc — combined trigger cast rate</t>
        </is>
      </c>
      <c r="B245">
        <f>IF(AND(Inputs!$B$38&lt;&gt;"pvp",Inputs!$B$43&gt;0),SUMPRODUCT((Skills!V2:V28=TRUE)*(C210:C236=TRUE)*R210:R236*Skills!W2:W28)/Inputs!$B$43,SUMPRODUCT((Skills!V2:V28=TRUE)*(C210:C236=TRUE)*Q210:Q236*Skills!W2:W28))+B244</f>
        <v/>
      </c>
    </row>
    <row r="246">
      <c r="A246" t="inlineStr">
        <is>
          <t>Buff-Casting Startup Delay (s, fixed-duration only)</t>
        </is>
      </c>
      <c r="B246">
        <f>IF(AND(Inputs!$B$38&lt;&gt;"pvp",Inputs!$B$43&gt;0),SUMPRODUCT((Skills!T2:T28&gt;0)*(Skills!F2:F28=TRUE)*(C210:C236=TRUE))/B242,0)</f>
        <v/>
      </c>
    </row>
    <row r="247">
      <c r="A247" t="inlineStr">
        <is>
          <t>Boss-Only Total DPS (this block's swept value)</t>
        </is>
      </c>
      <c r="B247">
        <f>SUM(S210:S236)</f>
        <v/>
      </c>
    </row>
    <row r="248">
      <c r="A248" t="inlineStr">
        <is>
          <t>Normal-Only Total DPS (this block's swept value)</t>
        </is>
      </c>
      <c r="B248">
        <f>SUM(U210:U236)</f>
        <v/>
      </c>
    </row>
    <row r="249">
      <c r="A249" s="5" t="inlineStr">
        <is>
          <t>TOTAL DPS</t>
        </is>
      </c>
      <c r="B249" s="5">
        <f>SUM(O210:O236)</f>
        <v/>
      </c>
    </row>
    <row r="252">
      <c r="A252" s="5" t="inlineStr">
        <is>
          <t>Stat: NORMAL_DAMAGE %</t>
        </is>
      </c>
    </row>
    <row r="253">
      <c r="A253" s="9" t="inlineStr">
        <is>
          <t>Key</t>
        </is>
      </c>
      <c r="B253" s="9" t="inlineStr">
        <is>
          <t>Name</t>
        </is>
      </c>
      <c r="C253" s="9" t="inlineStr">
        <is>
          <t>Unlocked</t>
        </is>
      </c>
      <c r="D253" s="9" t="inlineStr">
        <is>
          <t>InputLevel</t>
        </is>
      </c>
      <c r="E253" s="9" t="inlineStr">
        <is>
          <t>Factor</t>
        </is>
      </c>
      <c r="F253" s="9" t="inlineStr">
        <is>
          <t>CoefficientPercent</t>
        </is>
      </c>
      <c r="G253" s="9" t="inlineStr">
        <is>
          <t>EffectiveHits</t>
        </is>
      </c>
      <c r="H253" s="9" t="inlineStr">
        <is>
          <t>ProcProbability</t>
        </is>
      </c>
      <c r="I253" s="9" t="inlineStr">
        <is>
          <t>MapleHeroMultiplier</t>
        </is>
      </c>
      <c r="J253" s="9" t="inlineStr">
        <is>
          <t>BaseDamage</t>
        </is>
      </c>
      <c r="K253" s="9" t="inlineStr">
        <is>
          <t>BaseHitDamage</t>
        </is>
      </c>
      <c r="L253" s="9" t="inlineStr">
        <is>
          <t>NonCritAvg</t>
        </is>
      </c>
      <c r="M253" s="9" t="inlineStr">
        <is>
          <t>CritAvg</t>
        </is>
      </c>
      <c r="N253" s="9" t="inlineStr">
        <is>
          <t>ExpectedDamage(perHit)</t>
        </is>
      </c>
      <c r="O253" s="9" t="inlineStr">
        <is>
          <t>DPS</t>
        </is>
      </c>
      <c r="P253" s="9" t="inlineStr">
        <is>
          <t>% of Total</t>
        </is>
      </c>
      <c r="R253" t="inlineStr">
        <is>
          <t>helpers</t>
        </is>
      </c>
    </row>
    <row r="254">
      <c r="A254">
        <f>Skills!A2</f>
        <v/>
      </c>
      <c r="B254">
        <f>Skills!B2</f>
        <v/>
      </c>
      <c r="C254">
        <f>TRUE</f>
        <v/>
      </c>
      <c r="D254" t="inlineStr"/>
      <c r="E254" t="inlineStr"/>
      <c r="F254">
        <f>T256+Skills!O2</f>
        <v/>
      </c>
      <c r="G254">
        <f>Calc!G2</f>
        <v/>
      </c>
      <c r="H254">
        <f>Calc!H2</f>
        <v/>
      </c>
      <c r="I254">
        <f>IF(Skills!X2&lt;&gt;"",1+(Skills!X2/10)*(Z255/1000)/100,1)</f>
        <v/>
      </c>
      <c r="J254">
        <f>((Inputs!$B$6*(1+Inputs!$B$7/100))+(((Inputs!$B$12*(1+Inputs!$B$13/100))-(Inputs!$B$12*(1+Inputs!$B$13/100)))+0.25*(Inputs!$B$14-Inputs!$B$14))*(1+Inputs!$B$7/100))*(F254/100)</f>
        <v/>
      </c>
      <c r="K254">
        <f>J254*(1+((Inputs!$B$12*(1+Inputs!$B$13/100))*0.01+Inputs!$B$14*0.0025)/100)*(1+Inputs!$B$15/100)*(1+Inputs!$B$16/100)*(5000/(6000+Inputs!$B$42*(1-Inputs!$B$19/100)))*(1+Inputs!$B$24/100)*(1+F275/100)*(1+IF(Inputs!$B$3&gt;=120,F278,0)/100)^5*(1+(IF(Skills!A2="BASIC_ATTACK",Inputs!$B$17,Inputs!$B$18+IF(Inputs!$B$3&gt;=125,F279*5,0)))/100)*(B282*B283*B284*I254)</f>
        <v/>
      </c>
      <c r="L254">
        <f>K254*(MIN(Inputs!$B$22+(F274-Calc!F22),Inputs!$B$23)/100+Inputs!$B$23/100)/2</f>
        <v/>
      </c>
      <c r="M254">
        <f>L254*(1+(Inputs!$B$10+(F273-Calc!F21))/100)</f>
        <v/>
      </c>
      <c r="N254">
        <f>L254*(1-MIN(Inputs!$B$9+(F272-Calc!F20),100)/100)+M254*(MIN(Inputs!$B$9+(F272-Calc!F20),100)/100)</f>
        <v/>
      </c>
      <c r="O254">
        <f>(1-Summary!$B$56)*S254+Summary!$B$56*U254</f>
        <v/>
      </c>
      <c r="P254">
        <f>IF(B293=0,0,O254/B293)</f>
        <v/>
      </c>
      <c r="Q254">
        <f>IFERROR(1/IF(Inputs!$B$38="pvp",15,MAX(0.1,Skills!E2-IF(Skills!F2=TRUE,Inputs!$B$32,0))),0)</f>
        <v/>
      </c>
      <c r="R254" t="n">
        <v>0</v>
      </c>
      <c r="S254">
        <f>(Skills!G2*N254*B288)*IF(Inputs!$B$38="pvp",1,1+(Inputs!$B$20+Skills!P2)/100)</f>
        <v/>
      </c>
      <c r="T254">
        <f>MAX(0,(Inputs!$B$3-100)*3)+Inputs!$B$28+Inputs!$B$29</f>
        <v/>
      </c>
      <c r="U254">
        <f>(Skills!G2*N254*B288)*IF(Inputs!$B$38="pvp",1,(1+((Inputs!$B$21+1)+Skills!Q2)/100)*(MIN((6+Inputs!$B$33+IF(Inputs!$B$3&gt;=136,1,0)),Inputs!$B$37)))</f>
        <v/>
      </c>
      <c r="Z254">
        <f>MAX(0,(Inputs!$B$3-100)*3)+Inputs!$B$28+Inputs!$B$29</f>
        <v/>
      </c>
    </row>
    <row r="255">
      <c r="A255">
        <f>Skills!A3</f>
        <v/>
      </c>
      <c r="B255">
        <f>Skills!B3</f>
        <v/>
      </c>
      <c r="C255">
        <f>TRUE</f>
        <v/>
      </c>
      <c r="D255">
        <f>IF(Skills!C3=1,60+Inputs!$B$25+Inputs!$B$29,IF(Skills!C3=2,90+Inputs!$B$26+Inputs!$B$29,IF(Skills!C3=3,120+Inputs!$B$27+Inputs!$B$29,MAX(0,(Inputs!$B$3-100)*3)+Inputs!$B$28+Inputs!$B$29)))</f>
        <v/>
      </c>
      <c r="E255">
        <f>INDEX(FactorTable!$B$2:$Y$301, MATCH(ROUND(MIN(300,MAX(1,D255)),0), FactorTable!$A$2:$A$301,0), Skills!M3+1)</f>
        <v/>
      </c>
      <c r="F255">
        <f>IF(Skills!N3=TRUE,(Skills!L3/10)*(E255/1000),Skills!L3/10)+Skills!O3</f>
        <v/>
      </c>
      <c r="G255">
        <f>Calc!G3</f>
        <v/>
      </c>
      <c r="H255">
        <f>Calc!H3</f>
        <v/>
      </c>
      <c r="I255">
        <f>IF(Skills!X3&lt;&gt;"",1+(Skills!X3/10)*(Z255/1000)/100,1)</f>
        <v/>
      </c>
      <c r="J255">
        <f>((Inputs!$B$6*(1+Inputs!$B$7/100))+(((Inputs!$B$12*(1+Inputs!$B$13/100))-(Inputs!$B$12*(1+Inputs!$B$13/100)))+0.25*(Inputs!$B$14-Inputs!$B$14))*(1+Inputs!$B$7/100))*(F255/100)</f>
        <v/>
      </c>
      <c r="K255">
        <f>J255*(1+((Inputs!$B$12*(1+Inputs!$B$13/100))*0.01+Inputs!$B$14*0.0025)/100)*(1+Inputs!$B$15/100)*(1+Inputs!$B$16/100)*(5000/(6000+Inputs!$B$42*(1-Inputs!$B$19/100)))*(1+Inputs!$B$24/100)*(1+F275/100)*(1+IF(Inputs!$B$3&gt;=120,F278,0)/100)^5*(1+(IF(Skills!A3="BASIC_ATTACK",Inputs!$B$17,Inputs!$B$18+IF(Inputs!$B$3&gt;=125,F279*5,0)))/100)*(B282*B283*B284*I255)</f>
        <v/>
      </c>
      <c r="L255">
        <f>K255*(MIN(Inputs!$B$22+(F274-Calc!F22),Inputs!$B$23)/100+Inputs!$B$23/100)/2</f>
        <v/>
      </c>
      <c r="M255">
        <f>L255*(1+(Inputs!$B$10+(F273-Calc!F21))/100)</f>
        <v/>
      </c>
      <c r="N255">
        <f>L255*(1-MIN(Inputs!$B$9+(F272-Calc!F20),100)/100)+M255*(MIN(Inputs!$B$9+(F272-Calc!F20),100)/100)</f>
        <v/>
      </c>
      <c r="O255">
        <f>(1-Summary!$B$56)*S255+Summary!$B$56*U255</f>
        <v/>
      </c>
      <c r="P255">
        <f>IF(B293=0,0,O255/B293)</f>
        <v/>
      </c>
      <c r="Q255">
        <f>IFERROR(1/IF(Inputs!$B$38="pvp",15,MAX(0.1,Skills!E3-IF(Skills!F3=TRUE,Inputs!$B$32,0))),0)</f>
        <v/>
      </c>
      <c r="R255">
        <f>IF(AND(Inputs!$B$38&lt;&gt;"pvp",Inputs!$B$43&gt;0),IF(MAX(0,Inputs!$B$43-B290)&lt;=0,0,(INT(MAX(0,Inputs!$B$43-B290)/IF(Inputs!$B$38="pvp",15,MAX(0.1,Skills!E3-IF(Skills!F3=TRUE,Inputs!$B$32,0))))+1)),0)</f>
        <v/>
      </c>
      <c r="S255">
        <f>IF(C255,(H255*N255*IF(AND(Inputs!$B$38&lt;&gt;"pvp",Inputs!$B$43&gt;0),((Skills!G3*((R255-1)*IF(Skills!H3&gt;0,Skills!I3/Skills!H3,1)+IF(Skills!H3&gt;0,MIN(Skills!I3,MAX(0,MAX(0,Inputs!$B$43-B290)-((R255-1)*IF(Inputs!$B$38="pvp",15,MAX(0.1,Skills!E3-IF(Skills!F3=TRUE,Inputs!$B$32,0))))))/Skills!H3,1)))/Inputs!$B$43),G255*Q255))*IF(Inputs!$B$38="pvp",1,1+(Inputs!$B$20+Skills!P3)/100),0)</f>
        <v/>
      </c>
      <c r="T255">
        <f>INDEX(FactorTable!$B$2:$Y$301, MATCH(ROUND(MIN(300,MAX(1,T254)),0), FactorTable!$A$2:$A$301,0), 22)</f>
        <v/>
      </c>
      <c r="U255">
        <f>IF(C255,(H255*N255*IF(AND(Inputs!$B$38&lt;&gt;"pvp",Inputs!$B$43&gt;0),((Skills!G3*((R255-1)*IF(Skills!H3&gt;0,Skills!I3/Skills!H3,1)+IF(Skills!H3&gt;0,MIN(Skills!I3,MAX(0,MAX(0,Inputs!$B$43-B290)-((R255-1)*IF(Inputs!$B$38="pvp",15,MAX(0.1,Skills!E3-IF(Skills!F3=TRUE,Inputs!$B$32,0))))))/Skills!H3,1)))/Inputs!$B$43),G255*Q255))*IF(Inputs!$B$38="pvp",1,(1+((Inputs!$B$21+1)+Skills!Q3)/100)*(MIN(Skills!R3,Inputs!$B$37))),0)</f>
        <v/>
      </c>
      <c r="Z255">
        <f>INDEX(FactorTable!$B$2:$Y$301, MATCH(ROUND(MIN(300,MAX(1,Z254)),0), FactorTable!$A$2:$A$301,0), 24)</f>
        <v/>
      </c>
    </row>
    <row r="256">
      <c r="A256">
        <f>Skills!A4</f>
        <v/>
      </c>
      <c r="B256">
        <f>Skills!B4</f>
        <v/>
      </c>
      <c r="C256">
        <f>TRUE</f>
        <v/>
      </c>
      <c r="D256">
        <f>IF(Skills!C4=1,60+Inputs!$B$25+Inputs!$B$29,IF(Skills!C4=2,90+Inputs!$B$26+Inputs!$B$29,IF(Skills!C4=3,120+Inputs!$B$27+Inputs!$B$29,MAX(0,(Inputs!$B$3-100)*3)+Inputs!$B$28+Inputs!$B$29)))</f>
        <v/>
      </c>
      <c r="E256">
        <f>INDEX(FactorTable!$B$2:$Y$301, MATCH(ROUND(MIN(300,MAX(1,D256)),0), FactorTable!$A$2:$A$301,0), Skills!M4+1)</f>
        <v/>
      </c>
      <c r="F256">
        <f>IF(Skills!N4=TRUE,(Skills!L4/10)*(E256/1000),Skills!L4/10)+Skills!O4</f>
        <v/>
      </c>
      <c r="G256">
        <f>Calc!G4</f>
        <v/>
      </c>
      <c r="H256">
        <f>Calc!H4</f>
        <v/>
      </c>
      <c r="I256">
        <f>IF(Skills!X4&lt;&gt;"",1+(Skills!X4/10)*(Z255/1000)/100,1)</f>
        <v/>
      </c>
      <c r="J256">
        <f>((Inputs!$B$6*(1+Inputs!$B$7/100))+(((Inputs!$B$12*(1+Inputs!$B$13/100))-(Inputs!$B$12*(1+Inputs!$B$13/100)))+0.25*(Inputs!$B$14-Inputs!$B$14))*(1+Inputs!$B$7/100))*(F256/100)</f>
        <v/>
      </c>
      <c r="K256">
        <f>J256*(1+((Inputs!$B$12*(1+Inputs!$B$13/100))*0.01+Inputs!$B$14*0.0025)/100)*(1+Inputs!$B$15/100)*(1+Inputs!$B$16/100)*(5000/(6000+Inputs!$B$42*(1-Inputs!$B$19/100)))*(1+Inputs!$B$24/100)*(1+F275/100)*(1+IF(Inputs!$B$3&gt;=120,F278,0)/100)^5*(1+(IF(Skills!A4="BASIC_ATTACK",Inputs!$B$17,Inputs!$B$18+IF(Inputs!$B$3&gt;=125,F279*5,0)))/100)*(B282*B283*B284*I256)</f>
        <v/>
      </c>
      <c r="L256">
        <f>K256*(MIN(Inputs!$B$22+(F274-Calc!F22),Inputs!$B$23)/100+Inputs!$B$23/100)/2</f>
        <v/>
      </c>
      <c r="M256">
        <f>L256*(1+(Inputs!$B$10+(F273-Calc!F21))/100)</f>
        <v/>
      </c>
      <c r="N256">
        <f>L256*(1-MIN(Inputs!$B$9+(F272-Calc!F20),100)/100)+M256*(MIN(Inputs!$B$9+(F272-Calc!F20),100)/100)</f>
        <v/>
      </c>
      <c r="O256">
        <f>(1-Summary!$B$56)*S256+Summary!$B$56*U256</f>
        <v/>
      </c>
      <c r="P256">
        <f>IF(B293=0,0,O256/B293)</f>
        <v/>
      </c>
      <c r="Q256">
        <f>IFERROR(1/IF(Inputs!$B$38="pvp",15,MAX(0.1,Skills!E4-IF(Skills!F4=TRUE,Inputs!$B$32,0))),0)</f>
        <v/>
      </c>
      <c r="R256">
        <f>IF(AND(Inputs!$B$38&lt;&gt;"pvp",Inputs!$B$43&gt;0),IF(MAX(0,Inputs!$B$43-B290)&lt;=0,0,(INT(MAX(0,Inputs!$B$43-B290)/IF(Inputs!$B$38="pvp",15,MAX(0.1,Skills!E4-IF(Skills!F4=TRUE,Inputs!$B$32,0))))+1)),0)</f>
        <v/>
      </c>
      <c r="S256">
        <f>IF(C256,(H256*N256*IF(AND(Inputs!$B$38&lt;&gt;"pvp",Inputs!$B$43&gt;0),((Skills!G4*((R256-1)*IF(Skills!H4&gt;0,Skills!I4/Skills!H4,1)+IF(Skills!H4&gt;0,MIN(Skills!I4,MAX(0,MAX(0,Inputs!$B$43-B290)-((R256-1)*IF(Inputs!$B$38="pvp",15,MAX(0.1,Skills!E4-IF(Skills!F4=TRUE,Inputs!$B$32,0))))))/Skills!H4,1)))/Inputs!$B$43),G256*Q256))*IF(Inputs!$B$38="pvp",1,1+(Inputs!$B$20+Skills!P4)/100),0)</f>
        <v/>
      </c>
      <c r="T256">
        <f>290*T255/1000</f>
        <v/>
      </c>
      <c r="U256">
        <f>IF(C256,(H256*N256*IF(AND(Inputs!$B$38&lt;&gt;"pvp",Inputs!$B$43&gt;0),((Skills!G4*((R256-1)*IF(Skills!H4&gt;0,Skills!I4/Skills!H4,1)+IF(Skills!H4&gt;0,MIN(Skills!I4,MAX(0,MAX(0,Inputs!$B$43-B290)-((R256-1)*IF(Inputs!$B$38="pvp",15,MAX(0.1,Skills!E4-IF(Skills!F4=TRUE,Inputs!$B$32,0))))))/Skills!H4,1)))/Inputs!$B$43),G256*Q256))*IF(Inputs!$B$38="pvp",1,(1+((Inputs!$B$21+1)+Skills!Q4)/100)*(MIN(Skills!R4,Inputs!$B$37))),0)</f>
        <v/>
      </c>
    </row>
    <row r="257">
      <c r="A257">
        <f>Skills!A5</f>
        <v/>
      </c>
      <c r="B257">
        <f>Skills!B5</f>
        <v/>
      </c>
      <c r="C257">
        <f>TRUE</f>
        <v/>
      </c>
      <c r="D257">
        <f>IF(Skills!C5=1,60+Inputs!$B$25+Inputs!$B$29,IF(Skills!C5=2,90+Inputs!$B$26+Inputs!$B$29,IF(Skills!C5=3,120+Inputs!$B$27+Inputs!$B$29,MAX(0,(Inputs!$B$3-100)*3)+Inputs!$B$28+Inputs!$B$29)))</f>
        <v/>
      </c>
      <c r="E257">
        <f>INDEX(FactorTable!$B$2:$Y$301, MATCH(ROUND(MIN(300,MAX(1,D257)),0), FactorTable!$A$2:$A$301,0), Skills!M5+1)</f>
        <v/>
      </c>
      <c r="F257">
        <f>IF(Skills!N5=TRUE,(Skills!L5/10)*(E257/1000),Skills!L5/10)+Skills!O5</f>
        <v/>
      </c>
      <c r="G257">
        <f>Calc!G5</f>
        <v/>
      </c>
      <c r="H257">
        <f>Calc!H5</f>
        <v/>
      </c>
      <c r="I257">
        <f>IF(Skills!X5&lt;&gt;"",1+(Skills!X5/10)*(Z255/1000)/100,1)</f>
        <v/>
      </c>
      <c r="J257">
        <f>((Inputs!$B$6*(1+Inputs!$B$7/100))+(((Inputs!$B$12*(1+Inputs!$B$13/100))-(Inputs!$B$12*(1+Inputs!$B$13/100)))+0.25*(Inputs!$B$14-Inputs!$B$14))*(1+Inputs!$B$7/100))*(F257/100)</f>
        <v/>
      </c>
      <c r="K257">
        <f>J257*(1+((Inputs!$B$12*(1+Inputs!$B$13/100))*0.01+Inputs!$B$14*0.0025)/100)*(1+Inputs!$B$15/100)*(1+Inputs!$B$16/100)*(5000/(6000+Inputs!$B$42*(1-Inputs!$B$19/100)))*(1+Inputs!$B$24/100)*(1+F275/100)*(1+IF(Inputs!$B$3&gt;=120,F278,0)/100)^5*(1+(IF(Skills!A5="BASIC_ATTACK",Inputs!$B$17,Inputs!$B$18+IF(Inputs!$B$3&gt;=125,F279*5,0)))/100)*(B282*B283*B284*I257)</f>
        <v/>
      </c>
      <c r="L257">
        <f>K257*(MIN(Inputs!$B$22+(F274-Calc!F22),Inputs!$B$23)/100+Inputs!$B$23/100)/2</f>
        <v/>
      </c>
      <c r="M257">
        <f>L257*(1+(Inputs!$B$10+(F273-Calc!F21))/100)</f>
        <v/>
      </c>
      <c r="N257">
        <f>L257*(1-MIN(Inputs!$B$9+(F272-Calc!F20),100)/100)+M257*(MIN(Inputs!$B$9+(F272-Calc!F20),100)/100)</f>
        <v/>
      </c>
      <c r="O257">
        <f>(1-Summary!$B$56)*S257+Summary!$B$56*U257</f>
        <v/>
      </c>
      <c r="P257">
        <f>IF(B293=0,0,O257/B293)</f>
        <v/>
      </c>
      <c r="Q257">
        <f>IFERROR(1/IF(Inputs!$B$38="pvp",15,MAX(0.1,Skills!E5-IF(Skills!F5=TRUE,Inputs!$B$32,0))),0)</f>
        <v/>
      </c>
      <c r="R257">
        <f>IF(AND(Inputs!$B$38&lt;&gt;"pvp",Inputs!$B$43&gt;0),IF(MAX(0,Inputs!$B$43-B290)&lt;=0,0,(INT(MAX(0,Inputs!$B$43-B290)/IF(Inputs!$B$38="pvp",15,MAX(0.1,Skills!E5-IF(Skills!F5=TRUE,Inputs!$B$32,0))))+1)),0)</f>
        <v/>
      </c>
      <c r="S257">
        <f>IF(C257,(H257*N257*IF(AND(Inputs!$B$38&lt;&gt;"pvp",Inputs!$B$43&gt;0),((Skills!G5*((R257-1)*IF(Skills!H5&gt;0,Skills!I5/Skills!H5,1)+IF(Skills!H5&gt;0,MIN(Skills!I5,MAX(0,MAX(0,Inputs!$B$43-B290)-((R257-1)*IF(Inputs!$B$38="pvp",15,MAX(0.1,Skills!E5-IF(Skills!F5=TRUE,Inputs!$B$32,0))))))/Skills!H5,1)))/Inputs!$B$43),G257*Q257))*IF(Inputs!$B$38="pvp",1,1+(Inputs!$B$20+Skills!P5)/100),0)</f>
        <v/>
      </c>
      <c r="U257">
        <f>IF(C257,(H257*N257*IF(AND(Inputs!$B$38&lt;&gt;"pvp",Inputs!$B$43&gt;0),((Skills!G5*((R257-1)*IF(Skills!H5&gt;0,Skills!I5/Skills!H5,1)+IF(Skills!H5&gt;0,MIN(Skills!I5,MAX(0,MAX(0,Inputs!$B$43-B290)-((R257-1)*IF(Inputs!$B$38="pvp",15,MAX(0.1,Skills!E5-IF(Skills!F5=TRUE,Inputs!$B$32,0))))))/Skills!H5,1)))/Inputs!$B$43),G257*Q257))*IF(Inputs!$B$38="pvp",1,(1+((Inputs!$B$21+1)+Skills!Q5)/100)*(MIN(Skills!R5,Inputs!$B$37))),0)</f>
        <v/>
      </c>
    </row>
    <row r="258">
      <c r="A258">
        <f>Skills!A6</f>
        <v/>
      </c>
      <c r="B258">
        <f>Skills!B6</f>
        <v/>
      </c>
      <c r="C258">
        <f>TRUE</f>
        <v/>
      </c>
      <c r="D258">
        <f>IF(Skills!C6=1,60+Inputs!$B$25+Inputs!$B$29,IF(Skills!C6=2,90+Inputs!$B$26+Inputs!$B$29,IF(Skills!C6=3,120+Inputs!$B$27+Inputs!$B$29,MAX(0,(Inputs!$B$3-100)*3)+Inputs!$B$28+Inputs!$B$29)))</f>
        <v/>
      </c>
      <c r="E258">
        <f>INDEX(FactorTable!$B$2:$Y$301, MATCH(ROUND(MIN(300,MAX(1,D258)),0), FactorTable!$A$2:$A$301,0), Skills!M6+1)</f>
        <v/>
      </c>
      <c r="F258">
        <f>IF(Skills!N6=TRUE,(Skills!L6/10)*(E258/1000),Skills!L6/10)+Skills!O6</f>
        <v/>
      </c>
      <c r="G258">
        <f>Calc!G6</f>
        <v/>
      </c>
      <c r="H258">
        <f>Calc!H6</f>
        <v/>
      </c>
      <c r="I258">
        <f>IF(Skills!X6&lt;&gt;"",1+(Skills!X6/10)*(Z255/1000)/100,1)</f>
        <v/>
      </c>
      <c r="J258" t="inlineStr"/>
      <c r="K258" t="inlineStr"/>
      <c r="L258" t="inlineStr"/>
      <c r="M258" t="inlineStr"/>
      <c r="N258" t="inlineStr"/>
      <c r="O258">
        <f>(1-Summary!$B$56)*S258+Summary!$B$56*U258</f>
        <v/>
      </c>
      <c r="P258">
        <f>IF(B293=0,0,O258/B293)</f>
        <v/>
      </c>
      <c r="Q258">
        <f>IFERROR(1/IF(Inputs!$B$38="pvp",15,MAX(0.1,Skills!E6-IF(Skills!F6=TRUE,Inputs!$B$32,0))),0)</f>
        <v/>
      </c>
      <c r="R258">
        <f>IF(AND(Inputs!$B$38&lt;&gt;"pvp",Inputs!$B$43&gt;0),IF(Inputs!$B$43&lt;=0,0,(INT(Inputs!$B$43/IF(Inputs!$B$38="pvp",15,MAX(0.1,Skills!E6-IF(Skills!F6=TRUE,Inputs!$B$32,0))))+1)),0)</f>
        <v/>
      </c>
      <c r="S258" t="n">
        <v>0</v>
      </c>
      <c r="U258" t="n">
        <v>0</v>
      </c>
    </row>
    <row r="259">
      <c r="A259">
        <f>Skills!A7</f>
        <v/>
      </c>
      <c r="B259">
        <f>Skills!B7</f>
        <v/>
      </c>
      <c r="C259">
        <f>TRUE</f>
        <v/>
      </c>
      <c r="D259">
        <f>IF(Skills!C7=1,60+Inputs!$B$25+Inputs!$B$29,IF(Skills!C7=2,90+Inputs!$B$26+Inputs!$B$29,IF(Skills!C7=3,120+Inputs!$B$27+Inputs!$B$29,MAX(0,(Inputs!$B$3-100)*3)+Inputs!$B$28+Inputs!$B$29)))</f>
        <v/>
      </c>
      <c r="E259">
        <f>INDEX(FactorTable!$B$2:$Y$301, MATCH(ROUND(MIN(300,MAX(1,D259)),0), FactorTable!$A$2:$A$301,0), Skills!M7+1)</f>
        <v/>
      </c>
      <c r="F259">
        <f>IF(Skills!N7=TRUE,(Skills!L7/10)*(E259/1000),Skills!L7/10)+Skills!O7</f>
        <v/>
      </c>
      <c r="G259">
        <f>Calc!G7</f>
        <v/>
      </c>
      <c r="H259">
        <f>Calc!H7</f>
        <v/>
      </c>
      <c r="I259">
        <f>IF(Skills!X7&lt;&gt;"",1+(Skills!X7/10)*(Z255/1000)/100,1)</f>
        <v/>
      </c>
      <c r="J259">
        <f>((Inputs!$B$6*(1+Inputs!$B$7/100))+(((Inputs!$B$12*(1+Inputs!$B$13/100))-(Inputs!$B$12*(1+Inputs!$B$13/100)))+0.25*(Inputs!$B$14-Inputs!$B$14))*(1+Inputs!$B$7/100))*(F259/100)</f>
        <v/>
      </c>
      <c r="K259">
        <f>J259*(1+((Inputs!$B$12*(1+Inputs!$B$13/100))*0.01+Inputs!$B$14*0.0025)/100)*(1+Inputs!$B$15/100)*(1+Inputs!$B$16/100)*(5000/(6000+Inputs!$B$42*(1-Inputs!$B$19/100)))*(1+Inputs!$B$24/100)*(1+F275/100)*(1+IF(Inputs!$B$3&gt;=120,F278,0)/100)^5*(1+(IF(Skills!A7="BASIC_ATTACK",Inputs!$B$17,Inputs!$B$18+IF(Inputs!$B$3&gt;=125,F279*5,0)))/100)*(B282*B283*B284*I259)</f>
        <v/>
      </c>
      <c r="L259">
        <f>K259*(MIN(Inputs!$B$22+(F274-Calc!F22),Inputs!$B$23)/100+Inputs!$B$23/100)/2</f>
        <v/>
      </c>
      <c r="M259">
        <f>L259*(1+(Inputs!$B$10+(F273-Calc!F21))/100)</f>
        <v/>
      </c>
      <c r="N259">
        <f>L259*(1-MIN(Inputs!$B$9+(F272-Calc!F20),100)/100)+M259*(MIN(Inputs!$B$9+(F272-Calc!F20),100)/100)</f>
        <v/>
      </c>
      <c r="O259">
        <f>(1-Summary!$B$56)*S259+Summary!$B$56*U259</f>
        <v/>
      </c>
      <c r="P259">
        <f>IF(B293=0,0,O259/B293)</f>
        <v/>
      </c>
      <c r="Q259">
        <f>IFERROR(1/IF(Inputs!$B$38="pvp",15,MAX(0.1,Skills!E7-IF(Skills!F7=TRUE,Inputs!$B$32,0))),0)</f>
        <v/>
      </c>
      <c r="R259">
        <f>IF(AND(Inputs!$B$38&lt;&gt;"pvp",Inputs!$B$43&gt;0),IF(MAX(0,Inputs!$B$43-B290)&lt;=0,0,(INT(MAX(0,Inputs!$B$43-B290)/IF(Inputs!$B$38="pvp",15,MAX(0.1,Skills!E7-IF(Skills!F7=TRUE,Inputs!$B$32,0))))+1)),0)</f>
        <v/>
      </c>
      <c r="S259">
        <f>IF(C259,(H259*N259*IF(AND(Inputs!$B$38&lt;&gt;"pvp",Inputs!$B$43&gt;0),((Skills!G7*((R259-1)*IF(Skills!H7&gt;0,Skills!I7/Skills!H7,1)+IF(Skills!H7&gt;0,MIN(Skills!I7,MAX(0,MAX(0,Inputs!$B$43-B290)-((R259-1)*IF(Inputs!$B$38="pvp",15,MAX(0.1,Skills!E7-IF(Skills!F7=TRUE,Inputs!$B$32,0))))))/Skills!H7,1)))/Inputs!$B$43),G259*Q259))*IF(Inputs!$B$38="pvp",1,1+(Inputs!$B$20+Skills!P7)/100),0)</f>
        <v/>
      </c>
      <c r="U259">
        <f>IF(C259,(H259*N259*IF(AND(Inputs!$B$38&lt;&gt;"pvp",Inputs!$B$43&gt;0),((Skills!G7*((R259-1)*IF(Skills!H7&gt;0,Skills!I7/Skills!H7,1)+IF(Skills!H7&gt;0,MIN(Skills!I7,MAX(0,MAX(0,Inputs!$B$43-B290)-((R259-1)*IF(Inputs!$B$38="pvp",15,MAX(0.1,Skills!E7-IF(Skills!F7=TRUE,Inputs!$B$32,0))))))/Skills!H7,1)))/Inputs!$B$43),G259*Q259))*IF(Inputs!$B$38="pvp",1,(1+((Inputs!$B$21+1)+Skills!Q7)/100)*(MIN(Skills!R7,Inputs!$B$37))),0)</f>
        <v/>
      </c>
    </row>
    <row r="260">
      <c r="A260">
        <f>Skills!A8</f>
        <v/>
      </c>
      <c r="B260">
        <f>Skills!B8</f>
        <v/>
      </c>
      <c r="C260">
        <f>TRUE</f>
        <v/>
      </c>
      <c r="D260">
        <f>IF(Skills!C8=1,60+Inputs!$B$25+Inputs!$B$29,IF(Skills!C8=2,90+Inputs!$B$26+Inputs!$B$29,IF(Skills!C8=3,120+Inputs!$B$27+Inputs!$B$29,MAX(0,(Inputs!$B$3-100)*3)+Inputs!$B$28+Inputs!$B$29)))</f>
        <v/>
      </c>
      <c r="E260">
        <f>INDEX(FactorTable!$B$2:$Y$301, MATCH(ROUND(MIN(300,MAX(1,D260)),0), FactorTable!$A$2:$A$301,0), Skills!M8+1)</f>
        <v/>
      </c>
      <c r="F260">
        <f>IF(Skills!N8=TRUE,(Skills!L8/10)*(E260/1000),Skills!L8/10)+Skills!O8</f>
        <v/>
      </c>
      <c r="G260">
        <f>Calc!G8</f>
        <v/>
      </c>
      <c r="H260">
        <f>Calc!H8</f>
        <v/>
      </c>
      <c r="I260">
        <f>IF(Skills!X8&lt;&gt;"",1+(Skills!X8/10)*(Z255/1000)/100,1)</f>
        <v/>
      </c>
      <c r="J260">
        <f>((Inputs!$B$6*(1+Inputs!$B$7/100))+(((Inputs!$B$12*(1+Inputs!$B$13/100))-(Inputs!$B$12*(1+Inputs!$B$13/100)))+0.25*(Inputs!$B$14-Inputs!$B$14))*(1+Inputs!$B$7/100))*(F260/100)</f>
        <v/>
      </c>
      <c r="K260">
        <f>J260*(1+((Inputs!$B$12*(1+Inputs!$B$13/100))*0.01+Inputs!$B$14*0.0025)/100)*(1+Inputs!$B$15/100)*(1+Inputs!$B$16/100)*(5000/(6000+Inputs!$B$42*(1-Inputs!$B$19/100)))*(1+Inputs!$B$24/100)*(1+F275/100)*(1+IF(Inputs!$B$3&gt;=120,F278,0)/100)^5*(1+(IF(Skills!A8="BASIC_ATTACK",Inputs!$B$17,Inputs!$B$18+IF(Inputs!$B$3&gt;=125,F279*5,0)))/100)*(B282*B283*B284*I260)</f>
        <v/>
      </c>
      <c r="L260">
        <f>K260*(MIN(Inputs!$B$22+(F274-Calc!F22),Inputs!$B$23)/100+Inputs!$B$23/100)/2</f>
        <v/>
      </c>
      <c r="M260">
        <f>L260*(1+(Inputs!$B$10+(F273-Calc!F21))/100)</f>
        <v/>
      </c>
      <c r="N260">
        <f>L260*(1-MIN(Inputs!$B$9+(F272-Calc!F20),100)/100)+M260*(MIN(Inputs!$B$9+(F272-Calc!F20),100)/100)</f>
        <v/>
      </c>
      <c r="O260">
        <f>(1-Summary!$B$56)*S260+Summary!$B$56*U260</f>
        <v/>
      </c>
      <c r="P260">
        <f>IF(B293=0,0,O260/B293)</f>
        <v/>
      </c>
      <c r="Q260">
        <f>IFERROR(1/IF(Inputs!$B$38="pvp",15,MAX(0.1,Skills!E8-IF(Skills!F8=TRUE,Inputs!$B$32,0))),0)</f>
        <v/>
      </c>
      <c r="R260">
        <f>IF(AND(Inputs!$B$38&lt;&gt;"pvp",Inputs!$B$43&gt;0),IF(MAX(0,Inputs!$B$43-B290)&lt;=0,0,(INT(MAX(0,Inputs!$B$43-B290)/IF(Inputs!$B$38="pvp",15,MAX(0.1,Skills!E8-IF(Skills!F8=TRUE,Inputs!$B$32,0))))+1)),0)</f>
        <v/>
      </c>
      <c r="S260">
        <f>IF(C260,(H260*N260*IF(AND(Inputs!$B$38&lt;&gt;"pvp",Inputs!$B$43&gt;0),((Skills!G8*((R260-1)*IF(Skills!H8&gt;0,Skills!I8/Skills!H8,1)+IF(Skills!H8&gt;0,MIN(Skills!I8,MAX(0,MAX(0,Inputs!$B$43-B290)-((R260-1)*IF(Inputs!$B$38="pvp",15,MAX(0.1,Skills!E8-IF(Skills!F8=TRUE,Inputs!$B$32,0))))))/Skills!H8,1)))/Inputs!$B$43),G260*Q260))*IF(Inputs!$B$38="pvp",1,1+(Inputs!$B$20+Skills!P8)/100),0)</f>
        <v/>
      </c>
      <c r="U260">
        <f>IF(C260,(H260*N260*IF(AND(Inputs!$B$38&lt;&gt;"pvp",Inputs!$B$43&gt;0),((Skills!G8*((R260-1)*IF(Skills!H8&gt;0,Skills!I8/Skills!H8,1)+IF(Skills!H8&gt;0,MIN(Skills!I8,MAX(0,MAX(0,Inputs!$B$43-B290)-((R260-1)*IF(Inputs!$B$38="pvp",15,MAX(0.1,Skills!E8-IF(Skills!F8=TRUE,Inputs!$B$32,0))))))/Skills!H8,1)))/Inputs!$B$43),G260*Q260))*IF(Inputs!$B$38="pvp",1,(1+((Inputs!$B$21+1)+Skills!Q8)/100)*(MIN(Skills!R8,Inputs!$B$37))),0)</f>
        <v/>
      </c>
    </row>
    <row r="261">
      <c r="A261">
        <f>Skills!A9</f>
        <v/>
      </c>
      <c r="B261">
        <f>Skills!B9</f>
        <v/>
      </c>
      <c r="C261">
        <f>Inputs!$B$3&gt;=103</f>
        <v/>
      </c>
      <c r="D261">
        <f>IF(Skills!C9=1,60+Inputs!$B$25+Inputs!$B$29,IF(Skills!C9=2,90+Inputs!$B$26+Inputs!$B$29,IF(Skills!C9=3,120+Inputs!$B$27+Inputs!$B$29,MAX(0,(Inputs!$B$3-100)*3)+Inputs!$B$28+Inputs!$B$29)))</f>
        <v/>
      </c>
      <c r="E261">
        <f>INDEX(FactorTable!$B$2:$Y$301, MATCH(ROUND(MIN(300,MAX(1,D261)),0), FactorTable!$A$2:$A$301,0), Skills!M9+1)</f>
        <v/>
      </c>
      <c r="F261">
        <f>IF(Skills!N9=TRUE,(Skills!L9/10)*(E261/1000),Skills!L9/10)+Skills!O9</f>
        <v/>
      </c>
      <c r="G261">
        <f>Calc!G9</f>
        <v/>
      </c>
      <c r="H261">
        <f>Calc!H9</f>
        <v/>
      </c>
      <c r="I261">
        <f>IF(Skills!X9&lt;&gt;"",1+(Skills!X9/10)*(Z255/1000)/100,1)</f>
        <v/>
      </c>
      <c r="J261">
        <f>((Inputs!$B$6*(1+Inputs!$B$7/100))+(((Inputs!$B$12*(1+Inputs!$B$13/100))-(Inputs!$B$12*(1+Inputs!$B$13/100)))+0.25*(Inputs!$B$14-Inputs!$B$14))*(1+Inputs!$B$7/100))*(F261/100)</f>
        <v/>
      </c>
      <c r="K261">
        <f>J261*(1+((Inputs!$B$12*(1+Inputs!$B$13/100))*0.01+Inputs!$B$14*0.0025)/100)*(1+Inputs!$B$15/100)*(1+Inputs!$B$16/100)*(5000/(6000+Inputs!$B$42*(1-Inputs!$B$19/100)))*(1+Inputs!$B$24/100)*(1+F275/100)*(1+IF(Inputs!$B$3&gt;=120,F278,0)/100)^5*(1+(IF(Skills!A9="BASIC_ATTACK",Inputs!$B$17,Inputs!$B$18+IF(Inputs!$B$3&gt;=125,F279*5,0)))/100)*(B282*B283*B284*I261)</f>
        <v/>
      </c>
      <c r="L261">
        <f>K261*(MIN(Inputs!$B$22+(F274-Calc!F22),Inputs!$B$23)/100+Inputs!$B$23/100)/2</f>
        <v/>
      </c>
      <c r="M261">
        <f>L261*(1+(Inputs!$B$10+(F273-Calc!F21))/100)</f>
        <v/>
      </c>
      <c r="N261">
        <f>L261*(1-MIN(Inputs!$B$9+(F272-Calc!F20),100)/100)+M261*(MIN(Inputs!$B$9+(F272-Calc!F20),100)/100)</f>
        <v/>
      </c>
      <c r="O261">
        <f>(1-Summary!$B$56)*S261+Summary!$B$56*U261</f>
        <v/>
      </c>
      <c r="P261">
        <f>IF(B293=0,0,O261/B293)</f>
        <v/>
      </c>
      <c r="Q261">
        <f>IFERROR(1/IF(Inputs!$B$38="pvp",15,MAX(0.1,Skills!E9-IF(Skills!F7=TRUE,Inputs!$B$32,0))),0)</f>
        <v/>
      </c>
      <c r="R261">
        <f>IF(AND(Inputs!$B$38&lt;&gt;"pvp",Inputs!$B$43&gt;0),IF(MAX(0,Inputs!$B$43-B290)&lt;=0,0,(INT(MAX(0,Inputs!$B$43-B290)/IF(Inputs!$B$38="pvp",15,MAX(0.1,Skills!E9-IF(Skills!F7=TRUE,Inputs!$B$32,0))))+1)),0)</f>
        <v/>
      </c>
      <c r="S261">
        <f>IF(C261,(H261*N261*IF(AND(Inputs!$B$38&lt;&gt;"pvp",Inputs!$B$43&gt;0),((Skills!G9*((R261-1)*IF(Skills!H9&gt;0,Skills!I9/Skills!H9,1)+IF(Skills!H9&gt;0,MIN(Skills!I9,MAX(0,MAX(0,Inputs!$B$43-B290)-((R261-1)*IF(Inputs!$B$38="pvp",15,MAX(0.1,Skills!E9-IF(Skills!F7=TRUE,Inputs!$B$32,0))))))/Skills!H9,1)))/Inputs!$B$43),G261*Q261))*IF(Inputs!$B$38="pvp",1,1+(Inputs!$B$20+Skills!P9)/100),0)</f>
        <v/>
      </c>
      <c r="U261">
        <f>IF(C261,(H261*N261*IF(AND(Inputs!$B$38&lt;&gt;"pvp",Inputs!$B$43&gt;0),((Skills!G9*((R261-1)*IF(Skills!H9&gt;0,Skills!I9/Skills!H9,1)+IF(Skills!H9&gt;0,MIN(Skills!I9,MAX(0,MAX(0,Inputs!$B$43-B290)-((R261-1)*IF(Inputs!$B$38="pvp",15,MAX(0.1,Skills!E9-IF(Skills!F7=TRUE,Inputs!$B$32,0))))))/Skills!H9,1)))/Inputs!$B$43),G261*Q261))*IF(Inputs!$B$38="pvp",1,(1+((Inputs!$B$21+1)+Skills!Q9)/100)*(MIN(Skills!R9,Inputs!$B$37))),0)</f>
        <v/>
      </c>
    </row>
    <row r="262">
      <c r="A262">
        <f>Skills!A10</f>
        <v/>
      </c>
      <c r="B262">
        <f>Skills!B10</f>
        <v/>
      </c>
      <c r="C262">
        <f>TRUE</f>
        <v/>
      </c>
      <c r="D262">
        <f>IF(Skills!C10=1,60+Inputs!$B$25+Inputs!$B$29,IF(Skills!C10=2,90+Inputs!$B$26+Inputs!$B$29,IF(Skills!C10=3,120+Inputs!$B$27+Inputs!$B$29,MAX(0,(Inputs!$B$3-100)*3)+Inputs!$B$28+Inputs!$B$29)))</f>
        <v/>
      </c>
      <c r="E262">
        <f>INDEX(FactorTable!$B$2:$Y$301, MATCH(ROUND(MIN(300,MAX(1,D262)),0), FactorTable!$A$2:$A$301,0), Skills!M10+1)</f>
        <v/>
      </c>
      <c r="F262">
        <f>IF(Skills!N10=TRUE,(Skills!L10/10)*(E262/1000),Skills!L10/10)+Skills!O10</f>
        <v/>
      </c>
      <c r="G262">
        <f>Calc!G10</f>
        <v/>
      </c>
      <c r="H262">
        <f>Calc!H10</f>
        <v/>
      </c>
      <c r="I262">
        <f>IF(Skills!X10&lt;&gt;"",1+(Skills!X10/10)*(Z255/1000)/100,1)</f>
        <v/>
      </c>
      <c r="J262">
        <f>((Inputs!$B$6*(1+Inputs!$B$7/100))+(((Inputs!$B$12*(1+Inputs!$B$13/100))-(Inputs!$B$12*(1+Inputs!$B$13/100)))+0.25*(Inputs!$B$14-Inputs!$B$14))*(1+Inputs!$B$7/100))*(F262/100)</f>
        <v/>
      </c>
      <c r="K262">
        <f>J262*(1+((Inputs!$B$12*(1+Inputs!$B$13/100))*0.01+Inputs!$B$14*0.0025)/100)*(1+Inputs!$B$15/100)*(1+Inputs!$B$16/100)*(5000/(6000+Inputs!$B$42*(1-Inputs!$B$19/100)))*(1+Inputs!$B$24/100)*(1+F275/100)*(1+IF(Inputs!$B$3&gt;=120,F278,0)/100)^5*(1+(IF(Skills!A10="BASIC_ATTACK",Inputs!$B$17,Inputs!$B$18+IF(Inputs!$B$3&gt;=125,F279*5,0)))/100)*(B282*B283*B284*I262)</f>
        <v/>
      </c>
      <c r="L262">
        <f>K262*(MIN(Inputs!$B$22+(F274-Calc!F22),Inputs!$B$23)/100+Inputs!$B$23/100)/2</f>
        <v/>
      </c>
      <c r="M262">
        <f>L262*(1+(Inputs!$B$10+(F273-Calc!F21))/100)</f>
        <v/>
      </c>
      <c r="N262">
        <f>L262*(1-MIN(Inputs!$B$9+(F272-Calc!F20),100)/100)+M262*(MIN(Inputs!$B$9+(F272-Calc!F20),100)/100)</f>
        <v/>
      </c>
      <c r="O262">
        <f>(1-Summary!$B$56)*S262+Summary!$B$56*U262</f>
        <v/>
      </c>
      <c r="P262">
        <f>IF(B293=0,0,O262/B293)</f>
        <v/>
      </c>
      <c r="Q262">
        <f>IFERROR(1/IF(Inputs!$B$38="pvp",15,MAX(0.1,Skills!E10-IF(Skills!F10=TRUE,Inputs!$B$32,0))),0)</f>
        <v/>
      </c>
      <c r="R262">
        <f>IF(AND(Inputs!$B$38&lt;&gt;"pvp",Inputs!$B$43&gt;0),IF(MAX(0,Inputs!$B$43-B290)&lt;=0,0,(INT(MAX(0,Inputs!$B$43-B290)/IF(Inputs!$B$38="pvp",15,MAX(0.1,Skills!E10-IF(Skills!F10=TRUE,Inputs!$B$32,0))))+1)),0)</f>
        <v/>
      </c>
      <c r="S262">
        <f>IF(C262,(H262*N262*IF(AND(Inputs!$B$38&lt;&gt;"pvp",Inputs!$B$43&gt;0),((Skills!G10*((R262-1)*IF(Skills!H10&gt;0,Skills!I10/Skills!H10,1)+IF(Skills!H10&gt;0,MIN(Skills!I10,MAX(0,MAX(0,Inputs!$B$43-B290)-((R262-1)*IF(Inputs!$B$38="pvp",15,MAX(0.1,Skills!E10-IF(Skills!F10=TRUE,Inputs!$B$32,0))))))/Skills!H10,1)))/Inputs!$B$43),G262*Q262))*IF(Inputs!$B$38="pvp",1,1+(Inputs!$B$20+Skills!P10)/100),0)</f>
        <v/>
      </c>
      <c r="U262">
        <f>IF(C262,(H262*N262*IF(AND(Inputs!$B$38&lt;&gt;"pvp",Inputs!$B$43&gt;0),((Skills!G10*((R262-1)*IF(Skills!H10&gt;0,Skills!I10/Skills!H10,1)+IF(Skills!H10&gt;0,MIN(Skills!I10,MAX(0,MAX(0,Inputs!$B$43-B290)-((R262-1)*IF(Inputs!$B$38="pvp",15,MAX(0.1,Skills!E10-IF(Skills!F10=TRUE,Inputs!$B$32,0))))))/Skills!H10,1)))/Inputs!$B$43),G262*Q262))*IF(Inputs!$B$38="pvp",1,(1+((Inputs!$B$21+1)+Skills!Q10)/100)*(MIN(Skills!R10,Inputs!$B$37))),0)</f>
        <v/>
      </c>
    </row>
    <row r="263">
      <c r="A263">
        <f>Skills!A11</f>
        <v/>
      </c>
      <c r="B263">
        <f>Skills!B11</f>
        <v/>
      </c>
      <c r="C263">
        <f>TRUE</f>
        <v/>
      </c>
      <c r="D263">
        <f>IF(Skills!C11=1,60+Inputs!$B$25+Inputs!$B$29,IF(Skills!C11=2,90+Inputs!$B$26+Inputs!$B$29,IF(Skills!C11=3,120+Inputs!$B$27+Inputs!$B$29,MAX(0,(Inputs!$B$3-100)*3)+Inputs!$B$28+Inputs!$B$29)))</f>
        <v/>
      </c>
      <c r="E263">
        <f>INDEX(FactorTable!$B$2:$Y$301, MATCH(ROUND(MIN(300,MAX(1,D263)),0), FactorTable!$A$2:$A$301,0), Skills!M11+1)</f>
        <v/>
      </c>
      <c r="F263">
        <f>IF(Skills!N11=TRUE,(Skills!L11/10)*(E263/1000),Skills!L11/10)+Skills!O11</f>
        <v/>
      </c>
      <c r="G263">
        <f>Calc!G11</f>
        <v/>
      </c>
      <c r="H263">
        <f>Calc!H11</f>
        <v/>
      </c>
      <c r="I263">
        <f>IF(Skills!X11&lt;&gt;"",1+(Skills!X11/10)*(Z255/1000)/100,1)</f>
        <v/>
      </c>
      <c r="J263" t="inlineStr"/>
      <c r="K263" t="inlineStr"/>
      <c r="L263" t="inlineStr"/>
      <c r="M263" t="inlineStr"/>
      <c r="N263" t="inlineStr"/>
      <c r="O263">
        <f>(1-Summary!$B$56)*S263+Summary!$B$56*U263</f>
        <v/>
      </c>
      <c r="P263">
        <f>IF(B293=0,0,O263/B293)</f>
        <v/>
      </c>
      <c r="Q263">
        <f>IFERROR(1/IF(Inputs!$B$38="pvp",15,MAX(0.1,Skills!E11-IF(Skills!F11=TRUE,Inputs!$B$32,0))),0)</f>
        <v/>
      </c>
      <c r="R263" t="n">
        <v>0</v>
      </c>
      <c r="S263" t="n">
        <v>0</v>
      </c>
      <c r="U263" t="n">
        <v>0</v>
      </c>
    </row>
    <row r="264">
      <c r="A264">
        <f>Skills!A12</f>
        <v/>
      </c>
      <c r="B264">
        <f>Skills!B12</f>
        <v/>
      </c>
      <c r="C264">
        <f>TRUE</f>
        <v/>
      </c>
      <c r="D264">
        <f>IF(Skills!C12=1,60+Inputs!$B$25+Inputs!$B$29,IF(Skills!C12=2,90+Inputs!$B$26+Inputs!$B$29,IF(Skills!C12=3,120+Inputs!$B$27+Inputs!$B$29,MAX(0,(Inputs!$B$3-100)*3)+Inputs!$B$28+Inputs!$B$29)))</f>
        <v/>
      </c>
      <c r="E264">
        <f>INDEX(FactorTable!$B$2:$Y$301, MATCH(ROUND(MIN(300,MAX(1,D264)),0), FactorTable!$A$2:$A$301,0), Skills!M12+1)</f>
        <v/>
      </c>
      <c r="F264">
        <f>IF(Skills!N12=TRUE,(Skills!L12/10)*(E264/1000),Skills!L12/10)+Skills!O12</f>
        <v/>
      </c>
      <c r="G264">
        <f>Calc!G12</f>
        <v/>
      </c>
      <c r="H264">
        <f>Calc!H12</f>
        <v/>
      </c>
      <c r="I264">
        <f>IF(Skills!X12&lt;&gt;"",1+(Skills!X12/10)*(Z255/1000)/100,1)</f>
        <v/>
      </c>
      <c r="J264" t="inlineStr"/>
      <c r="K264" t="inlineStr"/>
      <c r="L264" t="inlineStr"/>
      <c r="M264" t="inlineStr"/>
      <c r="N264" t="inlineStr"/>
      <c r="O264">
        <f>(1-Summary!$B$56)*S264+Summary!$B$56*U264</f>
        <v/>
      </c>
      <c r="P264">
        <f>IF(B293=0,0,O264/B293)</f>
        <v/>
      </c>
      <c r="Q264">
        <f>IFERROR(1/IF(Inputs!$B$38="pvp",15,MAX(0.1,Skills!E12-IF(Skills!F12=TRUE,Inputs!$B$32,0))),0)</f>
        <v/>
      </c>
      <c r="R264" t="n">
        <v>0</v>
      </c>
      <c r="S264" t="n">
        <v>0</v>
      </c>
      <c r="U264" t="n">
        <v>0</v>
      </c>
    </row>
    <row r="265">
      <c r="A265">
        <f>Skills!A13</f>
        <v/>
      </c>
      <c r="B265">
        <f>Skills!B13</f>
        <v/>
      </c>
      <c r="C265">
        <f>Inputs!$B$3&gt;=105</f>
        <v/>
      </c>
      <c r="D265">
        <f>IF(Skills!C13=1,60+Inputs!$B$25+Inputs!$B$29,IF(Skills!C13=2,90+Inputs!$B$26+Inputs!$B$29,IF(Skills!C13=3,120+Inputs!$B$27+Inputs!$B$29,MAX(0,(Inputs!$B$3-100)*3)+Inputs!$B$28+Inputs!$B$29)))</f>
        <v/>
      </c>
      <c r="E265">
        <f>INDEX(FactorTable!$B$2:$Y$301, MATCH(ROUND(MIN(300,MAX(1,D265)),0), FactorTable!$A$2:$A$301,0), Skills!M13+1)</f>
        <v/>
      </c>
      <c r="F265">
        <f>IF(Skills!N13=TRUE,(Skills!L13/10)*(E265/1000),Skills!L13/10)+Skills!O13</f>
        <v/>
      </c>
      <c r="G265">
        <f>Calc!G13</f>
        <v/>
      </c>
      <c r="H265">
        <f>Calc!H13</f>
        <v/>
      </c>
      <c r="I265">
        <f>IF(Skills!X13&lt;&gt;"",1+(Skills!X13/10)*(Z255/1000)/100,1)</f>
        <v/>
      </c>
      <c r="J265">
        <f>((Inputs!$B$6*(1+Inputs!$B$7/100))+(((Inputs!$B$12*(1+Inputs!$B$13/100))-(Inputs!$B$12*(1+Inputs!$B$13/100)))+0.25*(Inputs!$B$14-Inputs!$B$14))*(1+Inputs!$B$7/100))*(F265/100)</f>
        <v/>
      </c>
      <c r="K265">
        <f>J265*(1+((Inputs!$B$12*(1+Inputs!$B$13/100))*0.01+Inputs!$B$14*0.0025)/100)*(1+Inputs!$B$15/100)*(1+Inputs!$B$16/100)*(5000/(6000+Inputs!$B$42*(1-Inputs!$B$19/100)))*(1+Inputs!$B$24/100)*(1+F275/100)*(1+IF(Inputs!$B$3&gt;=120,F278,0)/100)^5*(1+(IF(Skills!A13="BASIC_ATTACK",Inputs!$B$17,Inputs!$B$18+IF(Inputs!$B$3&gt;=125,F279*5,0)))/100)*(B282*B283*B284*I265)</f>
        <v/>
      </c>
      <c r="L265">
        <f>K265*(MIN(Inputs!$B$22+(F274-Calc!F22),Inputs!$B$23)/100+Inputs!$B$23/100)/2</f>
        <v/>
      </c>
      <c r="M265">
        <f>L265*(1+(Inputs!$B$10+(F273-Calc!F21))/100)</f>
        <v/>
      </c>
      <c r="N265">
        <f>L265*(1-MIN(Inputs!$B$9+(F272-Calc!F20),100)/100)+M265*(MIN(Inputs!$B$9+(F272-Calc!F20),100)/100)</f>
        <v/>
      </c>
      <c r="O265">
        <f>(1-Summary!$B$56)*S265+Summary!$B$56*U265</f>
        <v/>
      </c>
      <c r="P265">
        <f>IF(B293=0,0,O265/B293)</f>
        <v/>
      </c>
      <c r="Q265">
        <f>IFERROR(1/IF(Inputs!$B$38="pvp",15,MAX(0.1,Skills!E13-IF(Skills!F13=TRUE,Inputs!$B$32,0))),0)</f>
        <v/>
      </c>
      <c r="R265">
        <f>IF(AND(Inputs!$B$38&lt;&gt;"pvp",Inputs!$B$43&gt;0),IF(MAX(0,Inputs!$B$43-B290)&lt;=0,0,(INT(MAX(0,Inputs!$B$43-B290)/IF(Inputs!$B$38="pvp",15,MAX(0.1,Skills!E13-IF(Skills!F13=TRUE,Inputs!$B$32,0))))+1)),0)</f>
        <v/>
      </c>
      <c r="S265">
        <f>IF(C265,(H265*N265*IF(AND(Inputs!$B$38&lt;&gt;"pvp",Inputs!$B$43&gt;0),((Skills!G13*((R265-1)*IF(Skills!H13&gt;0,Skills!I13/Skills!H13,1)+IF(Skills!H13&gt;0,MIN(Skills!I13,MAX(0,MAX(0,Inputs!$B$43-B290)-((R265-1)*IF(Inputs!$B$38="pvp",15,MAX(0.1,Skills!E13-IF(Skills!F13=TRUE,Inputs!$B$32,0))))))/Skills!H13,1)))/Inputs!$B$43),G265*Q265))*IF(Inputs!$B$38="pvp",1,1+(Inputs!$B$20+Skills!P13)/100),0)</f>
        <v/>
      </c>
      <c r="U265">
        <f>IF(C265,(H265*N265*IF(AND(Inputs!$B$38&lt;&gt;"pvp",Inputs!$B$43&gt;0),((Skills!G13*((R265-1)*IF(Skills!H13&gt;0,Skills!I13/Skills!H13,1)+IF(Skills!H13&gt;0,MIN(Skills!I13,MAX(0,MAX(0,Inputs!$B$43-B290)-((R265-1)*IF(Inputs!$B$38="pvp",15,MAX(0.1,Skills!E13-IF(Skills!F13=TRUE,Inputs!$B$32,0))))))/Skills!H13,1)))/Inputs!$B$43),G265*Q265))*IF(Inputs!$B$38="pvp",1,(1+((Inputs!$B$21+1)+Skills!Q13)/100)*(MIN(Skills!R13,Inputs!$B$37))),0)</f>
        <v/>
      </c>
    </row>
    <row r="266">
      <c r="A266">
        <f>Skills!A14</f>
        <v/>
      </c>
      <c r="B266">
        <f>Skills!B14</f>
        <v/>
      </c>
      <c r="C266">
        <f>Inputs!$B$3&gt;=113</f>
        <v/>
      </c>
      <c r="D266">
        <f>IF(Skills!C14=1,60+Inputs!$B$25+Inputs!$B$29,IF(Skills!C14=2,90+Inputs!$B$26+Inputs!$B$29,IF(Skills!C14=3,120+Inputs!$B$27+Inputs!$B$29,MAX(0,(Inputs!$B$3-100)*3)+Inputs!$B$28+Inputs!$B$29)))</f>
        <v/>
      </c>
      <c r="E266">
        <f>INDEX(FactorTable!$B$2:$Y$301, MATCH(ROUND(MIN(300,MAX(1,D266)),0), FactorTable!$A$2:$A$301,0), Skills!M14+1)</f>
        <v/>
      </c>
      <c r="F266">
        <f>IF(Skills!N14=TRUE,(Skills!L14/10)*(E266/1000),Skills!L14/10)+Skills!O14</f>
        <v/>
      </c>
      <c r="G266">
        <f>Calc!G14</f>
        <v/>
      </c>
      <c r="H266">
        <f>Calc!H14</f>
        <v/>
      </c>
      <c r="I266">
        <f>IF(Skills!X14&lt;&gt;"",1+(Skills!X14/10)*(Z255/1000)/100,1)</f>
        <v/>
      </c>
      <c r="J266">
        <f>((Inputs!$B$6*(1+Inputs!$B$7/100))+(((Inputs!$B$12*(1+Inputs!$B$13/100))-(Inputs!$B$12*(1+Inputs!$B$13/100)))+0.25*(Inputs!$B$14-Inputs!$B$14))*(1+Inputs!$B$7/100))*(F266/100)</f>
        <v/>
      </c>
      <c r="K266">
        <f>J266*(1+((Inputs!$B$12*(1+Inputs!$B$13/100))*0.01+Inputs!$B$14*0.0025)/100)*(1+Inputs!$B$15/100)*(1+Inputs!$B$16/100)*(5000/(6000+Inputs!$B$42*(1-Inputs!$B$19/100)))*(1+Inputs!$B$24/100)*(1+F275/100)*(1+IF(Inputs!$B$3&gt;=120,F278,0)/100)^5*(1+(IF(Skills!A14="BASIC_ATTACK",Inputs!$B$17,Inputs!$B$18+IF(Inputs!$B$3&gt;=125,F279*5,0)))/100)*(B282*B283*B284*I266)</f>
        <v/>
      </c>
      <c r="L266">
        <f>K266*(MIN(Inputs!$B$22+(F274-Calc!F22),Inputs!$B$23)/100+Inputs!$B$23/100)/2</f>
        <v/>
      </c>
      <c r="M266">
        <f>L266*(1+(Inputs!$B$10+(F273-Calc!F21))/100)</f>
        <v/>
      </c>
      <c r="N266">
        <f>L266*(1-MIN(Inputs!$B$9+(F272-Calc!F20),100)/100)+M266*(MIN(Inputs!$B$9+(F272-Calc!F20),100)/100)</f>
        <v/>
      </c>
      <c r="O266">
        <f>(1-Summary!$B$56)*S266+Summary!$B$56*U266</f>
        <v/>
      </c>
      <c r="P266">
        <f>IF(B293=0,0,O266/B293)</f>
        <v/>
      </c>
      <c r="Q266">
        <f>IFERROR(1/IF(Inputs!$B$38="pvp",15,MAX(0.1,Skills!E14-IF(Skills!F14=TRUE,Inputs!$B$32,0))),0)</f>
        <v/>
      </c>
      <c r="R266" t="n">
        <v>0</v>
      </c>
      <c r="S266">
        <f>IF(C266,((H266*B289)/(1+Skills!H14*H266*B289)*N266)*IF(Inputs!$B$38="pvp",1,1+(Inputs!$B$20+Skills!P14)/100),0)</f>
        <v/>
      </c>
      <c r="U266">
        <f>IF(C266,((H266*B289)/(1+Skills!H14*H266*B289)*N266)*IF(Inputs!$B$38="pvp",1,(1+((Inputs!$B$21+1)+Skills!Q14)/100)*(MIN(Skills!R14,Inputs!$B$37))),0)</f>
        <v/>
      </c>
    </row>
    <row r="267">
      <c r="A267">
        <f>Skills!A15</f>
        <v/>
      </c>
      <c r="B267">
        <f>Skills!B15</f>
        <v/>
      </c>
      <c r="C267">
        <f>Inputs!$B$3&gt;=107</f>
        <v/>
      </c>
      <c r="D267">
        <f>IF(Skills!C15=1,60+Inputs!$B$25+Inputs!$B$29,IF(Skills!C15=2,90+Inputs!$B$26+Inputs!$B$29,IF(Skills!C15=3,120+Inputs!$B$27+Inputs!$B$29,MAX(0,(Inputs!$B$3-100)*3)+Inputs!$B$28+Inputs!$B$29)))</f>
        <v/>
      </c>
      <c r="E267">
        <f>INDEX(FactorTable!$B$2:$Y$301, MATCH(ROUND(MIN(300,MAX(1,D267)),0), FactorTable!$A$2:$A$301,0), Skills!M15+1)</f>
        <v/>
      </c>
      <c r="F267">
        <f>IF(Skills!N15=TRUE,(Skills!L15/10)*(E267/1000),Skills!L15/10)+Skills!O15</f>
        <v/>
      </c>
      <c r="G267">
        <f>Calc!G15</f>
        <v/>
      </c>
      <c r="H267">
        <f>Calc!H15</f>
        <v/>
      </c>
      <c r="I267">
        <f>IF(Skills!X15&lt;&gt;"",1+(Skills!X15/10)*(Z255/1000)/100,1)</f>
        <v/>
      </c>
      <c r="J267">
        <f>((Inputs!$B$6*(1+Inputs!$B$7/100))+(((Inputs!$B$12*(1+Inputs!$B$13/100))-(Inputs!$B$12*(1+Inputs!$B$13/100)))+0.25*(Inputs!$B$14-Inputs!$B$14))*(1+Inputs!$B$7/100))*(F267/100)</f>
        <v/>
      </c>
      <c r="K267">
        <f>J267*(1+((Inputs!$B$12*(1+Inputs!$B$13/100))*0.01+Inputs!$B$14*0.0025)/100)*(1+Inputs!$B$15/100)*(1+Inputs!$B$16/100)*(5000/(6000+Inputs!$B$42*(1-Inputs!$B$19/100)))*(1+Inputs!$B$24/100)*(1+F275/100)*(1+IF(Inputs!$B$3&gt;=120,F278,0)/100)^5*(1+(IF(Skills!A15="BASIC_ATTACK",Inputs!$B$17,Inputs!$B$18+IF(Inputs!$B$3&gt;=125,F279*5,0)))/100)*(B282*B283*B284*I267)</f>
        <v/>
      </c>
      <c r="L267">
        <f>K267*(MIN(Inputs!$B$22+(F274-Calc!F22),Inputs!$B$23)/100+Inputs!$B$23/100)/2</f>
        <v/>
      </c>
      <c r="M267">
        <f>L267*(1+(Inputs!$B$10+(F273-Calc!F21))/100)</f>
        <v/>
      </c>
      <c r="N267">
        <f>L267*(1-MIN(Inputs!$B$9+(F272-Calc!F20),100)/100)+M267*(MIN(Inputs!$B$9+(F272-Calc!F20),100)/100)</f>
        <v/>
      </c>
      <c r="O267">
        <f>(1-Summary!$B$56)*S267+Summary!$B$56*U267</f>
        <v/>
      </c>
      <c r="P267">
        <f>IF(B293=0,0,O267/B293)</f>
        <v/>
      </c>
      <c r="Q267">
        <f>IFERROR(1/IF(Inputs!$B$38="pvp",15,MAX(0.1,Skills!E15-IF(Skills!F15=TRUE,Inputs!$B$32,0))),0)</f>
        <v/>
      </c>
      <c r="R267">
        <f>IF(AND(Inputs!$B$38&lt;&gt;"pvp",Inputs!$B$43&gt;0),IF(MAX(0,Inputs!$B$43-B290)&lt;=0,0,(INT(MAX(0,Inputs!$B$43-B290)/IF(Inputs!$B$38="pvp",15,MAX(0.1,Skills!E15-IF(Skills!F15=TRUE,Inputs!$B$32,0))))+1)),0)</f>
        <v/>
      </c>
      <c r="S267">
        <f>IF(C267,(H267*N267*IF(AND(Inputs!$B$38&lt;&gt;"pvp",Inputs!$B$43&gt;0),((Skills!G15*((R267-1)*IF(Skills!H15&gt;0,Skills!I15/Skills!H15,1)+IF(Skills!H15&gt;0,MIN(Skills!I15,MAX(0,MAX(0,Inputs!$B$43-B290)-((R267-1)*IF(Inputs!$B$38="pvp",15,MAX(0.1,Skills!E15-IF(Skills!F15=TRUE,Inputs!$B$32,0))))))/Skills!H15,1)))/Inputs!$B$43),G267*Q267))*IF(Inputs!$B$38="pvp",1,1+(Inputs!$B$20+Skills!P15)/100),0)</f>
        <v/>
      </c>
      <c r="U267">
        <f>IF(C267,(H267*N267*IF(AND(Inputs!$B$38&lt;&gt;"pvp",Inputs!$B$43&gt;0),((Skills!G15*((R267-1)*IF(Skills!H15&gt;0,Skills!I15/Skills!H15,1)+IF(Skills!H15&gt;0,MIN(Skills!I15,MAX(0,MAX(0,Inputs!$B$43-B290)-((R267-1)*IF(Inputs!$B$38="pvp",15,MAX(0.1,Skills!E15-IF(Skills!F15=TRUE,Inputs!$B$32,0))))))/Skills!H15,1)))/Inputs!$B$43),G267*Q267))*IF(Inputs!$B$38="pvp",1,(1+((Inputs!$B$21+1)+Skills!Q15)/100)*(MIN(Skills!R15,Inputs!$B$37))),0)</f>
        <v/>
      </c>
    </row>
    <row r="268">
      <c r="A268">
        <f>Skills!A16</f>
        <v/>
      </c>
      <c r="B268">
        <f>Skills!B16</f>
        <v/>
      </c>
      <c r="C268">
        <f>Inputs!$B$3&gt;=107</f>
        <v/>
      </c>
      <c r="D268">
        <f>IF(Skills!C16=1,60+Inputs!$B$25+Inputs!$B$29,IF(Skills!C16=2,90+Inputs!$B$26+Inputs!$B$29,IF(Skills!C16=3,120+Inputs!$B$27+Inputs!$B$29,MAX(0,(Inputs!$B$3-100)*3)+Inputs!$B$28+Inputs!$B$29)))</f>
        <v/>
      </c>
      <c r="E268">
        <f>INDEX(FactorTable!$B$2:$Y$301, MATCH(ROUND(MIN(300,MAX(1,D268)),0), FactorTable!$A$2:$A$301,0), Skills!M16+1)</f>
        <v/>
      </c>
      <c r="F268">
        <f>IF(Skills!N16=TRUE,(Skills!L16/10)*(E268/1000),Skills!L16/10)+Skills!O16</f>
        <v/>
      </c>
      <c r="G268">
        <f>Calc!G16</f>
        <v/>
      </c>
      <c r="H268">
        <f>Calc!H16</f>
        <v/>
      </c>
      <c r="I268">
        <f>IF(Skills!X16&lt;&gt;"",1+(Skills!X16/10)*(Z255/1000)/100,1)</f>
        <v/>
      </c>
      <c r="J268">
        <f>((Inputs!$B$6*(1+Inputs!$B$7/100))+(((Inputs!$B$12*(1+Inputs!$B$13/100))-(Inputs!$B$12*(1+Inputs!$B$13/100)))+0.25*(Inputs!$B$14-Inputs!$B$14))*(1+Inputs!$B$7/100))*(F268/100)</f>
        <v/>
      </c>
      <c r="K268">
        <f>J268*(1+((Inputs!$B$12*(1+Inputs!$B$13/100))*0.01+Inputs!$B$14*0.0025)/100)*(1+Inputs!$B$15/100)*(1+Inputs!$B$16/100)*(5000/(6000+Inputs!$B$42*(1-Inputs!$B$19/100)))*(1+Inputs!$B$24/100)*(1+F275/100)*(1+IF(Inputs!$B$3&gt;=120,F278,0)/100)^5*(1+(IF(Skills!A16="BASIC_ATTACK",Inputs!$B$17,Inputs!$B$18+IF(Inputs!$B$3&gt;=125,F279*5,0)))/100)*(B282*B283*B284*I268)</f>
        <v/>
      </c>
      <c r="L268">
        <f>K268*(MIN(Inputs!$B$22+(F274-Calc!F22),Inputs!$B$23)/100+Inputs!$B$23/100)/2</f>
        <v/>
      </c>
      <c r="M268">
        <f>L268*(1+(Inputs!$B$10+(F273-Calc!F21))/100)</f>
        <v/>
      </c>
      <c r="N268">
        <f>L268*(1-MIN(Inputs!$B$9+(F272-Calc!F20),100)/100)+M268*(MIN(Inputs!$B$9+(F272-Calc!F20),100)/100)</f>
        <v/>
      </c>
      <c r="O268">
        <f>(1-Summary!$B$56)*S268+Summary!$B$56*U268</f>
        <v/>
      </c>
      <c r="P268">
        <f>IF(B293=0,0,O268/B293)</f>
        <v/>
      </c>
      <c r="Q268">
        <f>IFERROR(1/IF(Inputs!$B$38="pvp",15,MAX(0.1,Skills!E16-IF(Skills!F16=TRUE,Inputs!$B$32,0))),0)</f>
        <v/>
      </c>
      <c r="R268">
        <f>IF(AND(Inputs!$B$38&lt;&gt;"pvp",Inputs!$B$43&gt;0),IF(MAX(0,Inputs!$B$43-B290)&lt;=0,0,(INT(MAX(0,Inputs!$B$43-B290)/IF(Inputs!$B$38="pvp",15,MAX(0.1,Skills!E16-IF(Skills!F16=TRUE,Inputs!$B$32,0))))+1)),0)</f>
        <v/>
      </c>
      <c r="S268">
        <f>IF(C268,(H268*N268*IF(AND(Inputs!$B$38&lt;&gt;"pvp",Inputs!$B$43&gt;0),((Skills!G16*((R268-1)*IF(Skills!H16&gt;0,Skills!I16/Skills!H16,1)+IF(Skills!H16&gt;0,MIN(Skills!I16,MAX(0,MAX(0,Inputs!$B$43-B290)-((R268-1)*IF(Inputs!$B$38="pvp",15,MAX(0.1,Skills!E16-IF(Skills!F16=TRUE,Inputs!$B$32,0))))))/Skills!H16,1)))/Inputs!$B$43),G268*Q268)*(1+IF(Inputs!$B$3&gt;=126,0.05*(B288+Q265+(H266*B289)/(1+Skills!H14*H266*B289)+Q276),0)*Skills!E15))*IF(Inputs!$B$38="pvp",1,1+(Inputs!$B$20+Skills!P16)/100),0)</f>
        <v/>
      </c>
      <c r="U268">
        <f>IF(C268,(H268*N268*IF(AND(Inputs!$B$38&lt;&gt;"pvp",Inputs!$B$43&gt;0),((Skills!G16*((R268-1)*IF(Skills!H16&gt;0,Skills!I16/Skills!H16,1)+IF(Skills!H16&gt;0,MIN(Skills!I16,MAX(0,MAX(0,Inputs!$B$43-B290)-((R268-1)*IF(Inputs!$B$38="pvp",15,MAX(0.1,Skills!E16-IF(Skills!F16=TRUE,Inputs!$B$32,0))))))/Skills!H16,1)))/Inputs!$B$43),G268*Q268)*(1+IF(Inputs!$B$3&gt;=126,0.05*(B288+Q265+(H266*B289)/(1+Skills!H14*H266*B289)+Q276),0)*Skills!E15))*IF(Inputs!$B$38="pvp",1,(1+((Inputs!$B$21+1)+Skills!Q16)/100)*(MIN(Skills!R16,Inputs!$B$37))),0)</f>
        <v/>
      </c>
    </row>
    <row r="269">
      <c r="A269">
        <f>Skills!A17</f>
        <v/>
      </c>
      <c r="B269">
        <f>Skills!B17</f>
        <v/>
      </c>
      <c r="C269">
        <f>TRUE</f>
        <v/>
      </c>
      <c r="D269">
        <f>IF(Skills!C17=1,60+Inputs!$B$25+Inputs!$B$29,IF(Skills!C17=2,90+Inputs!$B$26+Inputs!$B$29,IF(Skills!C17=3,120+Inputs!$B$27+Inputs!$B$29,MAX(0,(Inputs!$B$3-100)*3)+Inputs!$B$28+Inputs!$B$29)))</f>
        <v/>
      </c>
      <c r="E269">
        <f>INDEX(FactorTable!$B$2:$Y$301, MATCH(ROUND(MIN(300,MAX(1,D269)),0), FactorTable!$A$2:$A$301,0), Skills!M17+1)</f>
        <v/>
      </c>
      <c r="F269">
        <f>IF(Skills!N17=TRUE,(Skills!L17/10)*(E269/1000),Skills!L17/10)+Skills!O17</f>
        <v/>
      </c>
      <c r="G269">
        <f>Calc!G17</f>
        <v/>
      </c>
      <c r="H269">
        <f>Calc!H17</f>
        <v/>
      </c>
      <c r="I269">
        <f>IF(Skills!X17&lt;&gt;"",1+(Skills!X17/10)*(Z255/1000)/100,1)</f>
        <v/>
      </c>
      <c r="J269" t="inlineStr"/>
      <c r="K269" t="inlineStr"/>
      <c r="L269" t="inlineStr"/>
      <c r="M269" t="inlineStr"/>
      <c r="N269" t="inlineStr"/>
      <c r="O269">
        <f>(1-Summary!$B$56)*S269+Summary!$B$56*U269</f>
        <v/>
      </c>
      <c r="P269">
        <f>IF(B293=0,0,O269/B293)</f>
        <v/>
      </c>
      <c r="Q269">
        <f>IFERROR(1/IF(Inputs!$B$38="pvp",15,MAX(0.1,Skills!E17-IF(Skills!F17=TRUE,Inputs!$B$32,0))),0)</f>
        <v/>
      </c>
      <c r="R269">
        <f>IF(AND(Inputs!$B$38&lt;&gt;"pvp",Inputs!$B$43&gt;0),IF(Inputs!$B$43&lt;=0,0,(INT(Inputs!$B$43/IF(Inputs!$B$38="pvp",15,MAX(0.1,Skills!E17-IF(Skills!F17=TRUE,Inputs!$B$32,0))))+1)),0)</f>
        <v/>
      </c>
      <c r="S269" t="n">
        <v>0</v>
      </c>
      <c r="U269" t="n">
        <v>0</v>
      </c>
    </row>
    <row r="270">
      <c r="A270">
        <f>Skills!A18</f>
        <v/>
      </c>
      <c r="B270">
        <f>Skills!B18</f>
        <v/>
      </c>
      <c r="C270">
        <f>TRUE</f>
        <v/>
      </c>
      <c r="D270">
        <f>IF(Skills!C18=1,60+Inputs!$B$25+Inputs!$B$29,IF(Skills!C18=2,90+Inputs!$B$26+Inputs!$B$29,IF(Skills!C18=3,120+Inputs!$B$27+Inputs!$B$29,MAX(0,(Inputs!$B$3-100)*3)+Inputs!$B$28+Inputs!$B$29)))</f>
        <v/>
      </c>
      <c r="E270">
        <f>INDEX(FactorTable!$B$2:$Y$301, MATCH(ROUND(MIN(300,MAX(1,D270)),0), FactorTable!$A$2:$A$301,0), Skills!M18+1)</f>
        <v/>
      </c>
      <c r="F270">
        <f>IF(Skills!N18=TRUE,(Skills!L18/10)*(E270/1000),Skills!L18/10)+Skills!O18</f>
        <v/>
      </c>
      <c r="G270">
        <f>Calc!G18</f>
        <v/>
      </c>
      <c r="H270">
        <f>Calc!H18</f>
        <v/>
      </c>
      <c r="I270">
        <f>IF(Skills!X18&lt;&gt;"",1+(Skills!X18/10)*(Z255/1000)/100,1)</f>
        <v/>
      </c>
      <c r="J270" t="inlineStr"/>
      <c r="K270" t="inlineStr"/>
      <c r="L270" t="inlineStr"/>
      <c r="M270" t="inlineStr"/>
      <c r="N270" t="inlineStr"/>
      <c r="O270">
        <f>(1-Summary!$B$56)*S270+Summary!$B$56*U270</f>
        <v/>
      </c>
      <c r="P270">
        <f>IF(B293=0,0,O270/B293)</f>
        <v/>
      </c>
      <c r="Q270">
        <f>IFERROR(1/IF(Inputs!$B$38="pvp",15,MAX(0.1,Skills!E18-IF(Skills!F18=TRUE,Inputs!$B$32,0))),0)</f>
        <v/>
      </c>
      <c r="R270">
        <f>IF(AND(Inputs!$B$38&lt;&gt;"pvp",Inputs!$B$43&gt;0),IF(Inputs!$B$43&lt;=0,0,(INT(Inputs!$B$43/IF(Inputs!$B$38="pvp",15,MAX(0.1,Skills!E18-IF(Skills!F18=TRUE,Inputs!$B$32,0))))+1)),0)</f>
        <v/>
      </c>
      <c r="S270" t="n">
        <v>0</v>
      </c>
      <c r="U270" t="n">
        <v>0</v>
      </c>
    </row>
    <row r="271">
      <c r="A271">
        <f>Skills!A19</f>
        <v/>
      </c>
      <c r="B271">
        <f>Skills!B19</f>
        <v/>
      </c>
      <c r="C271">
        <f>Inputs!$B$3&gt;=110</f>
        <v/>
      </c>
      <c r="D271">
        <f>IF(Skills!C19=1,60+Inputs!$B$25+Inputs!$B$29,IF(Skills!C19=2,90+Inputs!$B$26+Inputs!$B$29,IF(Skills!C19=3,120+Inputs!$B$27+Inputs!$B$29,MAX(0,(Inputs!$B$3-100)*3)+Inputs!$B$28+Inputs!$B$29)))</f>
        <v/>
      </c>
      <c r="E271">
        <f>INDEX(FactorTable!$B$2:$Y$301, MATCH(ROUND(MIN(300,MAX(1,D271)),0), FactorTable!$A$2:$A$301,0), Skills!M19+1)</f>
        <v/>
      </c>
      <c r="F271">
        <f>IF(Skills!N19=TRUE,(Skills!L19/10)*(E271/1000),Skills!L19/10)+Skills!O19</f>
        <v/>
      </c>
      <c r="G271">
        <f>Calc!G19</f>
        <v/>
      </c>
      <c r="H271">
        <f>Calc!H19</f>
        <v/>
      </c>
      <c r="I271">
        <f>IF(Skills!X19&lt;&gt;"",1+(Skills!X19/10)*(Z255/1000)/100,1)</f>
        <v/>
      </c>
      <c r="J271" t="inlineStr"/>
      <c r="K271" t="inlineStr"/>
      <c r="L271" t="inlineStr"/>
      <c r="M271" t="inlineStr"/>
      <c r="N271" t="inlineStr"/>
      <c r="O271">
        <f>(1-Summary!$B$56)*S271+Summary!$B$56*U271</f>
        <v/>
      </c>
      <c r="P271">
        <f>IF(B293=0,0,O271/B293)</f>
        <v/>
      </c>
      <c r="Q271">
        <f>IFERROR(1/IF(Inputs!$B$38="pvp",15,MAX(0.1,Skills!E19-IF(Skills!F19=TRUE,Inputs!$B$32,0))),0)</f>
        <v/>
      </c>
      <c r="R271">
        <f>IF(AND(Inputs!$B$38&lt;&gt;"pvp",Inputs!$B$43&gt;0),IF(Inputs!$B$43&lt;=0,0,(INT(Inputs!$B$43/IF(Inputs!$B$38="pvp",15,MAX(0.1,Skills!E19-IF(Skills!F19=TRUE,Inputs!$B$32,0))))+1)),0)</f>
        <v/>
      </c>
      <c r="S271" t="n">
        <v>0</v>
      </c>
      <c r="U271" t="n">
        <v>0</v>
      </c>
    </row>
    <row r="272">
      <c r="A272">
        <f>Skills!A20</f>
        <v/>
      </c>
      <c r="B272">
        <f>Skills!B20</f>
        <v/>
      </c>
      <c r="C272">
        <f>TRUE</f>
        <v/>
      </c>
      <c r="D272">
        <f>IF(Skills!C20=1,60+Inputs!$B$25+Inputs!$B$29,IF(Skills!C20=2,90+Inputs!$B$26+Inputs!$B$29,IF(Skills!C20=3,120+Inputs!$B$27+Inputs!$B$29,MAX(0,(Inputs!$B$3-100)*3)+Inputs!$B$28+Inputs!$B$29)))</f>
        <v/>
      </c>
      <c r="E272">
        <f>INDEX(FactorTable!$B$2:$Y$301, MATCH(ROUND(MIN(300,MAX(1,D272)),0), FactorTable!$A$2:$A$301,0), Skills!M20+1)</f>
        <v/>
      </c>
      <c r="F272">
        <f>IF(Skills!N20=TRUE,(Skills!L20/10)*(E272/1000),Skills!L20/10)+Skills!O20</f>
        <v/>
      </c>
      <c r="G272">
        <f>Calc!G20</f>
        <v/>
      </c>
      <c r="H272">
        <f>Calc!H20</f>
        <v/>
      </c>
      <c r="I272">
        <f>IF(Skills!X20&lt;&gt;"",1+(Skills!X20/10)*(Z255/1000)/100,1)</f>
        <v/>
      </c>
      <c r="J272" t="inlineStr"/>
      <c r="K272" t="inlineStr"/>
      <c r="L272" t="inlineStr"/>
      <c r="M272" t="inlineStr"/>
      <c r="N272" t="inlineStr"/>
      <c r="O272">
        <f>(1-Summary!$B$56)*S272+Summary!$B$56*U272</f>
        <v/>
      </c>
      <c r="P272">
        <f>IF(B293=0,0,O272/B293)</f>
        <v/>
      </c>
      <c r="Q272">
        <f>IFERROR(1/IF(Inputs!$B$38="pvp",15,MAX(0.1,Skills!E20-IF(Skills!F20=TRUE,Inputs!$B$32,0))),0)</f>
        <v/>
      </c>
      <c r="R272" t="n">
        <v>0</v>
      </c>
      <c r="S272" t="n">
        <v>0</v>
      </c>
      <c r="U272" t="n">
        <v>0</v>
      </c>
    </row>
    <row r="273">
      <c r="A273">
        <f>Skills!A21</f>
        <v/>
      </c>
      <c r="B273">
        <f>Skills!B21</f>
        <v/>
      </c>
      <c r="C273">
        <f>TRUE</f>
        <v/>
      </c>
      <c r="D273">
        <f>IF(Skills!C21=1,60+Inputs!$B$25+Inputs!$B$29,IF(Skills!C21=2,90+Inputs!$B$26+Inputs!$B$29,IF(Skills!C21=3,120+Inputs!$B$27+Inputs!$B$29,MAX(0,(Inputs!$B$3-100)*3)+Inputs!$B$28+Inputs!$B$29)))</f>
        <v/>
      </c>
      <c r="E273">
        <f>INDEX(FactorTable!$B$2:$Y$301, MATCH(ROUND(MIN(300,MAX(1,D273)),0), FactorTable!$A$2:$A$301,0), Skills!M21+1)</f>
        <v/>
      </c>
      <c r="F273">
        <f>IF(Skills!N21=TRUE,(Skills!L21/10)*(E273/1000),Skills!L21/10)+Skills!O21</f>
        <v/>
      </c>
      <c r="G273">
        <f>Calc!G21</f>
        <v/>
      </c>
      <c r="H273">
        <f>Calc!H21</f>
        <v/>
      </c>
      <c r="I273">
        <f>IF(Skills!X21&lt;&gt;"",1+(Skills!X21/10)*(Z255/1000)/100,1)</f>
        <v/>
      </c>
      <c r="J273" t="inlineStr"/>
      <c r="K273" t="inlineStr"/>
      <c r="L273" t="inlineStr"/>
      <c r="M273" t="inlineStr"/>
      <c r="N273" t="inlineStr"/>
      <c r="O273">
        <f>(1-Summary!$B$56)*S273+Summary!$B$56*U273</f>
        <v/>
      </c>
      <c r="P273">
        <f>IF(B293=0,0,O273/B293)</f>
        <v/>
      </c>
      <c r="Q273">
        <f>IFERROR(1/IF(Inputs!$B$38="pvp",15,MAX(0.1,Skills!E21-IF(Skills!F21=TRUE,Inputs!$B$32,0))),0)</f>
        <v/>
      </c>
      <c r="R273" t="n">
        <v>0</v>
      </c>
      <c r="S273" t="n">
        <v>0</v>
      </c>
      <c r="U273" t="n">
        <v>0</v>
      </c>
    </row>
    <row r="274">
      <c r="A274">
        <f>Skills!A22</f>
        <v/>
      </c>
      <c r="B274">
        <f>Skills!B22</f>
        <v/>
      </c>
      <c r="C274">
        <f>TRUE</f>
        <v/>
      </c>
      <c r="D274">
        <f>IF(Skills!C22=1,60+Inputs!$B$25+Inputs!$B$29,IF(Skills!C22=2,90+Inputs!$B$26+Inputs!$B$29,IF(Skills!C22=3,120+Inputs!$B$27+Inputs!$B$29,MAX(0,(Inputs!$B$3-100)*3)+Inputs!$B$28+Inputs!$B$29)))</f>
        <v/>
      </c>
      <c r="E274">
        <f>INDEX(FactorTable!$B$2:$Y$301, MATCH(ROUND(MIN(300,MAX(1,D274)),0), FactorTable!$A$2:$A$301,0), Skills!M22+1)</f>
        <v/>
      </c>
      <c r="F274">
        <f>IF(Skills!N22=TRUE,(Skills!L22/10)*(E274/1000),Skills!L22/10)+Skills!O22</f>
        <v/>
      </c>
      <c r="G274">
        <f>Calc!G22</f>
        <v/>
      </c>
      <c r="H274">
        <f>Calc!H22</f>
        <v/>
      </c>
      <c r="I274">
        <f>IF(Skills!X22&lt;&gt;"",1+(Skills!X22/10)*(Z255/1000)/100,1)</f>
        <v/>
      </c>
      <c r="J274" t="inlineStr"/>
      <c r="K274" t="inlineStr"/>
      <c r="L274" t="inlineStr"/>
      <c r="M274" t="inlineStr"/>
      <c r="N274" t="inlineStr"/>
      <c r="O274">
        <f>(1-Summary!$B$56)*S274+Summary!$B$56*U274</f>
        <v/>
      </c>
      <c r="P274">
        <f>IF(B293=0,0,O274/B293)</f>
        <v/>
      </c>
      <c r="Q274">
        <f>IFERROR(1/IF(Inputs!$B$38="pvp",15,MAX(0.1,Skills!E22-IF(Skills!F22=TRUE,Inputs!$B$32,0))),0)</f>
        <v/>
      </c>
      <c r="R274" t="n">
        <v>0</v>
      </c>
      <c r="S274" t="n">
        <v>0</v>
      </c>
      <c r="U274" t="n">
        <v>0</v>
      </c>
    </row>
    <row r="275">
      <c r="A275">
        <f>Skills!A23</f>
        <v/>
      </c>
      <c r="B275">
        <f>Skills!B23</f>
        <v/>
      </c>
      <c r="C275">
        <f>TRUE</f>
        <v/>
      </c>
      <c r="D275">
        <f>IF(Skills!C23=1,60+Inputs!$B$25+Inputs!$B$29,IF(Skills!C23=2,90+Inputs!$B$26+Inputs!$B$29,IF(Skills!C23=3,120+Inputs!$B$27+Inputs!$B$29,MAX(0,(Inputs!$B$3-100)*3)+Inputs!$B$28+Inputs!$B$29)))</f>
        <v/>
      </c>
      <c r="E275">
        <f>INDEX(FactorTable!$B$2:$Y$301, MATCH(ROUND(MIN(300,MAX(1,D275)),0), FactorTable!$A$2:$A$301,0), Skills!M23+1)</f>
        <v/>
      </c>
      <c r="F275">
        <f>IF(Skills!N23=TRUE,(Skills!L23/10)*(E275/1000),Skills!L23/10)+Skills!O23</f>
        <v/>
      </c>
      <c r="G275">
        <f>Calc!G23</f>
        <v/>
      </c>
      <c r="H275">
        <f>Calc!H23</f>
        <v/>
      </c>
      <c r="I275">
        <f>IF(Skills!X23&lt;&gt;"",1+(Skills!X23/10)*(Z255/1000)/100,1)</f>
        <v/>
      </c>
      <c r="J275" t="inlineStr"/>
      <c r="K275" t="inlineStr"/>
      <c r="L275" t="inlineStr"/>
      <c r="M275" t="inlineStr"/>
      <c r="N275" t="inlineStr"/>
      <c r="O275">
        <f>(1-Summary!$B$56)*S275+Summary!$B$56*U275</f>
        <v/>
      </c>
      <c r="P275">
        <f>IF(B293=0,0,O275/B293)</f>
        <v/>
      </c>
      <c r="Q275">
        <f>IFERROR(1/IF(Inputs!$B$38="pvp",15,MAX(0.1,Skills!E23-IF(Skills!F23=TRUE,Inputs!$B$32,0))),0)</f>
        <v/>
      </c>
      <c r="R275" t="n">
        <v>0</v>
      </c>
      <c r="S275" t="n">
        <v>0</v>
      </c>
      <c r="U275" t="n">
        <v>0</v>
      </c>
    </row>
    <row r="276">
      <c r="A276">
        <f>Skills!A24</f>
        <v/>
      </c>
      <c r="B276">
        <f>Skills!B24</f>
        <v/>
      </c>
      <c r="C276">
        <f>Inputs!$B$3&gt;=115</f>
        <v/>
      </c>
      <c r="D276">
        <f>IF(Skills!C24=1,60+Inputs!$B$25+Inputs!$B$29,IF(Skills!C24=2,90+Inputs!$B$26+Inputs!$B$29,IF(Skills!C24=3,120+Inputs!$B$27+Inputs!$B$29,MAX(0,(Inputs!$B$3-100)*3)+Inputs!$B$28+Inputs!$B$29)))</f>
        <v/>
      </c>
      <c r="E276">
        <f>INDEX(FactorTable!$B$2:$Y$301, MATCH(ROUND(MIN(300,MAX(1,D276)),0), FactorTable!$A$2:$A$301,0), Skills!M24+1)</f>
        <v/>
      </c>
      <c r="F276">
        <f>IF(Skills!N24=TRUE,(Skills!L24/10)*(E276/1000),Skills!L24/10)+Skills!O24</f>
        <v/>
      </c>
      <c r="G276">
        <f>Calc!G24</f>
        <v/>
      </c>
      <c r="H276">
        <f>Calc!H24</f>
        <v/>
      </c>
      <c r="I276">
        <f>IF(Skills!X24&lt;&gt;"",1+(Skills!X24/10)*(Z255/1000)/100,1)</f>
        <v/>
      </c>
      <c r="J276">
        <f>((Inputs!$B$6*(1+Inputs!$B$7/100))+(((Inputs!$B$12*(1+Inputs!$B$13/100))-(Inputs!$B$12*(1+Inputs!$B$13/100)))+0.25*(Inputs!$B$14-Inputs!$B$14))*(1+Inputs!$B$7/100))*(F276/100)</f>
        <v/>
      </c>
      <c r="K276">
        <f>J276*(1+((Inputs!$B$12*(1+Inputs!$B$13/100))*0.01+Inputs!$B$14*0.0025)/100)*(1+Inputs!$B$15/100)*(1+Inputs!$B$16/100)*(5000/(6000+Inputs!$B$42*(1-Inputs!$B$19/100)))*(1+Inputs!$B$24/100)*(1+F275/100)*(1+IF(Inputs!$B$3&gt;=120,F278,0)/100)^5*(1+(IF(Skills!A24="BASIC_ATTACK",Inputs!$B$17,Inputs!$B$18+IF(Inputs!$B$3&gt;=125,F279*5,0)))/100)*(B282*B283*B284*I276)</f>
        <v/>
      </c>
      <c r="L276">
        <f>K276*(MIN(Inputs!$B$22+(F274-Calc!F22),Inputs!$B$23)/100+Inputs!$B$23/100)/2</f>
        <v/>
      </c>
      <c r="M276">
        <f>L276*(1+(Inputs!$B$10+(F273-Calc!F21))/100)</f>
        <v/>
      </c>
      <c r="N276">
        <f>L276*(1-MIN(Inputs!$B$9+(F272-Calc!F20),100)/100)+M276*(MIN(Inputs!$B$9+(F272-Calc!F20),100)/100)</f>
        <v/>
      </c>
      <c r="O276">
        <f>(1-Summary!$B$56)*S276+Summary!$B$56*U276</f>
        <v/>
      </c>
      <c r="P276">
        <f>IF(B293=0,0,O276/B293)</f>
        <v/>
      </c>
      <c r="Q276">
        <f>IFERROR(1/IF(Inputs!$B$38="pvp",15,MAX(0.1,Skills!E24-IF(Skills!F24=TRUE,Inputs!$B$32,0))),0)</f>
        <v/>
      </c>
      <c r="R276">
        <f>IF(AND(Inputs!$B$38&lt;&gt;"pvp",Inputs!$B$43&gt;0),IF(MAX(0,Inputs!$B$43-B290)&lt;=0,0,(INT(MAX(0,Inputs!$B$43-B290)/IF(Inputs!$B$38="pvp",15,MAX(0.1,Skills!E24-IF(Skills!F24=TRUE,Inputs!$B$32,0))))+1)),0)</f>
        <v/>
      </c>
      <c r="S276">
        <f>IF(C276,(H276*N276*IF(AND(Inputs!$B$38&lt;&gt;"pvp",Inputs!$B$43&gt;0),((Skills!G24*((R276-1)*IF(Skills!H24&gt;0,Skills!I24/Skills!H24,1)+IF(Skills!H24&gt;0,MIN(Skills!I24,MAX(0,MAX(0,Inputs!$B$43-B290)-((R276-1)*IF(Inputs!$B$38="pvp",15,MAX(0.1,Skills!E24-IF(Skills!F24=TRUE,Inputs!$B$32,0))))))/Skills!H24,1)))/Inputs!$B$43),G276*Q276)*(1+IF(Inputs!$B$3&gt;=130,0.2*(Skills!I16/Skills!E15+IF(Inputs!$B$3&gt;=126,0.05*(B288+Q265+(H266*B289)/(1+Skills!H14*H266*B289)+Q276),0)*Skills!I16),0)))*IF(Inputs!$B$38="pvp",1,1+(Inputs!$B$20+Skills!P24)/100),0)</f>
        <v/>
      </c>
      <c r="U276">
        <f>IF(C276,(H276*N276*IF(AND(Inputs!$B$38&lt;&gt;"pvp",Inputs!$B$43&gt;0),((Skills!G24*((R276-1)*IF(Skills!H24&gt;0,Skills!I24/Skills!H24,1)+IF(Skills!H24&gt;0,MIN(Skills!I24,MAX(0,MAX(0,Inputs!$B$43-B290)-((R276-1)*IF(Inputs!$B$38="pvp",15,MAX(0.1,Skills!E24-IF(Skills!F24=TRUE,Inputs!$B$32,0))))))/Skills!H24,1)))/Inputs!$B$43),G276*Q276)*(1+IF(Inputs!$B$3&gt;=130,0.2*(Skills!I16/Skills!E15+IF(Inputs!$B$3&gt;=126,0.05*(B288+Q265+(H266*B289)/(1+Skills!H14*H266*B289)+Q276),0)*Skills!I16),0)))*IF(Inputs!$B$38="pvp",1,(1+((Inputs!$B$21+1)+Skills!Q24)/100)*(MIN(Skills!R24,Inputs!$B$37))),0)</f>
        <v/>
      </c>
    </row>
    <row r="277">
      <c r="A277">
        <f>Skills!A25</f>
        <v/>
      </c>
      <c r="B277">
        <f>Skills!B25</f>
        <v/>
      </c>
      <c r="C277">
        <f>Inputs!$B$3&gt;=117</f>
        <v/>
      </c>
      <c r="D277">
        <f>IF(Skills!C25=1,60+Inputs!$B$25+Inputs!$B$29,IF(Skills!C25=2,90+Inputs!$B$26+Inputs!$B$29,IF(Skills!C25=3,120+Inputs!$B$27+Inputs!$B$29,MAX(0,(Inputs!$B$3-100)*3)+Inputs!$B$28+Inputs!$B$29)))</f>
        <v/>
      </c>
      <c r="E277">
        <f>INDEX(FactorTable!$B$2:$Y$301, MATCH(ROUND(MIN(300,MAX(1,D277)),0), FactorTable!$A$2:$A$301,0), Skills!M25+1)</f>
        <v/>
      </c>
      <c r="F277">
        <f>IF(Skills!N25=TRUE,(Skills!L25/10)*(E277/1000),Skills!L25/10)+Skills!O25</f>
        <v/>
      </c>
      <c r="G277">
        <f>Calc!G25</f>
        <v/>
      </c>
      <c r="H277">
        <f>Calc!H25</f>
        <v/>
      </c>
      <c r="I277">
        <f>IF(Skills!X25&lt;&gt;"",1+(Skills!X25/10)*(Z255/1000)/100,1)</f>
        <v/>
      </c>
      <c r="J277" t="inlineStr"/>
      <c r="K277" t="inlineStr"/>
      <c r="L277" t="inlineStr"/>
      <c r="M277" t="inlineStr"/>
      <c r="N277" t="inlineStr"/>
      <c r="O277">
        <f>(1-Summary!$B$56)*S277+Summary!$B$56*U277</f>
        <v/>
      </c>
      <c r="P277">
        <f>IF(B293=0,0,O277/B293)</f>
        <v/>
      </c>
      <c r="Q277">
        <f>IFERROR(1/IF(Inputs!$B$38="pvp",15,MAX(0.1,Skills!E25-IF(Skills!F25=TRUE,Inputs!$B$32,0))),0)</f>
        <v/>
      </c>
      <c r="R277" t="n">
        <v>0</v>
      </c>
      <c r="S277" t="n">
        <v>0</v>
      </c>
      <c r="U277" t="n">
        <v>0</v>
      </c>
    </row>
    <row r="278">
      <c r="A278">
        <f>Skills!A26</f>
        <v/>
      </c>
      <c r="B278">
        <f>Skills!B26</f>
        <v/>
      </c>
      <c r="C278">
        <f>Inputs!$B$3&gt;=120</f>
        <v/>
      </c>
      <c r="D278">
        <f>IF(Skills!C26=1,60+Inputs!$B$25+Inputs!$B$29,IF(Skills!C26=2,90+Inputs!$B$26+Inputs!$B$29,IF(Skills!C26=3,120+Inputs!$B$27+Inputs!$B$29,MAX(0,(Inputs!$B$3-100)*3)+Inputs!$B$28+Inputs!$B$29)))</f>
        <v/>
      </c>
      <c r="E278">
        <f>INDEX(FactorTable!$B$2:$Y$301, MATCH(ROUND(MIN(300,MAX(1,D278)),0), FactorTable!$A$2:$A$301,0), Skills!M26+1)</f>
        <v/>
      </c>
      <c r="F278">
        <f>IF(Skills!N26=TRUE,(Skills!L26/10)*(E278/1000),Skills!L26/10)+Skills!O26</f>
        <v/>
      </c>
      <c r="G278">
        <f>Calc!G26</f>
        <v/>
      </c>
      <c r="H278">
        <f>Calc!H26</f>
        <v/>
      </c>
      <c r="I278">
        <f>IF(Skills!X26&lt;&gt;"",1+(Skills!X26/10)*(Z255/1000)/100,1)</f>
        <v/>
      </c>
      <c r="J278" t="inlineStr"/>
      <c r="K278" t="inlineStr"/>
      <c r="L278" t="inlineStr"/>
      <c r="M278" t="inlineStr"/>
      <c r="N278" t="inlineStr"/>
      <c r="O278">
        <f>(1-Summary!$B$56)*S278+Summary!$B$56*U278</f>
        <v/>
      </c>
      <c r="P278">
        <f>IF(B293=0,0,O278/B293)</f>
        <v/>
      </c>
      <c r="Q278">
        <f>IFERROR(1/IF(Inputs!$B$38="pvp",15,MAX(0.1,Skills!E26-IF(Skills!F26=TRUE,Inputs!$B$32,0))),0)</f>
        <v/>
      </c>
      <c r="R278" t="n">
        <v>0</v>
      </c>
      <c r="S278" t="n">
        <v>0</v>
      </c>
      <c r="U278" t="n">
        <v>0</v>
      </c>
    </row>
    <row r="279">
      <c r="A279">
        <f>Skills!A27</f>
        <v/>
      </c>
      <c r="B279">
        <f>Skills!B27</f>
        <v/>
      </c>
      <c r="C279">
        <f>Inputs!$B$3&gt;=125</f>
        <v/>
      </c>
      <c r="D279">
        <f>IF(Skills!C27=1,60+Inputs!$B$25+Inputs!$B$29,IF(Skills!C27=2,90+Inputs!$B$26+Inputs!$B$29,IF(Skills!C27=3,120+Inputs!$B$27+Inputs!$B$29,MAX(0,(Inputs!$B$3-100)*3)+Inputs!$B$28+Inputs!$B$29)))</f>
        <v/>
      </c>
      <c r="E279">
        <f>INDEX(FactorTable!$B$2:$Y$301, MATCH(ROUND(MIN(300,MAX(1,D279)),0), FactorTable!$A$2:$A$301,0), Skills!M27+1)</f>
        <v/>
      </c>
      <c r="F279">
        <f>IF(Skills!N27=TRUE,(Skills!L27/10)*(E279/1000),Skills!L27/10)+Skills!O27</f>
        <v/>
      </c>
      <c r="G279">
        <f>Calc!G27</f>
        <v/>
      </c>
      <c r="H279">
        <f>Calc!H27</f>
        <v/>
      </c>
      <c r="I279">
        <f>IF(Skills!X27&lt;&gt;"",1+(Skills!X27/10)*(Z255/1000)/100,1)</f>
        <v/>
      </c>
      <c r="J279" t="inlineStr"/>
      <c r="K279" t="inlineStr"/>
      <c r="L279" t="inlineStr"/>
      <c r="M279" t="inlineStr"/>
      <c r="N279" t="inlineStr"/>
      <c r="O279">
        <f>(1-Summary!$B$56)*S279+Summary!$B$56*U279</f>
        <v/>
      </c>
      <c r="P279">
        <f>IF(B293=0,0,O279/B293)</f>
        <v/>
      </c>
      <c r="Q279">
        <f>IFERROR(1/IF(Inputs!$B$38="pvp",15,MAX(0.1,Skills!E27-IF(Skills!F27=TRUE,Inputs!$B$32,0))),0)</f>
        <v/>
      </c>
      <c r="R279" t="n">
        <v>0</v>
      </c>
      <c r="S279" t="n">
        <v>0</v>
      </c>
      <c r="U279" t="n">
        <v>0</v>
      </c>
    </row>
    <row r="280">
      <c r="A280">
        <f>Skills!A28</f>
        <v/>
      </c>
      <c r="B280">
        <f>Skills!B28</f>
        <v/>
      </c>
      <c r="C280">
        <f>Inputs!$B$3&gt;=118</f>
        <v/>
      </c>
      <c r="D280">
        <f>IF(Skills!C28=1,60+Inputs!$B$25+Inputs!$B$29,IF(Skills!C28=2,90+Inputs!$B$26+Inputs!$B$29,IF(Skills!C28=3,120+Inputs!$B$27+Inputs!$B$29,MAX(0,(Inputs!$B$3-100)*3)+Inputs!$B$28+Inputs!$B$29)))</f>
        <v/>
      </c>
      <c r="E280">
        <f>INDEX(FactorTable!$B$2:$Y$301, MATCH(ROUND(MIN(300,MAX(1,D280)),0), FactorTable!$A$2:$A$301,0), Skills!M28+1)</f>
        <v/>
      </c>
      <c r="F280">
        <f>IF(Skills!N28=TRUE,(Skills!L28/10)*(E280/1000),Skills!L28/10)+Skills!O28</f>
        <v/>
      </c>
      <c r="G280">
        <f>Calc!G28</f>
        <v/>
      </c>
      <c r="H280">
        <f>Calc!H28</f>
        <v/>
      </c>
      <c r="I280">
        <f>IF(Skills!X28&lt;&gt;"",1+(Skills!X28/10)*(Z255/1000)/100,1)</f>
        <v/>
      </c>
      <c r="J280">
        <f>((Inputs!$B$6*(1+Inputs!$B$7/100))+(((Inputs!$B$12*(1+Inputs!$B$13/100))-(Inputs!$B$12*(1+Inputs!$B$13/100)))+0.25*(Inputs!$B$14-Inputs!$B$14))*(1+Inputs!$B$7/100))*(F280/100)</f>
        <v/>
      </c>
      <c r="K280">
        <f>J280*(1+((Inputs!$B$12*(1+Inputs!$B$13/100))*0.01+Inputs!$B$14*0.0025)/100)*(1+Inputs!$B$15/100)*(1+Inputs!$B$16/100)*(5000/(6000+Inputs!$B$42*(1-Inputs!$B$19/100)))*(1+Inputs!$B$24/100)*(1+F275/100)*(1+IF(Inputs!$B$3&gt;=120,F278,0)/100)^5*(1+(IF(Skills!A28="BASIC_ATTACK",Inputs!$B$17,Inputs!$B$18+IF(Inputs!$B$3&gt;=125,F279*5,0)))/100)*(B282*B283*B284*I280)</f>
        <v/>
      </c>
      <c r="L280">
        <f>K280*(MIN(Inputs!$B$22+(F274-Calc!F22),Inputs!$B$23)/100+Inputs!$B$23/100)/2</f>
        <v/>
      </c>
      <c r="M280">
        <f>L280*(1+(Inputs!$B$10+(F273-Calc!F21))/100)</f>
        <v/>
      </c>
      <c r="N280">
        <f>L280*(1-MIN(Inputs!$B$9+(F272-Calc!F20),100)/100)+M280*(MIN(Inputs!$B$9+(F272-Calc!F20),100)/100)</f>
        <v/>
      </c>
      <c r="O280">
        <f>(1-Summary!$B$56)*S280+Summary!$B$56*U280</f>
        <v/>
      </c>
      <c r="P280">
        <f>IF(B293=0,0,O280/B293)</f>
        <v/>
      </c>
      <c r="Q280">
        <f>IFERROR(1/IF(Inputs!$B$38="pvp",15,MAX(0.1,Skills!E28-IF(Skills!F28=TRUE,Inputs!$B$32,0))),0)</f>
        <v/>
      </c>
      <c r="R280">
        <f>IF(AND(Inputs!$B$38&lt;&gt;"pvp",Inputs!$B$43&gt;0),IF(MAX(0,Inputs!$B$43-B290)&lt;=0,0,(INT(MAX(0,Inputs!$B$43-B290)/IF(Inputs!$B$38="pvp",15,MAX(0.1,Skills!E28-IF(Skills!F28=TRUE,Inputs!$B$32,0))))+1)),0)</f>
        <v/>
      </c>
      <c r="S280">
        <f>IF(C280,(H280*N280*IF(AND(Inputs!$B$38&lt;&gt;"pvp",Inputs!$B$43&gt;0),((Skills!G28*((R280-1)*IF(Skills!H28&gt;0,Skills!I28/Skills!H28,1)+IF(Skills!H28&gt;0,MIN(Skills!I28,MAX(0,MAX(0,Inputs!$B$43-B290)-((R280-1)*IF(Inputs!$B$38="pvp",15,MAX(0.1,Skills!E28-IF(Skills!F28=TRUE,Inputs!$B$32,0))))))/Skills!H28,1)))/Inputs!$B$43),G280*Q280))*IF(Inputs!$B$38="pvp",1,1+(Inputs!$B$20+Skills!P28)/100),0)</f>
        <v/>
      </c>
      <c r="U280">
        <f>IF(C280,(H280*N280*IF(AND(Inputs!$B$38&lt;&gt;"pvp",Inputs!$B$43&gt;0),((Skills!G28*((R280-1)*IF(Skills!H28&gt;0,Skills!I28/Skills!H28,1)+IF(Skills!H28&gt;0,MIN(Skills!I28,MAX(0,MAX(0,Inputs!$B$43-B290)-((R280-1)*IF(Inputs!$B$38="pvp",15,MAX(0.1,Skills!E28-IF(Skills!F28=TRUE,Inputs!$B$32,0))))))/Skills!H28,1)))/Inputs!$B$43),G280*Q280))*IF(Inputs!$B$38="pvp",1,(1+((Inputs!$B$21+1)+Skills!Q28)/100)*(MIN(Skills!R28,Inputs!$B$37))),0)</f>
        <v/>
      </c>
    </row>
    <row r="282">
      <c r="A282" t="inlineStr">
        <is>
          <t>Burning Magic Multiplier</t>
        </is>
      </c>
      <c r="B282">
        <f>1+(F263*Skills!Z11)/100</f>
        <v/>
      </c>
    </row>
    <row r="283">
      <c r="A283" t="inlineStr">
        <is>
          <t>Elemental Decrease Multiplier (always-on)</t>
        </is>
      </c>
      <c r="B283">
        <f>1+F264/100</f>
        <v/>
      </c>
    </row>
    <row r="284">
      <c r="A284" t="inlineStr">
        <is>
          <t>Average Buff Multiplier (Magic Guard + Meditation, summed; then Infinity)</t>
        </is>
      </c>
      <c r="B284">
        <f>(1+(F258*IF(AND(Inputs!$B$38&lt;&gt;"pvp",Inputs!$B$43&gt;0),(((R258-1)*(Skills!T6*(1+(Inputs!$B$34+IF(Inputs!$B$3&gt;=117,F277,0))/100))+MIN((Skills!T6*(1+(Inputs!$B$34+IF(Inputs!$B$3&gt;=117,F277,0))/100)),MAX(0,Inputs!$B$43-((R258-1)*Skills!E6))))/Inputs!$B$43),IF(Inputs!$B$38="pvp",MIN((Skills!T6*(1+(Inputs!$B$34+IF(Inputs!$B$3&gt;=117,F277,0))/100)),15)/15,(Skills!T6*(1+(Inputs!$B$34+IF(Inputs!$B$3&gt;=117,F277,0))/100))/Skills!E6))+F269*IF(AND(Inputs!$B$38&lt;&gt;"pvp",Inputs!$B$43&gt;0),(((R269-1)*(Skills!T17*(1+(Inputs!$B$34+IF(Inputs!$B$3&gt;=117,F277,0))/100))+MIN((Skills!T17*(1+(Inputs!$B$34+IF(Inputs!$B$3&gt;=117,F277,0))/100)),MAX(0,Inputs!$B$43-((R269-1)*Skills!E17))))/Inputs!$B$43),IF(Inputs!$B$38="pvp",MIN((Skills!T17*(1+(Inputs!$B$34+IF(Inputs!$B$3&gt;=117,F277,0))/100)),15)/15,(Skills!T17*(1+(Inputs!$B$34+IF(Inputs!$B$3&gt;=117,F277,0))/100))/Skills!E17)))/100)*IF(C271=TRUE,(1+F271*IF(AND(Inputs!$B$38&lt;&gt;"pvp",Inputs!$B$43&gt;0),(((R271-1)*(Skills!T19*(1+(Inputs!$B$34+IF(Inputs!$B$3&gt;=117,F277,0))/100))+MIN((Skills!T19*(1+(Inputs!$B$34+IF(Inputs!$B$3&gt;=117,F277,0))/100)),MAX(0,Inputs!$B$43-((R271-1)*Skills!E19))))/Inputs!$B$43),IF(Inputs!$B$38="pvp",MIN((Skills!T19*(1+(Inputs!$B$34+IF(Inputs!$B$3&gt;=117,F277,0))/100)),15)/15,(Skills!T19*(1+(Inputs!$B$34+IF(Inputs!$B$3&gt;=117,F277,0))/100))/Skills!E19))/100),1)</f>
        <v/>
      </c>
    </row>
    <row r="285">
      <c r="A285" t="inlineStr">
        <is>
          <t>Attack Speed Buff Bonus % (Nimble Feet, averaged)</t>
        </is>
      </c>
      <c r="B285">
        <f>F270*IF(AND(Inputs!$B$38&lt;&gt;"pvp",Inputs!$B$43&gt;0),(((R270-1)*(Skills!T18*(1+(Inputs!$B$34+IF(Inputs!$B$3&gt;=117,F277,0))/100))+MIN((Skills!T18*(1+(Inputs!$B$34+IF(Inputs!$B$3&gt;=117,F277,0))/100)),MAX(0,Inputs!$B$43-((R270-1)*Skills!E18))))/Inputs!$B$43),IF(Inputs!$B$38="pvp",MIN((Skills!T18*(1+(Inputs!$B$34+IF(Inputs!$B$3&gt;=117,F277,0))/100)),15)/15,(Skills!T18*(1+(Inputs!$B$34+IF(Inputs!$B$3&gt;=117,F277,0))/100))/Skills!E18))</f>
        <v/>
      </c>
    </row>
    <row r="286">
      <c r="A286" t="inlineStr">
        <is>
          <t>Actions Per Second</t>
        </is>
      </c>
      <c r="B286">
        <f>1+MIN(150,150*(1-(1-Inputs!$B$11/150)*(1-B285/150)))/100</f>
        <v/>
      </c>
    </row>
    <row r="287">
      <c r="A287" t="inlineStr">
        <is>
          <t>Skill + Buff Cast Rate</t>
        </is>
      </c>
      <c r="B287">
        <f>IF(AND(Inputs!$B$38&lt;&gt;"pvp",Inputs!$B$43&gt;0),SUMPRODUCT((Skills!F2:F28=TRUE)*(C254:C280=TRUE)*R254:R280)/Inputs!$B$43,SUMPRODUCT((Skills!F2:F28=TRUE)*(C254:C280=TRUE)*Q254:Q280))</f>
        <v/>
      </c>
    </row>
    <row r="288">
      <c r="A288" t="inlineStr">
        <is>
          <t>Basic Attacks Per Second</t>
        </is>
      </c>
      <c r="B288">
        <f>MAX(0,B286-B287)</f>
        <v/>
      </c>
    </row>
    <row r="289">
      <c r="A289" t="inlineStr">
        <is>
          <t>Meteor Proc — combined trigger cast rate</t>
        </is>
      </c>
      <c r="B289">
        <f>IF(AND(Inputs!$B$38&lt;&gt;"pvp",Inputs!$B$43&gt;0),SUMPRODUCT((Skills!V2:V28=TRUE)*(C254:C280=TRUE)*R254:R280*Skills!W2:W28)/Inputs!$B$43,SUMPRODUCT((Skills!V2:V28=TRUE)*(C254:C280=TRUE)*Q254:Q280*Skills!W2:W28))+B288</f>
        <v/>
      </c>
    </row>
    <row r="290">
      <c r="A290" t="inlineStr">
        <is>
          <t>Buff-Casting Startup Delay (s, fixed-duration only)</t>
        </is>
      </c>
      <c r="B290">
        <f>IF(AND(Inputs!$B$38&lt;&gt;"pvp",Inputs!$B$43&gt;0),SUMPRODUCT((Skills!T2:T28&gt;0)*(Skills!F2:F28=TRUE)*(C254:C280=TRUE))/B286,0)</f>
        <v/>
      </c>
    </row>
    <row r="291">
      <c r="A291" t="inlineStr">
        <is>
          <t>Boss-Only Total DPS (this block's swept value)</t>
        </is>
      </c>
      <c r="B291">
        <f>SUM(S254:S280)</f>
        <v/>
      </c>
    </row>
    <row r="292">
      <c r="A292" t="inlineStr">
        <is>
          <t>Normal-Only Total DPS (this block's swept value)</t>
        </is>
      </c>
      <c r="B292">
        <f>SUM(U254:U280)</f>
        <v/>
      </c>
    </row>
    <row r="293">
      <c r="A293" s="5" t="inlineStr">
        <is>
          <t>TOTAL DPS</t>
        </is>
      </c>
      <c r="B293" s="5">
        <f>SUM(O254:O280)</f>
        <v/>
      </c>
    </row>
    <row r="296">
      <c r="A296" s="5" t="inlineStr">
        <is>
          <t>Stat: FINAL_DAMAGE % (multiplicative source)</t>
        </is>
      </c>
    </row>
    <row r="297">
      <c r="A297" s="9" t="inlineStr">
        <is>
          <t>Key</t>
        </is>
      </c>
      <c r="B297" s="9" t="inlineStr">
        <is>
          <t>Name</t>
        </is>
      </c>
      <c r="C297" s="9" t="inlineStr">
        <is>
          <t>Unlocked</t>
        </is>
      </c>
      <c r="D297" s="9" t="inlineStr">
        <is>
          <t>InputLevel</t>
        </is>
      </c>
      <c r="E297" s="9" t="inlineStr">
        <is>
          <t>Factor</t>
        </is>
      </c>
      <c r="F297" s="9" t="inlineStr">
        <is>
          <t>CoefficientPercent</t>
        </is>
      </c>
      <c r="G297" s="9" t="inlineStr">
        <is>
          <t>EffectiveHits</t>
        </is>
      </c>
      <c r="H297" s="9" t="inlineStr">
        <is>
          <t>ProcProbability</t>
        </is>
      </c>
      <c r="I297" s="9" t="inlineStr">
        <is>
          <t>MapleHeroMultiplier</t>
        </is>
      </c>
      <c r="J297" s="9" t="inlineStr">
        <is>
          <t>BaseDamage</t>
        </is>
      </c>
      <c r="K297" s="9" t="inlineStr">
        <is>
          <t>BaseHitDamage</t>
        </is>
      </c>
      <c r="L297" s="9" t="inlineStr">
        <is>
          <t>NonCritAvg</t>
        </is>
      </c>
      <c r="M297" s="9" t="inlineStr">
        <is>
          <t>CritAvg</t>
        </is>
      </c>
      <c r="N297" s="9" t="inlineStr">
        <is>
          <t>ExpectedDamage(perHit)</t>
        </is>
      </c>
      <c r="O297" s="9" t="inlineStr">
        <is>
          <t>DPS</t>
        </is>
      </c>
      <c r="P297" s="9" t="inlineStr">
        <is>
          <t>% of Total</t>
        </is>
      </c>
      <c r="R297" t="inlineStr">
        <is>
          <t>helpers</t>
        </is>
      </c>
    </row>
    <row r="298">
      <c r="A298">
        <f>Skills!A2</f>
        <v/>
      </c>
      <c r="B298">
        <f>Skills!B2</f>
        <v/>
      </c>
      <c r="C298">
        <f>TRUE</f>
        <v/>
      </c>
      <c r="D298" t="inlineStr"/>
      <c r="E298" t="inlineStr"/>
      <c r="F298">
        <f>T300+Skills!O2</f>
        <v/>
      </c>
      <c r="G298">
        <f>Calc!G2</f>
        <v/>
      </c>
      <c r="H298">
        <f>Calc!H2</f>
        <v/>
      </c>
      <c r="I298">
        <f>IF(Skills!X2&lt;&gt;"",1+(Skills!X2/10)*(Z299/1000)/100,1)</f>
        <v/>
      </c>
      <c r="J298">
        <f>((Inputs!$B$6*(1+Inputs!$B$7/100))+(((Inputs!$B$12*(1+Inputs!$B$13/100))-(Inputs!$B$12*(1+Inputs!$B$13/100)))+0.25*(Inputs!$B$14-Inputs!$B$14))*(1+Inputs!$B$7/100))*(F298/100)</f>
        <v/>
      </c>
      <c r="K298">
        <f>J298*(1+((Inputs!$B$12*(1+Inputs!$B$13/100))*0.01+Inputs!$B$14*0.0025)/100)*(1+Inputs!$B$15/100)*(1+Inputs!$B$16/100)*(5000/(6000+Inputs!$B$42*(1-Inputs!$B$19/100)))*(1+((((1+Inputs!$B$24/100)*(1.01))-1)*100)/100)*(1+F319/100)*(1+IF(Inputs!$B$3&gt;=120,F322,0)/100)^5*(1+(IF(Skills!A2="BASIC_ATTACK",Inputs!$B$17,Inputs!$B$18+IF(Inputs!$B$3&gt;=125,F323*5,0)))/100)*(B326*B327*B328*I298)</f>
        <v/>
      </c>
      <c r="L298">
        <f>K298*(MIN(Inputs!$B$22+(F318-Calc!F22),Inputs!$B$23)/100+Inputs!$B$23/100)/2</f>
        <v/>
      </c>
      <c r="M298">
        <f>L298*(1+(Inputs!$B$10+(F317-Calc!F21))/100)</f>
        <v/>
      </c>
      <c r="N298">
        <f>L298*(1-MIN(Inputs!$B$9+(F316-Calc!F20),100)/100)+M298*(MIN(Inputs!$B$9+(F316-Calc!F20),100)/100)</f>
        <v/>
      </c>
      <c r="O298">
        <f>(1-Summary!$B$56)*S298+Summary!$B$56*U298</f>
        <v/>
      </c>
      <c r="P298">
        <f>IF(B337=0,0,O298/B337)</f>
        <v/>
      </c>
      <c r="Q298">
        <f>IFERROR(1/IF(Inputs!$B$38="pvp",15,MAX(0.1,Skills!E2-IF(Skills!F2=TRUE,Inputs!$B$32,0))),0)</f>
        <v/>
      </c>
      <c r="R298" t="n">
        <v>0</v>
      </c>
      <c r="S298">
        <f>(Skills!G2*N298*B332)*IF(Inputs!$B$38="pvp",1,1+(Inputs!$B$20+Skills!P2)/100)</f>
        <v/>
      </c>
      <c r="T298">
        <f>MAX(0,(Inputs!$B$3-100)*3)+Inputs!$B$28+Inputs!$B$29</f>
        <v/>
      </c>
      <c r="U298">
        <f>(Skills!G2*N298*B332)*IF(Inputs!$B$38="pvp",1,(1+(Inputs!$B$21+Skills!Q2)/100)*(MIN((6+Inputs!$B$33+IF(Inputs!$B$3&gt;=136,1,0)),Inputs!$B$37)))</f>
        <v/>
      </c>
      <c r="Z298">
        <f>MAX(0,(Inputs!$B$3-100)*3)+Inputs!$B$28+Inputs!$B$29</f>
        <v/>
      </c>
    </row>
    <row r="299">
      <c r="A299">
        <f>Skills!A3</f>
        <v/>
      </c>
      <c r="B299">
        <f>Skills!B3</f>
        <v/>
      </c>
      <c r="C299">
        <f>TRUE</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f>Calc!G3</f>
        <v/>
      </c>
      <c r="H299">
        <f>Calc!H3</f>
        <v/>
      </c>
      <c r="I299">
        <f>IF(Skills!X3&lt;&gt;"",1+(Skills!X3/10)*(Z299/1000)/100,1)</f>
        <v/>
      </c>
      <c r="J299">
        <f>((Inputs!$B$6*(1+Inputs!$B$7/100))+(((Inputs!$B$12*(1+Inputs!$B$13/100))-(Inputs!$B$12*(1+Inputs!$B$13/100)))+0.25*(Inputs!$B$14-Inputs!$B$14))*(1+Inputs!$B$7/100))*(F299/100)</f>
        <v/>
      </c>
      <c r="K299">
        <f>J299*(1+((Inputs!$B$12*(1+Inputs!$B$13/100))*0.01+Inputs!$B$14*0.0025)/100)*(1+Inputs!$B$15/100)*(1+Inputs!$B$16/100)*(5000/(6000+Inputs!$B$42*(1-Inputs!$B$19/100)))*(1+((((1+Inputs!$B$24/100)*(1.01))-1)*100)/100)*(1+F319/100)*(1+IF(Inputs!$B$3&gt;=120,F322,0)/100)^5*(1+(IF(Skills!A3="BASIC_ATTACK",Inputs!$B$17,Inputs!$B$18+IF(Inputs!$B$3&gt;=125,F323*5,0)))/100)*(B326*B327*B328*I299)</f>
        <v/>
      </c>
      <c r="L299">
        <f>K299*(MIN(Inputs!$B$22+(F318-Calc!F22),Inputs!$B$23)/100+Inputs!$B$23/100)/2</f>
        <v/>
      </c>
      <c r="M299">
        <f>L299*(1+(Inputs!$B$10+(F317-Calc!F21))/100)</f>
        <v/>
      </c>
      <c r="N299">
        <f>L299*(1-MIN(Inputs!$B$9+(F316-Calc!F20),100)/100)+M299*(MIN(Inputs!$B$9+(F316-Calc!F20),100)/100)</f>
        <v/>
      </c>
      <c r="O299">
        <f>(1-Summary!$B$56)*S299+Summary!$B$56*U299</f>
        <v/>
      </c>
      <c r="P299">
        <f>IF(B337=0,0,O299/B337)</f>
        <v/>
      </c>
      <c r="Q299">
        <f>IFERROR(1/IF(Inputs!$B$38="pvp",15,MAX(0.1,Skills!E3-IF(Skills!F3=TRUE,Inputs!$B$32,0))),0)</f>
        <v/>
      </c>
      <c r="R299">
        <f>IF(AND(Inputs!$B$38&lt;&gt;"pvp",Inputs!$B$43&gt;0),IF(MAX(0,Inputs!$B$43-B334)&lt;=0,0,(INT(MAX(0,Inputs!$B$43-B334)/IF(Inputs!$B$38="pvp",15,MAX(0.1,Skills!E3-IF(Skills!F3=TRUE,Inputs!$B$32,0))))+1)),0)</f>
        <v/>
      </c>
      <c r="S299">
        <f>IF(C299,(H299*N299*IF(AND(Inputs!$B$38&lt;&gt;"pvp",Inputs!$B$43&gt;0),((Skills!G3*((R299-1)*IF(Skills!H3&gt;0,Skills!I3/Skills!H3,1)+IF(Skills!H3&gt;0,MIN(Skills!I3,MAX(0,MAX(0,Inputs!$B$43-B334)-((R299-1)*IF(Inputs!$B$38="pvp",15,MAX(0.1,Skills!E3-IF(Skills!F3=TRUE,Inputs!$B$32,0))))))/Skills!H3,1)))/Inputs!$B$43),G299*Q299))*IF(Inputs!$B$38="pvp",1,1+(Inputs!$B$20+Skills!P3)/100),0)</f>
        <v/>
      </c>
      <c r="T299">
        <f>INDEX(FactorTable!$B$2:$Y$301, MATCH(ROUND(MIN(300,MAX(1,T298)),0), FactorTable!$A$2:$A$301,0), 22)</f>
        <v/>
      </c>
      <c r="U299">
        <f>IF(C299,(H299*N299*IF(AND(Inputs!$B$38&lt;&gt;"pvp",Inputs!$B$43&gt;0),((Skills!G3*((R299-1)*IF(Skills!H3&gt;0,Skills!I3/Skills!H3,1)+IF(Skills!H3&gt;0,MIN(Skills!I3,MAX(0,MAX(0,Inputs!$B$43-B334)-((R299-1)*IF(Inputs!$B$38="pvp",15,MAX(0.1,Skills!E3-IF(Skills!F3=TRUE,Inputs!$B$32,0))))))/Skills!H3,1)))/Inputs!$B$43),G299*Q299))*IF(Inputs!$B$38="pvp",1,(1+(Inputs!$B$21+Skills!Q3)/100)*(MIN(Skills!R3,Inputs!$B$37))),0)</f>
        <v/>
      </c>
      <c r="Z299">
        <f>INDEX(FactorTable!$B$2:$Y$301, MATCH(ROUND(MIN(300,MAX(1,Z298)),0), FactorTable!$A$2:$A$301,0), 24)</f>
        <v/>
      </c>
    </row>
    <row r="300">
      <c r="A300">
        <f>Skills!A4</f>
        <v/>
      </c>
      <c r="B300">
        <f>Skills!B4</f>
        <v/>
      </c>
      <c r="C300">
        <f>TRUE</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f>Calc!G4</f>
        <v/>
      </c>
      <c r="H300">
        <f>Calc!H4</f>
        <v/>
      </c>
      <c r="I300">
        <f>IF(Skills!X4&lt;&gt;"",1+(Skills!X4/10)*(Z299/1000)/100,1)</f>
        <v/>
      </c>
      <c r="J300">
        <f>((Inputs!$B$6*(1+Inputs!$B$7/100))+(((Inputs!$B$12*(1+Inputs!$B$13/100))-(Inputs!$B$12*(1+Inputs!$B$13/100)))+0.25*(Inputs!$B$14-Inputs!$B$14))*(1+Inputs!$B$7/100))*(F300/100)</f>
        <v/>
      </c>
      <c r="K300">
        <f>J300*(1+((Inputs!$B$12*(1+Inputs!$B$13/100))*0.01+Inputs!$B$14*0.0025)/100)*(1+Inputs!$B$15/100)*(1+Inputs!$B$16/100)*(5000/(6000+Inputs!$B$42*(1-Inputs!$B$19/100)))*(1+((((1+Inputs!$B$24/100)*(1.01))-1)*100)/100)*(1+F319/100)*(1+IF(Inputs!$B$3&gt;=120,F322,0)/100)^5*(1+(IF(Skills!A4="BASIC_ATTACK",Inputs!$B$17,Inputs!$B$18+IF(Inputs!$B$3&gt;=125,F323*5,0)))/100)*(B326*B327*B328*I300)</f>
        <v/>
      </c>
      <c r="L300">
        <f>K300*(MIN(Inputs!$B$22+(F318-Calc!F22),Inputs!$B$23)/100+Inputs!$B$23/100)/2</f>
        <v/>
      </c>
      <c r="M300">
        <f>L300*(1+(Inputs!$B$10+(F317-Calc!F21))/100)</f>
        <v/>
      </c>
      <c r="N300">
        <f>L300*(1-MIN(Inputs!$B$9+(F316-Calc!F20),100)/100)+M300*(MIN(Inputs!$B$9+(F316-Calc!F20),100)/100)</f>
        <v/>
      </c>
      <c r="O300">
        <f>(1-Summary!$B$56)*S300+Summary!$B$56*U300</f>
        <v/>
      </c>
      <c r="P300">
        <f>IF(B337=0,0,O300/B337)</f>
        <v/>
      </c>
      <c r="Q300">
        <f>IFERROR(1/IF(Inputs!$B$38="pvp",15,MAX(0.1,Skills!E4-IF(Skills!F4=TRUE,Inputs!$B$32,0))),0)</f>
        <v/>
      </c>
      <c r="R300">
        <f>IF(AND(Inputs!$B$38&lt;&gt;"pvp",Inputs!$B$43&gt;0),IF(MAX(0,Inputs!$B$43-B334)&lt;=0,0,(INT(MAX(0,Inputs!$B$43-B334)/IF(Inputs!$B$38="pvp",15,MAX(0.1,Skills!E4-IF(Skills!F4=TRUE,Inputs!$B$32,0))))+1)),0)</f>
        <v/>
      </c>
      <c r="S300">
        <f>IF(C300,(H300*N300*IF(AND(Inputs!$B$38&lt;&gt;"pvp",Inputs!$B$43&gt;0),((Skills!G4*((R300-1)*IF(Skills!H4&gt;0,Skills!I4/Skills!H4,1)+IF(Skills!H4&gt;0,MIN(Skills!I4,MAX(0,MAX(0,Inputs!$B$43-B334)-((R300-1)*IF(Inputs!$B$38="pvp",15,MAX(0.1,Skills!E4-IF(Skills!F4=TRUE,Inputs!$B$32,0))))))/Skills!H4,1)))/Inputs!$B$43),G300*Q300))*IF(Inputs!$B$38="pvp",1,1+(Inputs!$B$20+Skills!P4)/100),0)</f>
        <v/>
      </c>
      <c r="T300">
        <f>290*T299/1000</f>
        <v/>
      </c>
      <c r="U300">
        <f>IF(C300,(H300*N300*IF(AND(Inputs!$B$38&lt;&gt;"pvp",Inputs!$B$43&gt;0),((Skills!G4*((R300-1)*IF(Skills!H4&gt;0,Skills!I4/Skills!H4,1)+IF(Skills!H4&gt;0,MIN(Skills!I4,MAX(0,MAX(0,Inputs!$B$43-B334)-((R300-1)*IF(Inputs!$B$38="pvp",15,MAX(0.1,Skills!E4-IF(Skills!F4=TRUE,Inputs!$B$32,0))))))/Skills!H4,1)))/Inputs!$B$43),G300*Q300))*IF(Inputs!$B$38="pvp",1,(1+(Inputs!$B$21+Skills!Q4)/100)*(MIN(Skills!R4,Inputs!$B$37))),0)</f>
        <v/>
      </c>
    </row>
    <row r="301">
      <c r="A301">
        <f>Skills!A5</f>
        <v/>
      </c>
      <c r="B301">
        <f>Skills!B5</f>
        <v/>
      </c>
      <c r="C301">
        <f>TRUE</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Calc!G5</f>
        <v/>
      </c>
      <c r="H301">
        <f>Calc!H5</f>
        <v/>
      </c>
      <c r="I301">
        <f>IF(Skills!X5&lt;&gt;"",1+(Skills!X5/10)*(Z299/1000)/100,1)</f>
        <v/>
      </c>
      <c r="J301">
        <f>((Inputs!$B$6*(1+Inputs!$B$7/100))+(((Inputs!$B$12*(1+Inputs!$B$13/100))-(Inputs!$B$12*(1+Inputs!$B$13/100)))+0.25*(Inputs!$B$14-Inputs!$B$14))*(1+Inputs!$B$7/100))*(F301/100)</f>
        <v/>
      </c>
      <c r="K301">
        <f>J301*(1+((Inputs!$B$12*(1+Inputs!$B$13/100))*0.01+Inputs!$B$14*0.0025)/100)*(1+Inputs!$B$15/100)*(1+Inputs!$B$16/100)*(5000/(6000+Inputs!$B$42*(1-Inputs!$B$19/100)))*(1+((((1+Inputs!$B$24/100)*(1.01))-1)*100)/100)*(1+F319/100)*(1+IF(Inputs!$B$3&gt;=120,F322,0)/100)^5*(1+(IF(Skills!A5="BASIC_ATTACK",Inputs!$B$17,Inputs!$B$18+IF(Inputs!$B$3&gt;=125,F323*5,0)))/100)*(B326*B327*B328*I301)</f>
        <v/>
      </c>
      <c r="L301">
        <f>K301*(MIN(Inputs!$B$22+(F318-Calc!F22),Inputs!$B$23)/100+Inputs!$B$23/100)/2</f>
        <v/>
      </c>
      <c r="M301">
        <f>L301*(1+(Inputs!$B$10+(F317-Calc!F21))/100)</f>
        <v/>
      </c>
      <c r="N301">
        <f>L301*(1-MIN(Inputs!$B$9+(F316-Calc!F20),100)/100)+M301*(MIN(Inputs!$B$9+(F316-Calc!F20),100)/100)</f>
        <v/>
      </c>
      <c r="O301">
        <f>(1-Summary!$B$56)*S301+Summary!$B$56*U301</f>
        <v/>
      </c>
      <c r="P301">
        <f>IF(B337=0,0,O301/B337)</f>
        <v/>
      </c>
      <c r="Q301">
        <f>IFERROR(1/IF(Inputs!$B$38="pvp",15,MAX(0.1,Skills!E5-IF(Skills!F5=TRUE,Inputs!$B$32,0))),0)</f>
        <v/>
      </c>
      <c r="R301">
        <f>IF(AND(Inputs!$B$38&lt;&gt;"pvp",Inputs!$B$43&gt;0),IF(MAX(0,Inputs!$B$43-B334)&lt;=0,0,(INT(MAX(0,Inputs!$B$43-B334)/IF(Inputs!$B$38="pvp",15,MAX(0.1,Skills!E5-IF(Skills!F5=TRUE,Inputs!$B$32,0))))+1)),0)</f>
        <v/>
      </c>
      <c r="S301">
        <f>IF(C301,(H301*N301*IF(AND(Inputs!$B$38&lt;&gt;"pvp",Inputs!$B$43&gt;0),((Skills!G5*((R301-1)*IF(Skills!H5&gt;0,Skills!I5/Skills!H5,1)+IF(Skills!H5&gt;0,MIN(Skills!I5,MAX(0,MAX(0,Inputs!$B$43-B334)-((R301-1)*IF(Inputs!$B$38="pvp",15,MAX(0.1,Skills!E5-IF(Skills!F5=TRUE,Inputs!$B$32,0))))))/Skills!H5,1)))/Inputs!$B$43),G301*Q301))*IF(Inputs!$B$38="pvp",1,1+(Inputs!$B$20+Skills!P5)/100),0)</f>
        <v/>
      </c>
      <c r="U301">
        <f>IF(C301,(H301*N301*IF(AND(Inputs!$B$38&lt;&gt;"pvp",Inputs!$B$43&gt;0),((Skills!G5*((R301-1)*IF(Skills!H5&gt;0,Skills!I5/Skills!H5,1)+IF(Skills!H5&gt;0,MIN(Skills!I5,MAX(0,MAX(0,Inputs!$B$43-B334)-((R301-1)*IF(Inputs!$B$38="pvp",15,MAX(0.1,Skills!E5-IF(Skills!F5=TRUE,Inputs!$B$32,0))))))/Skills!H5,1)))/Inputs!$B$43),G301*Q301))*IF(Inputs!$B$38="pvp",1,(1+(Inputs!$B$21+Skills!Q5)/100)*(MIN(Skills!R5,Inputs!$B$37))),0)</f>
        <v/>
      </c>
    </row>
    <row r="302">
      <c r="A302">
        <f>Skills!A6</f>
        <v/>
      </c>
      <c r="B302">
        <f>Skills!B6</f>
        <v/>
      </c>
      <c r="C302">
        <f>TRUE</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Calc!G6</f>
        <v/>
      </c>
      <c r="H302">
        <f>Calc!H6</f>
        <v/>
      </c>
      <c r="I302">
        <f>IF(Skills!X6&lt;&gt;"",1+(Skills!X6/10)*(Z299/1000)/100,1)</f>
        <v/>
      </c>
      <c r="J302" t="inlineStr"/>
      <c r="K302" t="inlineStr"/>
      <c r="L302" t="inlineStr"/>
      <c r="M302" t="inlineStr"/>
      <c r="N302" t="inlineStr"/>
      <c r="O302">
        <f>(1-Summary!$B$56)*S302+Summary!$B$56*U302</f>
        <v/>
      </c>
      <c r="P302">
        <f>IF(B337=0,0,O302/B337)</f>
        <v/>
      </c>
      <c r="Q302">
        <f>IFERROR(1/IF(Inputs!$B$38="pvp",15,MAX(0.1,Skills!E6-IF(Skills!F6=TRUE,Inputs!$B$32,0))),0)</f>
        <v/>
      </c>
      <c r="R302">
        <f>IF(AND(Inputs!$B$38&lt;&gt;"pvp",Inputs!$B$43&gt;0),IF(Inputs!$B$43&lt;=0,0,(INT(Inputs!$B$43/IF(Inputs!$B$38="pvp",15,MAX(0.1,Skills!E6-IF(Skills!F6=TRUE,Inputs!$B$32,0))))+1)),0)</f>
        <v/>
      </c>
      <c r="S302" t="n">
        <v>0</v>
      </c>
      <c r="U302" t="n">
        <v>0</v>
      </c>
    </row>
    <row r="303">
      <c r="A303">
        <f>Skills!A7</f>
        <v/>
      </c>
      <c r="B303">
        <f>Skills!B7</f>
        <v/>
      </c>
      <c r="C303">
        <f>TRUE</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Calc!G7</f>
        <v/>
      </c>
      <c r="H303">
        <f>Calc!H7</f>
        <v/>
      </c>
      <c r="I303">
        <f>IF(Skills!X7&lt;&gt;"",1+(Skills!X7/10)*(Z299/1000)/100,1)</f>
        <v/>
      </c>
      <c r="J303">
        <f>((Inputs!$B$6*(1+Inputs!$B$7/100))+(((Inputs!$B$12*(1+Inputs!$B$13/100))-(Inputs!$B$12*(1+Inputs!$B$13/100)))+0.25*(Inputs!$B$14-Inputs!$B$14))*(1+Inputs!$B$7/100))*(F303/100)</f>
        <v/>
      </c>
      <c r="K303">
        <f>J303*(1+((Inputs!$B$12*(1+Inputs!$B$13/100))*0.01+Inputs!$B$14*0.0025)/100)*(1+Inputs!$B$15/100)*(1+Inputs!$B$16/100)*(5000/(6000+Inputs!$B$42*(1-Inputs!$B$19/100)))*(1+((((1+Inputs!$B$24/100)*(1.01))-1)*100)/100)*(1+F319/100)*(1+IF(Inputs!$B$3&gt;=120,F322,0)/100)^5*(1+(IF(Skills!A7="BASIC_ATTACK",Inputs!$B$17,Inputs!$B$18+IF(Inputs!$B$3&gt;=125,F323*5,0)))/100)*(B326*B327*B328*I303)</f>
        <v/>
      </c>
      <c r="L303">
        <f>K303*(MIN(Inputs!$B$22+(F318-Calc!F22),Inputs!$B$23)/100+Inputs!$B$23/100)/2</f>
        <v/>
      </c>
      <c r="M303">
        <f>L303*(1+(Inputs!$B$10+(F317-Calc!F21))/100)</f>
        <v/>
      </c>
      <c r="N303">
        <f>L303*(1-MIN(Inputs!$B$9+(F316-Calc!F20),100)/100)+M303*(MIN(Inputs!$B$9+(F316-Calc!F20),100)/100)</f>
        <v/>
      </c>
      <c r="O303">
        <f>(1-Summary!$B$56)*S303+Summary!$B$56*U303</f>
        <v/>
      </c>
      <c r="P303">
        <f>IF(B337=0,0,O303/B337)</f>
        <v/>
      </c>
      <c r="Q303">
        <f>IFERROR(1/IF(Inputs!$B$38="pvp",15,MAX(0.1,Skills!E7-IF(Skills!F7=TRUE,Inputs!$B$32,0))),0)</f>
        <v/>
      </c>
      <c r="R303">
        <f>IF(AND(Inputs!$B$38&lt;&gt;"pvp",Inputs!$B$43&gt;0),IF(MAX(0,Inputs!$B$43-B334)&lt;=0,0,(INT(MAX(0,Inputs!$B$43-B334)/IF(Inputs!$B$38="pvp",15,MAX(0.1,Skills!E7-IF(Skills!F7=TRUE,Inputs!$B$32,0))))+1)),0)</f>
        <v/>
      </c>
      <c r="S303">
        <f>IF(C303,(H303*N303*IF(AND(Inputs!$B$38&lt;&gt;"pvp",Inputs!$B$43&gt;0),((Skills!G7*((R303-1)*IF(Skills!H7&gt;0,Skills!I7/Skills!H7,1)+IF(Skills!H7&gt;0,MIN(Skills!I7,MAX(0,MAX(0,Inputs!$B$43-B334)-((R303-1)*IF(Inputs!$B$38="pvp",15,MAX(0.1,Skills!E7-IF(Skills!F7=TRUE,Inputs!$B$32,0))))))/Skills!H7,1)))/Inputs!$B$43),G303*Q303))*IF(Inputs!$B$38="pvp",1,1+(Inputs!$B$20+Skills!P7)/100),0)</f>
        <v/>
      </c>
      <c r="U303">
        <f>IF(C303,(H303*N303*IF(AND(Inputs!$B$38&lt;&gt;"pvp",Inputs!$B$43&gt;0),((Skills!G7*((R303-1)*IF(Skills!H7&gt;0,Skills!I7/Skills!H7,1)+IF(Skills!H7&gt;0,MIN(Skills!I7,MAX(0,MAX(0,Inputs!$B$43-B334)-((R303-1)*IF(Inputs!$B$38="pvp",15,MAX(0.1,Skills!E7-IF(Skills!F7=TRUE,Inputs!$B$32,0))))))/Skills!H7,1)))/Inputs!$B$43),G303*Q303))*IF(Inputs!$B$38="pvp",1,(1+(Inputs!$B$21+Skills!Q7)/100)*(MIN(Skills!R7,Inputs!$B$37))),0)</f>
        <v/>
      </c>
    </row>
    <row r="304">
      <c r="A304">
        <f>Skills!A8</f>
        <v/>
      </c>
      <c r="B304">
        <f>Skills!B8</f>
        <v/>
      </c>
      <c r="C304">
        <f>TRUE</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f>Calc!G8</f>
        <v/>
      </c>
      <c r="H304">
        <f>Calc!H8</f>
        <v/>
      </c>
      <c r="I304">
        <f>IF(Skills!X8&lt;&gt;"",1+(Skills!X8/10)*(Z299/1000)/100,1)</f>
        <v/>
      </c>
      <c r="J304">
        <f>((Inputs!$B$6*(1+Inputs!$B$7/100))+(((Inputs!$B$12*(1+Inputs!$B$13/100))-(Inputs!$B$12*(1+Inputs!$B$13/100)))+0.25*(Inputs!$B$14-Inputs!$B$14))*(1+Inputs!$B$7/100))*(F304/100)</f>
        <v/>
      </c>
      <c r="K304">
        <f>J304*(1+((Inputs!$B$12*(1+Inputs!$B$13/100))*0.01+Inputs!$B$14*0.0025)/100)*(1+Inputs!$B$15/100)*(1+Inputs!$B$16/100)*(5000/(6000+Inputs!$B$42*(1-Inputs!$B$19/100)))*(1+((((1+Inputs!$B$24/100)*(1.01))-1)*100)/100)*(1+F319/100)*(1+IF(Inputs!$B$3&gt;=120,F322,0)/100)^5*(1+(IF(Skills!A8="BASIC_ATTACK",Inputs!$B$17,Inputs!$B$18+IF(Inputs!$B$3&gt;=125,F323*5,0)))/100)*(B326*B327*B328*I304)</f>
        <v/>
      </c>
      <c r="L304">
        <f>K304*(MIN(Inputs!$B$22+(F318-Calc!F22),Inputs!$B$23)/100+Inputs!$B$23/100)/2</f>
        <v/>
      </c>
      <c r="M304">
        <f>L304*(1+(Inputs!$B$10+(F317-Calc!F21))/100)</f>
        <v/>
      </c>
      <c r="N304">
        <f>L304*(1-MIN(Inputs!$B$9+(F316-Calc!F20),100)/100)+M304*(MIN(Inputs!$B$9+(F316-Calc!F20),100)/100)</f>
        <v/>
      </c>
      <c r="O304">
        <f>(1-Summary!$B$56)*S304+Summary!$B$56*U304</f>
        <v/>
      </c>
      <c r="P304">
        <f>IF(B337=0,0,O304/B337)</f>
        <v/>
      </c>
      <c r="Q304">
        <f>IFERROR(1/IF(Inputs!$B$38="pvp",15,MAX(0.1,Skills!E8-IF(Skills!F8=TRUE,Inputs!$B$32,0))),0)</f>
        <v/>
      </c>
      <c r="R304">
        <f>IF(AND(Inputs!$B$38&lt;&gt;"pvp",Inputs!$B$43&gt;0),IF(MAX(0,Inputs!$B$43-B334)&lt;=0,0,(INT(MAX(0,Inputs!$B$43-B334)/IF(Inputs!$B$38="pvp",15,MAX(0.1,Skills!E8-IF(Skills!F8=TRUE,Inputs!$B$32,0))))+1)),0)</f>
        <v/>
      </c>
      <c r="S304">
        <f>IF(C304,(H304*N304*IF(AND(Inputs!$B$38&lt;&gt;"pvp",Inputs!$B$43&gt;0),((Skills!G8*((R304-1)*IF(Skills!H8&gt;0,Skills!I8/Skills!H8,1)+IF(Skills!H8&gt;0,MIN(Skills!I8,MAX(0,MAX(0,Inputs!$B$43-B334)-((R304-1)*IF(Inputs!$B$38="pvp",15,MAX(0.1,Skills!E8-IF(Skills!F8=TRUE,Inputs!$B$32,0))))))/Skills!H8,1)))/Inputs!$B$43),G304*Q304))*IF(Inputs!$B$38="pvp",1,1+(Inputs!$B$20+Skills!P8)/100),0)</f>
        <v/>
      </c>
      <c r="U304">
        <f>IF(C304,(H304*N304*IF(AND(Inputs!$B$38&lt;&gt;"pvp",Inputs!$B$43&gt;0),((Skills!G8*((R304-1)*IF(Skills!H8&gt;0,Skills!I8/Skills!H8,1)+IF(Skills!H8&gt;0,MIN(Skills!I8,MAX(0,MAX(0,Inputs!$B$43-B334)-((R304-1)*IF(Inputs!$B$38="pvp",15,MAX(0.1,Skills!E8-IF(Skills!F8=TRUE,Inputs!$B$32,0))))))/Skills!H8,1)))/Inputs!$B$43),G304*Q304))*IF(Inputs!$B$38="pvp",1,(1+(Inputs!$B$21+Skills!Q8)/100)*(MIN(Skills!R8,Inputs!$B$37))),0)</f>
        <v/>
      </c>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Calc!G9</f>
        <v/>
      </c>
      <c r="H305">
        <f>Calc!H9</f>
        <v/>
      </c>
      <c r="I305">
        <f>IF(Skills!X9&lt;&gt;"",1+(Skills!X9/10)*(Z299/1000)/100,1)</f>
        <v/>
      </c>
      <c r="J305">
        <f>((Inputs!$B$6*(1+Inputs!$B$7/100))+(((Inputs!$B$12*(1+Inputs!$B$13/100))-(Inputs!$B$12*(1+Inputs!$B$13/100)))+0.25*(Inputs!$B$14-Inputs!$B$14))*(1+Inputs!$B$7/100))*(F305/100)</f>
        <v/>
      </c>
      <c r="K305">
        <f>J305*(1+((Inputs!$B$12*(1+Inputs!$B$13/100))*0.01+Inputs!$B$14*0.0025)/100)*(1+Inputs!$B$15/100)*(1+Inputs!$B$16/100)*(5000/(6000+Inputs!$B$42*(1-Inputs!$B$19/100)))*(1+((((1+Inputs!$B$24/100)*(1.01))-1)*100)/100)*(1+F319/100)*(1+IF(Inputs!$B$3&gt;=120,F322,0)/100)^5*(1+(IF(Skills!A9="BASIC_ATTACK",Inputs!$B$17,Inputs!$B$18+IF(Inputs!$B$3&gt;=125,F323*5,0)))/100)*(B326*B327*B328*I305)</f>
        <v/>
      </c>
      <c r="L305">
        <f>K305*(MIN(Inputs!$B$22+(F318-Calc!F22),Inputs!$B$23)/100+Inputs!$B$23/100)/2</f>
        <v/>
      </c>
      <c r="M305">
        <f>L305*(1+(Inputs!$B$10+(F317-Calc!F21))/100)</f>
        <v/>
      </c>
      <c r="N305">
        <f>L305*(1-MIN(Inputs!$B$9+(F316-Calc!F20),100)/100)+M305*(MIN(Inputs!$B$9+(F316-Calc!F20),100)/100)</f>
        <v/>
      </c>
      <c r="O305">
        <f>(1-Summary!$B$56)*S305+Summary!$B$56*U305</f>
        <v/>
      </c>
      <c r="P305">
        <f>IF(B337=0,0,O305/B337)</f>
        <v/>
      </c>
      <c r="Q305">
        <f>IFERROR(1/IF(Inputs!$B$38="pvp",15,MAX(0.1,Skills!E9-IF(Skills!F7=TRUE,Inputs!$B$32,0))),0)</f>
        <v/>
      </c>
      <c r="R305">
        <f>IF(AND(Inputs!$B$38&lt;&gt;"pvp",Inputs!$B$43&gt;0),IF(MAX(0,Inputs!$B$43-B334)&lt;=0,0,(INT(MAX(0,Inputs!$B$43-B334)/IF(Inputs!$B$38="pvp",15,MAX(0.1,Skills!E9-IF(Skills!F7=TRUE,Inputs!$B$32,0))))+1)),0)</f>
        <v/>
      </c>
      <c r="S305">
        <f>IF(C305,(H305*N305*IF(AND(Inputs!$B$38&lt;&gt;"pvp",Inputs!$B$43&gt;0),((Skills!G9*((R305-1)*IF(Skills!H9&gt;0,Skills!I9/Skills!H9,1)+IF(Skills!H9&gt;0,MIN(Skills!I9,MAX(0,MAX(0,Inputs!$B$43-B334)-((R305-1)*IF(Inputs!$B$38="pvp",15,MAX(0.1,Skills!E9-IF(Skills!F7=TRUE,Inputs!$B$32,0))))))/Skills!H9,1)))/Inputs!$B$43),G305*Q305))*IF(Inputs!$B$38="pvp",1,1+(Inputs!$B$20+Skills!P9)/100),0)</f>
        <v/>
      </c>
      <c r="U305">
        <f>IF(C305,(H305*N305*IF(AND(Inputs!$B$38&lt;&gt;"pvp",Inputs!$B$43&gt;0),((Skills!G9*((R305-1)*IF(Skills!H9&gt;0,Skills!I9/Skills!H9,1)+IF(Skills!H9&gt;0,MIN(Skills!I9,MAX(0,MAX(0,Inputs!$B$43-B334)-((R305-1)*IF(Inputs!$B$38="pvp",15,MAX(0.1,Skills!E9-IF(Skills!F7=TRUE,Inputs!$B$32,0))))))/Skills!H9,1)))/Inputs!$B$43),G305*Q305))*IF(Inputs!$B$38="pvp",1,(1+(Inputs!$B$21+Skills!Q9)/100)*(MIN(Skills!R9,Inputs!$B$37))),0)</f>
        <v/>
      </c>
    </row>
    <row r="306">
      <c r="A306">
        <f>Skills!A10</f>
        <v/>
      </c>
      <c r="B306">
        <f>Skills!B10</f>
        <v/>
      </c>
      <c r="C306">
        <f>TRUE</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Calc!G10</f>
        <v/>
      </c>
      <c r="H306">
        <f>Calc!H10</f>
        <v/>
      </c>
      <c r="I306">
        <f>IF(Skills!X10&lt;&gt;"",1+(Skills!X10/10)*(Z299/1000)/100,1)</f>
        <v/>
      </c>
      <c r="J306">
        <f>((Inputs!$B$6*(1+Inputs!$B$7/100))+(((Inputs!$B$12*(1+Inputs!$B$13/100))-(Inputs!$B$12*(1+Inputs!$B$13/100)))+0.25*(Inputs!$B$14-Inputs!$B$14))*(1+Inputs!$B$7/100))*(F306/100)</f>
        <v/>
      </c>
      <c r="K306">
        <f>J306*(1+((Inputs!$B$12*(1+Inputs!$B$13/100))*0.01+Inputs!$B$14*0.0025)/100)*(1+Inputs!$B$15/100)*(1+Inputs!$B$16/100)*(5000/(6000+Inputs!$B$42*(1-Inputs!$B$19/100)))*(1+((((1+Inputs!$B$24/100)*(1.01))-1)*100)/100)*(1+F319/100)*(1+IF(Inputs!$B$3&gt;=120,F322,0)/100)^5*(1+(IF(Skills!A10="BASIC_ATTACK",Inputs!$B$17,Inputs!$B$18+IF(Inputs!$B$3&gt;=125,F323*5,0)))/100)*(B326*B327*B328*I306)</f>
        <v/>
      </c>
      <c r="L306">
        <f>K306*(MIN(Inputs!$B$22+(F318-Calc!F22),Inputs!$B$23)/100+Inputs!$B$23/100)/2</f>
        <v/>
      </c>
      <c r="M306">
        <f>L306*(1+(Inputs!$B$10+(F317-Calc!F21))/100)</f>
        <v/>
      </c>
      <c r="N306">
        <f>L306*(1-MIN(Inputs!$B$9+(F316-Calc!F20),100)/100)+M306*(MIN(Inputs!$B$9+(F316-Calc!F20),100)/100)</f>
        <v/>
      </c>
      <c r="O306">
        <f>(1-Summary!$B$56)*S306+Summary!$B$56*U306</f>
        <v/>
      </c>
      <c r="P306">
        <f>IF(B337=0,0,O306/B337)</f>
        <v/>
      </c>
      <c r="Q306">
        <f>IFERROR(1/IF(Inputs!$B$38="pvp",15,MAX(0.1,Skills!E10-IF(Skills!F10=TRUE,Inputs!$B$32,0))),0)</f>
        <v/>
      </c>
      <c r="R306">
        <f>IF(AND(Inputs!$B$38&lt;&gt;"pvp",Inputs!$B$43&gt;0),IF(MAX(0,Inputs!$B$43-B334)&lt;=0,0,(INT(MAX(0,Inputs!$B$43-B334)/IF(Inputs!$B$38="pvp",15,MAX(0.1,Skills!E10-IF(Skills!F10=TRUE,Inputs!$B$32,0))))+1)),0)</f>
        <v/>
      </c>
      <c r="S306">
        <f>IF(C306,(H306*N306*IF(AND(Inputs!$B$38&lt;&gt;"pvp",Inputs!$B$43&gt;0),((Skills!G10*((R306-1)*IF(Skills!H10&gt;0,Skills!I10/Skills!H10,1)+IF(Skills!H10&gt;0,MIN(Skills!I10,MAX(0,MAX(0,Inputs!$B$43-B334)-((R306-1)*IF(Inputs!$B$38="pvp",15,MAX(0.1,Skills!E10-IF(Skills!F10=TRUE,Inputs!$B$32,0))))))/Skills!H10,1)))/Inputs!$B$43),G306*Q306))*IF(Inputs!$B$38="pvp",1,1+(Inputs!$B$20+Skills!P10)/100),0)</f>
        <v/>
      </c>
      <c r="U306">
        <f>IF(C306,(H306*N306*IF(AND(Inputs!$B$38&lt;&gt;"pvp",Inputs!$B$43&gt;0),((Skills!G10*((R306-1)*IF(Skills!H10&gt;0,Skills!I10/Skills!H10,1)+IF(Skills!H10&gt;0,MIN(Skills!I10,MAX(0,MAX(0,Inputs!$B$43-B334)-((R306-1)*IF(Inputs!$B$38="pvp",15,MAX(0.1,Skills!E10-IF(Skills!F10=TRUE,Inputs!$B$32,0))))))/Skills!H10,1)))/Inputs!$B$43),G306*Q306))*IF(Inputs!$B$38="pvp",1,(1+(Inputs!$B$21+Skills!Q10)/100)*(MIN(Skills!R10,Inputs!$B$37))),0)</f>
        <v/>
      </c>
    </row>
    <row r="307">
      <c r="A307">
        <f>Skills!A11</f>
        <v/>
      </c>
      <c r="B307">
        <f>Skills!B11</f>
        <v/>
      </c>
      <c r="C307">
        <f>TRUE</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Calc!G11</f>
        <v/>
      </c>
      <c r="H307">
        <f>Calc!H11</f>
        <v/>
      </c>
      <c r="I307">
        <f>IF(Skills!X11&lt;&gt;"",1+(Skills!X11/10)*(Z299/1000)/100,1)</f>
        <v/>
      </c>
      <c r="J307" t="inlineStr"/>
      <c r="K307" t="inlineStr"/>
      <c r="L307" t="inlineStr"/>
      <c r="M307" t="inlineStr"/>
      <c r="N307" t="inlineStr"/>
      <c r="O307">
        <f>(1-Summary!$B$56)*S307+Summary!$B$56*U307</f>
        <v/>
      </c>
      <c r="P307">
        <f>IF(B337=0,0,O307/B337)</f>
        <v/>
      </c>
      <c r="Q307">
        <f>IFERROR(1/IF(Inputs!$B$38="pvp",15,MAX(0.1,Skills!E11-IF(Skills!F11=TRUE,Inputs!$B$32,0))),0)</f>
        <v/>
      </c>
      <c r="R307" t="n">
        <v>0</v>
      </c>
      <c r="S307" t="n">
        <v>0</v>
      </c>
      <c r="U307" t="n">
        <v>0</v>
      </c>
    </row>
    <row r="308">
      <c r="A308">
        <f>Skills!A12</f>
        <v/>
      </c>
      <c r="B308">
        <f>Skills!B12</f>
        <v/>
      </c>
      <c r="C308">
        <f>TRUE</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Calc!G12</f>
        <v/>
      </c>
      <c r="H308">
        <f>Calc!H12</f>
        <v/>
      </c>
      <c r="I308">
        <f>IF(Skills!X12&lt;&gt;"",1+(Skills!X12/10)*(Z299/1000)/100,1)</f>
        <v/>
      </c>
      <c r="J308" t="inlineStr"/>
      <c r="K308" t="inlineStr"/>
      <c r="L308" t="inlineStr"/>
      <c r="M308" t="inlineStr"/>
      <c r="N308" t="inlineStr"/>
      <c r="O308">
        <f>(1-Summary!$B$56)*S308+Summary!$B$56*U308</f>
        <v/>
      </c>
      <c r="P308">
        <f>IF(B337=0,0,O308/B337)</f>
        <v/>
      </c>
      <c r="Q308">
        <f>IFERROR(1/IF(Inputs!$B$38="pvp",15,MAX(0.1,Skills!E12-IF(Skills!F12=TRUE,Inputs!$B$32,0))),0)</f>
        <v/>
      </c>
      <c r="R308" t="n">
        <v>0</v>
      </c>
      <c r="S308" t="n">
        <v>0</v>
      </c>
      <c r="U308" t="n">
        <v>0</v>
      </c>
    </row>
    <row r="309">
      <c r="A309">
        <f>Skills!A13</f>
        <v/>
      </c>
      <c r="B309">
        <f>Skills!B13</f>
        <v/>
      </c>
      <c r="C309">
        <f>Inputs!$B$3&gt;=105</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Calc!G13</f>
        <v/>
      </c>
      <c r="H309">
        <f>Calc!H13</f>
        <v/>
      </c>
      <c r="I309">
        <f>IF(Skills!X13&lt;&gt;"",1+(Skills!X13/10)*(Z299/1000)/100,1)</f>
        <v/>
      </c>
      <c r="J309">
        <f>((Inputs!$B$6*(1+Inputs!$B$7/100))+(((Inputs!$B$12*(1+Inputs!$B$13/100))-(Inputs!$B$12*(1+Inputs!$B$13/100)))+0.25*(Inputs!$B$14-Inputs!$B$14))*(1+Inputs!$B$7/100))*(F309/100)</f>
        <v/>
      </c>
      <c r="K309">
        <f>J309*(1+((Inputs!$B$12*(1+Inputs!$B$13/100))*0.01+Inputs!$B$14*0.0025)/100)*(1+Inputs!$B$15/100)*(1+Inputs!$B$16/100)*(5000/(6000+Inputs!$B$42*(1-Inputs!$B$19/100)))*(1+((((1+Inputs!$B$24/100)*(1.01))-1)*100)/100)*(1+F319/100)*(1+IF(Inputs!$B$3&gt;=120,F322,0)/100)^5*(1+(IF(Skills!A13="BASIC_ATTACK",Inputs!$B$17,Inputs!$B$18+IF(Inputs!$B$3&gt;=125,F323*5,0)))/100)*(B326*B327*B328*I309)</f>
        <v/>
      </c>
      <c r="L309">
        <f>K309*(MIN(Inputs!$B$22+(F318-Calc!F22),Inputs!$B$23)/100+Inputs!$B$23/100)/2</f>
        <v/>
      </c>
      <c r="M309">
        <f>L309*(1+(Inputs!$B$10+(F317-Calc!F21))/100)</f>
        <v/>
      </c>
      <c r="N309">
        <f>L309*(1-MIN(Inputs!$B$9+(F316-Calc!F20),100)/100)+M309*(MIN(Inputs!$B$9+(F316-Calc!F20),100)/100)</f>
        <v/>
      </c>
      <c r="O309">
        <f>(1-Summary!$B$56)*S309+Summary!$B$56*U309</f>
        <v/>
      </c>
      <c r="P309">
        <f>IF(B337=0,0,O309/B337)</f>
        <v/>
      </c>
      <c r="Q309">
        <f>IFERROR(1/IF(Inputs!$B$38="pvp",15,MAX(0.1,Skills!E13-IF(Skills!F13=TRUE,Inputs!$B$32,0))),0)</f>
        <v/>
      </c>
      <c r="R309">
        <f>IF(AND(Inputs!$B$38&lt;&gt;"pvp",Inputs!$B$43&gt;0),IF(MAX(0,Inputs!$B$43-B334)&lt;=0,0,(INT(MAX(0,Inputs!$B$43-B334)/IF(Inputs!$B$38="pvp",15,MAX(0.1,Skills!E13-IF(Skills!F13=TRUE,Inputs!$B$32,0))))+1)),0)</f>
        <v/>
      </c>
      <c r="S309">
        <f>IF(C309,(H309*N309*IF(AND(Inputs!$B$38&lt;&gt;"pvp",Inputs!$B$43&gt;0),((Skills!G13*((R309-1)*IF(Skills!H13&gt;0,Skills!I13/Skills!H13,1)+IF(Skills!H13&gt;0,MIN(Skills!I13,MAX(0,MAX(0,Inputs!$B$43-B334)-((R309-1)*IF(Inputs!$B$38="pvp",15,MAX(0.1,Skills!E13-IF(Skills!F13=TRUE,Inputs!$B$32,0))))))/Skills!H13,1)))/Inputs!$B$43),G309*Q309))*IF(Inputs!$B$38="pvp",1,1+(Inputs!$B$20+Skills!P13)/100),0)</f>
        <v/>
      </c>
      <c r="U309">
        <f>IF(C309,(H309*N309*IF(AND(Inputs!$B$38&lt;&gt;"pvp",Inputs!$B$43&gt;0),((Skills!G13*((R309-1)*IF(Skills!H13&gt;0,Skills!I13/Skills!H13,1)+IF(Skills!H13&gt;0,MIN(Skills!I13,MAX(0,MAX(0,Inputs!$B$43-B334)-((R309-1)*IF(Inputs!$B$38="pvp",15,MAX(0.1,Skills!E13-IF(Skills!F13=TRUE,Inputs!$B$32,0))))))/Skills!H13,1)))/Inputs!$B$43),G309*Q309))*IF(Inputs!$B$38="pvp",1,(1+(Inputs!$B$21+Skills!Q13)/100)*(MIN(Skills!R13,Inputs!$B$37))),0)</f>
        <v/>
      </c>
    </row>
    <row r="310">
      <c r="A310">
        <f>Skills!A14</f>
        <v/>
      </c>
      <c r="B310">
        <f>Skills!B14</f>
        <v/>
      </c>
      <c r="C310">
        <f>Inputs!$B$3&gt;=113</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Calc!G14</f>
        <v/>
      </c>
      <c r="H310">
        <f>Calc!H14</f>
        <v/>
      </c>
      <c r="I310">
        <f>IF(Skills!X14&lt;&gt;"",1+(Skills!X14/10)*(Z299/1000)/100,1)</f>
        <v/>
      </c>
      <c r="J310">
        <f>((Inputs!$B$6*(1+Inputs!$B$7/100))+(((Inputs!$B$12*(1+Inputs!$B$13/100))-(Inputs!$B$12*(1+Inputs!$B$13/100)))+0.25*(Inputs!$B$14-Inputs!$B$14))*(1+Inputs!$B$7/100))*(F310/100)</f>
        <v/>
      </c>
      <c r="K310">
        <f>J310*(1+((Inputs!$B$12*(1+Inputs!$B$13/100))*0.01+Inputs!$B$14*0.0025)/100)*(1+Inputs!$B$15/100)*(1+Inputs!$B$16/100)*(5000/(6000+Inputs!$B$42*(1-Inputs!$B$19/100)))*(1+((((1+Inputs!$B$24/100)*(1.01))-1)*100)/100)*(1+F319/100)*(1+IF(Inputs!$B$3&gt;=120,F322,0)/100)^5*(1+(IF(Skills!A14="BASIC_ATTACK",Inputs!$B$17,Inputs!$B$18+IF(Inputs!$B$3&gt;=125,F323*5,0)))/100)*(B326*B327*B328*I310)</f>
        <v/>
      </c>
      <c r="L310">
        <f>K310*(MIN(Inputs!$B$22+(F318-Calc!F22),Inputs!$B$23)/100+Inputs!$B$23/100)/2</f>
        <v/>
      </c>
      <c r="M310">
        <f>L310*(1+(Inputs!$B$10+(F317-Calc!F21))/100)</f>
        <v/>
      </c>
      <c r="N310">
        <f>L310*(1-MIN(Inputs!$B$9+(F316-Calc!F20),100)/100)+M310*(MIN(Inputs!$B$9+(F316-Calc!F20),100)/100)</f>
        <v/>
      </c>
      <c r="O310">
        <f>(1-Summary!$B$56)*S310+Summary!$B$56*U310</f>
        <v/>
      </c>
      <c r="P310">
        <f>IF(B337=0,0,O310/B337)</f>
        <v/>
      </c>
      <c r="Q310">
        <f>IFERROR(1/IF(Inputs!$B$38="pvp",15,MAX(0.1,Skills!E14-IF(Skills!F14=TRUE,Inputs!$B$32,0))),0)</f>
        <v/>
      </c>
      <c r="R310" t="n">
        <v>0</v>
      </c>
      <c r="S310">
        <f>IF(C310,((H310*B333)/(1+Skills!H14*H310*B333)*N310)*IF(Inputs!$B$38="pvp",1,1+(Inputs!$B$20+Skills!P14)/100),0)</f>
        <v/>
      </c>
      <c r="U310">
        <f>IF(C310,((H310*B333)/(1+Skills!H14*H310*B333)*N310)*IF(Inputs!$B$38="pvp",1,(1+(Inputs!$B$21+Skills!Q14)/100)*(MIN(Skills!R14,Inputs!$B$37))),0)</f>
        <v/>
      </c>
    </row>
    <row r="311">
      <c r="A311">
        <f>Skills!A15</f>
        <v/>
      </c>
      <c r="B311">
        <f>Skills!B15</f>
        <v/>
      </c>
      <c r="C311">
        <f>Inputs!$B$3&gt;=107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Calc!G15</f>
        <v/>
      </c>
      <c r="H311">
        <f>Calc!H15</f>
        <v/>
      </c>
      <c r="I311">
        <f>IF(Skills!X15&lt;&gt;"",1+(Skills!X15/10)*(Z299/1000)/100,1)</f>
        <v/>
      </c>
      <c r="J311">
        <f>((Inputs!$B$6*(1+Inputs!$B$7/100))+(((Inputs!$B$12*(1+Inputs!$B$13/100))-(Inputs!$B$12*(1+Inputs!$B$13/100)))+0.25*(Inputs!$B$14-Inputs!$B$14))*(1+Inputs!$B$7/100))*(F311/100)</f>
        <v/>
      </c>
      <c r="K311">
        <f>J311*(1+((Inputs!$B$12*(1+Inputs!$B$13/100))*0.01+Inputs!$B$14*0.0025)/100)*(1+Inputs!$B$15/100)*(1+Inputs!$B$16/100)*(5000/(6000+Inputs!$B$42*(1-Inputs!$B$19/100)))*(1+((((1+Inputs!$B$24/100)*(1.01))-1)*100)/100)*(1+F319/100)*(1+IF(Inputs!$B$3&gt;=120,F322,0)/100)^5*(1+(IF(Skills!A15="BASIC_ATTACK",Inputs!$B$17,Inputs!$B$18+IF(Inputs!$B$3&gt;=125,F323*5,0)))/100)*(B326*B327*B328*I311)</f>
        <v/>
      </c>
      <c r="L311">
        <f>K311*(MIN(Inputs!$B$22+(F318-Calc!F22),Inputs!$B$23)/100+Inputs!$B$23/100)/2</f>
        <v/>
      </c>
      <c r="M311">
        <f>L311*(1+(Inputs!$B$10+(F317-Calc!F21))/100)</f>
        <v/>
      </c>
      <c r="N311">
        <f>L311*(1-MIN(Inputs!$B$9+(F316-Calc!F20),100)/100)+M311*(MIN(Inputs!$B$9+(F316-Calc!F20),100)/100)</f>
        <v/>
      </c>
      <c r="O311">
        <f>(1-Summary!$B$56)*S311+Summary!$B$56*U311</f>
        <v/>
      </c>
      <c r="P311">
        <f>IF(B337=0,0,O311/B337)</f>
        <v/>
      </c>
      <c r="Q311">
        <f>IFERROR(1/IF(Inputs!$B$38="pvp",15,MAX(0.1,Skills!E15-IF(Skills!F15=TRUE,Inputs!$B$32,0))),0)</f>
        <v/>
      </c>
      <c r="R311">
        <f>IF(AND(Inputs!$B$38&lt;&gt;"pvp",Inputs!$B$43&gt;0),IF(MAX(0,Inputs!$B$43-B334)&lt;=0,0,(INT(MAX(0,Inputs!$B$43-B334)/IF(Inputs!$B$38="pvp",15,MAX(0.1,Skills!E15-IF(Skills!F15=TRUE,Inputs!$B$32,0))))+1)),0)</f>
        <v/>
      </c>
      <c r="S311">
        <f>IF(C311,(H311*N311*IF(AND(Inputs!$B$38&lt;&gt;"pvp",Inputs!$B$43&gt;0),((Skills!G15*((R311-1)*IF(Skills!H15&gt;0,Skills!I15/Skills!H15,1)+IF(Skills!H15&gt;0,MIN(Skills!I15,MAX(0,MAX(0,Inputs!$B$43-B334)-((R311-1)*IF(Inputs!$B$38="pvp",15,MAX(0.1,Skills!E15-IF(Skills!F15=TRUE,Inputs!$B$32,0))))))/Skills!H15,1)))/Inputs!$B$43),G311*Q311))*IF(Inputs!$B$38="pvp",1,1+(Inputs!$B$20+Skills!P15)/100),0)</f>
        <v/>
      </c>
      <c r="U311">
        <f>IF(C311,(H311*N311*IF(AND(Inputs!$B$38&lt;&gt;"pvp",Inputs!$B$43&gt;0),((Skills!G15*((R311-1)*IF(Skills!H15&gt;0,Skills!I15/Skills!H15,1)+IF(Skills!H15&gt;0,MIN(Skills!I15,MAX(0,MAX(0,Inputs!$B$43-B334)-((R311-1)*IF(Inputs!$B$38="pvp",15,MAX(0.1,Skills!E15-IF(Skills!F15=TRUE,Inputs!$B$32,0))))))/Skills!H15,1)))/Inputs!$B$43),G311*Q311))*IF(Inputs!$B$38="pvp",1,(1+(Inputs!$B$21+Skills!Q15)/100)*(MIN(Skills!R15,Inputs!$B$37))),0)</f>
        <v/>
      </c>
    </row>
    <row r="312">
      <c r="A312">
        <f>Skills!A16</f>
        <v/>
      </c>
      <c r="B312">
        <f>Skills!B16</f>
        <v/>
      </c>
      <c r="C312">
        <f>Inputs!$B$3&gt;=107</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Calc!G16</f>
        <v/>
      </c>
      <c r="H312">
        <f>Calc!H16</f>
        <v/>
      </c>
      <c r="I312">
        <f>IF(Skills!X16&lt;&gt;"",1+(Skills!X16/10)*(Z299/1000)/100,1)</f>
        <v/>
      </c>
      <c r="J312">
        <f>((Inputs!$B$6*(1+Inputs!$B$7/100))+(((Inputs!$B$12*(1+Inputs!$B$13/100))-(Inputs!$B$12*(1+Inputs!$B$13/100)))+0.25*(Inputs!$B$14-Inputs!$B$14))*(1+Inputs!$B$7/100))*(F312/100)</f>
        <v/>
      </c>
      <c r="K312">
        <f>J312*(1+((Inputs!$B$12*(1+Inputs!$B$13/100))*0.01+Inputs!$B$14*0.0025)/100)*(1+Inputs!$B$15/100)*(1+Inputs!$B$16/100)*(5000/(6000+Inputs!$B$42*(1-Inputs!$B$19/100)))*(1+((((1+Inputs!$B$24/100)*(1.01))-1)*100)/100)*(1+F319/100)*(1+IF(Inputs!$B$3&gt;=120,F322,0)/100)^5*(1+(IF(Skills!A16="BASIC_ATTACK",Inputs!$B$17,Inputs!$B$18+IF(Inputs!$B$3&gt;=125,F323*5,0)))/100)*(B326*B327*B328*I312)</f>
        <v/>
      </c>
      <c r="L312">
        <f>K312*(MIN(Inputs!$B$22+(F318-Calc!F22),Inputs!$B$23)/100+Inputs!$B$23/100)/2</f>
        <v/>
      </c>
      <c r="M312">
        <f>L312*(1+(Inputs!$B$10+(F317-Calc!F21))/100)</f>
        <v/>
      </c>
      <c r="N312">
        <f>L312*(1-MIN(Inputs!$B$9+(F316-Calc!F20),100)/100)+M312*(MIN(Inputs!$B$9+(F316-Calc!F20),100)/100)</f>
        <v/>
      </c>
      <c r="O312">
        <f>(1-Summary!$B$56)*S312+Summary!$B$56*U312</f>
        <v/>
      </c>
      <c r="P312">
        <f>IF(B337=0,0,O312/B337)</f>
        <v/>
      </c>
      <c r="Q312">
        <f>IFERROR(1/IF(Inputs!$B$38="pvp",15,MAX(0.1,Skills!E16-IF(Skills!F16=TRUE,Inputs!$B$32,0))),0)</f>
        <v/>
      </c>
      <c r="R312">
        <f>IF(AND(Inputs!$B$38&lt;&gt;"pvp",Inputs!$B$43&gt;0),IF(MAX(0,Inputs!$B$43-B334)&lt;=0,0,(INT(MAX(0,Inputs!$B$43-B334)/IF(Inputs!$B$38="pvp",15,MAX(0.1,Skills!E16-IF(Skills!F16=TRUE,Inputs!$B$32,0))))+1)),0)</f>
        <v/>
      </c>
      <c r="S312">
        <f>IF(C312,(H312*N312*IF(AND(Inputs!$B$38&lt;&gt;"pvp",Inputs!$B$43&gt;0),((Skills!G16*((R312-1)*IF(Skills!H16&gt;0,Skills!I16/Skills!H16,1)+IF(Skills!H16&gt;0,MIN(Skills!I16,MAX(0,MAX(0,Inputs!$B$43-B334)-((R312-1)*IF(Inputs!$B$38="pvp",15,MAX(0.1,Skills!E16-IF(Skills!F16=TRUE,Inputs!$B$32,0))))))/Skills!H16,1)))/Inputs!$B$43),G312*Q312)*(1+IF(Inputs!$B$3&gt;=126,0.05*(B332+Q309+(H310*B333)/(1+Skills!H14*H310*B333)+Q320),0)*Skills!E15))*IF(Inputs!$B$38="pvp",1,1+(Inputs!$B$20+Skills!P16)/100),0)</f>
        <v/>
      </c>
      <c r="U312">
        <f>IF(C312,(H312*N312*IF(AND(Inputs!$B$38&lt;&gt;"pvp",Inputs!$B$43&gt;0),((Skills!G16*((R312-1)*IF(Skills!H16&gt;0,Skills!I16/Skills!H16,1)+IF(Skills!H16&gt;0,MIN(Skills!I16,MAX(0,MAX(0,Inputs!$B$43-B334)-((R312-1)*IF(Inputs!$B$38="pvp",15,MAX(0.1,Skills!E16-IF(Skills!F16=TRUE,Inputs!$B$32,0))))))/Skills!H16,1)))/Inputs!$B$43),G312*Q312)*(1+IF(Inputs!$B$3&gt;=126,0.05*(B332+Q309+(H310*B333)/(1+Skills!H14*H310*B333)+Q320),0)*Skills!E15))*IF(Inputs!$B$38="pvp",1,(1+(Inputs!$B$21+Skills!Q16)/100)*(MIN(Skills!R16,Inputs!$B$37))),0)</f>
        <v/>
      </c>
    </row>
    <row r="313">
      <c r="A313">
        <f>Skills!A17</f>
        <v/>
      </c>
      <c r="B313">
        <f>Skills!B17</f>
        <v/>
      </c>
      <c r="C313">
        <f>TRUE</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Calc!G17</f>
        <v/>
      </c>
      <c r="H313">
        <f>Calc!H17</f>
        <v/>
      </c>
      <c r="I313">
        <f>IF(Skills!X17&lt;&gt;"",1+(Skills!X17/10)*(Z299/1000)/100,1)</f>
        <v/>
      </c>
      <c r="J313" t="inlineStr"/>
      <c r="K313" t="inlineStr"/>
      <c r="L313" t="inlineStr"/>
      <c r="M313" t="inlineStr"/>
      <c r="N313" t="inlineStr"/>
      <c r="O313">
        <f>(1-Summary!$B$56)*S313+Summary!$B$56*U313</f>
        <v/>
      </c>
      <c r="P313">
        <f>IF(B337=0,0,O313/B337)</f>
        <v/>
      </c>
      <c r="Q313">
        <f>IFERROR(1/IF(Inputs!$B$38="pvp",15,MAX(0.1,Skills!E17-IF(Skills!F17=TRUE,Inputs!$B$32,0))),0)</f>
        <v/>
      </c>
      <c r="R313">
        <f>IF(AND(Inputs!$B$38&lt;&gt;"pvp",Inputs!$B$43&gt;0),IF(Inputs!$B$43&lt;=0,0,(INT(Inputs!$B$43/IF(Inputs!$B$38="pvp",15,MAX(0.1,Skills!E17-IF(Skills!F17=TRUE,Inputs!$B$32,0))))+1)),0)</f>
        <v/>
      </c>
      <c r="S313" t="n">
        <v>0</v>
      </c>
      <c r="U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Calc!G18</f>
        <v/>
      </c>
      <c r="H314">
        <f>Calc!H18</f>
        <v/>
      </c>
      <c r="I314">
        <f>IF(Skills!X18&lt;&gt;"",1+(Skills!X18/10)*(Z299/1000)/100,1)</f>
        <v/>
      </c>
      <c r="J314" t="inlineStr"/>
      <c r="K314" t="inlineStr"/>
      <c r="L314" t="inlineStr"/>
      <c r="M314" t="inlineStr"/>
      <c r="N314" t="inlineStr"/>
      <c r="O314">
        <f>(1-Summary!$B$56)*S314+Summary!$B$56*U314</f>
        <v/>
      </c>
      <c r="P314">
        <f>IF(B337=0,0,O314/B337)</f>
        <v/>
      </c>
      <c r="Q314">
        <f>IFERROR(1/IF(Inputs!$B$38="pvp",15,MAX(0.1,Skills!E18-IF(Skills!F18=TRUE,Inputs!$B$32,0))),0)</f>
        <v/>
      </c>
      <c r="R314">
        <f>IF(AND(Inputs!$B$38&lt;&gt;"pvp",Inputs!$B$43&gt;0),IF(Inputs!$B$43&lt;=0,0,(INT(Inputs!$B$43/IF(Inputs!$B$38="pvp",15,MAX(0.1,Skills!E18-IF(Skills!F18=TRUE,Inputs!$B$32,0))))+1)),0)</f>
        <v/>
      </c>
      <c r="S314" t="n">
        <v>0</v>
      </c>
      <c r="U314" t="n">
        <v>0</v>
      </c>
    </row>
    <row r="315">
      <c r="A315">
        <f>Skills!A19</f>
        <v/>
      </c>
      <c r="B315">
        <f>Skills!B19</f>
        <v/>
      </c>
      <c r="C315">
        <f>Inputs!$B$3&gt;=110</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Calc!G19</f>
        <v/>
      </c>
      <c r="H315">
        <f>Calc!H19</f>
        <v/>
      </c>
      <c r="I315">
        <f>IF(Skills!X19&lt;&gt;"",1+(Skills!X19/10)*(Z299/1000)/100,1)</f>
        <v/>
      </c>
      <c r="J315" t="inlineStr"/>
      <c r="K315" t="inlineStr"/>
      <c r="L315" t="inlineStr"/>
      <c r="M315" t="inlineStr"/>
      <c r="N315" t="inlineStr"/>
      <c r="O315">
        <f>(1-Summary!$B$56)*S315+Summary!$B$56*U315</f>
        <v/>
      </c>
      <c r="P315">
        <f>IF(B337=0,0,O315/B337)</f>
        <v/>
      </c>
      <c r="Q315">
        <f>IFERROR(1/IF(Inputs!$B$38="pvp",15,MAX(0.1,Skills!E19-IF(Skills!F19=TRUE,Inputs!$B$32,0))),0)</f>
        <v/>
      </c>
      <c r="R315">
        <f>IF(AND(Inputs!$B$38&lt;&gt;"pvp",Inputs!$B$43&gt;0),IF(Inputs!$B$43&lt;=0,0,(INT(Inputs!$B$43/IF(Inputs!$B$38="pvp",15,MAX(0.1,Skills!E19-IF(Skills!F19=TRUE,Inputs!$B$32,0))))+1)),0)</f>
        <v/>
      </c>
      <c r="S315" t="n">
        <v>0</v>
      </c>
      <c r="U315" t="n">
        <v>0</v>
      </c>
    </row>
    <row r="316">
      <c r="A316">
        <f>Skills!A20</f>
        <v/>
      </c>
      <c r="B316">
        <f>Skills!B20</f>
        <v/>
      </c>
      <c r="C316">
        <f>TRUE</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Calc!G20</f>
        <v/>
      </c>
      <c r="H316">
        <f>Calc!H20</f>
        <v/>
      </c>
      <c r="I316">
        <f>IF(Skills!X20&lt;&gt;"",1+(Skills!X20/10)*(Z299/1000)/100,1)</f>
        <v/>
      </c>
      <c r="J316" t="inlineStr"/>
      <c r="K316" t="inlineStr"/>
      <c r="L316" t="inlineStr"/>
      <c r="M316" t="inlineStr"/>
      <c r="N316" t="inlineStr"/>
      <c r="O316">
        <f>(1-Summary!$B$56)*S316+Summary!$B$56*U316</f>
        <v/>
      </c>
      <c r="P316">
        <f>IF(B337=0,0,O316/B337)</f>
        <v/>
      </c>
      <c r="Q316">
        <f>IFERROR(1/IF(Inputs!$B$38="pvp",15,MAX(0.1,Skills!E20-IF(Skills!F20=TRUE,Inputs!$B$32,0))),0)</f>
        <v/>
      </c>
      <c r="R316" t="n">
        <v>0</v>
      </c>
      <c r="S316" t="n">
        <v>0</v>
      </c>
      <c r="U316" t="n">
        <v>0</v>
      </c>
    </row>
    <row r="317">
      <c r="A317">
        <f>Skills!A21</f>
        <v/>
      </c>
      <c r="B317">
        <f>Skills!B21</f>
        <v/>
      </c>
      <c r="C317">
        <f>TRUE</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Calc!G21</f>
        <v/>
      </c>
      <c r="H317">
        <f>Calc!H21</f>
        <v/>
      </c>
      <c r="I317">
        <f>IF(Skills!X21&lt;&gt;"",1+(Skills!X21/10)*(Z299/1000)/100,1)</f>
        <v/>
      </c>
      <c r="J317" t="inlineStr"/>
      <c r="K317" t="inlineStr"/>
      <c r="L317" t="inlineStr"/>
      <c r="M317" t="inlineStr"/>
      <c r="N317" t="inlineStr"/>
      <c r="O317">
        <f>(1-Summary!$B$56)*S317+Summary!$B$56*U317</f>
        <v/>
      </c>
      <c r="P317">
        <f>IF(B337=0,0,O317/B337)</f>
        <v/>
      </c>
      <c r="Q317">
        <f>IFERROR(1/IF(Inputs!$B$38="pvp",15,MAX(0.1,Skills!E21-IF(Skills!F21=TRUE,Inputs!$B$32,0))),0)</f>
        <v/>
      </c>
      <c r="R317" t="n">
        <v>0</v>
      </c>
      <c r="S317" t="n">
        <v>0</v>
      </c>
      <c r="U317" t="n">
        <v>0</v>
      </c>
    </row>
    <row r="318">
      <c r="A318">
        <f>Skills!A22</f>
        <v/>
      </c>
      <c r="B318">
        <f>Skills!B22</f>
        <v/>
      </c>
      <c r="C318">
        <f>TRUE</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Calc!G22</f>
        <v/>
      </c>
      <c r="H318">
        <f>Calc!H22</f>
        <v/>
      </c>
      <c r="I318">
        <f>IF(Skills!X22&lt;&gt;"",1+(Skills!X22/10)*(Z299/1000)/100,1)</f>
        <v/>
      </c>
      <c r="J318" t="inlineStr"/>
      <c r="K318" t="inlineStr"/>
      <c r="L318" t="inlineStr"/>
      <c r="M318" t="inlineStr"/>
      <c r="N318" t="inlineStr"/>
      <c r="O318">
        <f>(1-Summary!$B$56)*S318+Summary!$B$56*U318</f>
        <v/>
      </c>
      <c r="P318">
        <f>IF(B337=0,0,O318/B337)</f>
        <v/>
      </c>
      <c r="Q318">
        <f>IFERROR(1/IF(Inputs!$B$38="pvp",15,MAX(0.1,Skills!E22-IF(Skills!F22=TRUE,Inputs!$B$32,0))),0)</f>
        <v/>
      </c>
      <c r="R318" t="n">
        <v>0</v>
      </c>
      <c r="S318" t="n">
        <v>0</v>
      </c>
      <c r="U318" t="n">
        <v>0</v>
      </c>
    </row>
    <row r="319">
      <c r="A319">
        <f>Skills!A23</f>
        <v/>
      </c>
      <c r="B319">
        <f>Skills!B23</f>
        <v/>
      </c>
      <c r="C319">
        <f>TRUE</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Calc!G23</f>
        <v/>
      </c>
      <c r="H319">
        <f>Calc!H23</f>
        <v/>
      </c>
      <c r="I319">
        <f>IF(Skills!X23&lt;&gt;"",1+(Skills!X23/10)*(Z299/1000)/100,1)</f>
        <v/>
      </c>
      <c r="J319" t="inlineStr"/>
      <c r="K319" t="inlineStr"/>
      <c r="L319" t="inlineStr"/>
      <c r="M319" t="inlineStr"/>
      <c r="N319" t="inlineStr"/>
      <c r="O319">
        <f>(1-Summary!$B$56)*S319+Summary!$B$56*U319</f>
        <v/>
      </c>
      <c r="P319">
        <f>IF(B337=0,0,O319/B337)</f>
        <v/>
      </c>
      <c r="Q319">
        <f>IFERROR(1/IF(Inputs!$B$38="pvp",15,MAX(0.1,Skills!E23-IF(Skills!F23=TRUE,Inputs!$B$32,0))),0)</f>
        <v/>
      </c>
      <c r="R319" t="n">
        <v>0</v>
      </c>
      <c r="S319" t="n">
        <v>0</v>
      </c>
      <c r="U319" t="n">
        <v>0</v>
      </c>
    </row>
    <row r="320">
      <c r="A320">
        <f>Skills!A24</f>
        <v/>
      </c>
      <c r="B320">
        <f>Skills!B24</f>
        <v/>
      </c>
      <c r="C320">
        <f>Inputs!$B$3&gt;=115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Calc!G24</f>
        <v/>
      </c>
      <c r="H320">
        <f>Calc!H24</f>
        <v/>
      </c>
      <c r="I320">
        <f>IF(Skills!X24&lt;&gt;"",1+(Skills!X24/10)*(Z299/1000)/100,1)</f>
        <v/>
      </c>
      <c r="J320">
        <f>((Inputs!$B$6*(1+Inputs!$B$7/100))+(((Inputs!$B$12*(1+Inputs!$B$13/100))-(Inputs!$B$12*(1+Inputs!$B$13/100)))+0.25*(Inputs!$B$14-Inputs!$B$14))*(1+Inputs!$B$7/100))*(F320/100)</f>
        <v/>
      </c>
      <c r="K320">
        <f>J320*(1+((Inputs!$B$12*(1+Inputs!$B$13/100))*0.01+Inputs!$B$14*0.0025)/100)*(1+Inputs!$B$15/100)*(1+Inputs!$B$16/100)*(5000/(6000+Inputs!$B$42*(1-Inputs!$B$19/100)))*(1+((((1+Inputs!$B$24/100)*(1.01))-1)*100)/100)*(1+F319/100)*(1+IF(Inputs!$B$3&gt;=120,F322,0)/100)^5*(1+(IF(Skills!A24="BASIC_ATTACK",Inputs!$B$17,Inputs!$B$18+IF(Inputs!$B$3&gt;=125,F323*5,0)))/100)*(B326*B327*B328*I320)</f>
        <v/>
      </c>
      <c r="L320">
        <f>K320*(MIN(Inputs!$B$22+(F318-Calc!F22),Inputs!$B$23)/100+Inputs!$B$23/100)/2</f>
        <v/>
      </c>
      <c r="M320">
        <f>L320*(1+(Inputs!$B$10+(F317-Calc!F21))/100)</f>
        <v/>
      </c>
      <c r="N320">
        <f>L320*(1-MIN(Inputs!$B$9+(F316-Calc!F20),100)/100)+M320*(MIN(Inputs!$B$9+(F316-Calc!F20),100)/100)</f>
        <v/>
      </c>
      <c r="O320">
        <f>(1-Summary!$B$56)*S320+Summary!$B$56*U320</f>
        <v/>
      </c>
      <c r="P320">
        <f>IF(B337=0,0,O320/B337)</f>
        <v/>
      </c>
      <c r="Q320">
        <f>IFERROR(1/IF(Inputs!$B$38="pvp",15,MAX(0.1,Skills!E24-IF(Skills!F24=TRUE,Inputs!$B$32,0))),0)</f>
        <v/>
      </c>
      <c r="R320">
        <f>IF(AND(Inputs!$B$38&lt;&gt;"pvp",Inputs!$B$43&gt;0),IF(MAX(0,Inputs!$B$43-B334)&lt;=0,0,(INT(MAX(0,Inputs!$B$43-B334)/IF(Inputs!$B$38="pvp",15,MAX(0.1,Skills!E24-IF(Skills!F24=TRUE,Inputs!$B$32,0))))+1)),0)</f>
        <v/>
      </c>
      <c r="S320">
        <f>IF(C320,(H320*N320*IF(AND(Inputs!$B$38&lt;&gt;"pvp",Inputs!$B$43&gt;0),((Skills!G24*((R320-1)*IF(Skills!H24&gt;0,Skills!I24/Skills!H24,1)+IF(Skills!H24&gt;0,MIN(Skills!I24,MAX(0,MAX(0,Inputs!$B$43-B334)-((R320-1)*IF(Inputs!$B$38="pvp",15,MAX(0.1,Skills!E24-IF(Skills!F24=TRUE,Inputs!$B$32,0))))))/Skills!H24,1)))/Inputs!$B$43),G320*Q320)*(1+IF(Inputs!$B$3&gt;=130,0.2*(Skills!I16/Skills!E15+IF(Inputs!$B$3&gt;=126,0.05*(B332+Q309+(H310*B333)/(1+Skills!H14*H310*B333)+Q320),0)*Skills!I16),0)))*IF(Inputs!$B$38="pvp",1,1+(Inputs!$B$20+Skills!P24)/100),0)</f>
        <v/>
      </c>
      <c r="U320">
        <f>IF(C320,(H320*N320*IF(AND(Inputs!$B$38&lt;&gt;"pvp",Inputs!$B$43&gt;0),((Skills!G24*((R320-1)*IF(Skills!H24&gt;0,Skills!I24/Skills!H24,1)+IF(Skills!H24&gt;0,MIN(Skills!I24,MAX(0,MAX(0,Inputs!$B$43-B334)-((R320-1)*IF(Inputs!$B$38="pvp",15,MAX(0.1,Skills!E24-IF(Skills!F24=TRUE,Inputs!$B$32,0))))))/Skills!H24,1)))/Inputs!$B$43),G320*Q320)*(1+IF(Inputs!$B$3&gt;=130,0.2*(Skills!I16/Skills!E15+IF(Inputs!$B$3&gt;=126,0.05*(B332+Q309+(H310*B333)/(1+Skills!H14*H310*B333)+Q320),0)*Skills!I16),0)))*IF(Inputs!$B$38="pvp",1,(1+(Inputs!$B$21+Skills!Q24)/100)*(MIN(Skills!R24,Inputs!$B$37))),0)</f>
        <v/>
      </c>
    </row>
    <row r="321">
      <c r="A321">
        <f>Skills!A25</f>
        <v/>
      </c>
      <c r="B321">
        <f>Skills!B25</f>
        <v/>
      </c>
      <c r="C321">
        <f>Inputs!$B$3&gt;=117</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Calc!G25</f>
        <v/>
      </c>
      <c r="H321">
        <f>Calc!H25</f>
        <v/>
      </c>
      <c r="I321">
        <f>IF(Skills!X25&lt;&gt;"",1+(Skills!X25/10)*(Z299/1000)/100,1)</f>
        <v/>
      </c>
      <c r="J321" t="inlineStr"/>
      <c r="K321" t="inlineStr"/>
      <c r="L321" t="inlineStr"/>
      <c r="M321" t="inlineStr"/>
      <c r="N321" t="inlineStr"/>
      <c r="O321">
        <f>(1-Summary!$B$56)*S321+Summary!$B$56*U321</f>
        <v/>
      </c>
      <c r="P321">
        <f>IF(B337=0,0,O321/B337)</f>
        <v/>
      </c>
      <c r="Q321">
        <f>IFERROR(1/IF(Inputs!$B$38="pvp",15,MAX(0.1,Skills!E25-IF(Skills!F25=TRUE,Inputs!$B$32,0))),0)</f>
        <v/>
      </c>
      <c r="R321" t="n">
        <v>0</v>
      </c>
      <c r="S321" t="n">
        <v>0</v>
      </c>
      <c r="U321" t="n">
        <v>0</v>
      </c>
    </row>
    <row r="322">
      <c r="A322">
        <f>Skills!A26</f>
        <v/>
      </c>
      <c r="B322">
        <f>Skills!B26</f>
        <v/>
      </c>
      <c r="C322">
        <f>Inputs!$B$3&gt;=120</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Calc!G26</f>
        <v/>
      </c>
      <c r="H322">
        <f>Calc!H26</f>
        <v/>
      </c>
      <c r="I322">
        <f>IF(Skills!X26&lt;&gt;"",1+(Skills!X26/10)*(Z299/1000)/100,1)</f>
        <v/>
      </c>
      <c r="J322" t="inlineStr"/>
      <c r="K322" t="inlineStr"/>
      <c r="L322" t="inlineStr"/>
      <c r="M322" t="inlineStr"/>
      <c r="N322" t="inlineStr"/>
      <c r="O322">
        <f>(1-Summary!$B$56)*S322+Summary!$B$56*U322</f>
        <v/>
      </c>
      <c r="P322">
        <f>IF(B337=0,0,O322/B337)</f>
        <v/>
      </c>
      <c r="Q322">
        <f>IFERROR(1/IF(Inputs!$B$38="pvp",15,MAX(0.1,Skills!E26-IF(Skills!F26=TRUE,Inputs!$B$32,0))),0)</f>
        <v/>
      </c>
      <c r="R322" t="n">
        <v>0</v>
      </c>
      <c r="S322" t="n">
        <v>0</v>
      </c>
      <c r="U322" t="n">
        <v>0</v>
      </c>
    </row>
    <row r="323">
      <c r="A323">
        <f>Skills!A27</f>
        <v/>
      </c>
      <c r="B323">
        <f>Skills!B27</f>
        <v/>
      </c>
      <c r="C323">
        <f>Inputs!$B$3&gt;=125</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Calc!G27</f>
        <v/>
      </c>
      <c r="H323">
        <f>Calc!H27</f>
        <v/>
      </c>
      <c r="I323">
        <f>IF(Skills!X27&lt;&gt;"",1+(Skills!X27/10)*(Z299/1000)/100,1)</f>
        <v/>
      </c>
      <c r="J323" t="inlineStr"/>
      <c r="K323" t="inlineStr"/>
      <c r="L323" t="inlineStr"/>
      <c r="M323" t="inlineStr"/>
      <c r="N323" t="inlineStr"/>
      <c r="O323">
        <f>(1-Summary!$B$56)*S323+Summary!$B$56*U323</f>
        <v/>
      </c>
      <c r="P323">
        <f>IF(B337=0,0,O323/B337)</f>
        <v/>
      </c>
      <c r="Q323">
        <f>IFERROR(1/IF(Inputs!$B$38="pvp",15,MAX(0.1,Skills!E27-IF(Skills!F27=TRUE,Inputs!$B$32,0))),0)</f>
        <v/>
      </c>
      <c r="R323" t="n">
        <v>0</v>
      </c>
      <c r="S323" t="n">
        <v>0</v>
      </c>
      <c r="U323" t="n">
        <v>0</v>
      </c>
    </row>
    <row r="324">
      <c r="A324">
        <f>Skills!A28</f>
        <v/>
      </c>
      <c r="B324">
        <f>Skills!B28</f>
        <v/>
      </c>
      <c r="C324">
        <f>Inputs!$B$3&gt;=118</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Calc!G28</f>
        <v/>
      </c>
      <c r="H324">
        <f>Calc!H28</f>
        <v/>
      </c>
      <c r="I324">
        <f>IF(Skills!X28&lt;&gt;"",1+(Skills!X28/10)*(Z299/1000)/100,1)</f>
        <v/>
      </c>
      <c r="J324">
        <f>((Inputs!$B$6*(1+Inputs!$B$7/100))+(((Inputs!$B$12*(1+Inputs!$B$13/100))-(Inputs!$B$12*(1+Inputs!$B$13/100)))+0.25*(Inputs!$B$14-Inputs!$B$14))*(1+Inputs!$B$7/100))*(F324/100)</f>
        <v/>
      </c>
      <c r="K324">
        <f>J324*(1+((Inputs!$B$12*(1+Inputs!$B$13/100))*0.01+Inputs!$B$14*0.0025)/100)*(1+Inputs!$B$15/100)*(1+Inputs!$B$16/100)*(5000/(6000+Inputs!$B$42*(1-Inputs!$B$19/100)))*(1+((((1+Inputs!$B$24/100)*(1.01))-1)*100)/100)*(1+F319/100)*(1+IF(Inputs!$B$3&gt;=120,F322,0)/100)^5*(1+(IF(Skills!A28="BASIC_ATTACK",Inputs!$B$17,Inputs!$B$18+IF(Inputs!$B$3&gt;=125,F323*5,0)))/100)*(B326*B327*B328*I324)</f>
        <v/>
      </c>
      <c r="L324">
        <f>K324*(MIN(Inputs!$B$22+(F318-Calc!F22),Inputs!$B$23)/100+Inputs!$B$23/100)/2</f>
        <v/>
      </c>
      <c r="M324">
        <f>L324*(1+(Inputs!$B$10+(F317-Calc!F21))/100)</f>
        <v/>
      </c>
      <c r="N324">
        <f>L324*(1-MIN(Inputs!$B$9+(F316-Calc!F20),100)/100)+M324*(MIN(Inputs!$B$9+(F316-Calc!F20),100)/100)</f>
        <v/>
      </c>
      <c r="O324">
        <f>(1-Summary!$B$56)*S324+Summary!$B$56*U324</f>
        <v/>
      </c>
      <c r="P324">
        <f>IF(B337=0,0,O324/B337)</f>
        <v/>
      </c>
      <c r="Q324">
        <f>IFERROR(1/IF(Inputs!$B$38="pvp",15,MAX(0.1,Skills!E28-IF(Skills!F28=TRUE,Inputs!$B$32,0))),0)</f>
        <v/>
      </c>
      <c r="R324">
        <f>IF(AND(Inputs!$B$38&lt;&gt;"pvp",Inputs!$B$43&gt;0),IF(MAX(0,Inputs!$B$43-B334)&lt;=0,0,(INT(MAX(0,Inputs!$B$43-B334)/IF(Inputs!$B$38="pvp",15,MAX(0.1,Skills!E28-IF(Skills!F28=TRUE,Inputs!$B$32,0))))+1)),0)</f>
        <v/>
      </c>
      <c r="S324">
        <f>IF(C324,(H324*N324*IF(AND(Inputs!$B$38&lt;&gt;"pvp",Inputs!$B$43&gt;0),((Skills!G28*((R324-1)*IF(Skills!H28&gt;0,Skills!I28/Skills!H28,1)+IF(Skills!H28&gt;0,MIN(Skills!I28,MAX(0,MAX(0,Inputs!$B$43-B334)-((R324-1)*IF(Inputs!$B$38="pvp",15,MAX(0.1,Skills!E28-IF(Skills!F28=TRUE,Inputs!$B$32,0))))))/Skills!H28,1)))/Inputs!$B$43),G324*Q324))*IF(Inputs!$B$38="pvp",1,1+(Inputs!$B$20+Skills!P28)/100),0)</f>
        <v/>
      </c>
      <c r="U324">
        <f>IF(C324,(H324*N324*IF(AND(Inputs!$B$38&lt;&gt;"pvp",Inputs!$B$43&gt;0),((Skills!G28*((R324-1)*IF(Skills!H28&gt;0,Skills!I28/Skills!H28,1)+IF(Skills!H28&gt;0,MIN(Skills!I28,MAX(0,MAX(0,Inputs!$B$43-B334)-((R324-1)*IF(Inputs!$B$38="pvp",15,MAX(0.1,Skills!E28-IF(Skills!F28=TRUE,Inputs!$B$32,0))))))/Skills!H28,1)))/Inputs!$B$43),G324*Q324))*IF(Inputs!$B$38="pvp",1,(1+(Inputs!$B$21+Skills!Q28)/100)*(MIN(Skills!R28,Inputs!$B$37))),0)</f>
        <v/>
      </c>
    </row>
    <row r="326">
      <c r="A326" t="inlineStr">
        <is>
          <t>Burning Magic Multiplier</t>
        </is>
      </c>
      <c r="B326">
        <f>1+(F307*Skills!Z11)/100</f>
        <v/>
      </c>
    </row>
    <row r="327">
      <c r="A327" t="inlineStr">
        <is>
          <t>Elemental Decrease Multiplier (always-on)</t>
        </is>
      </c>
      <c r="B327">
        <f>1+F308/100</f>
        <v/>
      </c>
    </row>
    <row r="328">
      <c r="A328" t="inlineStr">
        <is>
          <t>Average Buff Multiplier (Magic Guard + Meditation, summed; then Infinity)</t>
        </is>
      </c>
      <c r="B328">
        <f>(1+(F302*IF(AND(Inputs!$B$38&lt;&gt;"pvp",Inputs!$B$43&gt;0),(((R302-1)*(Skills!T6*(1+(Inputs!$B$34+IF(Inputs!$B$3&gt;=117,F321,0))/100))+MIN((Skills!T6*(1+(Inputs!$B$34+IF(Inputs!$B$3&gt;=117,F321,0))/100)),MAX(0,Inputs!$B$43-((R302-1)*Skills!E6))))/Inputs!$B$43),IF(Inputs!$B$38="pvp",MIN((Skills!T6*(1+(Inputs!$B$34+IF(Inputs!$B$3&gt;=117,F321,0))/100)),15)/15,(Skills!T6*(1+(Inputs!$B$34+IF(Inputs!$B$3&gt;=117,F321,0))/100))/Skills!E6))+F313*IF(AND(Inputs!$B$38&lt;&gt;"pvp",Inputs!$B$43&gt;0),(((R313-1)*(Skills!T17*(1+(Inputs!$B$34+IF(Inputs!$B$3&gt;=117,F321,0))/100))+MIN((Skills!T17*(1+(Inputs!$B$34+IF(Inputs!$B$3&gt;=117,F321,0))/100)),MAX(0,Inputs!$B$43-((R313-1)*Skills!E17))))/Inputs!$B$43),IF(Inputs!$B$38="pvp",MIN((Skills!T17*(1+(Inputs!$B$34+IF(Inputs!$B$3&gt;=117,F321,0))/100)),15)/15,(Skills!T17*(1+(Inputs!$B$34+IF(Inputs!$B$3&gt;=117,F321,0))/100))/Skills!E17)))/100)*IF(C315=TRUE,(1+F315*IF(AND(Inputs!$B$38&lt;&gt;"pvp",Inputs!$B$43&gt;0),(((R315-1)*(Skills!T19*(1+(Inputs!$B$34+IF(Inputs!$B$3&gt;=117,F321,0))/100))+MIN((Skills!T19*(1+(Inputs!$B$34+IF(Inputs!$B$3&gt;=117,F321,0))/100)),MAX(0,Inputs!$B$43-((R315-1)*Skills!E19))))/Inputs!$B$43),IF(Inputs!$B$38="pvp",MIN((Skills!T19*(1+(Inputs!$B$34+IF(Inputs!$B$3&gt;=117,F321,0))/100)),15)/15,(Skills!T19*(1+(Inputs!$B$34+IF(Inputs!$B$3&gt;=117,F321,0))/100))/Skills!E19))/100),1)</f>
        <v/>
      </c>
    </row>
    <row r="329">
      <c r="A329" t="inlineStr">
        <is>
          <t>Attack Speed Buff Bonus % (Nimble Feet, averaged)</t>
        </is>
      </c>
      <c r="B329">
        <f>F314*IF(AND(Inputs!$B$38&lt;&gt;"pvp",Inputs!$B$43&gt;0),(((R314-1)*(Skills!T18*(1+(Inputs!$B$34+IF(Inputs!$B$3&gt;=117,F321,0))/100))+MIN((Skills!T18*(1+(Inputs!$B$34+IF(Inputs!$B$3&gt;=117,F321,0))/100)),MAX(0,Inputs!$B$43-((R314-1)*Skills!E18))))/Inputs!$B$43),IF(Inputs!$B$38="pvp",MIN((Skills!T18*(1+(Inputs!$B$34+IF(Inputs!$B$3&gt;=117,F321,0))/100)),15)/15,(Skills!T18*(1+(Inputs!$B$34+IF(Inputs!$B$3&gt;=117,F321,0))/100))/Skills!E18))</f>
        <v/>
      </c>
    </row>
    <row r="330">
      <c r="A330" t="inlineStr">
        <is>
          <t>Actions Per Second</t>
        </is>
      </c>
      <c r="B330">
        <f>1+MIN(150,150*(1-(1-Inputs!$B$11/150)*(1-B329/150)))/100</f>
        <v/>
      </c>
    </row>
    <row r="331">
      <c r="A331" t="inlineStr">
        <is>
          <t>Skill + Buff Cast Rate</t>
        </is>
      </c>
      <c r="B331">
        <f>IF(AND(Inputs!$B$38&lt;&gt;"pvp",Inputs!$B$43&gt;0),SUMPRODUCT((Skills!F2:F28=TRUE)*(C298:C324=TRUE)*R298:R324)/Inputs!$B$43,SUMPRODUCT((Skills!F2:F28=TRUE)*(C298:C324=TRUE)*Q298:Q324))</f>
        <v/>
      </c>
    </row>
    <row r="332">
      <c r="A332" t="inlineStr">
        <is>
          <t>Basic Attacks Per Second</t>
        </is>
      </c>
      <c r="B332">
        <f>MAX(0,B330-B331)</f>
        <v/>
      </c>
    </row>
    <row r="333">
      <c r="A333" t="inlineStr">
        <is>
          <t>Meteor Proc — combined trigger cast rate</t>
        </is>
      </c>
      <c r="B333">
        <f>IF(AND(Inputs!$B$38&lt;&gt;"pvp",Inputs!$B$43&gt;0),SUMPRODUCT((Skills!V2:V28=TRUE)*(C298:C324=TRUE)*R298:R324*Skills!W2:W28)/Inputs!$B$43,SUMPRODUCT((Skills!V2:V28=TRUE)*(C298:C324=TRUE)*Q298:Q324*Skills!W2:W28))+B332</f>
        <v/>
      </c>
    </row>
    <row r="334">
      <c r="A334" t="inlineStr">
        <is>
          <t>Buff-Casting Startup Delay (s, fixed-duration only)</t>
        </is>
      </c>
      <c r="B334">
        <f>IF(AND(Inputs!$B$38&lt;&gt;"pvp",Inputs!$B$43&gt;0),SUMPRODUCT((Skills!T2:T28&gt;0)*(Skills!F2:F28=TRUE)*(C298:C324=TRUE))/B330,0)</f>
        <v/>
      </c>
    </row>
    <row r="335">
      <c r="A335" t="inlineStr">
        <is>
          <t>Boss-Only Total DPS (this block's swept value)</t>
        </is>
      </c>
      <c r="B335">
        <f>SUM(S298:S324)</f>
        <v/>
      </c>
    </row>
    <row r="336">
      <c r="A336" t="inlineStr">
        <is>
          <t>Normal-Only Total DPS (this block's swept value)</t>
        </is>
      </c>
      <c r="B336">
        <f>SUM(U298:U324)</f>
        <v/>
      </c>
    </row>
    <row r="337">
      <c r="A337" s="5" t="inlineStr">
        <is>
          <t>TOTAL DPS</t>
        </is>
      </c>
      <c r="B337" s="5">
        <f>SUM(O298:O324)</f>
        <v/>
      </c>
    </row>
    <row r="340">
      <c r="A340" s="5" t="inlineStr">
        <is>
          <t>Stat: MIN_DAMAGE %</t>
        </is>
      </c>
    </row>
    <row r="341">
      <c r="A341" s="9" t="inlineStr">
        <is>
          <t>Key</t>
        </is>
      </c>
      <c r="B341" s="9" t="inlineStr">
        <is>
          <t>Name</t>
        </is>
      </c>
      <c r="C341" s="9" t="inlineStr">
        <is>
          <t>Unlocked</t>
        </is>
      </c>
      <c r="D341" s="9" t="inlineStr">
        <is>
          <t>InputLevel</t>
        </is>
      </c>
      <c r="E341" s="9" t="inlineStr">
        <is>
          <t>Factor</t>
        </is>
      </c>
      <c r="F341" s="9" t="inlineStr">
        <is>
          <t>CoefficientPercent</t>
        </is>
      </c>
      <c r="G341" s="9" t="inlineStr">
        <is>
          <t>EffectiveHits</t>
        </is>
      </c>
      <c r="H341" s="9" t="inlineStr">
        <is>
          <t>ProcProbability</t>
        </is>
      </c>
      <c r="I341" s="9" t="inlineStr">
        <is>
          <t>MapleHeroMultiplier</t>
        </is>
      </c>
      <c r="J341" s="9" t="inlineStr">
        <is>
          <t>BaseDamage</t>
        </is>
      </c>
      <c r="K341" s="9" t="inlineStr">
        <is>
          <t>BaseHitDamage</t>
        </is>
      </c>
      <c r="L341" s="9" t="inlineStr">
        <is>
          <t>NonCritAvg</t>
        </is>
      </c>
      <c r="M341" s="9" t="inlineStr">
        <is>
          <t>CritAvg</t>
        </is>
      </c>
      <c r="N341" s="9" t="inlineStr">
        <is>
          <t>ExpectedDamage(perHit)</t>
        </is>
      </c>
      <c r="O341" s="9" t="inlineStr">
        <is>
          <t>DPS</t>
        </is>
      </c>
      <c r="P341" s="9" t="inlineStr">
        <is>
          <t>% of Total</t>
        </is>
      </c>
      <c r="R341" t="inlineStr">
        <is>
          <t>helpers</t>
        </is>
      </c>
    </row>
    <row r="342">
      <c r="A342">
        <f>Skills!A2</f>
        <v/>
      </c>
      <c r="B342">
        <f>Skills!B2</f>
        <v/>
      </c>
      <c r="C342">
        <f>TRUE</f>
        <v/>
      </c>
      <c r="D342" t="inlineStr"/>
      <c r="E342" t="inlineStr"/>
      <c r="F342">
        <f>T344+Skills!O2</f>
        <v/>
      </c>
      <c r="G342">
        <f>Calc!G2</f>
        <v/>
      </c>
      <c r="H342">
        <f>Calc!H2</f>
        <v/>
      </c>
      <c r="I342">
        <f>IF(Skills!X2&lt;&gt;"",1+(Skills!X2/10)*(Z343/1000)/100,1)</f>
        <v/>
      </c>
      <c r="J342">
        <f>((Inputs!$B$6*(1+Inputs!$B$7/100))+(((Inputs!$B$12*(1+Inputs!$B$13/100))-(Inputs!$B$12*(1+Inputs!$B$13/100)))+0.25*(Inputs!$B$14-Inputs!$B$14))*(1+Inputs!$B$7/100))*(F342/100)</f>
        <v/>
      </c>
      <c r="K342">
        <f>J342*(1+((Inputs!$B$12*(1+Inputs!$B$13/100))*0.01+Inputs!$B$14*0.0025)/100)*(1+Inputs!$B$15/100)*(1+Inputs!$B$16/100)*(5000/(6000+Inputs!$B$42*(1-Inputs!$B$19/100)))*(1+Inputs!$B$24/100)*(1+F363/100)*(1+IF(Inputs!$B$3&gt;=120,F366,0)/100)^5*(1+(IF(Skills!A2="BASIC_ATTACK",Inputs!$B$17,Inputs!$B$18+IF(Inputs!$B$3&gt;=125,F367*5,0)))/100)*(B370*B371*B372*I342)</f>
        <v/>
      </c>
      <c r="L342">
        <f>K342*(MIN((Inputs!$B$22+1)+(F362-Calc!F22),Inputs!$B$23)/100+Inputs!$B$23/100)/2</f>
        <v/>
      </c>
      <c r="M342">
        <f>L342*(1+(Inputs!$B$10+(F361-Calc!F21))/100)</f>
        <v/>
      </c>
      <c r="N342">
        <f>L342*(1-MIN(Inputs!$B$9+(F360-Calc!F20),100)/100)+M342*(MIN(Inputs!$B$9+(F360-Calc!F20),100)/100)</f>
        <v/>
      </c>
      <c r="O342">
        <f>(1-Summary!$B$56)*S342+Summary!$B$56*U342</f>
        <v/>
      </c>
      <c r="P342">
        <f>IF(B381=0,0,O342/B381)</f>
        <v/>
      </c>
      <c r="Q342">
        <f>IFERROR(1/IF(Inputs!$B$38="pvp",15,MAX(0.1,Skills!E2-IF(Skills!F2=TRUE,Inputs!$B$32,0))),0)</f>
        <v/>
      </c>
      <c r="R342" t="n">
        <v>0</v>
      </c>
      <c r="S342">
        <f>(Skills!G2*N342*B376)*IF(Inputs!$B$38="pvp",1,1+(Inputs!$B$20+Skills!P2)/100)</f>
        <v/>
      </c>
      <c r="T342">
        <f>MAX(0,(Inputs!$B$3-100)*3)+Inputs!$B$28+Inputs!$B$29</f>
        <v/>
      </c>
      <c r="U342">
        <f>(Skills!G2*N342*B376)*IF(Inputs!$B$38="pvp",1,(1+(Inputs!$B$21+Skills!Q2)/100)*(MIN((6+Inputs!$B$33+IF(Inputs!$B$3&gt;=136,1,0)),Inputs!$B$37)))</f>
        <v/>
      </c>
      <c r="Z342">
        <f>MAX(0,(Inputs!$B$3-100)*3)+Inputs!$B$28+Inputs!$B$29</f>
        <v/>
      </c>
    </row>
    <row r="343">
      <c r="A343">
        <f>Skills!A3</f>
        <v/>
      </c>
      <c r="B343">
        <f>Skills!B3</f>
        <v/>
      </c>
      <c r="C343">
        <f>TRUE</f>
        <v/>
      </c>
      <c r="D343">
        <f>IF(Skills!C3=1,60+Inputs!$B$25+Inputs!$B$29,IF(Skills!C3=2,90+Inputs!$B$26+Inputs!$B$29,IF(Skills!C3=3,120+Inputs!$B$27+Inputs!$B$29,MAX(0,(Inputs!$B$3-100)*3)+Inputs!$B$28+Inputs!$B$29)))</f>
        <v/>
      </c>
      <c r="E343">
        <f>INDEX(FactorTable!$B$2:$Y$301, MATCH(ROUND(MIN(300,MAX(1,D343)),0), FactorTable!$A$2:$A$301,0), Skills!M3+1)</f>
        <v/>
      </c>
      <c r="F343">
        <f>IF(Skills!N3=TRUE,(Skills!L3/10)*(E343/1000),Skills!L3/10)+Skills!O3</f>
        <v/>
      </c>
      <c r="G343">
        <f>Calc!G3</f>
        <v/>
      </c>
      <c r="H343">
        <f>Calc!H3</f>
        <v/>
      </c>
      <c r="I343">
        <f>IF(Skills!X3&lt;&gt;"",1+(Skills!X3/10)*(Z343/1000)/100,1)</f>
        <v/>
      </c>
      <c r="J343">
        <f>((Inputs!$B$6*(1+Inputs!$B$7/100))+(((Inputs!$B$12*(1+Inputs!$B$13/100))-(Inputs!$B$12*(1+Inputs!$B$13/100)))+0.25*(Inputs!$B$14-Inputs!$B$14))*(1+Inputs!$B$7/100))*(F343/100)</f>
        <v/>
      </c>
      <c r="K343">
        <f>J343*(1+((Inputs!$B$12*(1+Inputs!$B$13/100))*0.01+Inputs!$B$14*0.0025)/100)*(1+Inputs!$B$15/100)*(1+Inputs!$B$16/100)*(5000/(6000+Inputs!$B$42*(1-Inputs!$B$19/100)))*(1+Inputs!$B$24/100)*(1+F363/100)*(1+IF(Inputs!$B$3&gt;=120,F366,0)/100)^5*(1+(IF(Skills!A3="BASIC_ATTACK",Inputs!$B$17,Inputs!$B$18+IF(Inputs!$B$3&gt;=125,F367*5,0)))/100)*(B370*B371*B372*I343)</f>
        <v/>
      </c>
      <c r="L343">
        <f>K343*(MIN((Inputs!$B$22+1)+(F362-Calc!F22),Inputs!$B$23)/100+Inputs!$B$23/100)/2</f>
        <v/>
      </c>
      <c r="M343">
        <f>L343*(1+(Inputs!$B$10+(F361-Calc!F21))/100)</f>
        <v/>
      </c>
      <c r="N343">
        <f>L343*(1-MIN(Inputs!$B$9+(F360-Calc!F20),100)/100)+M343*(MIN(Inputs!$B$9+(F360-Calc!F20),100)/100)</f>
        <v/>
      </c>
      <c r="O343">
        <f>(1-Summary!$B$56)*S343+Summary!$B$56*U343</f>
        <v/>
      </c>
      <c r="P343">
        <f>IF(B381=0,0,O343/B381)</f>
        <v/>
      </c>
      <c r="Q343">
        <f>IFERROR(1/IF(Inputs!$B$38="pvp",15,MAX(0.1,Skills!E3-IF(Skills!F3=TRUE,Inputs!$B$32,0))),0)</f>
        <v/>
      </c>
      <c r="R343">
        <f>IF(AND(Inputs!$B$38&lt;&gt;"pvp",Inputs!$B$43&gt;0),IF(MAX(0,Inputs!$B$43-B378)&lt;=0,0,(INT(MAX(0,Inputs!$B$43-B378)/IF(Inputs!$B$38="pvp",15,MAX(0.1,Skills!E3-IF(Skills!F3=TRUE,Inputs!$B$32,0))))+1)),0)</f>
        <v/>
      </c>
      <c r="S343">
        <f>IF(C343,(H343*N343*IF(AND(Inputs!$B$38&lt;&gt;"pvp",Inputs!$B$43&gt;0),((Skills!G3*((R343-1)*IF(Skills!H3&gt;0,Skills!I3/Skills!H3,1)+IF(Skills!H3&gt;0,MIN(Skills!I3,MAX(0,MAX(0,Inputs!$B$43-B378)-((R343-1)*IF(Inputs!$B$38="pvp",15,MAX(0.1,Skills!E3-IF(Skills!F3=TRUE,Inputs!$B$32,0))))))/Skills!H3,1)))/Inputs!$B$43),G343*Q343))*IF(Inputs!$B$38="pvp",1,1+(Inputs!$B$20+Skills!P3)/100),0)</f>
        <v/>
      </c>
      <c r="T343">
        <f>INDEX(FactorTable!$B$2:$Y$301, MATCH(ROUND(MIN(300,MAX(1,T342)),0), FactorTable!$A$2:$A$301,0), 22)</f>
        <v/>
      </c>
      <c r="U343">
        <f>IF(C343,(H343*N343*IF(AND(Inputs!$B$38&lt;&gt;"pvp",Inputs!$B$43&gt;0),((Skills!G3*((R343-1)*IF(Skills!H3&gt;0,Skills!I3/Skills!H3,1)+IF(Skills!H3&gt;0,MIN(Skills!I3,MAX(0,MAX(0,Inputs!$B$43-B378)-((R343-1)*IF(Inputs!$B$38="pvp",15,MAX(0.1,Skills!E3-IF(Skills!F3=TRUE,Inputs!$B$32,0))))))/Skills!H3,1)))/Inputs!$B$43),G343*Q343))*IF(Inputs!$B$38="pvp",1,(1+(Inputs!$B$21+Skills!Q3)/100)*(MIN(Skills!R3,Inputs!$B$37))),0)</f>
        <v/>
      </c>
      <c r="Z343">
        <f>INDEX(FactorTable!$B$2:$Y$301, MATCH(ROUND(MIN(300,MAX(1,Z342)),0), FactorTable!$A$2:$A$301,0), 24)</f>
        <v/>
      </c>
    </row>
    <row r="344">
      <c r="A344">
        <f>Skills!A4</f>
        <v/>
      </c>
      <c r="B344">
        <f>Skills!B4</f>
        <v/>
      </c>
      <c r="C344">
        <f>TRUE</f>
        <v/>
      </c>
      <c r="D344">
        <f>IF(Skills!C4=1,60+Inputs!$B$25+Inputs!$B$29,IF(Skills!C4=2,90+Inputs!$B$26+Inputs!$B$29,IF(Skills!C4=3,120+Inputs!$B$27+Inputs!$B$29,MAX(0,(Inputs!$B$3-100)*3)+Inputs!$B$28+Inputs!$B$29)))</f>
        <v/>
      </c>
      <c r="E344">
        <f>INDEX(FactorTable!$B$2:$Y$301, MATCH(ROUND(MIN(300,MAX(1,D344)),0), FactorTable!$A$2:$A$301,0), Skills!M4+1)</f>
        <v/>
      </c>
      <c r="F344">
        <f>IF(Skills!N4=TRUE,(Skills!L4/10)*(E344/1000),Skills!L4/10)+Skills!O4</f>
        <v/>
      </c>
      <c r="G344">
        <f>Calc!G4</f>
        <v/>
      </c>
      <c r="H344">
        <f>Calc!H4</f>
        <v/>
      </c>
      <c r="I344">
        <f>IF(Skills!X4&lt;&gt;"",1+(Skills!X4/10)*(Z343/1000)/100,1)</f>
        <v/>
      </c>
      <c r="J344">
        <f>((Inputs!$B$6*(1+Inputs!$B$7/100))+(((Inputs!$B$12*(1+Inputs!$B$13/100))-(Inputs!$B$12*(1+Inputs!$B$13/100)))+0.25*(Inputs!$B$14-Inputs!$B$14))*(1+Inputs!$B$7/100))*(F344/100)</f>
        <v/>
      </c>
      <c r="K344">
        <f>J344*(1+((Inputs!$B$12*(1+Inputs!$B$13/100))*0.01+Inputs!$B$14*0.0025)/100)*(1+Inputs!$B$15/100)*(1+Inputs!$B$16/100)*(5000/(6000+Inputs!$B$42*(1-Inputs!$B$19/100)))*(1+Inputs!$B$24/100)*(1+F363/100)*(1+IF(Inputs!$B$3&gt;=120,F366,0)/100)^5*(1+(IF(Skills!A4="BASIC_ATTACK",Inputs!$B$17,Inputs!$B$18+IF(Inputs!$B$3&gt;=125,F367*5,0)))/100)*(B370*B371*B372*I344)</f>
        <v/>
      </c>
      <c r="L344">
        <f>K344*(MIN((Inputs!$B$22+1)+(F362-Calc!F22),Inputs!$B$23)/100+Inputs!$B$23/100)/2</f>
        <v/>
      </c>
      <c r="M344">
        <f>L344*(1+(Inputs!$B$10+(F361-Calc!F21))/100)</f>
        <v/>
      </c>
      <c r="N344">
        <f>L344*(1-MIN(Inputs!$B$9+(F360-Calc!F20),100)/100)+M344*(MIN(Inputs!$B$9+(F360-Calc!F20),100)/100)</f>
        <v/>
      </c>
      <c r="O344">
        <f>(1-Summary!$B$56)*S344+Summary!$B$56*U344</f>
        <v/>
      </c>
      <c r="P344">
        <f>IF(B381=0,0,O344/B381)</f>
        <v/>
      </c>
      <c r="Q344">
        <f>IFERROR(1/IF(Inputs!$B$38="pvp",15,MAX(0.1,Skills!E4-IF(Skills!F4=TRUE,Inputs!$B$32,0))),0)</f>
        <v/>
      </c>
      <c r="R344">
        <f>IF(AND(Inputs!$B$38&lt;&gt;"pvp",Inputs!$B$43&gt;0),IF(MAX(0,Inputs!$B$43-B378)&lt;=0,0,(INT(MAX(0,Inputs!$B$43-B378)/IF(Inputs!$B$38="pvp",15,MAX(0.1,Skills!E4-IF(Skills!F4=TRUE,Inputs!$B$32,0))))+1)),0)</f>
        <v/>
      </c>
      <c r="S344">
        <f>IF(C344,(H344*N344*IF(AND(Inputs!$B$38&lt;&gt;"pvp",Inputs!$B$43&gt;0),((Skills!G4*((R344-1)*IF(Skills!H4&gt;0,Skills!I4/Skills!H4,1)+IF(Skills!H4&gt;0,MIN(Skills!I4,MAX(0,MAX(0,Inputs!$B$43-B378)-((R344-1)*IF(Inputs!$B$38="pvp",15,MAX(0.1,Skills!E4-IF(Skills!F4=TRUE,Inputs!$B$32,0))))))/Skills!H4,1)))/Inputs!$B$43),G344*Q344))*IF(Inputs!$B$38="pvp",1,1+(Inputs!$B$20+Skills!P4)/100),0)</f>
        <v/>
      </c>
      <c r="T344">
        <f>290*T343/1000</f>
        <v/>
      </c>
      <c r="U344">
        <f>IF(C344,(H344*N344*IF(AND(Inputs!$B$38&lt;&gt;"pvp",Inputs!$B$43&gt;0),((Skills!G4*((R344-1)*IF(Skills!H4&gt;0,Skills!I4/Skills!H4,1)+IF(Skills!H4&gt;0,MIN(Skills!I4,MAX(0,MAX(0,Inputs!$B$43-B378)-((R344-1)*IF(Inputs!$B$38="pvp",15,MAX(0.1,Skills!E4-IF(Skills!F4=TRUE,Inputs!$B$32,0))))))/Skills!H4,1)))/Inputs!$B$43),G344*Q344))*IF(Inputs!$B$38="pvp",1,(1+(Inputs!$B$21+Skills!Q4)/100)*(MIN(Skills!R4,Inputs!$B$37))),0)</f>
        <v/>
      </c>
    </row>
    <row r="345">
      <c r="A345">
        <f>Skills!A5</f>
        <v/>
      </c>
      <c r="B345">
        <f>Skills!B5</f>
        <v/>
      </c>
      <c r="C345">
        <f>TRUE</f>
        <v/>
      </c>
      <c r="D345">
        <f>IF(Skills!C5=1,60+Inputs!$B$25+Inputs!$B$29,IF(Skills!C5=2,90+Inputs!$B$26+Inputs!$B$29,IF(Skills!C5=3,120+Inputs!$B$27+Inputs!$B$29,MAX(0,(Inputs!$B$3-100)*3)+Inputs!$B$28+Inputs!$B$29)))</f>
        <v/>
      </c>
      <c r="E345">
        <f>INDEX(FactorTable!$B$2:$Y$301, MATCH(ROUND(MIN(300,MAX(1,D345)),0), FactorTable!$A$2:$A$301,0), Skills!M5+1)</f>
        <v/>
      </c>
      <c r="F345">
        <f>IF(Skills!N5=TRUE,(Skills!L5/10)*(E345/1000),Skills!L5/10)+Skills!O5</f>
        <v/>
      </c>
      <c r="G345">
        <f>Calc!G5</f>
        <v/>
      </c>
      <c r="H345">
        <f>Calc!H5</f>
        <v/>
      </c>
      <c r="I345">
        <f>IF(Skills!X5&lt;&gt;"",1+(Skills!X5/10)*(Z343/1000)/100,1)</f>
        <v/>
      </c>
      <c r="J345">
        <f>((Inputs!$B$6*(1+Inputs!$B$7/100))+(((Inputs!$B$12*(1+Inputs!$B$13/100))-(Inputs!$B$12*(1+Inputs!$B$13/100)))+0.25*(Inputs!$B$14-Inputs!$B$14))*(1+Inputs!$B$7/100))*(F345/100)</f>
        <v/>
      </c>
      <c r="K345">
        <f>J345*(1+((Inputs!$B$12*(1+Inputs!$B$13/100))*0.01+Inputs!$B$14*0.0025)/100)*(1+Inputs!$B$15/100)*(1+Inputs!$B$16/100)*(5000/(6000+Inputs!$B$42*(1-Inputs!$B$19/100)))*(1+Inputs!$B$24/100)*(1+F363/100)*(1+IF(Inputs!$B$3&gt;=120,F366,0)/100)^5*(1+(IF(Skills!A5="BASIC_ATTACK",Inputs!$B$17,Inputs!$B$18+IF(Inputs!$B$3&gt;=125,F367*5,0)))/100)*(B370*B371*B372*I345)</f>
        <v/>
      </c>
      <c r="L345">
        <f>K345*(MIN((Inputs!$B$22+1)+(F362-Calc!F22),Inputs!$B$23)/100+Inputs!$B$23/100)/2</f>
        <v/>
      </c>
      <c r="M345">
        <f>L345*(1+(Inputs!$B$10+(F361-Calc!F21))/100)</f>
        <v/>
      </c>
      <c r="N345">
        <f>L345*(1-MIN(Inputs!$B$9+(F360-Calc!F20),100)/100)+M345*(MIN(Inputs!$B$9+(F360-Calc!F20),100)/100)</f>
        <v/>
      </c>
      <c r="O345">
        <f>(1-Summary!$B$56)*S345+Summary!$B$56*U345</f>
        <v/>
      </c>
      <c r="P345">
        <f>IF(B381=0,0,O345/B381)</f>
        <v/>
      </c>
      <c r="Q345">
        <f>IFERROR(1/IF(Inputs!$B$38="pvp",15,MAX(0.1,Skills!E5-IF(Skills!F5=TRUE,Inputs!$B$32,0))),0)</f>
        <v/>
      </c>
      <c r="R345">
        <f>IF(AND(Inputs!$B$38&lt;&gt;"pvp",Inputs!$B$43&gt;0),IF(MAX(0,Inputs!$B$43-B378)&lt;=0,0,(INT(MAX(0,Inputs!$B$43-B378)/IF(Inputs!$B$38="pvp",15,MAX(0.1,Skills!E5-IF(Skills!F5=TRUE,Inputs!$B$32,0))))+1)),0)</f>
        <v/>
      </c>
      <c r="S345">
        <f>IF(C345,(H345*N345*IF(AND(Inputs!$B$38&lt;&gt;"pvp",Inputs!$B$43&gt;0),((Skills!G5*((R345-1)*IF(Skills!H5&gt;0,Skills!I5/Skills!H5,1)+IF(Skills!H5&gt;0,MIN(Skills!I5,MAX(0,MAX(0,Inputs!$B$43-B378)-((R345-1)*IF(Inputs!$B$38="pvp",15,MAX(0.1,Skills!E5-IF(Skills!F5=TRUE,Inputs!$B$32,0))))))/Skills!H5,1)))/Inputs!$B$43),G345*Q345))*IF(Inputs!$B$38="pvp",1,1+(Inputs!$B$20+Skills!P5)/100),0)</f>
        <v/>
      </c>
      <c r="U345">
        <f>IF(C345,(H345*N345*IF(AND(Inputs!$B$38&lt;&gt;"pvp",Inputs!$B$43&gt;0),((Skills!G5*((R345-1)*IF(Skills!H5&gt;0,Skills!I5/Skills!H5,1)+IF(Skills!H5&gt;0,MIN(Skills!I5,MAX(0,MAX(0,Inputs!$B$43-B378)-((R345-1)*IF(Inputs!$B$38="pvp",15,MAX(0.1,Skills!E5-IF(Skills!F5=TRUE,Inputs!$B$32,0))))))/Skills!H5,1)))/Inputs!$B$43),G345*Q345))*IF(Inputs!$B$38="pvp",1,(1+(Inputs!$B$21+Skills!Q5)/100)*(MIN(Skills!R5,Inputs!$B$37))),0)</f>
        <v/>
      </c>
    </row>
    <row r="346">
      <c r="A346">
        <f>Skills!A6</f>
        <v/>
      </c>
      <c r="B346">
        <f>Skills!B6</f>
        <v/>
      </c>
      <c r="C346">
        <f>TRUE</f>
        <v/>
      </c>
      <c r="D346">
        <f>IF(Skills!C6=1,60+Inputs!$B$25+Inputs!$B$29,IF(Skills!C6=2,90+Inputs!$B$26+Inputs!$B$29,IF(Skills!C6=3,120+Inputs!$B$27+Inputs!$B$29,MAX(0,(Inputs!$B$3-100)*3)+Inputs!$B$28+Inputs!$B$29)))</f>
        <v/>
      </c>
      <c r="E346">
        <f>INDEX(FactorTable!$B$2:$Y$301, MATCH(ROUND(MIN(300,MAX(1,D346)),0), FactorTable!$A$2:$A$301,0), Skills!M6+1)</f>
        <v/>
      </c>
      <c r="F346">
        <f>IF(Skills!N6=TRUE,(Skills!L6/10)*(E346/1000),Skills!L6/10)+Skills!O6</f>
        <v/>
      </c>
      <c r="G346">
        <f>Calc!G6</f>
        <v/>
      </c>
      <c r="H346">
        <f>Calc!H6</f>
        <v/>
      </c>
      <c r="I346">
        <f>IF(Skills!X6&lt;&gt;"",1+(Skills!X6/10)*(Z343/1000)/100,1)</f>
        <v/>
      </c>
      <c r="J346" t="inlineStr"/>
      <c r="K346" t="inlineStr"/>
      <c r="L346" t="inlineStr"/>
      <c r="M346" t="inlineStr"/>
      <c r="N346" t="inlineStr"/>
      <c r="O346">
        <f>(1-Summary!$B$56)*S346+Summary!$B$56*U346</f>
        <v/>
      </c>
      <c r="P346">
        <f>IF(B381=0,0,O346/B381)</f>
        <v/>
      </c>
      <c r="Q346">
        <f>IFERROR(1/IF(Inputs!$B$38="pvp",15,MAX(0.1,Skills!E6-IF(Skills!F6=TRUE,Inputs!$B$32,0))),0)</f>
        <v/>
      </c>
      <c r="R346">
        <f>IF(AND(Inputs!$B$38&lt;&gt;"pvp",Inputs!$B$43&gt;0),IF(Inputs!$B$43&lt;=0,0,(INT(Inputs!$B$43/IF(Inputs!$B$38="pvp",15,MAX(0.1,Skills!E6-IF(Skills!F6=TRUE,Inputs!$B$32,0))))+1)),0)</f>
        <v/>
      </c>
      <c r="S346" t="n">
        <v>0</v>
      </c>
      <c r="U346" t="n">
        <v>0</v>
      </c>
    </row>
    <row r="347">
      <c r="A347">
        <f>Skills!A7</f>
        <v/>
      </c>
      <c r="B347">
        <f>Skills!B7</f>
        <v/>
      </c>
      <c r="C347">
        <f>TRUE</f>
        <v/>
      </c>
      <c r="D347">
        <f>IF(Skills!C7=1,60+Inputs!$B$25+Inputs!$B$29,IF(Skills!C7=2,90+Inputs!$B$26+Inputs!$B$29,IF(Skills!C7=3,120+Inputs!$B$27+Inputs!$B$29,MAX(0,(Inputs!$B$3-100)*3)+Inputs!$B$28+Inputs!$B$29)))</f>
        <v/>
      </c>
      <c r="E347">
        <f>INDEX(FactorTable!$B$2:$Y$301, MATCH(ROUND(MIN(300,MAX(1,D347)),0), FactorTable!$A$2:$A$301,0), Skills!M7+1)</f>
        <v/>
      </c>
      <c r="F347">
        <f>IF(Skills!N7=TRUE,(Skills!L7/10)*(E347/1000),Skills!L7/10)+Skills!O7</f>
        <v/>
      </c>
      <c r="G347">
        <f>Calc!G7</f>
        <v/>
      </c>
      <c r="H347">
        <f>Calc!H7</f>
        <v/>
      </c>
      <c r="I347">
        <f>IF(Skills!X7&lt;&gt;"",1+(Skills!X7/10)*(Z343/1000)/100,1)</f>
        <v/>
      </c>
      <c r="J347">
        <f>((Inputs!$B$6*(1+Inputs!$B$7/100))+(((Inputs!$B$12*(1+Inputs!$B$13/100))-(Inputs!$B$12*(1+Inputs!$B$13/100)))+0.25*(Inputs!$B$14-Inputs!$B$14))*(1+Inputs!$B$7/100))*(F347/100)</f>
        <v/>
      </c>
      <c r="K347">
        <f>J347*(1+((Inputs!$B$12*(1+Inputs!$B$13/100))*0.01+Inputs!$B$14*0.0025)/100)*(1+Inputs!$B$15/100)*(1+Inputs!$B$16/100)*(5000/(6000+Inputs!$B$42*(1-Inputs!$B$19/100)))*(1+Inputs!$B$24/100)*(1+F363/100)*(1+IF(Inputs!$B$3&gt;=120,F366,0)/100)^5*(1+(IF(Skills!A7="BASIC_ATTACK",Inputs!$B$17,Inputs!$B$18+IF(Inputs!$B$3&gt;=125,F367*5,0)))/100)*(B370*B371*B372*I347)</f>
        <v/>
      </c>
      <c r="L347">
        <f>K347*(MIN((Inputs!$B$22+1)+(F362-Calc!F22),Inputs!$B$23)/100+Inputs!$B$23/100)/2</f>
        <v/>
      </c>
      <c r="M347">
        <f>L347*(1+(Inputs!$B$10+(F361-Calc!F21))/100)</f>
        <v/>
      </c>
      <c r="N347">
        <f>L347*(1-MIN(Inputs!$B$9+(F360-Calc!F20),100)/100)+M347*(MIN(Inputs!$B$9+(F360-Calc!F20),100)/100)</f>
        <v/>
      </c>
      <c r="O347">
        <f>(1-Summary!$B$56)*S347+Summary!$B$56*U347</f>
        <v/>
      </c>
      <c r="P347">
        <f>IF(B381=0,0,O347/B381)</f>
        <v/>
      </c>
      <c r="Q347">
        <f>IFERROR(1/IF(Inputs!$B$38="pvp",15,MAX(0.1,Skills!E7-IF(Skills!F7=TRUE,Inputs!$B$32,0))),0)</f>
        <v/>
      </c>
      <c r="R347">
        <f>IF(AND(Inputs!$B$38&lt;&gt;"pvp",Inputs!$B$43&gt;0),IF(MAX(0,Inputs!$B$43-B378)&lt;=0,0,(INT(MAX(0,Inputs!$B$43-B378)/IF(Inputs!$B$38="pvp",15,MAX(0.1,Skills!E7-IF(Skills!F7=TRUE,Inputs!$B$32,0))))+1)),0)</f>
        <v/>
      </c>
      <c r="S347">
        <f>IF(C347,(H347*N347*IF(AND(Inputs!$B$38&lt;&gt;"pvp",Inputs!$B$43&gt;0),((Skills!G7*((R347-1)*IF(Skills!H7&gt;0,Skills!I7/Skills!H7,1)+IF(Skills!H7&gt;0,MIN(Skills!I7,MAX(0,MAX(0,Inputs!$B$43-B378)-((R347-1)*IF(Inputs!$B$38="pvp",15,MAX(0.1,Skills!E7-IF(Skills!F7=TRUE,Inputs!$B$32,0))))))/Skills!H7,1)))/Inputs!$B$43),G347*Q347))*IF(Inputs!$B$38="pvp",1,1+(Inputs!$B$20+Skills!P7)/100),0)</f>
        <v/>
      </c>
      <c r="U347">
        <f>IF(C347,(H347*N347*IF(AND(Inputs!$B$38&lt;&gt;"pvp",Inputs!$B$43&gt;0),((Skills!G7*((R347-1)*IF(Skills!H7&gt;0,Skills!I7/Skills!H7,1)+IF(Skills!H7&gt;0,MIN(Skills!I7,MAX(0,MAX(0,Inputs!$B$43-B378)-((R347-1)*IF(Inputs!$B$38="pvp",15,MAX(0.1,Skills!E7-IF(Skills!F7=TRUE,Inputs!$B$32,0))))))/Skills!H7,1)))/Inputs!$B$43),G347*Q347))*IF(Inputs!$B$38="pvp",1,(1+(Inputs!$B$21+Skills!Q7)/100)*(MIN(Skills!R7,Inputs!$B$37))),0)</f>
        <v/>
      </c>
    </row>
    <row r="348">
      <c r="A348">
        <f>Skills!A8</f>
        <v/>
      </c>
      <c r="B348">
        <f>Skills!B8</f>
        <v/>
      </c>
      <c r="C348">
        <f>TRUE</f>
        <v/>
      </c>
      <c r="D348">
        <f>IF(Skills!C8=1,60+Inputs!$B$25+Inputs!$B$29,IF(Skills!C8=2,90+Inputs!$B$26+Inputs!$B$29,IF(Skills!C8=3,120+Inputs!$B$27+Inputs!$B$29,MAX(0,(Inputs!$B$3-100)*3)+Inputs!$B$28+Inputs!$B$29)))</f>
        <v/>
      </c>
      <c r="E348">
        <f>INDEX(FactorTable!$B$2:$Y$301, MATCH(ROUND(MIN(300,MAX(1,D348)),0), FactorTable!$A$2:$A$301,0), Skills!M8+1)</f>
        <v/>
      </c>
      <c r="F348">
        <f>IF(Skills!N8=TRUE,(Skills!L8/10)*(E348/1000),Skills!L8/10)+Skills!O8</f>
        <v/>
      </c>
      <c r="G348">
        <f>Calc!G8</f>
        <v/>
      </c>
      <c r="H348">
        <f>Calc!H8</f>
        <v/>
      </c>
      <c r="I348">
        <f>IF(Skills!X8&lt;&gt;"",1+(Skills!X8/10)*(Z343/1000)/100,1)</f>
        <v/>
      </c>
      <c r="J348">
        <f>((Inputs!$B$6*(1+Inputs!$B$7/100))+(((Inputs!$B$12*(1+Inputs!$B$13/100))-(Inputs!$B$12*(1+Inputs!$B$13/100)))+0.25*(Inputs!$B$14-Inputs!$B$14))*(1+Inputs!$B$7/100))*(F348/100)</f>
        <v/>
      </c>
      <c r="K348">
        <f>J348*(1+((Inputs!$B$12*(1+Inputs!$B$13/100))*0.01+Inputs!$B$14*0.0025)/100)*(1+Inputs!$B$15/100)*(1+Inputs!$B$16/100)*(5000/(6000+Inputs!$B$42*(1-Inputs!$B$19/100)))*(1+Inputs!$B$24/100)*(1+F363/100)*(1+IF(Inputs!$B$3&gt;=120,F366,0)/100)^5*(1+(IF(Skills!A8="BASIC_ATTACK",Inputs!$B$17,Inputs!$B$18+IF(Inputs!$B$3&gt;=125,F367*5,0)))/100)*(B370*B371*B372*I348)</f>
        <v/>
      </c>
      <c r="L348">
        <f>K348*(MIN((Inputs!$B$22+1)+(F362-Calc!F22),Inputs!$B$23)/100+Inputs!$B$23/100)/2</f>
        <v/>
      </c>
      <c r="M348">
        <f>L348*(1+(Inputs!$B$10+(F361-Calc!F21))/100)</f>
        <v/>
      </c>
      <c r="N348">
        <f>L348*(1-MIN(Inputs!$B$9+(F360-Calc!F20),100)/100)+M348*(MIN(Inputs!$B$9+(F360-Calc!F20),100)/100)</f>
        <v/>
      </c>
      <c r="O348">
        <f>(1-Summary!$B$56)*S348+Summary!$B$56*U348</f>
        <v/>
      </c>
      <c r="P348">
        <f>IF(B381=0,0,O348/B381)</f>
        <v/>
      </c>
      <c r="Q348">
        <f>IFERROR(1/IF(Inputs!$B$38="pvp",15,MAX(0.1,Skills!E8-IF(Skills!F8=TRUE,Inputs!$B$32,0))),0)</f>
        <v/>
      </c>
      <c r="R348">
        <f>IF(AND(Inputs!$B$38&lt;&gt;"pvp",Inputs!$B$43&gt;0),IF(MAX(0,Inputs!$B$43-B378)&lt;=0,0,(INT(MAX(0,Inputs!$B$43-B378)/IF(Inputs!$B$38="pvp",15,MAX(0.1,Skills!E8-IF(Skills!F8=TRUE,Inputs!$B$32,0))))+1)),0)</f>
        <v/>
      </c>
      <c r="S348">
        <f>IF(C348,(H348*N348*IF(AND(Inputs!$B$38&lt;&gt;"pvp",Inputs!$B$43&gt;0),((Skills!G8*((R348-1)*IF(Skills!H8&gt;0,Skills!I8/Skills!H8,1)+IF(Skills!H8&gt;0,MIN(Skills!I8,MAX(0,MAX(0,Inputs!$B$43-B378)-((R348-1)*IF(Inputs!$B$38="pvp",15,MAX(0.1,Skills!E8-IF(Skills!F8=TRUE,Inputs!$B$32,0))))))/Skills!H8,1)))/Inputs!$B$43),G348*Q348))*IF(Inputs!$B$38="pvp",1,1+(Inputs!$B$20+Skills!P8)/100),0)</f>
        <v/>
      </c>
      <c r="U348">
        <f>IF(C348,(H348*N348*IF(AND(Inputs!$B$38&lt;&gt;"pvp",Inputs!$B$43&gt;0),((Skills!G8*((R348-1)*IF(Skills!H8&gt;0,Skills!I8/Skills!H8,1)+IF(Skills!H8&gt;0,MIN(Skills!I8,MAX(0,MAX(0,Inputs!$B$43-B378)-((R348-1)*IF(Inputs!$B$38="pvp",15,MAX(0.1,Skills!E8-IF(Skills!F8=TRUE,Inputs!$B$32,0))))))/Skills!H8,1)))/Inputs!$B$43),G348*Q348))*IF(Inputs!$B$38="pvp",1,(1+(Inputs!$B$21+Skills!Q8)/100)*(MIN(Skills!R8,Inputs!$B$37))),0)</f>
        <v/>
      </c>
    </row>
    <row r="349">
      <c r="A349">
        <f>Skills!A9</f>
        <v/>
      </c>
      <c r="B349">
        <f>Skills!B9</f>
        <v/>
      </c>
      <c r="C349">
        <f>Inputs!$B$3&gt;=103</f>
        <v/>
      </c>
      <c r="D349">
        <f>IF(Skills!C9=1,60+Inputs!$B$25+Inputs!$B$29,IF(Skills!C9=2,90+Inputs!$B$26+Inputs!$B$29,IF(Skills!C9=3,120+Inputs!$B$27+Inputs!$B$29,MAX(0,(Inputs!$B$3-100)*3)+Inputs!$B$28+Inputs!$B$29)))</f>
        <v/>
      </c>
      <c r="E349">
        <f>INDEX(FactorTable!$B$2:$Y$301, MATCH(ROUND(MIN(300,MAX(1,D349)),0), FactorTable!$A$2:$A$301,0), Skills!M9+1)</f>
        <v/>
      </c>
      <c r="F349">
        <f>IF(Skills!N9=TRUE,(Skills!L9/10)*(E349/1000),Skills!L9/10)+Skills!O9</f>
        <v/>
      </c>
      <c r="G349">
        <f>Calc!G9</f>
        <v/>
      </c>
      <c r="H349">
        <f>Calc!H9</f>
        <v/>
      </c>
      <c r="I349">
        <f>IF(Skills!X9&lt;&gt;"",1+(Skills!X9/10)*(Z343/1000)/100,1)</f>
        <v/>
      </c>
      <c r="J349">
        <f>((Inputs!$B$6*(1+Inputs!$B$7/100))+(((Inputs!$B$12*(1+Inputs!$B$13/100))-(Inputs!$B$12*(1+Inputs!$B$13/100)))+0.25*(Inputs!$B$14-Inputs!$B$14))*(1+Inputs!$B$7/100))*(F349/100)</f>
        <v/>
      </c>
      <c r="K349">
        <f>J349*(1+((Inputs!$B$12*(1+Inputs!$B$13/100))*0.01+Inputs!$B$14*0.0025)/100)*(1+Inputs!$B$15/100)*(1+Inputs!$B$16/100)*(5000/(6000+Inputs!$B$42*(1-Inputs!$B$19/100)))*(1+Inputs!$B$24/100)*(1+F363/100)*(1+IF(Inputs!$B$3&gt;=120,F366,0)/100)^5*(1+(IF(Skills!A9="BASIC_ATTACK",Inputs!$B$17,Inputs!$B$18+IF(Inputs!$B$3&gt;=125,F367*5,0)))/100)*(B370*B371*B372*I349)</f>
        <v/>
      </c>
      <c r="L349">
        <f>K349*(MIN((Inputs!$B$22+1)+(F362-Calc!F22),Inputs!$B$23)/100+Inputs!$B$23/100)/2</f>
        <v/>
      </c>
      <c r="M349">
        <f>L349*(1+(Inputs!$B$10+(F361-Calc!F21))/100)</f>
        <v/>
      </c>
      <c r="N349">
        <f>L349*(1-MIN(Inputs!$B$9+(F360-Calc!F20),100)/100)+M349*(MIN(Inputs!$B$9+(F360-Calc!F20),100)/100)</f>
        <v/>
      </c>
      <c r="O349">
        <f>(1-Summary!$B$56)*S349+Summary!$B$56*U349</f>
        <v/>
      </c>
      <c r="P349">
        <f>IF(B381=0,0,O349/B381)</f>
        <v/>
      </c>
      <c r="Q349">
        <f>IFERROR(1/IF(Inputs!$B$38="pvp",15,MAX(0.1,Skills!E9-IF(Skills!F7=TRUE,Inputs!$B$32,0))),0)</f>
        <v/>
      </c>
      <c r="R349">
        <f>IF(AND(Inputs!$B$38&lt;&gt;"pvp",Inputs!$B$43&gt;0),IF(MAX(0,Inputs!$B$43-B378)&lt;=0,0,(INT(MAX(0,Inputs!$B$43-B378)/IF(Inputs!$B$38="pvp",15,MAX(0.1,Skills!E9-IF(Skills!F7=TRUE,Inputs!$B$32,0))))+1)),0)</f>
        <v/>
      </c>
      <c r="S349">
        <f>IF(C349,(H349*N349*IF(AND(Inputs!$B$38&lt;&gt;"pvp",Inputs!$B$43&gt;0),((Skills!G9*((R349-1)*IF(Skills!H9&gt;0,Skills!I9/Skills!H9,1)+IF(Skills!H9&gt;0,MIN(Skills!I9,MAX(0,MAX(0,Inputs!$B$43-B378)-((R349-1)*IF(Inputs!$B$38="pvp",15,MAX(0.1,Skills!E9-IF(Skills!F7=TRUE,Inputs!$B$32,0))))))/Skills!H9,1)))/Inputs!$B$43),G349*Q349))*IF(Inputs!$B$38="pvp",1,1+(Inputs!$B$20+Skills!P9)/100),0)</f>
        <v/>
      </c>
      <c r="U349">
        <f>IF(C349,(H349*N349*IF(AND(Inputs!$B$38&lt;&gt;"pvp",Inputs!$B$43&gt;0),((Skills!G9*((R349-1)*IF(Skills!H9&gt;0,Skills!I9/Skills!H9,1)+IF(Skills!H9&gt;0,MIN(Skills!I9,MAX(0,MAX(0,Inputs!$B$43-B378)-((R349-1)*IF(Inputs!$B$38="pvp",15,MAX(0.1,Skills!E9-IF(Skills!F7=TRUE,Inputs!$B$32,0))))))/Skills!H9,1)))/Inputs!$B$43),G349*Q349))*IF(Inputs!$B$38="pvp",1,(1+(Inputs!$B$21+Skills!Q9)/100)*(MIN(Skills!R9,Inputs!$B$37))),0)</f>
        <v/>
      </c>
    </row>
    <row r="350">
      <c r="A350">
        <f>Skills!A10</f>
        <v/>
      </c>
      <c r="B350">
        <f>Skills!B10</f>
        <v/>
      </c>
      <c r="C350">
        <f>TRUE</f>
        <v/>
      </c>
      <c r="D350">
        <f>IF(Skills!C10=1,60+Inputs!$B$25+Inputs!$B$29,IF(Skills!C10=2,90+Inputs!$B$26+Inputs!$B$29,IF(Skills!C10=3,120+Inputs!$B$27+Inputs!$B$29,MAX(0,(Inputs!$B$3-100)*3)+Inputs!$B$28+Inputs!$B$29)))</f>
        <v/>
      </c>
      <c r="E350">
        <f>INDEX(FactorTable!$B$2:$Y$301, MATCH(ROUND(MIN(300,MAX(1,D350)),0), FactorTable!$A$2:$A$301,0), Skills!M10+1)</f>
        <v/>
      </c>
      <c r="F350">
        <f>IF(Skills!N10=TRUE,(Skills!L10/10)*(E350/1000),Skills!L10/10)+Skills!O10</f>
        <v/>
      </c>
      <c r="G350">
        <f>Calc!G10</f>
        <v/>
      </c>
      <c r="H350">
        <f>Calc!H10</f>
        <v/>
      </c>
      <c r="I350">
        <f>IF(Skills!X10&lt;&gt;"",1+(Skills!X10/10)*(Z343/1000)/100,1)</f>
        <v/>
      </c>
      <c r="J350">
        <f>((Inputs!$B$6*(1+Inputs!$B$7/100))+(((Inputs!$B$12*(1+Inputs!$B$13/100))-(Inputs!$B$12*(1+Inputs!$B$13/100)))+0.25*(Inputs!$B$14-Inputs!$B$14))*(1+Inputs!$B$7/100))*(F350/100)</f>
        <v/>
      </c>
      <c r="K350">
        <f>J350*(1+((Inputs!$B$12*(1+Inputs!$B$13/100))*0.01+Inputs!$B$14*0.0025)/100)*(1+Inputs!$B$15/100)*(1+Inputs!$B$16/100)*(5000/(6000+Inputs!$B$42*(1-Inputs!$B$19/100)))*(1+Inputs!$B$24/100)*(1+F363/100)*(1+IF(Inputs!$B$3&gt;=120,F366,0)/100)^5*(1+(IF(Skills!A10="BASIC_ATTACK",Inputs!$B$17,Inputs!$B$18+IF(Inputs!$B$3&gt;=125,F367*5,0)))/100)*(B370*B371*B372*I350)</f>
        <v/>
      </c>
      <c r="L350">
        <f>K350*(MIN((Inputs!$B$22+1)+(F362-Calc!F22),Inputs!$B$23)/100+Inputs!$B$23/100)/2</f>
        <v/>
      </c>
      <c r="M350">
        <f>L350*(1+(Inputs!$B$10+(F361-Calc!F21))/100)</f>
        <v/>
      </c>
      <c r="N350">
        <f>L350*(1-MIN(Inputs!$B$9+(F360-Calc!F20),100)/100)+M350*(MIN(Inputs!$B$9+(F360-Calc!F20),100)/100)</f>
        <v/>
      </c>
      <c r="O350">
        <f>(1-Summary!$B$56)*S350+Summary!$B$56*U350</f>
        <v/>
      </c>
      <c r="P350">
        <f>IF(B381=0,0,O350/B381)</f>
        <v/>
      </c>
      <c r="Q350">
        <f>IFERROR(1/IF(Inputs!$B$38="pvp",15,MAX(0.1,Skills!E10-IF(Skills!F10=TRUE,Inputs!$B$32,0))),0)</f>
        <v/>
      </c>
      <c r="R350">
        <f>IF(AND(Inputs!$B$38&lt;&gt;"pvp",Inputs!$B$43&gt;0),IF(MAX(0,Inputs!$B$43-B378)&lt;=0,0,(INT(MAX(0,Inputs!$B$43-B378)/IF(Inputs!$B$38="pvp",15,MAX(0.1,Skills!E10-IF(Skills!F10=TRUE,Inputs!$B$32,0))))+1)),0)</f>
        <v/>
      </c>
      <c r="S350">
        <f>IF(C350,(H350*N350*IF(AND(Inputs!$B$38&lt;&gt;"pvp",Inputs!$B$43&gt;0),((Skills!G10*((R350-1)*IF(Skills!H10&gt;0,Skills!I10/Skills!H10,1)+IF(Skills!H10&gt;0,MIN(Skills!I10,MAX(0,MAX(0,Inputs!$B$43-B378)-((R350-1)*IF(Inputs!$B$38="pvp",15,MAX(0.1,Skills!E10-IF(Skills!F10=TRUE,Inputs!$B$32,0))))))/Skills!H10,1)))/Inputs!$B$43),G350*Q350))*IF(Inputs!$B$38="pvp",1,1+(Inputs!$B$20+Skills!P10)/100),0)</f>
        <v/>
      </c>
      <c r="U350">
        <f>IF(C350,(H350*N350*IF(AND(Inputs!$B$38&lt;&gt;"pvp",Inputs!$B$43&gt;0),((Skills!G10*((R350-1)*IF(Skills!H10&gt;0,Skills!I10/Skills!H10,1)+IF(Skills!H10&gt;0,MIN(Skills!I10,MAX(0,MAX(0,Inputs!$B$43-B378)-((R350-1)*IF(Inputs!$B$38="pvp",15,MAX(0.1,Skills!E10-IF(Skills!F10=TRUE,Inputs!$B$32,0))))))/Skills!H10,1)))/Inputs!$B$43),G350*Q350))*IF(Inputs!$B$38="pvp",1,(1+(Inputs!$B$21+Skills!Q10)/100)*(MIN(Skills!R10,Inputs!$B$37))),0)</f>
        <v/>
      </c>
    </row>
    <row r="351">
      <c r="A351">
        <f>Skills!A11</f>
        <v/>
      </c>
      <c r="B351">
        <f>Skills!B11</f>
        <v/>
      </c>
      <c r="C351">
        <f>TRUE</f>
        <v/>
      </c>
      <c r="D351">
        <f>IF(Skills!C11=1,60+Inputs!$B$25+Inputs!$B$29,IF(Skills!C11=2,90+Inputs!$B$26+Inputs!$B$29,IF(Skills!C11=3,120+Inputs!$B$27+Inputs!$B$29,MAX(0,(Inputs!$B$3-100)*3)+Inputs!$B$28+Inputs!$B$29)))</f>
        <v/>
      </c>
      <c r="E351">
        <f>INDEX(FactorTable!$B$2:$Y$301, MATCH(ROUND(MIN(300,MAX(1,D351)),0), FactorTable!$A$2:$A$301,0), Skills!M11+1)</f>
        <v/>
      </c>
      <c r="F351">
        <f>IF(Skills!N11=TRUE,(Skills!L11/10)*(E351/1000),Skills!L11/10)+Skills!O11</f>
        <v/>
      </c>
      <c r="G351">
        <f>Calc!G11</f>
        <v/>
      </c>
      <c r="H351">
        <f>Calc!H11</f>
        <v/>
      </c>
      <c r="I351">
        <f>IF(Skills!X11&lt;&gt;"",1+(Skills!X11/10)*(Z343/1000)/100,1)</f>
        <v/>
      </c>
      <c r="J351" t="inlineStr"/>
      <c r="K351" t="inlineStr"/>
      <c r="L351" t="inlineStr"/>
      <c r="M351" t="inlineStr"/>
      <c r="N351" t="inlineStr"/>
      <c r="O351">
        <f>(1-Summary!$B$56)*S351+Summary!$B$56*U351</f>
        <v/>
      </c>
      <c r="P351">
        <f>IF(B381=0,0,O351/B381)</f>
        <v/>
      </c>
      <c r="Q351">
        <f>IFERROR(1/IF(Inputs!$B$38="pvp",15,MAX(0.1,Skills!E11-IF(Skills!F11=TRUE,Inputs!$B$32,0))),0)</f>
        <v/>
      </c>
      <c r="R351" t="n">
        <v>0</v>
      </c>
      <c r="S351" t="n">
        <v>0</v>
      </c>
      <c r="U351" t="n">
        <v>0</v>
      </c>
    </row>
    <row r="352">
      <c r="A352">
        <f>Skills!A12</f>
        <v/>
      </c>
      <c r="B352">
        <f>Skills!B12</f>
        <v/>
      </c>
      <c r="C352">
        <f>TRUE</f>
        <v/>
      </c>
      <c r="D352">
        <f>IF(Skills!C12=1,60+Inputs!$B$25+Inputs!$B$29,IF(Skills!C12=2,90+Inputs!$B$26+Inputs!$B$29,IF(Skills!C12=3,120+Inputs!$B$27+Inputs!$B$29,MAX(0,(Inputs!$B$3-100)*3)+Inputs!$B$28+Inputs!$B$29)))</f>
        <v/>
      </c>
      <c r="E352">
        <f>INDEX(FactorTable!$B$2:$Y$301, MATCH(ROUND(MIN(300,MAX(1,D352)),0), FactorTable!$A$2:$A$301,0), Skills!M12+1)</f>
        <v/>
      </c>
      <c r="F352">
        <f>IF(Skills!N12=TRUE,(Skills!L12/10)*(E352/1000),Skills!L12/10)+Skills!O12</f>
        <v/>
      </c>
      <c r="G352">
        <f>Calc!G12</f>
        <v/>
      </c>
      <c r="H352">
        <f>Calc!H12</f>
        <v/>
      </c>
      <c r="I352">
        <f>IF(Skills!X12&lt;&gt;"",1+(Skills!X12/10)*(Z343/1000)/100,1)</f>
        <v/>
      </c>
      <c r="J352" t="inlineStr"/>
      <c r="K352" t="inlineStr"/>
      <c r="L352" t="inlineStr"/>
      <c r="M352" t="inlineStr"/>
      <c r="N352" t="inlineStr"/>
      <c r="O352">
        <f>(1-Summary!$B$56)*S352+Summary!$B$56*U352</f>
        <v/>
      </c>
      <c r="P352">
        <f>IF(B381=0,0,O352/B381)</f>
        <v/>
      </c>
      <c r="Q352">
        <f>IFERROR(1/IF(Inputs!$B$38="pvp",15,MAX(0.1,Skills!E12-IF(Skills!F12=TRUE,Inputs!$B$32,0))),0)</f>
        <v/>
      </c>
      <c r="R352" t="n">
        <v>0</v>
      </c>
      <c r="S352" t="n">
        <v>0</v>
      </c>
      <c r="U352" t="n">
        <v>0</v>
      </c>
    </row>
    <row r="353">
      <c r="A353">
        <f>Skills!A13</f>
        <v/>
      </c>
      <c r="B353">
        <f>Skills!B13</f>
        <v/>
      </c>
      <c r="C353">
        <f>Inputs!$B$3&gt;=105</f>
        <v/>
      </c>
      <c r="D353">
        <f>IF(Skills!C13=1,60+Inputs!$B$25+Inputs!$B$29,IF(Skills!C13=2,90+Inputs!$B$26+Inputs!$B$29,IF(Skills!C13=3,120+Inputs!$B$27+Inputs!$B$29,MAX(0,(Inputs!$B$3-100)*3)+Inputs!$B$28+Inputs!$B$29)))</f>
        <v/>
      </c>
      <c r="E353">
        <f>INDEX(FactorTable!$B$2:$Y$301, MATCH(ROUND(MIN(300,MAX(1,D353)),0), FactorTable!$A$2:$A$301,0), Skills!M13+1)</f>
        <v/>
      </c>
      <c r="F353">
        <f>IF(Skills!N13=TRUE,(Skills!L13/10)*(E353/1000),Skills!L13/10)+Skills!O13</f>
        <v/>
      </c>
      <c r="G353">
        <f>Calc!G13</f>
        <v/>
      </c>
      <c r="H353">
        <f>Calc!H13</f>
        <v/>
      </c>
      <c r="I353">
        <f>IF(Skills!X13&lt;&gt;"",1+(Skills!X13/10)*(Z343/1000)/100,1)</f>
        <v/>
      </c>
      <c r="J353">
        <f>((Inputs!$B$6*(1+Inputs!$B$7/100))+(((Inputs!$B$12*(1+Inputs!$B$13/100))-(Inputs!$B$12*(1+Inputs!$B$13/100)))+0.25*(Inputs!$B$14-Inputs!$B$14))*(1+Inputs!$B$7/100))*(F353/100)</f>
        <v/>
      </c>
      <c r="K353">
        <f>J353*(1+((Inputs!$B$12*(1+Inputs!$B$13/100))*0.01+Inputs!$B$14*0.0025)/100)*(1+Inputs!$B$15/100)*(1+Inputs!$B$16/100)*(5000/(6000+Inputs!$B$42*(1-Inputs!$B$19/100)))*(1+Inputs!$B$24/100)*(1+F363/100)*(1+IF(Inputs!$B$3&gt;=120,F366,0)/100)^5*(1+(IF(Skills!A13="BASIC_ATTACK",Inputs!$B$17,Inputs!$B$18+IF(Inputs!$B$3&gt;=125,F367*5,0)))/100)*(B370*B371*B372*I353)</f>
        <v/>
      </c>
      <c r="L353">
        <f>K353*(MIN((Inputs!$B$22+1)+(F362-Calc!F22),Inputs!$B$23)/100+Inputs!$B$23/100)/2</f>
        <v/>
      </c>
      <c r="M353">
        <f>L353*(1+(Inputs!$B$10+(F361-Calc!F21))/100)</f>
        <v/>
      </c>
      <c r="N353">
        <f>L353*(1-MIN(Inputs!$B$9+(F360-Calc!F20),100)/100)+M353*(MIN(Inputs!$B$9+(F360-Calc!F20),100)/100)</f>
        <v/>
      </c>
      <c r="O353">
        <f>(1-Summary!$B$56)*S353+Summary!$B$56*U353</f>
        <v/>
      </c>
      <c r="P353">
        <f>IF(B381=0,0,O353/B381)</f>
        <v/>
      </c>
      <c r="Q353">
        <f>IFERROR(1/IF(Inputs!$B$38="pvp",15,MAX(0.1,Skills!E13-IF(Skills!F13=TRUE,Inputs!$B$32,0))),0)</f>
        <v/>
      </c>
      <c r="R353">
        <f>IF(AND(Inputs!$B$38&lt;&gt;"pvp",Inputs!$B$43&gt;0),IF(MAX(0,Inputs!$B$43-B378)&lt;=0,0,(INT(MAX(0,Inputs!$B$43-B378)/IF(Inputs!$B$38="pvp",15,MAX(0.1,Skills!E13-IF(Skills!F13=TRUE,Inputs!$B$32,0))))+1)),0)</f>
        <v/>
      </c>
      <c r="S353">
        <f>IF(C353,(H353*N353*IF(AND(Inputs!$B$38&lt;&gt;"pvp",Inputs!$B$43&gt;0),((Skills!G13*((R353-1)*IF(Skills!H13&gt;0,Skills!I13/Skills!H13,1)+IF(Skills!H13&gt;0,MIN(Skills!I13,MAX(0,MAX(0,Inputs!$B$43-B378)-((R353-1)*IF(Inputs!$B$38="pvp",15,MAX(0.1,Skills!E13-IF(Skills!F13=TRUE,Inputs!$B$32,0))))))/Skills!H13,1)))/Inputs!$B$43),G353*Q353))*IF(Inputs!$B$38="pvp",1,1+(Inputs!$B$20+Skills!P13)/100),0)</f>
        <v/>
      </c>
      <c r="U353">
        <f>IF(C353,(H353*N353*IF(AND(Inputs!$B$38&lt;&gt;"pvp",Inputs!$B$43&gt;0),((Skills!G13*((R353-1)*IF(Skills!H13&gt;0,Skills!I13/Skills!H13,1)+IF(Skills!H13&gt;0,MIN(Skills!I13,MAX(0,MAX(0,Inputs!$B$43-B378)-((R353-1)*IF(Inputs!$B$38="pvp",15,MAX(0.1,Skills!E13-IF(Skills!F13=TRUE,Inputs!$B$32,0))))))/Skills!H13,1)))/Inputs!$B$43),G353*Q353))*IF(Inputs!$B$38="pvp",1,(1+(Inputs!$B$21+Skills!Q13)/100)*(MIN(Skills!R13,Inputs!$B$37))),0)</f>
        <v/>
      </c>
    </row>
    <row r="354">
      <c r="A354">
        <f>Skills!A14</f>
        <v/>
      </c>
      <c r="B354">
        <f>Skills!B14</f>
        <v/>
      </c>
      <c r="C354">
        <f>Inputs!$B$3&gt;=113</f>
        <v/>
      </c>
      <c r="D354">
        <f>IF(Skills!C14=1,60+Inputs!$B$25+Inputs!$B$29,IF(Skills!C14=2,90+Inputs!$B$26+Inputs!$B$29,IF(Skills!C14=3,120+Inputs!$B$27+Inputs!$B$29,MAX(0,(Inputs!$B$3-100)*3)+Inputs!$B$28+Inputs!$B$29)))</f>
        <v/>
      </c>
      <c r="E354">
        <f>INDEX(FactorTable!$B$2:$Y$301, MATCH(ROUND(MIN(300,MAX(1,D354)),0), FactorTable!$A$2:$A$301,0), Skills!M14+1)</f>
        <v/>
      </c>
      <c r="F354">
        <f>IF(Skills!N14=TRUE,(Skills!L14/10)*(E354/1000),Skills!L14/10)+Skills!O14</f>
        <v/>
      </c>
      <c r="G354">
        <f>Calc!G14</f>
        <v/>
      </c>
      <c r="H354">
        <f>Calc!H14</f>
        <v/>
      </c>
      <c r="I354">
        <f>IF(Skills!X14&lt;&gt;"",1+(Skills!X14/10)*(Z343/1000)/100,1)</f>
        <v/>
      </c>
      <c r="J354">
        <f>((Inputs!$B$6*(1+Inputs!$B$7/100))+(((Inputs!$B$12*(1+Inputs!$B$13/100))-(Inputs!$B$12*(1+Inputs!$B$13/100)))+0.25*(Inputs!$B$14-Inputs!$B$14))*(1+Inputs!$B$7/100))*(F354/100)</f>
        <v/>
      </c>
      <c r="K354">
        <f>J354*(1+((Inputs!$B$12*(1+Inputs!$B$13/100))*0.01+Inputs!$B$14*0.0025)/100)*(1+Inputs!$B$15/100)*(1+Inputs!$B$16/100)*(5000/(6000+Inputs!$B$42*(1-Inputs!$B$19/100)))*(1+Inputs!$B$24/100)*(1+F363/100)*(1+IF(Inputs!$B$3&gt;=120,F366,0)/100)^5*(1+(IF(Skills!A14="BASIC_ATTACK",Inputs!$B$17,Inputs!$B$18+IF(Inputs!$B$3&gt;=125,F367*5,0)))/100)*(B370*B371*B372*I354)</f>
        <v/>
      </c>
      <c r="L354">
        <f>K354*(MIN((Inputs!$B$22+1)+(F362-Calc!F22),Inputs!$B$23)/100+Inputs!$B$23/100)/2</f>
        <v/>
      </c>
      <c r="M354">
        <f>L354*(1+(Inputs!$B$10+(F361-Calc!F21))/100)</f>
        <v/>
      </c>
      <c r="N354">
        <f>L354*(1-MIN(Inputs!$B$9+(F360-Calc!F20),100)/100)+M354*(MIN(Inputs!$B$9+(F360-Calc!F20),100)/100)</f>
        <v/>
      </c>
      <c r="O354">
        <f>(1-Summary!$B$56)*S354+Summary!$B$56*U354</f>
        <v/>
      </c>
      <c r="P354">
        <f>IF(B381=0,0,O354/B381)</f>
        <v/>
      </c>
      <c r="Q354">
        <f>IFERROR(1/IF(Inputs!$B$38="pvp",15,MAX(0.1,Skills!E14-IF(Skills!F14=TRUE,Inputs!$B$32,0))),0)</f>
        <v/>
      </c>
      <c r="R354" t="n">
        <v>0</v>
      </c>
      <c r="S354">
        <f>IF(C354,((H354*B377)/(1+Skills!H14*H354*B377)*N354)*IF(Inputs!$B$38="pvp",1,1+(Inputs!$B$20+Skills!P14)/100),0)</f>
        <v/>
      </c>
      <c r="U354">
        <f>IF(C354,((H354*B377)/(1+Skills!H14*H354*B377)*N354)*IF(Inputs!$B$38="pvp",1,(1+(Inputs!$B$21+Skills!Q14)/100)*(MIN(Skills!R14,Inputs!$B$37))),0)</f>
        <v/>
      </c>
    </row>
    <row r="355">
      <c r="A355">
        <f>Skills!A15</f>
        <v/>
      </c>
      <c r="B355">
        <f>Skills!B15</f>
        <v/>
      </c>
      <c r="C355">
        <f>Inputs!$B$3&gt;=107</f>
        <v/>
      </c>
      <c r="D355">
        <f>IF(Skills!C15=1,60+Inputs!$B$25+Inputs!$B$29,IF(Skills!C15=2,90+Inputs!$B$26+Inputs!$B$29,IF(Skills!C15=3,120+Inputs!$B$27+Inputs!$B$29,MAX(0,(Inputs!$B$3-100)*3)+Inputs!$B$28+Inputs!$B$29)))</f>
        <v/>
      </c>
      <c r="E355">
        <f>INDEX(FactorTable!$B$2:$Y$301, MATCH(ROUND(MIN(300,MAX(1,D355)),0), FactorTable!$A$2:$A$301,0), Skills!M15+1)</f>
        <v/>
      </c>
      <c r="F355">
        <f>IF(Skills!N15=TRUE,(Skills!L15/10)*(E355/1000),Skills!L15/10)+Skills!O15</f>
        <v/>
      </c>
      <c r="G355">
        <f>Calc!G15</f>
        <v/>
      </c>
      <c r="H355">
        <f>Calc!H15</f>
        <v/>
      </c>
      <c r="I355">
        <f>IF(Skills!X15&lt;&gt;"",1+(Skills!X15/10)*(Z343/1000)/100,1)</f>
        <v/>
      </c>
      <c r="J355">
        <f>((Inputs!$B$6*(1+Inputs!$B$7/100))+(((Inputs!$B$12*(1+Inputs!$B$13/100))-(Inputs!$B$12*(1+Inputs!$B$13/100)))+0.25*(Inputs!$B$14-Inputs!$B$14))*(1+Inputs!$B$7/100))*(F355/100)</f>
        <v/>
      </c>
      <c r="K355">
        <f>J355*(1+((Inputs!$B$12*(1+Inputs!$B$13/100))*0.01+Inputs!$B$14*0.0025)/100)*(1+Inputs!$B$15/100)*(1+Inputs!$B$16/100)*(5000/(6000+Inputs!$B$42*(1-Inputs!$B$19/100)))*(1+Inputs!$B$24/100)*(1+F363/100)*(1+IF(Inputs!$B$3&gt;=120,F366,0)/100)^5*(1+(IF(Skills!A15="BASIC_ATTACK",Inputs!$B$17,Inputs!$B$18+IF(Inputs!$B$3&gt;=125,F367*5,0)))/100)*(B370*B371*B372*I355)</f>
        <v/>
      </c>
      <c r="L355">
        <f>K355*(MIN((Inputs!$B$22+1)+(F362-Calc!F22),Inputs!$B$23)/100+Inputs!$B$23/100)/2</f>
        <v/>
      </c>
      <c r="M355">
        <f>L355*(1+(Inputs!$B$10+(F361-Calc!F21))/100)</f>
        <v/>
      </c>
      <c r="N355">
        <f>L355*(1-MIN(Inputs!$B$9+(F360-Calc!F20),100)/100)+M355*(MIN(Inputs!$B$9+(F360-Calc!F20),100)/100)</f>
        <v/>
      </c>
      <c r="O355">
        <f>(1-Summary!$B$56)*S355+Summary!$B$56*U355</f>
        <v/>
      </c>
      <c r="P355">
        <f>IF(B381=0,0,O355/B381)</f>
        <v/>
      </c>
      <c r="Q355">
        <f>IFERROR(1/IF(Inputs!$B$38="pvp",15,MAX(0.1,Skills!E15-IF(Skills!F15=TRUE,Inputs!$B$32,0))),0)</f>
        <v/>
      </c>
      <c r="R355">
        <f>IF(AND(Inputs!$B$38&lt;&gt;"pvp",Inputs!$B$43&gt;0),IF(MAX(0,Inputs!$B$43-B378)&lt;=0,0,(INT(MAX(0,Inputs!$B$43-B378)/IF(Inputs!$B$38="pvp",15,MAX(0.1,Skills!E15-IF(Skills!F15=TRUE,Inputs!$B$32,0))))+1)),0)</f>
        <v/>
      </c>
      <c r="S355">
        <f>IF(C355,(H355*N355*IF(AND(Inputs!$B$38&lt;&gt;"pvp",Inputs!$B$43&gt;0),((Skills!G15*((R355-1)*IF(Skills!H15&gt;0,Skills!I15/Skills!H15,1)+IF(Skills!H15&gt;0,MIN(Skills!I15,MAX(0,MAX(0,Inputs!$B$43-B378)-((R355-1)*IF(Inputs!$B$38="pvp",15,MAX(0.1,Skills!E15-IF(Skills!F15=TRUE,Inputs!$B$32,0))))))/Skills!H15,1)))/Inputs!$B$43),G355*Q355))*IF(Inputs!$B$38="pvp",1,1+(Inputs!$B$20+Skills!P15)/100),0)</f>
        <v/>
      </c>
      <c r="U355">
        <f>IF(C355,(H355*N355*IF(AND(Inputs!$B$38&lt;&gt;"pvp",Inputs!$B$43&gt;0),((Skills!G15*((R355-1)*IF(Skills!H15&gt;0,Skills!I15/Skills!H15,1)+IF(Skills!H15&gt;0,MIN(Skills!I15,MAX(0,MAX(0,Inputs!$B$43-B378)-((R355-1)*IF(Inputs!$B$38="pvp",15,MAX(0.1,Skills!E15-IF(Skills!F15=TRUE,Inputs!$B$32,0))))))/Skills!H15,1)))/Inputs!$B$43),G355*Q355))*IF(Inputs!$B$38="pvp",1,(1+(Inputs!$B$21+Skills!Q15)/100)*(MIN(Skills!R15,Inputs!$B$37))),0)</f>
        <v/>
      </c>
    </row>
    <row r="356">
      <c r="A356">
        <f>Skills!A16</f>
        <v/>
      </c>
      <c r="B356">
        <f>Skills!B16</f>
        <v/>
      </c>
      <c r="C356">
        <f>Inputs!$B$3&gt;=107</f>
        <v/>
      </c>
      <c r="D356">
        <f>IF(Skills!C16=1,60+Inputs!$B$25+Inputs!$B$29,IF(Skills!C16=2,90+Inputs!$B$26+Inputs!$B$29,IF(Skills!C16=3,120+Inputs!$B$27+Inputs!$B$29,MAX(0,(Inputs!$B$3-100)*3)+Inputs!$B$28+Inputs!$B$29)))</f>
        <v/>
      </c>
      <c r="E356">
        <f>INDEX(FactorTable!$B$2:$Y$301, MATCH(ROUND(MIN(300,MAX(1,D356)),0), FactorTable!$A$2:$A$301,0), Skills!M16+1)</f>
        <v/>
      </c>
      <c r="F356">
        <f>IF(Skills!N16=TRUE,(Skills!L16/10)*(E356/1000),Skills!L16/10)+Skills!O16</f>
        <v/>
      </c>
      <c r="G356">
        <f>Calc!G16</f>
        <v/>
      </c>
      <c r="H356">
        <f>Calc!H16</f>
        <v/>
      </c>
      <c r="I356">
        <f>IF(Skills!X16&lt;&gt;"",1+(Skills!X16/10)*(Z343/1000)/100,1)</f>
        <v/>
      </c>
      <c r="J356">
        <f>((Inputs!$B$6*(1+Inputs!$B$7/100))+(((Inputs!$B$12*(1+Inputs!$B$13/100))-(Inputs!$B$12*(1+Inputs!$B$13/100)))+0.25*(Inputs!$B$14-Inputs!$B$14))*(1+Inputs!$B$7/100))*(F356/100)</f>
        <v/>
      </c>
      <c r="K356">
        <f>J356*(1+((Inputs!$B$12*(1+Inputs!$B$13/100))*0.01+Inputs!$B$14*0.0025)/100)*(1+Inputs!$B$15/100)*(1+Inputs!$B$16/100)*(5000/(6000+Inputs!$B$42*(1-Inputs!$B$19/100)))*(1+Inputs!$B$24/100)*(1+F363/100)*(1+IF(Inputs!$B$3&gt;=120,F366,0)/100)^5*(1+(IF(Skills!A16="BASIC_ATTACK",Inputs!$B$17,Inputs!$B$18+IF(Inputs!$B$3&gt;=125,F367*5,0)))/100)*(B370*B371*B372*I356)</f>
        <v/>
      </c>
      <c r="L356">
        <f>K356*(MIN((Inputs!$B$22+1)+(F362-Calc!F22),Inputs!$B$23)/100+Inputs!$B$23/100)/2</f>
        <v/>
      </c>
      <c r="M356">
        <f>L356*(1+(Inputs!$B$10+(F361-Calc!F21))/100)</f>
        <v/>
      </c>
      <c r="N356">
        <f>L356*(1-MIN(Inputs!$B$9+(F360-Calc!F20),100)/100)+M356*(MIN(Inputs!$B$9+(F360-Calc!F20),100)/100)</f>
        <v/>
      </c>
      <c r="O356">
        <f>(1-Summary!$B$56)*S356+Summary!$B$56*U356</f>
        <v/>
      </c>
      <c r="P356">
        <f>IF(B381=0,0,O356/B381)</f>
        <v/>
      </c>
      <c r="Q356">
        <f>IFERROR(1/IF(Inputs!$B$38="pvp",15,MAX(0.1,Skills!E16-IF(Skills!F16=TRUE,Inputs!$B$32,0))),0)</f>
        <v/>
      </c>
      <c r="R356">
        <f>IF(AND(Inputs!$B$38&lt;&gt;"pvp",Inputs!$B$43&gt;0),IF(MAX(0,Inputs!$B$43-B378)&lt;=0,0,(INT(MAX(0,Inputs!$B$43-B378)/IF(Inputs!$B$38="pvp",15,MAX(0.1,Skills!E16-IF(Skills!F16=TRUE,Inputs!$B$32,0))))+1)),0)</f>
        <v/>
      </c>
      <c r="S356">
        <f>IF(C356,(H356*N356*IF(AND(Inputs!$B$38&lt;&gt;"pvp",Inputs!$B$43&gt;0),((Skills!G16*((R356-1)*IF(Skills!H16&gt;0,Skills!I16/Skills!H16,1)+IF(Skills!H16&gt;0,MIN(Skills!I16,MAX(0,MAX(0,Inputs!$B$43-B378)-((R356-1)*IF(Inputs!$B$38="pvp",15,MAX(0.1,Skills!E16-IF(Skills!F16=TRUE,Inputs!$B$32,0))))))/Skills!H16,1)))/Inputs!$B$43),G356*Q356)*(1+IF(Inputs!$B$3&gt;=126,0.05*(B376+Q353+(H354*B377)/(1+Skills!H14*H354*B377)+Q364),0)*Skills!E15))*IF(Inputs!$B$38="pvp",1,1+(Inputs!$B$20+Skills!P16)/100),0)</f>
        <v/>
      </c>
      <c r="U356">
        <f>IF(C356,(H356*N356*IF(AND(Inputs!$B$38&lt;&gt;"pvp",Inputs!$B$43&gt;0),((Skills!G16*((R356-1)*IF(Skills!H16&gt;0,Skills!I16/Skills!H16,1)+IF(Skills!H16&gt;0,MIN(Skills!I16,MAX(0,MAX(0,Inputs!$B$43-B378)-((R356-1)*IF(Inputs!$B$38="pvp",15,MAX(0.1,Skills!E16-IF(Skills!F16=TRUE,Inputs!$B$32,0))))))/Skills!H16,1)))/Inputs!$B$43),G356*Q356)*(1+IF(Inputs!$B$3&gt;=126,0.05*(B376+Q353+(H354*B377)/(1+Skills!H14*H354*B377)+Q364),0)*Skills!E15))*IF(Inputs!$B$38="pvp",1,(1+(Inputs!$B$21+Skills!Q16)/100)*(MIN(Skills!R16,Inputs!$B$37))),0)</f>
        <v/>
      </c>
    </row>
    <row r="357">
      <c r="A357">
        <f>Skills!A17</f>
        <v/>
      </c>
      <c r="B357">
        <f>Skills!B17</f>
        <v/>
      </c>
      <c r="C357">
        <f>TRUE</f>
        <v/>
      </c>
      <c r="D357">
        <f>IF(Skills!C17=1,60+Inputs!$B$25+Inputs!$B$29,IF(Skills!C17=2,90+Inputs!$B$26+Inputs!$B$29,IF(Skills!C17=3,120+Inputs!$B$27+Inputs!$B$29,MAX(0,(Inputs!$B$3-100)*3)+Inputs!$B$28+Inputs!$B$29)))</f>
        <v/>
      </c>
      <c r="E357">
        <f>INDEX(FactorTable!$B$2:$Y$301, MATCH(ROUND(MIN(300,MAX(1,D357)),0), FactorTable!$A$2:$A$301,0), Skills!M17+1)</f>
        <v/>
      </c>
      <c r="F357">
        <f>IF(Skills!N17=TRUE,(Skills!L17/10)*(E357/1000),Skills!L17/10)+Skills!O17</f>
        <v/>
      </c>
      <c r="G357">
        <f>Calc!G17</f>
        <v/>
      </c>
      <c r="H357">
        <f>Calc!H17</f>
        <v/>
      </c>
      <c r="I357">
        <f>IF(Skills!X17&lt;&gt;"",1+(Skills!X17/10)*(Z343/1000)/100,1)</f>
        <v/>
      </c>
      <c r="J357" t="inlineStr"/>
      <c r="K357" t="inlineStr"/>
      <c r="L357" t="inlineStr"/>
      <c r="M357" t="inlineStr"/>
      <c r="N357" t="inlineStr"/>
      <c r="O357">
        <f>(1-Summary!$B$56)*S357+Summary!$B$56*U357</f>
        <v/>
      </c>
      <c r="P357">
        <f>IF(B381=0,0,O357/B381)</f>
        <v/>
      </c>
      <c r="Q357">
        <f>IFERROR(1/IF(Inputs!$B$38="pvp",15,MAX(0.1,Skills!E17-IF(Skills!F17=TRUE,Inputs!$B$32,0))),0)</f>
        <v/>
      </c>
      <c r="R357">
        <f>IF(AND(Inputs!$B$38&lt;&gt;"pvp",Inputs!$B$43&gt;0),IF(Inputs!$B$43&lt;=0,0,(INT(Inputs!$B$43/IF(Inputs!$B$38="pvp",15,MAX(0.1,Skills!E17-IF(Skills!F17=TRUE,Inputs!$B$32,0))))+1)),0)</f>
        <v/>
      </c>
      <c r="S357" t="n">
        <v>0</v>
      </c>
      <c r="U357" t="n">
        <v>0</v>
      </c>
    </row>
    <row r="358">
      <c r="A358">
        <f>Skills!A18</f>
        <v/>
      </c>
      <c r="B358">
        <f>Skills!B18</f>
        <v/>
      </c>
      <c r="C358">
        <f>TRUE</f>
        <v/>
      </c>
      <c r="D358">
        <f>IF(Skills!C18=1,60+Inputs!$B$25+Inputs!$B$29,IF(Skills!C18=2,90+Inputs!$B$26+Inputs!$B$29,IF(Skills!C18=3,120+Inputs!$B$27+Inputs!$B$29,MAX(0,(Inputs!$B$3-100)*3)+Inputs!$B$28+Inputs!$B$29)))</f>
        <v/>
      </c>
      <c r="E358">
        <f>INDEX(FactorTable!$B$2:$Y$301, MATCH(ROUND(MIN(300,MAX(1,D358)),0), FactorTable!$A$2:$A$301,0), Skills!M18+1)</f>
        <v/>
      </c>
      <c r="F358">
        <f>IF(Skills!N18=TRUE,(Skills!L18/10)*(E358/1000),Skills!L18/10)+Skills!O18</f>
        <v/>
      </c>
      <c r="G358">
        <f>Calc!G18</f>
        <v/>
      </c>
      <c r="H358">
        <f>Calc!H18</f>
        <v/>
      </c>
      <c r="I358">
        <f>IF(Skills!X18&lt;&gt;"",1+(Skills!X18/10)*(Z343/1000)/100,1)</f>
        <v/>
      </c>
      <c r="J358" t="inlineStr"/>
      <c r="K358" t="inlineStr"/>
      <c r="L358" t="inlineStr"/>
      <c r="M358" t="inlineStr"/>
      <c r="N358" t="inlineStr"/>
      <c r="O358">
        <f>(1-Summary!$B$56)*S358+Summary!$B$56*U358</f>
        <v/>
      </c>
      <c r="P358">
        <f>IF(B381=0,0,O358/B381)</f>
        <v/>
      </c>
      <c r="Q358">
        <f>IFERROR(1/IF(Inputs!$B$38="pvp",15,MAX(0.1,Skills!E18-IF(Skills!F18=TRUE,Inputs!$B$32,0))),0)</f>
        <v/>
      </c>
      <c r="R358">
        <f>IF(AND(Inputs!$B$38&lt;&gt;"pvp",Inputs!$B$43&gt;0),IF(Inputs!$B$43&lt;=0,0,(INT(Inputs!$B$43/IF(Inputs!$B$38="pvp",15,MAX(0.1,Skills!E18-IF(Skills!F18=TRUE,Inputs!$B$32,0))))+1)),0)</f>
        <v/>
      </c>
      <c r="S358" t="n">
        <v>0</v>
      </c>
      <c r="U358" t="n">
        <v>0</v>
      </c>
    </row>
    <row r="359">
      <c r="A359">
        <f>Skills!A19</f>
        <v/>
      </c>
      <c r="B359">
        <f>Skills!B19</f>
        <v/>
      </c>
      <c r="C359">
        <f>Inputs!$B$3&gt;=110</f>
        <v/>
      </c>
      <c r="D359">
        <f>IF(Skills!C19=1,60+Inputs!$B$25+Inputs!$B$29,IF(Skills!C19=2,90+Inputs!$B$26+Inputs!$B$29,IF(Skills!C19=3,120+Inputs!$B$27+Inputs!$B$29,MAX(0,(Inputs!$B$3-100)*3)+Inputs!$B$28+Inputs!$B$29)))</f>
        <v/>
      </c>
      <c r="E359">
        <f>INDEX(FactorTable!$B$2:$Y$301, MATCH(ROUND(MIN(300,MAX(1,D359)),0), FactorTable!$A$2:$A$301,0), Skills!M19+1)</f>
        <v/>
      </c>
      <c r="F359">
        <f>IF(Skills!N19=TRUE,(Skills!L19/10)*(E359/1000),Skills!L19/10)+Skills!O19</f>
        <v/>
      </c>
      <c r="G359">
        <f>Calc!G19</f>
        <v/>
      </c>
      <c r="H359">
        <f>Calc!H19</f>
        <v/>
      </c>
      <c r="I359">
        <f>IF(Skills!X19&lt;&gt;"",1+(Skills!X19/10)*(Z343/1000)/100,1)</f>
        <v/>
      </c>
      <c r="J359" t="inlineStr"/>
      <c r="K359" t="inlineStr"/>
      <c r="L359" t="inlineStr"/>
      <c r="M359" t="inlineStr"/>
      <c r="N359" t="inlineStr"/>
      <c r="O359">
        <f>(1-Summary!$B$56)*S359+Summary!$B$56*U359</f>
        <v/>
      </c>
      <c r="P359">
        <f>IF(B381=0,0,O359/B381)</f>
        <v/>
      </c>
      <c r="Q359">
        <f>IFERROR(1/IF(Inputs!$B$38="pvp",15,MAX(0.1,Skills!E19-IF(Skills!F19=TRUE,Inputs!$B$32,0))),0)</f>
        <v/>
      </c>
      <c r="R359">
        <f>IF(AND(Inputs!$B$38&lt;&gt;"pvp",Inputs!$B$43&gt;0),IF(Inputs!$B$43&lt;=0,0,(INT(Inputs!$B$43/IF(Inputs!$B$38="pvp",15,MAX(0.1,Skills!E19-IF(Skills!F19=TRUE,Inputs!$B$32,0))))+1)),0)</f>
        <v/>
      </c>
      <c r="S359" t="n">
        <v>0</v>
      </c>
      <c r="U359" t="n">
        <v>0</v>
      </c>
    </row>
    <row r="360">
      <c r="A360">
        <f>Skills!A20</f>
        <v/>
      </c>
      <c r="B360">
        <f>Skills!B20</f>
        <v/>
      </c>
      <c r="C360">
        <f>TRUE</f>
        <v/>
      </c>
      <c r="D360">
        <f>IF(Skills!C20=1,60+Inputs!$B$25+Inputs!$B$29,IF(Skills!C20=2,90+Inputs!$B$26+Inputs!$B$29,IF(Skills!C20=3,120+Inputs!$B$27+Inputs!$B$29,MAX(0,(Inputs!$B$3-100)*3)+Inputs!$B$28+Inputs!$B$29)))</f>
        <v/>
      </c>
      <c r="E360">
        <f>INDEX(FactorTable!$B$2:$Y$301, MATCH(ROUND(MIN(300,MAX(1,D360)),0), FactorTable!$A$2:$A$301,0), Skills!M20+1)</f>
        <v/>
      </c>
      <c r="F360">
        <f>IF(Skills!N20=TRUE,(Skills!L20/10)*(E360/1000),Skills!L20/10)+Skills!O20</f>
        <v/>
      </c>
      <c r="G360">
        <f>Calc!G20</f>
        <v/>
      </c>
      <c r="H360">
        <f>Calc!H20</f>
        <v/>
      </c>
      <c r="I360">
        <f>IF(Skills!X20&lt;&gt;"",1+(Skills!X20/10)*(Z343/1000)/100,1)</f>
        <v/>
      </c>
      <c r="J360" t="inlineStr"/>
      <c r="K360" t="inlineStr"/>
      <c r="L360" t="inlineStr"/>
      <c r="M360" t="inlineStr"/>
      <c r="N360" t="inlineStr"/>
      <c r="O360">
        <f>(1-Summary!$B$56)*S360+Summary!$B$56*U360</f>
        <v/>
      </c>
      <c r="P360">
        <f>IF(B381=0,0,O360/B381)</f>
        <v/>
      </c>
      <c r="Q360">
        <f>IFERROR(1/IF(Inputs!$B$38="pvp",15,MAX(0.1,Skills!E20-IF(Skills!F20=TRUE,Inputs!$B$32,0))),0)</f>
        <v/>
      </c>
      <c r="R360" t="n">
        <v>0</v>
      </c>
      <c r="S360" t="n">
        <v>0</v>
      </c>
      <c r="U360" t="n">
        <v>0</v>
      </c>
    </row>
    <row r="361">
      <c r="A361">
        <f>Skills!A21</f>
        <v/>
      </c>
      <c r="B361">
        <f>Skills!B21</f>
        <v/>
      </c>
      <c r="C361">
        <f>TRUE</f>
        <v/>
      </c>
      <c r="D361">
        <f>IF(Skills!C21=1,60+Inputs!$B$25+Inputs!$B$29,IF(Skills!C21=2,90+Inputs!$B$26+Inputs!$B$29,IF(Skills!C21=3,120+Inputs!$B$27+Inputs!$B$29,MAX(0,(Inputs!$B$3-100)*3)+Inputs!$B$28+Inputs!$B$29)))</f>
        <v/>
      </c>
      <c r="E361">
        <f>INDEX(FactorTable!$B$2:$Y$301, MATCH(ROUND(MIN(300,MAX(1,D361)),0), FactorTable!$A$2:$A$301,0), Skills!M21+1)</f>
        <v/>
      </c>
      <c r="F361">
        <f>IF(Skills!N21=TRUE,(Skills!L21/10)*(E361/1000),Skills!L21/10)+Skills!O21</f>
        <v/>
      </c>
      <c r="G361">
        <f>Calc!G21</f>
        <v/>
      </c>
      <c r="H361">
        <f>Calc!H21</f>
        <v/>
      </c>
      <c r="I361">
        <f>IF(Skills!X21&lt;&gt;"",1+(Skills!X21/10)*(Z343/1000)/100,1)</f>
        <v/>
      </c>
      <c r="J361" t="inlineStr"/>
      <c r="K361" t="inlineStr"/>
      <c r="L361" t="inlineStr"/>
      <c r="M361" t="inlineStr"/>
      <c r="N361" t="inlineStr"/>
      <c r="O361">
        <f>(1-Summary!$B$56)*S361+Summary!$B$56*U361</f>
        <v/>
      </c>
      <c r="P361">
        <f>IF(B381=0,0,O361/B381)</f>
        <v/>
      </c>
      <c r="Q361">
        <f>IFERROR(1/IF(Inputs!$B$38="pvp",15,MAX(0.1,Skills!E21-IF(Skills!F21=TRUE,Inputs!$B$32,0))),0)</f>
        <v/>
      </c>
      <c r="R361" t="n">
        <v>0</v>
      </c>
      <c r="S361" t="n">
        <v>0</v>
      </c>
      <c r="U361" t="n">
        <v>0</v>
      </c>
    </row>
    <row r="362">
      <c r="A362">
        <f>Skills!A22</f>
        <v/>
      </c>
      <c r="B362">
        <f>Skills!B22</f>
        <v/>
      </c>
      <c r="C362">
        <f>TRUE</f>
        <v/>
      </c>
      <c r="D362">
        <f>IF(Skills!C22=1,60+Inputs!$B$25+Inputs!$B$29,IF(Skills!C22=2,90+Inputs!$B$26+Inputs!$B$29,IF(Skills!C22=3,120+Inputs!$B$27+Inputs!$B$29,MAX(0,(Inputs!$B$3-100)*3)+Inputs!$B$28+Inputs!$B$29)))</f>
        <v/>
      </c>
      <c r="E362">
        <f>INDEX(FactorTable!$B$2:$Y$301, MATCH(ROUND(MIN(300,MAX(1,D362)),0), FactorTable!$A$2:$A$301,0), Skills!M22+1)</f>
        <v/>
      </c>
      <c r="F362">
        <f>IF(Skills!N22=TRUE,(Skills!L22/10)*(E362/1000),Skills!L22/10)+Skills!O22</f>
        <v/>
      </c>
      <c r="G362">
        <f>Calc!G22</f>
        <v/>
      </c>
      <c r="H362">
        <f>Calc!H22</f>
        <v/>
      </c>
      <c r="I362">
        <f>IF(Skills!X22&lt;&gt;"",1+(Skills!X22/10)*(Z343/1000)/100,1)</f>
        <v/>
      </c>
      <c r="J362" t="inlineStr"/>
      <c r="K362" t="inlineStr"/>
      <c r="L362" t="inlineStr"/>
      <c r="M362" t="inlineStr"/>
      <c r="N362" t="inlineStr"/>
      <c r="O362">
        <f>(1-Summary!$B$56)*S362+Summary!$B$56*U362</f>
        <v/>
      </c>
      <c r="P362">
        <f>IF(B381=0,0,O362/B381)</f>
        <v/>
      </c>
      <c r="Q362">
        <f>IFERROR(1/IF(Inputs!$B$38="pvp",15,MAX(0.1,Skills!E22-IF(Skills!F22=TRUE,Inputs!$B$32,0))),0)</f>
        <v/>
      </c>
      <c r="R362" t="n">
        <v>0</v>
      </c>
      <c r="S362" t="n">
        <v>0</v>
      </c>
      <c r="U362" t="n">
        <v>0</v>
      </c>
    </row>
    <row r="363">
      <c r="A363">
        <f>Skills!A23</f>
        <v/>
      </c>
      <c r="B363">
        <f>Skills!B23</f>
        <v/>
      </c>
      <c r="C363">
        <f>TRUE</f>
        <v/>
      </c>
      <c r="D363">
        <f>IF(Skills!C23=1,60+Inputs!$B$25+Inputs!$B$29,IF(Skills!C23=2,90+Inputs!$B$26+Inputs!$B$29,IF(Skills!C23=3,120+Inputs!$B$27+Inputs!$B$29,MAX(0,(Inputs!$B$3-100)*3)+Inputs!$B$28+Inputs!$B$29)))</f>
        <v/>
      </c>
      <c r="E363">
        <f>INDEX(FactorTable!$B$2:$Y$301, MATCH(ROUND(MIN(300,MAX(1,D363)),0), FactorTable!$A$2:$A$301,0), Skills!M23+1)</f>
        <v/>
      </c>
      <c r="F363">
        <f>IF(Skills!N23=TRUE,(Skills!L23/10)*(E363/1000),Skills!L23/10)+Skills!O23</f>
        <v/>
      </c>
      <c r="G363">
        <f>Calc!G23</f>
        <v/>
      </c>
      <c r="H363">
        <f>Calc!H23</f>
        <v/>
      </c>
      <c r="I363">
        <f>IF(Skills!X23&lt;&gt;"",1+(Skills!X23/10)*(Z343/1000)/100,1)</f>
        <v/>
      </c>
      <c r="J363" t="inlineStr"/>
      <c r="K363" t="inlineStr"/>
      <c r="L363" t="inlineStr"/>
      <c r="M363" t="inlineStr"/>
      <c r="N363" t="inlineStr"/>
      <c r="O363">
        <f>(1-Summary!$B$56)*S363+Summary!$B$56*U363</f>
        <v/>
      </c>
      <c r="P363">
        <f>IF(B381=0,0,O363/B381)</f>
        <v/>
      </c>
      <c r="Q363">
        <f>IFERROR(1/IF(Inputs!$B$38="pvp",15,MAX(0.1,Skills!E23-IF(Skills!F23=TRUE,Inputs!$B$32,0))),0)</f>
        <v/>
      </c>
      <c r="R363" t="n">
        <v>0</v>
      </c>
      <c r="S363" t="n">
        <v>0</v>
      </c>
      <c r="U363" t="n">
        <v>0</v>
      </c>
    </row>
    <row r="364">
      <c r="A364">
        <f>Skills!A24</f>
        <v/>
      </c>
      <c r="B364">
        <f>Skills!B24</f>
        <v/>
      </c>
      <c r="C364">
        <f>Inputs!$B$3&gt;=115</f>
        <v/>
      </c>
      <c r="D364">
        <f>IF(Skills!C24=1,60+Inputs!$B$25+Inputs!$B$29,IF(Skills!C24=2,90+Inputs!$B$26+Inputs!$B$29,IF(Skills!C24=3,120+Inputs!$B$27+Inputs!$B$29,MAX(0,(Inputs!$B$3-100)*3)+Inputs!$B$28+Inputs!$B$29)))</f>
        <v/>
      </c>
      <c r="E364">
        <f>INDEX(FactorTable!$B$2:$Y$301, MATCH(ROUND(MIN(300,MAX(1,D364)),0), FactorTable!$A$2:$A$301,0), Skills!M24+1)</f>
        <v/>
      </c>
      <c r="F364">
        <f>IF(Skills!N24=TRUE,(Skills!L24/10)*(E364/1000),Skills!L24/10)+Skills!O24</f>
        <v/>
      </c>
      <c r="G364">
        <f>Calc!G24</f>
        <v/>
      </c>
      <c r="H364">
        <f>Calc!H24</f>
        <v/>
      </c>
      <c r="I364">
        <f>IF(Skills!X24&lt;&gt;"",1+(Skills!X24/10)*(Z343/1000)/100,1)</f>
        <v/>
      </c>
      <c r="J364">
        <f>((Inputs!$B$6*(1+Inputs!$B$7/100))+(((Inputs!$B$12*(1+Inputs!$B$13/100))-(Inputs!$B$12*(1+Inputs!$B$13/100)))+0.25*(Inputs!$B$14-Inputs!$B$14))*(1+Inputs!$B$7/100))*(F364/100)</f>
        <v/>
      </c>
      <c r="K364">
        <f>J364*(1+((Inputs!$B$12*(1+Inputs!$B$13/100))*0.01+Inputs!$B$14*0.0025)/100)*(1+Inputs!$B$15/100)*(1+Inputs!$B$16/100)*(5000/(6000+Inputs!$B$42*(1-Inputs!$B$19/100)))*(1+Inputs!$B$24/100)*(1+F363/100)*(1+IF(Inputs!$B$3&gt;=120,F366,0)/100)^5*(1+(IF(Skills!A24="BASIC_ATTACK",Inputs!$B$17,Inputs!$B$18+IF(Inputs!$B$3&gt;=125,F367*5,0)))/100)*(B370*B371*B372*I364)</f>
        <v/>
      </c>
      <c r="L364">
        <f>K364*(MIN((Inputs!$B$22+1)+(F362-Calc!F22),Inputs!$B$23)/100+Inputs!$B$23/100)/2</f>
        <v/>
      </c>
      <c r="M364">
        <f>L364*(1+(Inputs!$B$10+(F361-Calc!F21))/100)</f>
        <v/>
      </c>
      <c r="N364">
        <f>L364*(1-MIN(Inputs!$B$9+(F360-Calc!F20),100)/100)+M364*(MIN(Inputs!$B$9+(F360-Calc!F20),100)/100)</f>
        <v/>
      </c>
      <c r="O364">
        <f>(1-Summary!$B$56)*S364+Summary!$B$56*U364</f>
        <v/>
      </c>
      <c r="P364">
        <f>IF(B381=0,0,O364/B381)</f>
        <v/>
      </c>
      <c r="Q364">
        <f>IFERROR(1/IF(Inputs!$B$38="pvp",15,MAX(0.1,Skills!E24-IF(Skills!F24=TRUE,Inputs!$B$32,0))),0)</f>
        <v/>
      </c>
      <c r="R364">
        <f>IF(AND(Inputs!$B$38&lt;&gt;"pvp",Inputs!$B$43&gt;0),IF(MAX(0,Inputs!$B$43-B378)&lt;=0,0,(INT(MAX(0,Inputs!$B$43-B378)/IF(Inputs!$B$38="pvp",15,MAX(0.1,Skills!E24-IF(Skills!F24=TRUE,Inputs!$B$32,0))))+1)),0)</f>
        <v/>
      </c>
      <c r="S364">
        <f>IF(C364,(H364*N364*IF(AND(Inputs!$B$38&lt;&gt;"pvp",Inputs!$B$43&gt;0),((Skills!G24*((R364-1)*IF(Skills!H24&gt;0,Skills!I24/Skills!H24,1)+IF(Skills!H24&gt;0,MIN(Skills!I24,MAX(0,MAX(0,Inputs!$B$43-B378)-((R364-1)*IF(Inputs!$B$38="pvp",15,MAX(0.1,Skills!E24-IF(Skills!F24=TRUE,Inputs!$B$32,0))))))/Skills!H24,1)))/Inputs!$B$43),G364*Q364)*(1+IF(Inputs!$B$3&gt;=130,0.2*(Skills!I16/Skills!E15+IF(Inputs!$B$3&gt;=126,0.05*(B376+Q353+(H354*B377)/(1+Skills!H14*H354*B377)+Q364),0)*Skills!I16),0)))*IF(Inputs!$B$38="pvp",1,1+(Inputs!$B$20+Skills!P24)/100),0)</f>
        <v/>
      </c>
      <c r="U364">
        <f>IF(C364,(H364*N364*IF(AND(Inputs!$B$38&lt;&gt;"pvp",Inputs!$B$43&gt;0),((Skills!G24*((R364-1)*IF(Skills!H24&gt;0,Skills!I24/Skills!H24,1)+IF(Skills!H24&gt;0,MIN(Skills!I24,MAX(0,MAX(0,Inputs!$B$43-B378)-((R364-1)*IF(Inputs!$B$38="pvp",15,MAX(0.1,Skills!E24-IF(Skills!F24=TRUE,Inputs!$B$32,0))))))/Skills!H24,1)))/Inputs!$B$43),G364*Q364)*(1+IF(Inputs!$B$3&gt;=130,0.2*(Skills!I16/Skills!E15+IF(Inputs!$B$3&gt;=126,0.05*(B376+Q353+(H354*B377)/(1+Skills!H14*H354*B377)+Q364),0)*Skills!I16),0)))*IF(Inputs!$B$38="pvp",1,(1+(Inputs!$B$21+Skills!Q24)/100)*(MIN(Skills!R24,Inputs!$B$37))),0)</f>
        <v/>
      </c>
    </row>
    <row r="365">
      <c r="A365">
        <f>Skills!A25</f>
        <v/>
      </c>
      <c r="B365">
        <f>Skills!B25</f>
        <v/>
      </c>
      <c r="C365">
        <f>Inputs!$B$3&gt;=117</f>
        <v/>
      </c>
      <c r="D365">
        <f>IF(Skills!C25=1,60+Inputs!$B$25+Inputs!$B$29,IF(Skills!C25=2,90+Inputs!$B$26+Inputs!$B$29,IF(Skills!C25=3,120+Inputs!$B$27+Inputs!$B$29,MAX(0,(Inputs!$B$3-100)*3)+Inputs!$B$28+Inputs!$B$29)))</f>
        <v/>
      </c>
      <c r="E365">
        <f>INDEX(FactorTable!$B$2:$Y$301, MATCH(ROUND(MIN(300,MAX(1,D365)),0), FactorTable!$A$2:$A$301,0), Skills!M25+1)</f>
        <v/>
      </c>
      <c r="F365">
        <f>IF(Skills!N25=TRUE,(Skills!L25/10)*(E365/1000),Skills!L25/10)+Skills!O25</f>
        <v/>
      </c>
      <c r="G365">
        <f>Calc!G25</f>
        <v/>
      </c>
      <c r="H365">
        <f>Calc!H25</f>
        <v/>
      </c>
      <c r="I365">
        <f>IF(Skills!X25&lt;&gt;"",1+(Skills!X25/10)*(Z343/1000)/100,1)</f>
        <v/>
      </c>
      <c r="J365" t="inlineStr"/>
      <c r="K365" t="inlineStr"/>
      <c r="L365" t="inlineStr"/>
      <c r="M365" t="inlineStr"/>
      <c r="N365" t="inlineStr"/>
      <c r="O365">
        <f>(1-Summary!$B$56)*S365+Summary!$B$56*U365</f>
        <v/>
      </c>
      <c r="P365">
        <f>IF(B381=0,0,O365/B381)</f>
        <v/>
      </c>
      <c r="Q365">
        <f>IFERROR(1/IF(Inputs!$B$38="pvp",15,MAX(0.1,Skills!E25-IF(Skills!F25=TRUE,Inputs!$B$32,0))),0)</f>
        <v/>
      </c>
      <c r="R365" t="n">
        <v>0</v>
      </c>
      <c r="S365" t="n">
        <v>0</v>
      </c>
      <c r="U365" t="n">
        <v>0</v>
      </c>
    </row>
    <row r="366">
      <c r="A366">
        <f>Skills!A26</f>
        <v/>
      </c>
      <c r="B366">
        <f>Skills!B26</f>
        <v/>
      </c>
      <c r="C366">
        <f>Inputs!$B$3&gt;=120</f>
        <v/>
      </c>
      <c r="D366">
        <f>IF(Skills!C26=1,60+Inputs!$B$25+Inputs!$B$29,IF(Skills!C26=2,90+Inputs!$B$26+Inputs!$B$29,IF(Skills!C26=3,120+Inputs!$B$27+Inputs!$B$29,MAX(0,(Inputs!$B$3-100)*3)+Inputs!$B$28+Inputs!$B$29)))</f>
        <v/>
      </c>
      <c r="E366">
        <f>INDEX(FactorTable!$B$2:$Y$301, MATCH(ROUND(MIN(300,MAX(1,D366)),0), FactorTable!$A$2:$A$301,0), Skills!M26+1)</f>
        <v/>
      </c>
      <c r="F366">
        <f>IF(Skills!N26=TRUE,(Skills!L26/10)*(E366/1000),Skills!L26/10)+Skills!O26</f>
        <v/>
      </c>
      <c r="G366">
        <f>Calc!G26</f>
        <v/>
      </c>
      <c r="H366">
        <f>Calc!H26</f>
        <v/>
      </c>
      <c r="I366">
        <f>IF(Skills!X26&lt;&gt;"",1+(Skills!X26/10)*(Z343/1000)/100,1)</f>
        <v/>
      </c>
      <c r="J366" t="inlineStr"/>
      <c r="K366" t="inlineStr"/>
      <c r="L366" t="inlineStr"/>
      <c r="M366" t="inlineStr"/>
      <c r="N366" t="inlineStr"/>
      <c r="O366">
        <f>(1-Summary!$B$56)*S366+Summary!$B$56*U366</f>
        <v/>
      </c>
      <c r="P366">
        <f>IF(B381=0,0,O366/B381)</f>
        <v/>
      </c>
      <c r="Q366">
        <f>IFERROR(1/IF(Inputs!$B$38="pvp",15,MAX(0.1,Skills!E26-IF(Skills!F26=TRUE,Inputs!$B$32,0))),0)</f>
        <v/>
      </c>
      <c r="R366" t="n">
        <v>0</v>
      </c>
      <c r="S366" t="n">
        <v>0</v>
      </c>
      <c r="U366" t="n">
        <v>0</v>
      </c>
    </row>
    <row r="367">
      <c r="A367">
        <f>Skills!A27</f>
        <v/>
      </c>
      <c r="B367">
        <f>Skills!B27</f>
        <v/>
      </c>
      <c r="C367">
        <f>Inputs!$B$3&gt;=125</f>
        <v/>
      </c>
      <c r="D367">
        <f>IF(Skills!C27=1,60+Inputs!$B$25+Inputs!$B$29,IF(Skills!C27=2,90+Inputs!$B$26+Inputs!$B$29,IF(Skills!C27=3,120+Inputs!$B$27+Inputs!$B$29,MAX(0,(Inputs!$B$3-100)*3)+Inputs!$B$28+Inputs!$B$29)))</f>
        <v/>
      </c>
      <c r="E367">
        <f>INDEX(FactorTable!$B$2:$Y$301, MATCH(ROUND(MIN(300,MAX(1,D367)),0), FactorTable!$A$2:$A$301,0), Skills!M27+1)</f>
        <v/>
      </c>
      <c r="F367">
        <f>IF(Skills!N27=TRUE,(Skills!L27/10)*(E367/1000),Skills!L27/10)+Skills!O27</f>
        <v/>
      </c>
      <c r="G367">
        <f>Calc!G27</f>
        <v/>
      </c>
      <c r="H367">
        <f>Calc!H27</f>
        <v/>
      </c>
      <c r="I367">
        <f>IF(Skills!X27&lt;&gt;"",1+(Skills!X27/10)*(Z343/1000)/100,1)</f>
        <v/>
      </c>
      <c r="J367" t="inlineStr"/>
      <c r="K367" t="inlineStr"/>
      <c r="L367" t="inlineStr"/>
      <c r="M367" t="inlineStr"/>
      <c r="N367" t="inlineStr"/>
      <c r="O367">
        <f>(1-Summary!$B$56)*S367+Summary!$B$56*U367</f>
        <v/>
      </c>
      <c r="P367">
        <f>IF(B381=0,0,O367/B381)</f>
        <v/>
      </c>
      <c r="Q367">
        <f>IFERROR(1/IF(Inputs!$B$38="pvp",15,MAX(0.1,Skills!E27-IF(Skills!F27=TRUE,Inputs!$B$32,0))),0)</f>
        <v/>
      </c>
      <c r="R367" t="n">
        <v>0</v>
      </c>
      <c r="S367" t="n">
        <v>0</v>
      </c>
      <c r="U367" t="n">
        <v>0</v>
      </c>
    </row>
    <row r="368">
      <c r="A368">
        <f>Skills!A28</f>
        <v/>
      </c>
      <c r="B368">
        <f>Skills!B28</f>
        <v/>
      </c>
      <c r="C368">
        <f>Inputs!$B$3&gt;=118</f>
        <v/>
      </c>
      <c r="D368">
        <f>IF(Skills!C28=1,60+Inputs!$B$25+Inputs!$B$29,IF(Skills!C28=2,90+Inputs!$B$26+Inputs!$B$29,IF(Skills!C28=3,120+Inputs!$B$27+Inputs!$B$29,MAX(0,(Inputs!$B$3-100)*3)+Inputs!$B$28+Inputs!$B$29)))</f>
        <v/>
      </c>
      <c r="E368">
        <f>INDEX(FactorTable!$B$2:$Y$301, MATCH(ROUND(MIN(300,MAX(1,D368)),0), FactorTable!$A$2:$A$301,0), Skills!M28+1)</f>
        <v/>
      </c>
      <c r="F368">
        <f>IF(Skills!N28=TRUE,(Skills!L28/10)*(E368/1000),Skills!L28/10)+Skills!O28</f>
        <v/>
      </c>
      <c r="G368">
        <f>Calc!G28</f>
        <v/>
      </c>
      <c r="H368">
        <f>Calc!H28</f>
        <v/>
      </c>
      <c r="I368">
        <f>IF(Skills!X28&lt;&gt;"",1+(Skills!X28/10)*(Z343/1000)/100,1)</f>
        <v/>
      </c>
      <c r="J368">
        <f>((Inputs!$B$6*(1+Inputs!$B$7/100))+(((Inputs!$B$12*(1+Inputs!$B$13/100))-(Inputs!$B$12*(1+Inputs!$B$13/100)))+0.25*(Inputs!$B$14-Inputs!$B$14))*(1+Inputs!$B$7/100))*(F368/100)</f>
        <v/>
      </c>
      <c r="K368">
        <f>J368*(1+((Inputs!$B$12*(1+Inputs!$B$13/100))*0.01+Inputs!$B$14*0.0025)/100)*(1+Inputs!$B$15/100)*(1+Inputs!$B$16/100)*(5000/(6000+Inputs!$B$42*(1-Inputs!$B$19/100)))*(1+Inputs!$B$24/100)*(1+F363/100)*(1+IF(Inputs!$B$3&gt;=120,F366,0)/100)^5*(1+(IF(Skills!A28="BASIC_ATTACK",Inputs!$B$17,Inputs!$B$18+IF(Inputs!$B$3&gt;=125,F367*5,0)))/100)*(B370*B371*B372*I368)</f>
        <v/>
      </c>
      <c r="L368">
        <f>K368*(MIN((Inputs!$B$22+1)+(F362-Calc!F22),Inputs!$B$23)/100+Inputs!$B$23/100)/2</f>
        <v/>
      </c>
      <c r="M368">
        <f>L368*(1+(Inputs!$B$10+(F361-Calc!F21))/100)</f>
        <v/>
      </c>
      <c r="N368">
        <f>L368*(1-MIN(Inputs!$B$9+(F360-Calc!F20),100)/100)+M368*(MIN(Inputs!$B$9+(F360-Calc!F20),100)/100)</f>
        <v/>
      </c>
      <c r="O368">
        <f>(1-Summary!$B$56)*S368+Summary!$B$56*U368</f>
        <v/>
      </c>
      <c r="P368">
        <f>IF(B381=0,0,O368/B381)</f>
        <v/>
      </c>
      <c r="Q368">
        <f>IFERROR(1/IF(Inputs!$B$38="pvp",15,MAX(0.1,Skills!E28-IF(Skills!F28=TRUE,Inputs!$B$32,0))),0)</f>
        <v/>
      </c>
      <c r="R368">
        <f>IF(AND(Inputs!$B$38&lt;&gt;"pvp",Inputs!$B$43&gt;0),IF(MAX(0,Inputs!$B$43-B378)&lt;=0,0,(INT(MAX(0,Inputs!$B$43-B378)/IF(Inputs!$B$38="pvp",15,MAX(0.1,Skills!E28-IF(Skills!F28=TRUE,Inputs!$B$32,0))))+1)),0)</f>
        <v/>
      </c>
      <c r="S368">
        <f>IF(C368,(H368*N368*IF(AND(Inputs!$B$38&lt;&gt;"pvp",Inputs!$B$43&gt;0),((Skills!G28*((R368-1)*IF(Skills!H28&gt;0,Skills!I28/Skills!H28,1)+IF(Skills!H28&gt;0,MIN(Skills!I28,MAX(0,MAX(0,Inputs!$B$43-B378)-((R368-1)*IF(Inputs!$B$38="pvp",15,MAX(0.1,Skills!E28-IF(Skills!F28=TRUE,Inputs!$B$32,0))))))/Skills!H28,1)))/Inputs!$B$43),G368*Q368))*IF(Inputs!$B$38="pvp",1,1+(Inputs!$B$20+Skills!P28)/100),0)</f>
        <v/>
      </c>
      <c r="U368">
        <f>IF(C368,(H368*N368*IF(AND(Inputs!$B$38&lt;&gt;"pvp",Inputs!$B$43&gt;0),((Skills!G28*((R368-1)*IF(Skills!H28&gt;0,Skills!I28/Skills!H28,1)+IF(Skills!H28&gt;0,MIN(Skills!I28,MAX(0,MAX(0,Inputs!$B$43-B378)-((R368-1)*IF(Inputs!$B$38="pvp",15,MAX(0.1,Skills!E28-IF(Skills!F28=TRUE,Inputs!$B$32,0))))))/Skills!H28,1)))/Inputs!$B$43),G368*Q368))*IF(Inputs!$B$38="pvp",1,(1+(Inputs!$B$21+Skills!Q28)/100)*(MIN(Skills!R28,Inputs!$B$37))),0)</f>
        <v/>
      </c>
    </row>
    <row r="370">
      <c r="A370" t="inlineStr">
        <is>
          <t>Burning Magic Multiplier</t>
        </is>
      </c>
      <c r="B370">
        <f>1+(F351*Skills!Z11)/100</f>
        <v/>
      </c>
    </row>
    <row r="371">
      <c r="A371" t="inlineStr">
        <is>
          <t>Elemental Decrease Multiplier (always-on)</t>
        </is>
      </c>
      <c r="B371">
        <f>1+F352/100</f>
        <v/>
      </c>
    </row>
    <row r="372">
      <c r="A372" t="inlineStr">
        <is>
          <t>Average Buff Multiplier (Magic Guard + Meditation, summed; then Infinity)</t>
        </is>
      </c>
      <c r="B372">
        <f>(1+(F346*IF(AND(Inputs!$B$38&lt;&gt;"pvp",Inputs!$B$43&gt;0),(((R346-1)*(Skills!T6*(1+(Inputs!$B$34+IF(Inputs!$B$3&gt;=117,F365,0))/100))+MIN((Skills!T6*(1+(Inputs!$B$34+IF(Inputs!$B$3&gt;=117,F365,0))/100)),MAX(0,Inputs!$B$43-((R346-1)*Skills!E6))))/Inputs!$B$43),IF(Inputs!$B$38="pvp",MIN((Skills!T6*(1+(Inputs!$B$34+IF(Inputs!$B$3&gt;=117,F365,0))/100)),15)/15,(Skills!T6*(1+(Inputs!$B$34+IF(Inputs!$B$3&gt;=117,F365,0))/100))/Skills!E6))+F357*IF(AND(Inputs!$B$38&lt;&gt;"pvp",Inputs!$B$43&gt;0),(((R357-1)*(Skills!T17*(1+(Inputs!$B$34+IF(Inputs!$B$3&gt;=117,F365,0))/100))+MIN((Skills!T17*(1+(Inputs!$B$34+IF(Inputs!$B$3&gt;=117,F365,0))/100)),MAX(0,Inputs!$B$43-((R357-1)*Skills!E17))))/Inputs!$B$43),IF(Inputs!$B$38="pvp",MIN((Skills!T17*(1+(Inputs!$B$34+IF(Inputs!$B$3&gt;=117,F365,0))/100)),15)/15,(Skills!T17*(1+(Inputs!$B$34+IF(Inputs!$B$3&gt;=117,F365,0))/100))/Skills!E17)))/100)*IF(C359=TRUE,(1+F359*IF(AND(Inputs!$B$38&lt;&gt;"pvp",Inputs!$B$43&gt;0),(((R359-1)*(Skills!T19*(1+(Inputs!$B$34+IF(Inputs!$B$3&gt;=117,F365,0))/100))+MIN((Skills!T19*(1+(Inputs!$B$34+IF(Inputs!$B$3&gt;=117,F365,0))/100)),MAX(0,Inputs!$B$43-((R359-1)*Skills!E19))))/Inputs!$B$43),IF(Inputs!$B$38="pvp",MIN((Skills!T19*(1+(Inputs!$B$34+IF(Inputs!$B$3&gt;=117,F365,0))/100)),15)/15,(Skills!T19*(1+(Inputs!$B$34+IF(Inputs!$B$3&gt;=117,F365,0))/100))/Skills!E19))/100),1)</f>
        <v/>
      </c>
    </row>
    <row r="373">
      <c r="A373" t="inlineStr">
        <is>
          <t>Attack Speed Buff Bonus % (Nimble Feet, averaged)</t>
        </is>
      </c>
      <c r="B373">
        <f>F358*IF(AND(Inputs!$B$38&lt;&gt;"pvp",Inputs!$B$43&gt;0),(((R358-1)*(Skills!T18*(1+(Inputs!$B$34+IF(Inputs!$B$3&gt;=117,F365,0))/100))+MIN((Skills!T18*(1+(Inputs!$B$34+IF(Inputs!$B$3&gt;=117,F365,0))/100)),MAX(0,Inputs!$B$43-((R358-1)*Skills!E18))))/Inputs!$B$43),IF(Inputs!$B$38="pvp",MIN((Skills!T18*(1+(Inputs!$B$34+IF(Inputs!$B$3&gt;=117,F365,0))/100)),15)/15,(Skills!T18*(1+(Inputs!$B$34+IF(Inputs!$B$3&gt;=117,F365,0))/100))/Skills!E18))</f>
        <v/>
      </c>
    </row>
    <row r="374">
      <c r="A374" t="inlineStr">
        <is>
          <t>Actions Per Second</t>
        </is>
      </c>
      <c r="B374">
        <f>1+MIN(150,150*(1-(1-Inputs!$B$11/150)*(1-B373/150)))/100</f>
        <v/>
      </c>
    </row>
    <row r="375">
      <c r="A375" t="inlineStr">
        <is>
          <t>Skill + Buff Cast Rate</t>
        </is>
      </c>
      <c r="B375">
        <f>IF(AND(Inputs!$B$38&lt;&gt;"pvp",Inputs!$B$43&gt;0),SUMPRODUCT((Skills!F2:F28=TRUE)*(C342:C368=TRUE)*R342:R368)/Inputs!$B$43,SUMPRODUCT((Skills!F2:F28=TRUE)*(C342:C368=TRUE)*Q342:Q368))</f>
        <v/>
      </c>
    </row>
    <row r="376">
      <c r="A376" t="inlineStr">
        <is>
          <t>Basic Attacks Per Second</t>
        </is>
      </c>
      <c r="B376">
        <f>MAX(0,B374-B375)</f>
        <v/>
      </c>
    </row>
    <row r="377">
      <c r="A377" t="inlineStr">
        <is>
          <t>Meteor Proc — combined trigger cast rate</t>
        </is>
      </c>
      <c r="B377">
        <f>IF(AND(Inputs!$B$38&lt;&gt;"pvp",Inputs!$B$43&gt;0),SUMPRODUCT((Skills!V2:V28=TRUE)*(C342:C368=TRUE)*R342:R368*Skills!W2:W28)/Inputs!$B$43,SUMPRODUCT((Skills!V2:V28=TRUE)*(C342:C368=TRUE)*Q342:Q368*Skills!W2:W28))+B376</f>
        <v/>
      </c>
    </row>
    <row r="378">
      <c r="A378" t="inlineStr">
        <is>
          <t>Buff-Casting Startup Delay (s, fixed-duration only)</t>
        </is>
      </c>
      <c r="B378">
        <f>IF(AND(Inputs!$B$38&lt;&gt;"pvp",Inputs!$B$43&gt;0),SUMPRODUCT((Skills!T2:T28&gt;0)*(Skills!F2:F28=TRUE)*(C342:C368=TRUE))/B374,0)</f>
        <v/>
      </c>
    </row>
    <row r="379">
      <c r="A379" t="inlineStr">
        <is>
          <t>Boss-Only Total DPS (this block's swept value)</t>
        </is>
      </c>
      <c r="B379">
        <f>SUM(S342:S368)</f>
        <v/>
      </c>
    </row>
    <row r="380">
      <c r="A380" t="inlineStr">
        <is>
          <t>Normal-Only Total DPS (this block's swept value)</t>
        </is>
      </c>
      <c r="B380">
        <f>SUM(U342:U368)</f>
        <v/>
      </c>
    </row>
    <row r="381">
      <c r="A381" s="5" t="inlineStr">
        <is>
          <t>TOTAL DPS</t>
        </is>
      </c>
      <c r="B381" s="5">
        <f>SUM(O342:O368)</f>
        <v/>
      </c>
    </row>
    <row r="384">
      <c r="A384" s="5" t="inlineStr">
        <is>
          <t>Stat: MAX_DAMAGE %</t>
        </is>
      </c>
    </row>
    <row r="385">
      <c r="A385" s="9" t="inlineStr">
        <is>
          <t>Key</t>
        </is>
      </c>
      <c r="B385" s="9" t="inlineStr">
        <is>
          <t>Name</t>
        </is>
      </c>
      <c r="C385" s="9" t="inlineStr">
        <is>
          <t>Unlocked</t>
        </is>
      </c>
      <c r="D385" s="9" t="inlineStr">
        <is>
          <t>InputLevel</t>
        </is>
      </c>
      <c r="E385" s="9" t="inlineStr">
        <is>
          <t>Factor</t>
        </is>
      </c>
      <c r="F385" s="9" t="inlineStr">
        <is>
          <t>CoefficientPercent</t>
        </is>
      </c>
      <c r="G385" s="9" t="inlineStr">
        <is>
          <t>EffectiveHits</t>
        </is>
      </c>
      <c r="H385" s="9" t="inlineStr">
        <is>
          <t>ProcProbability</t>
        </is>
      </c>
      <c r="I385" s="9" t="inlineStr">
        <is>
          <t>MapleHeroMultiplier</t>
        </is>
      </c>
      <c r="J385" s="9" t="inlineStr">
        <is>
          <t>BaseDamage</t>
        </is>
      </c>
      <c r="K385" s="9" t="inlineStr">
        <is>
          <t>BaseHitDamage</t>
        </is>
      </c>
      <c r="L385" s="9" t="inlineStr">
        <is>
          <t>NonCritAvg</t>
        </is>
      </c>
      <c r="M385" s="9" t="inlineStr">
        <is>
          <t>CritAvg</t>
        </is>
      </c>
      <c r="N385" s="9" t="inlineStr">
        <is>
          <t>ExpectedDamage(perHit)</t>
        </is>
      </c>
      <c r="O385" s="9" t="inlineStr">
        <is>
          <t>DPS</t>
        </is>
      </c>
      <c r="P385" s="9" t="inlineStr">
        <is>
          <t>% of Total</t>
        </is>
      </c>
      <c r="R385" t="inlineStr">
        <is>
          <t>helpers</t>
        </is>
      </c>
    </row>
    <row r="386">
      <c r="A386">
        <f>Skills!A2</f>
        <v/>
      </c>
      <c r="B386">
        <f>Skills!B2</f>
        <v/>
      </c>
      <c r="C386">
        <f>TRUE</f>
        <v/>
      </c>
      <c r="D386" t="inlineStr"/>
      <c r="E386" t="inlineStr"/>
      <c r="F386">
        <f>T388+Skills!O2</f>
        <v/>
      </c>
      <c r="G386">
        <f>Calc!G2</f>
        <v/>
      </c>
      <c r="H386">
        <f>Calc!H2</f>
        <v/>
      </c>
      <c r="I386">
        <f>IF(Skills!X2&lt;&gt;"",1+(Skills!X2/10)*(Z387/1000)/100,1)</f>
        <v/>
      </c>
      <c r="J386">
        <f>((Inputs!$B$6*(1+Inputs!$B$7/100))+(((Inputs!$B$12*(1+Inputs!$B$13/100))-(Inputs!$B$12*(1+Inputs!$B$13/100)))+0.25*(Inputs!$B$14-Inputs!$B$14))*(1+Inputs!$B$7/100))*(F386/100)</f>
        <v/>
      </c>
      <c r="K386">
        <f>J386*(1+((Inputs!$B$12*(1+Inputs!$B$13/100))*0.01+Inputs!$B$14*0.0025)/100)*(1+Inputs!$B$15/100)*(1+Inputs!$B$16/100)*(5000/(6000+Inputs!$B$42*(1-Inputs!$B$19/100)))*(1+Inputs!$B$24/100)*(1+F407/100)*(1+IF(Inputs!$B$3&gt;=120,F410,0)/100)^5*(1+(IF(Skills!A2="BASIC_ATTACK",Inputs!$B$17,Inputs!$B$18+IF(Inputs!$B$3&gt;=125,F411*5,0)))/100)*(B414*B415*B416*I386)</f>
        <v/>
      </c>
      <c r="L386">
        <f>K386*(MIN(Inputs!$B$22+(F406-Calc!F22),(Inputs!$B$23+1))/100+(Inputs!$B$23+1)/100)/2</f>
        <v/>
      </c>
      <c r="M386">
        <f>L386*(1+(Inputs!$B$10+(F405-Calc!F21))/100)</f>
        <v/>
      </c>
      <c r="N386">
        <f>L386*(1-MIN(Inputs!$B$9+(F404-Calc!F20),100)/100)+M386*(MIN(Inputs!$B$9+(F404-Calc!F20),100)/100)</f>
        <v/>
      </c>
      <c r="O386">
        <f>(1-Summary!$B$56)*S386+Summary!$B$56*U386</f>
        <v/>
      </c>
      <c r="P386">
        <f>IF(B425=0,0,O386/B425)</f>
        <v/>
      </c>
      <c r="Q386">
        <f>IFERROR(1/IF(Inputs!$B$38="pvp",15,MAX(0.1,Skills!E2-IF(Skills!F2=TRUE,Inputs!$B$32,0))),0)</f>
        <v/>
      </c>
      <c r="R386" t="n">
        <v>0</v>
      </c>
      <c r="S386">
        <f>(Skills!G2*N386*B420)*IF(Inputs!$B$38="pvp",1,1+(Inputs!$B$20+Skills!P2)/100)</f>
        <v/>
      </c>
      <c r="T386">
        <f>MAX(0,(Inputs!$B$3-100)*3)+Inputs!$B$28+Inputs!$B$29</f>
        <v/>
      </c>
      <c r="U386">
        <f>(Skills!G2*N386*B420)*IF(Inputs!$B$38="pvp",1,(1+(Inputs!$B$21+Skills!Q2)/100)*(MIN((6+Inputs!$B$33+IF(Inputs!$B$3&gt;=136,1,0)),Inputs!$B$37)))</f>
        <v/>
      </c>
      <c r="Z386">
        <f>MAX(0,(Inputs!$B$3-100)*3)+Inputs!$B$28+Inputs!$B$29</f>
        <v/>
      </c>
    </row>
    <row r="387">
      <c r="A387">
        <f>Skills!A3</f>
        <v/>
      </c>
      <c r="B387">
        <f>Skills!B3</f>
        <v/>
      </c>
      <c r="C387">
        <f>TRUE</f>
        <v/>
      </c>
      <c r="D387">
        <f>IF(Skills!C3=1,60+Inputs!$B$25+Inputs!$B$29,IF(Skills!C3=2,90+Inputs!$B$26+Inputs!$B$29,IF(Skills!C3=3,120+Inputs!$B$27+Inputs!$B$29,MAX(0,(Inputs!$B$3-100)*3)+Inputs!$B$28+Inputs!$B$29)))</f>
        <v/>
      </c>
      <c r="E387">
        <f>INDEX(FactorTable!$B$2:$Y$301, MATCH(ROUND(MIN(300,MAX(1,D387)),0), FactorTable!$A$2:$A$301,0), Skills!M3+1)</f>
        <v/>
      </c>
      <c r="F387">
        <f>IF(Skills!N3=TRUE,(Skills!L3/10)*(E387/1000),Skills!L3/10)+Skills!O3</f>
        <v/>
      </c>
      <c r="G387">
        <f>Calc!G3</f>
        <v/>
      </c>
      <c r="H387">
        <f>Calc!H3</f>
        <v/>
      </c>
      <c r="I387">
        <f>IF(Skills!X3&lt;&gt;"",1+(Skills!X3/10)*(Z387/1000)/100,1)</f>
        <v/>
      </c>
      <c r="J387">
        <f>((Inputs!$B$6*(1+Inputs!$B$7/100))+(((Inputs!$B$12*(1+Inputs!$B$13/100))-(Inputs!$B$12*(1+Inputs!$B$13/100)))+0.25*(Inputs!$B$14-Inputs!$B$14))*(1+Inputs!$B$7/100))*(F387/100)</f>
        <v/>
      </c>
      <c r="K387">
        <f>J387*(1+((Inputs!$B$12*(1+Inputs!$B$13/100))*0.01+Inputs!$B$14*0.0025)/100)*(1+Inputs!$B$15/100)*(1+Inputs!$B$16/100)*(5000/(6000+Inputs!$B$42*(1-Inputs!$B$19/100)))*(1+Inputs!$B$24/100)*(1+F407/100)*(1+IF(Inputs!$B$3&gt;=120,F410,0)/100)^5*(1+(IF(Skills!A3="BASIC_ATTACK",Inputs!$B$17,Inputs!$B$18+IF(Inputs!$B$3&gt;=125,F411*5,0)))/100)*(B414*B415*B416*I387)</f>
        <v/>
      </c>
      <c r="L387">
        <f>K387*(MIN(Inputs!$B$22+(F406-Calc!F22),(Inputs!$B$23+1))/100+(Inputs!$B$23+1)/100)/2</f>
        <v/>
      </c>
      <c r="M387">
        <f>L387*(1+(Inputs!$B$10+(F405-Calc!F21))/100)</f>
        <v/>
      </c>
      <c r="N387">
        <f>L387*(1-MIN(Inputs!$B$9+(F404-Calc!F20),100)/100)+M387*(MIN(Inputs!$B$9+(F404-Calc!F20),100)/100)</f>
        <v/>
      </c>
      <c r="O387">
        <f>(1-Summary!$B$56)*S387+Summary!$B$56*U387</f>
        <v/>
      </c>
      <c r="P387">
        <f>IF(B425=0,0,O387/B425)</f>
        <v/>
      </c>
      <c r="Q387">
        <f>IFERROR(1/IF(Inputs!$B$38="pvp",15,MAX(0.1,Skills!E3-IF(Skills!F3=TRUE,Inputs!$B$32,0))),0)</f>
        <v/>
      </c>
      <c r="R387">
        <f>IF(AND(Inputs!$B$38&lt;&gt;"pvp",Inputs!$B$43&gt;0),IF(MAX(0,Inputs!$B$43-B422)&lt;=0,0,(INT(MAX(0,Inputs!$B$43-B422)/IF(Inputs!$B$38="pvp",15,MAX(0.1,Skills!E3-IF(Skills!F3=TRUE,Inputs!$B$32,0))))+1)),0)</f>
        <v/>
      </c>
      <c r="S387">
        <f>IF(C387,(H387*N387*IF(AND(Inputs!$B$38&lt;&gt;"pvp",Inputs!$B$43&gt;0),((Skills!G3*((R387-1)*IF(Skills!H3&gt;0,Skills!I3/Skills!H3,1)+IF(Skills!H3&gt;0,MIN(Skills!I3,MAX(0,MAX(0,Inputs!$B$43-B422)-((R387-1)*IF(Inputs!$B$38="pvp",15,MAX(0.1,Skills!E3-IF(Skills!F3=TRUE,Inputs!$B$32,0))))))/Skills!H3,1)))/Inputs!$B$43),G387*Q387))*IF(Inputs!$B$38="pvp",1,1+(Inputs!$B$20+Skills!P3)/100),0)</f>
        <v/>
      </c>
      <c r="T387">
        <f>INDEX(FactorTable!$B$2:$Y$301, MATCH(ROUND(MIN(300,MAX(1,T386)),0), FactorTable!$A$2:$A$301,0), 22)</f>
        <v/>
      </c>
      <c r="U387">
        <f>IF(C387,(H387*N387*IF(AND(Inputs!$B$38&lt;&gt;"pvp",Inputs!$B$43&gt;0),((Skills!G3*((R387-1)*IF(Skills!H3&gt;0,Skills!I3/Skills!H3,1)+IF(Skills!H3&gt;0,MIN(Skills!I3,MAX(0,MAX(0,Inputs!$B$43-B422)-((R387-1)*IF(Inputs!$B$38="pvp",15,MAX(0.1,Skills!E3-IF(Skills!F3=TRUE,Inputs!$B$32,0))))))/Skills!H3,1)))/Inputs!$B$43),G387*Q387))*IF(Inputs!$B$38="pvp",1,(1+(Inputs!$B$21+Skills!Q3)/100)*(MIN(Skills!R3,Inputs!$B$37))),0)</f>
        <v/>
      </c>
      <c r="Z387">
        <f>INDEX(FactorTable!$B$2:$Y$301, MATCH(ROUND(MIN(300,MAX(1,Z386)),0), FactorTable!$A$2:$A$301,0), 24)</f>
        <v/>
      </c>
    </row>
    <row r="388">
      <c r="A388">
        <f>Skills!A4</f>
        <v/>
      </c>
      <c r="B388">
        <f>Skills!B4</f>
        <v/>
      </c>
      <c r="C388">
        <f>TRUE</f>
        <v/>
      </c>
      <c r="D388">
        <f>IF(Skills!C4=1,60+Inputs!$B$25+Inputs!$B$29,IF(Skills!C4=2,90+Inputs!$B$26+Inputs!$B$29,IF(Skills!C4=3,120+Inputs!$B$27+Inputs!$B$29,MAX(0,(Inputs!$B$3-100)*3)+Inputs!$B$28+Inputs!$B$29)))</f>
        <v/>
      </c>
      <c r="E388">
        <f>INDEX(FactorTable!$B$2:$Y$301, MATCH(ROUND(MIN(300,MAX(1,D388)),0), FactorTable!$A$2:$A$301,0), Skills!M4+1)</f>
        <v/>
      </c>
      <c r="F388">
        <f>IF(Skills!N4=TRUE,(Skills!L4/10)*(E388/1000),Skills!L4/10)+Skills!O4</f>
        <v/>
      </c>
      <c r="G388">
        <f>Calc!G4</f>
        <v/>
      </c>
      <c r="H388">
        <f>Calc!H4</f>
        <v/>
      </c>
      <c r="I388">
        <f>IF(Skills!X4&lt;&gt;"",1+(Skills!X4/10)*(Z387/1000)/100,1)</f>
        <v/>
      </c>
      <c r="J388">
        <f>((Inputs!$B$6*(1+Inputs!$B$7/100))+(((Inputs!$B$12*(1+Inputs!$B$13/100))-(Inputs!$B$12*(1+Inputs!$B$13/100)))+0.25*(Inputs!$B$14-Inputs!$B$14))*(1+Inputs!$B$7/100))*(F388/100)</f>
        <v/>
      </c>
      <c r="K388">
        <f>J388*(1+((Inputs!$B$12*(1+Inputs!$B$13/100))*0.01+Inputs!$B$14*0.0025)/100)*(1+Inputs!$B$15/100)*(1+Inputs!$B$16/100)*(5000/(6000+Inputs!$B$42*(1-Inputs!$B$19/100)))*(1+Inputs!$B$24/100)*(1+F407/100)*(1+IF(Inputs!$B$3&gt;=120,F410,0)/100)^5*(1+(IF(Skills!A4="BASIC_ATTACK",Inputs!$B$17,Inputs!$B$18+IF(Inputs!$B$3&gt;=125,F411*5,0)))/100)*(B414*B415*B416*I388)</f>
        <v/>
      </c>
      <c r="L388">
        <f>K388*(MIN(Inputs!$B$22+(F406-Calc!F22),(Inputs!$B$23+1))/100+(Inputs!$B$23+1)/100)/2</f>
        <v/>
      </c>
      <c r="M388">
        <f>L388*(1+(Inputs!$B$10+(F405-Calc!F21))/100)</f>
        <v/>
      </c>
      <c r="N388">
        <f>L388*(1-MIN(Inputs!$B$9+(F404-Calc!F20),100)/100)+M388*(MIN(Inputs!$B$9+(F404-Calc!F20),100)/100)</f>
        <v/>
      </c>
      <c r="O388">
        <f>(1-Summary!$B$56)*S388+Summary!$B$56*U388</f>
        <v/>
      </c>
      <c r="P388">
        <f>IF(B425=0,0,O388/B425)</f>
        <v/>
      </c>
      <c r="Q388">
        <f>IFERROR(1/IF(Inputs!$B$38="pvp",15,MAX(0.1,Skills!E4-IF(Skills!F4=TRUE,Inputs!$B$32,0))),0)</f>
        <v/>
      </c>
      <c r="R388">
        <f>IF(AND(Inputs!$B$38&lt;&gt;"pvp",Inputs!$B$43&gt;0),IF(MAX(0,Inputs!$B$43-B422)&lt;=0,0,(INT(MAX(0,Inputs!$B$43-B422)/IF(Inputs!$B$38="pvp",15,MAX(0.1,Skills!E4-IF(Skills!F4=TRUE,Inputs!$B$32,0))))+1)),0)</f>
        <v/>
      </c>
      <c r="S388">
        <f>IF(C388,(H388*N388*IF(AND(Inputs!$B$38&lt;&gt;"pvp",Inputs!$B$43&gt;0),((Skills!G4*((R388-1)*IF(Skills!H4&gt;0,Skills!I4/Skills!H4,1)+IF(Skills!H4&gt;0,MIN(Skills!I4,MAX(0,MAX(0,Inputs!$B$43-B422)-((R388-1)*IF(Inputs!$B$38="pvp",15,MAX(0.1,Skills!E4-IF(Skills!F4=TRUE,Inputs!$B$32,0))))))/Skills!H4,1)))/Inputs!$B$43),G388*Q388))*IF(Inputs!$B$38="pvp",1,1+(Inputs!$B$20+Skills!P4)/100),0)</f>
        <v/>
      </c>
      <c r="T388">
        <f>290*T387/1000</f>
        <v/>
      </c>
      <c r="U388">
        <f>IF(C388,(H388*N388*IF(AND(Inputs!$B$38&lt;&gt;"pvp",Inputs!$B$43&gt;0),((Skills!G4*((R388-1)*IF(Skills!H4&gt;0,Skills!I4/Skills!H4,1)+IF(Skills!H4&gt;0,MIN(Skills!I4,MAX(0,MAX(0,Inputs!$B$43-B422)-((R388-1)*IF(Inputs!$B$38="pvp",15,MAX(0.1,Skills!E4-IF(Skills!F4=TRUE,Inputs!$B$32,0))))))/Skills!H4,1)))/Inputs!$B$43),G388*Q388))*IF(Inputs!$B$38="pvp",1,(1+(Inputs!$B$21+Skills!Q4)/100)*(MIN(Skills!R4,Inputs!$B$37))),0)</f>
        <v/>
      </c>
    </row>
    <row r="389">
      <c r="A389">
        <f>Skills!A5</f>
        <v/>
      </c>
      <c r="B389">
        <f>Skills!B5</f>
        <v/>
      </c>
      <c r="C389">
        <f>TRUE</f>
        <v/>
      </c>
      <c r="D389">
        <f>IF(Skills!C5=1,60+Inputs!$B$25+Inputs!$B$29,IF(Skills!C5=2,90+Inputs!$B$26+Inputs!$B$29,IF(Skills!C5=3,120+Inputs!$B$27+Inputs!$B$29,MAX(0,(Inputs!$B$3-100)*3)+Inputs!$B$28+Inputs!$B$29)))</f>
        <v/>
      </c>
      <c r="E389">
        <f>INDEX(FactorTable!$B$2:$Y$301, MATCH(ROUND(MIN(300,MAX(1,D389)),0), FactorTable!$A$2:$A$301,0), Skills!M5+1)</f>
        <v/>
      </c>
      <c r="F389">
        <f>IF(Skills!N5=TRUE,(Skills!L5/10)*(E389/1000),Skills!L5/10)+Skills!O5</f>
        <v/>
      </c>
      <c r="G389">
        <f>Calc!G5</f>
        <v/>
      </c>
      <c r="H389">
        <f>Calc!H5</f>
        <v/>
      </c>
      <c r="I389">
        <f>IF(Skills!X5&lt;&gt;"",1+(Skills!X5/10)*(Z387/1000)/100,1)</f>
        <v/>
      </c>
      <c r="J389">
        <f>((Inputs!$B$6*(1+Inputs!$B$7/100))+(((Inputs!$B$12*(1+Inputs!$B$13/100))-(Inputs!$B$12*(1+Inputs!$B$13/100)))+0.25*(Inputs!$B$14-Inputs!$B$14))*(1+Inputs!$B$7/100))*(F389/100)</f>
        <v/>
      </c>
      <c r="K389">
        <f>J389*(1+((Inputs!$B$12*(1+Inputs!$B$13/100))*0.01+Inputs!$B$14*0.0025)/100)*(1+Inputs!$B$15/100)*(1+Inputs!$B$16/100)*(5000/(6000+Inputs!$B$42*(1-Inputs!$B$19/100)))*(1+Inputs!$B$24/100)*(1+F407/100)*(1+IF(Inputs!$B$3&gt;=120,F410,0)/100)^5*(1+(IF(Skills!A5="BASIC_ATTACK",Inputs!$B$17,Inputs!$B$18+IF(Inputs!$B$3&gt;=125,F411*5,0)))/100)*(B414*B415*B416*I389)</f>
        <v/>
      </c>
      <c r="L389">
        <f>K389*(MIN(Inputs!$B$22+(F406-Calc!F22),(Inputs!$B$23+1))/100+(Inputs!$B$23+1)/100)/2</f>
        <v/>
      </c>
      <c r="M389">
        <f>L389*(1+(Inputs!$B$10+(F405-Calc!F21))/100)</f>
        <v/>
      </c>
      <c r="N389">
        <f>L389*(1-MIN(Inputs!$B$9+(F404-Calc!F20),100)/100)+M389*(MIN(Inputs!$B$9+(F404-Calc!F20),100)/100)</f>
        <v/>
      </c>
      <c r="O389">
        <f>(1-Summary!$B$56)*S389+Summary!$B$56*U389</f>
        <v/>
      </c>
      <c r="P389">
        <f>IF(B425=0,0,O389/B425)</f>
        <v/>
      </c>
      <c r="Q389">
        <f>IFERROR(1/IF(Inputs!$B$38="pvp",15,MAX(0.1,Skills!E5-IF(Skills!F5=TRUE,Inputs!$B$32,0))),0)</f>
        <v/>
      </c>
      <c r="R389">
        <f>IF(AND(Inputs!$B$38&lt;&gt;"pvp",Inputs!$B$43&gt;0),IF(MAX(0,Inputs!$B$43-B422)&lt;=0,0,(INT(MAX(0,Inputs!$B$43-B422)/IF(Inputs!$B$38="pvp",15,MAX(0.1,Skills!E5-IF(Skills!F5=TRUE,Inputs!$B$32,0))))+1)),0)</f>
        <v/>
      </c>
      <c r="S389">
        <f>IF(C389,(H389*N389*IF(AND(Inputs!$B$38&lt;&gt;"pvp",Inputs!$B$43&gt;0),((Skills!G5*((R389-1)*IF(Skills!H5&gt;0,Skills!I5/Skills!H5,1)+IF(Skills!H5&gt;0,MIN(Skills!I5,MAX(0,MAX(0,Inputs!$B$43-B422)-((R389-1)*IF(Inputs!$B$38="pvp",15,MAX(0.1,Skills!E5-IF(Skills!F5=TRUE,Inputs!$B$32,0))))))/Skills!H5,1)))/Inputs!$B$43),G389*Q389))*IF(Inputs!$B$38="pvp",1,1+(Inputs!$B$20+Skills!P5)/100),0)</f>
        <v/>
      </c>
      <c r="U389">
        <f>IF(C389,(H389*N389*IF(AND(Inputs!$B$38&lt;&gt;"pvp",Inputs!$B$43&gt;0),((Skills!G5*((R389-1)*IF(Skills!H5&gt;0,Skills!I5/Skills!H5,1)+IF(Skills!H5&gt;0,MIN(Skills!I5,MAX(0,MAX(0,Inputs!$B$43-B422)-((R389-1)*IF(Inputs!$B$38="pvp",15,MAX(0.1,Skills!E5-IF(Skills!F5=TRUE,Inputs!$B$32,0))))))/Skills!H5,1)))/Inputs!$B$43),G389*Q389))*IF(Inputs!$B$38="pvp",1,(1+(Inputs!$B$21+Skills!Q5)/100)*(MIN(Skills!R5,Inputs!$B$37))),0)</f>
        <v/>
      </c>
    </row>
    <row r="390">
      <c r="A390">
        <f>Skills!A6</f>
        <v/>
      </c>
      <c r="B390">
        <f>Skills!B6</f>
        <v/>
      </c>
      <c r="C390">
        <f>TRUE</f>
        <v/>
      </c>
      <c r="D390">
        <f>IF(Skills!C6=1,60+Inputs!$B$25+Inputs!$B$29,IF(Skills!C6=2,90+Inputs!$B$26+Inputs!$B$29,IF(Skills!C6=3,120+Inputs!$B$27+Inputs!$B$29,MAX(0,(Inputs!$B$3-100)*3)+Inputs!$B$28+Inputs!$B$29)))</f>
        <v/>
      </c>
      <c r="E390">
        <f>INDEX(FactorTable!$B$2:$Y$301, MATCH(ROUND(MIN(300,MAX(1,D390)),0), FactorTable!$A$2:$A$301,0), Skills!M6+1)</f>
        <v/>
      </c>
      <c r="F390">
        <f>IF(Skills!N6=TRUE,(Skills!L6/10)*(E390/1000),Skills!L6/10)+Skills!O6</f>
        <v/>
      </c>
      <c r="G390">
        <f>Calc!G6</f>
        <v/>
      </c>
      <c r="H390">
        <f>Calc!H6</f>
        <v/>
      </c>
      <c r="I390">
        <f>IF(Skills!X6&lt;&gt;"",1+(Skills!X6/10)*(Z387/1000)/100,1)</f>
        <v/>
      </c>
      <c r="J390" t="inlineStr"/>
      <c r="K390" t="inlineStr"/>
      <c r="L390" t="inlineStr"/>
      <c r="M390" t="inlineStr"/>
      <c r="N390" t="inlineStr"/>
      <c r="O390">
        <f>(1-Summary!$B$56)*S390+Summary!$B$56*U390</f>
        <v/>
      </c>
      <c r="P390">
        <f>IF(B425=0,0,O390/B425)</f>
        <v/>
      </c>
      <c r="Q390">
        <f>IFERROR(1/IF(Inputs!$B$38="pvp",15,MAX(0.1,Skills!E6-IF(Skills!F6=TRUE,Inputs!$B$32,0))),0)</f>
        <v/>
      </c>
      <c r="R390">
        <f>IF(AND(Inputs!$B$38&lt;&gt;"pvp",Inputs!$B$43&gt;0),IF(Inputs!$B$43&lt;=0,0,(INT(Inputs!$B$43/IF(Inputs!$B$38="pvp",15,MAX(0.1,Skills!E6-IF(Skills!F6=TRUE,Inputs!$B$32,0))))+1)),0)</f>
        <v/>
      </c>
      <c r="S390" t="n">
        <v>0</v>
      </c>
      <c r="U390" t="n">
        <v>0</v>
      </c>
    </row>
    <row r="391">
      <c r="A391">
        <f>Skills!A7</f>
        <v/>
      </c>
      <c r="B391">
        <f>Skills!B7</f>
        <v/>
      </c>
      <c r="C391">
        <f>TRUE</f>
        <v/>
      </c>
      <c r="D391">
        <f>IF(Skills!C7=1,60+Inputs!$B$25+Inputs!$B$29,IF(Skills!C7=2,90+Inputs!$B$26+Inputs!$B$29,IF(Skills!C7=3,120+Inputs!$B$27+Inputs!$B$29,MAX(0,(Inputs!$B$3-100)*3)+Inputs!$B$28+Inputs!$B$29)))</f>
        <v/>
      </c>
      <c r="E391">
        <f>INDEX(FactorTable!$B$2:$Y$301, MATCH(ROUND(MIN(300,MAX(1,D391)),0), FactorTable!$A$2:$A$301,0), Skills!M7+1)</f>
        <v/>
      </c>
      <c r="F391">
        <f>IF(Skills!N7=TRUE,(Skills!L7/10)*(E391/1000),Skills!L7/10)+Skills!O7</f>
        <v/>
      </c>
      <c r="G391">
        <f>Calc!G7</f>
        <v/>
      </c>
      <c r="H391">
        <f>Calc!H7</f>
        <v/>
      </c>
      <c r="I391">
        <f>IF(Skills!X7&lt;&gt;"",1+(Skills!X7/10)*(Z387/1000)/100,1)</f>
        <v/>
      </c>
      <c r="J391">
        <f>((Inputs!$B$6*(1+Inputs!$B$7/100))+(((Inputs!$B$12*(1+Inputs!$B$13/100))-(Inputs!$B$12*(1+Inputs!$B$13/100)))+0.25*(Inputs!$B$14-Inputs!$B$14))*(1+Inputs!$B$7/100))*(F391/100)</f>
        <v/>
      </c>
      <c r="K391">
        <f>J391*(1+((Inputs!$B$12*(1+Inputs!$B$13/100))*0.01+Inputs!$B$14*0.0025)/100)*(1+Inputs!$B$15/100)*(1+Inputs!$B$16/100)*(5000/(6000+Inputs!$B$42*(1-Inputs!$B$19/100)))*(1+Inputs!$B$24/100)*(1+F407/100)*(1+IF(Inputs!$B$3&gt;=120,F410,0)/100)^5*(1+(IF(Skills!A7="BASIC_ATTACK",Inputs!$B$17,Inputs!$B$18+IF(Inputs!$B$3&gt;=125,F411*5,0)))/100)*(B414*B415*B416*I391)</f>
        <v/>
      </c>
      <c r="L391">
        <f>K391*(MIN(Inputs!$B$22+(F406-Calc!F22),(Inputs!$B$23+1))/100+(Inputs!$B$23+1)/100)/2</f>
        <v/>
      </c>
      <c r="M391">
        <f>L391*(1+(Inputs!$B$10+(F405-Calc!F21))/100)</f>
        <v/>
      </c>
      <c r="N391">
        <f>L391*(1-MIN(Inputs!$B$9+(F404-Calc!F20),100)/100)+M391*(MIN(Inputs!$B$9+(F404-Calc!F20),100)/100)</f>
        <v/>
      </c>
      <c r="O391">
        <f>(1-Summary!$B$56)*S391+Summary!$B$56*U391</f>
        <v/>
      </c>
      <c r="P391">
        <f>IF(B425=0,0,O391/B425)</f>
        <v/>
      </c>
      <c r="Q391">
        <f>IFERROR(1/IF(Inputs!$B$38="pvp",15,MAX(0.1,Skills!E7-IF(Skills!F7=TRUE,Inputs!$B$32,0))),0)</f>
        <v/>
      </c>
      <c r="R391">
        <f>IF(AND(Inputs!$B$38&lt;&gt;"pvp",Inputs!$B$43&gt;0),IF(MAX(0,Inputs!$B$43-B422)&lt;=0,0,(INT(MAX(0,Inputs!$B$43-B422)/IF(Inputs!$B$38="pvp",15,MAX(0.1,Skills!E7-IF(Skills!F7=TRUE,Inputs!$B$32,0))))+1)),0)</f>
        <v/>
      </c>
      <c r="S391">
        <f>IF(C391,(H391*N391*IF(AND(Inputs!$B$38&lt;&gt;"pvp",Inputs!$B$43&gt;0),((Skills!G7*((R391-1)*IF(Skills!H7&gt;0,Skills!I7/Skills!H7,1)+IF(Skills!H7&gt;0,MIN(Skills!I7,MAX(0,MAX(0,Inputs!$B$43-B422)-((R391-1)*IF(Inputs!$B$38="pvp",15,MAX(0.1,Skills!E7-IF(Skills!F7=TRUE,Inputs!$B$32,0))))))/Skills!H7,1)))/Inputs!$B$43),G391*Q391))*IF(Inputs!$B$38="pvp",1,1+(Inputs!$B$20+Skills!P7)/100),0)</f>
        <v/>
      </c>
      <c r="U391">
        <f>IF(C391,(H391*N391*IF(AND(Inputs!$B$38&lt;&gt;"pvp",Inputs!$B$43&gt;0),((Skills!G7*((R391-1)*IF(Skills!H7&gt;0,Skills!I7/Skills!H7,1)+IF(Skills!H7&gt;0,MIN(Skills!I7,MAX(0,MAX(0,Inputs!$B$43-B422)-((R391-1)*IF(Inputs!$B$38="pvp",15,MAX(0.1,Skills!E7-IF(Skills!F7=TRUE,Inputs!$B$32,0))))))/Skills!H7,1)))/Inputs!$B$43),G391*Q391))*IF(Inputs!$B$38="pvp",1,(1+(Inputs!$B$21+Skills!Q7)/100)*(MIN(Skills!R7,Inputs!$B$37))),0)</f>
        <v/>
      </c>
    </row>
    <row r="392">
      <c r="A392">
        <f>Skills!A8</f>
        <v/>
      </c>
      <c r="B392">
        <f>Skills!B8</f>
        <v/>
      </c>
      <c r="C392">
        <f>TRUE</f>
        <v/>
      </c>
      <c r="D392">
        <f>IF(Skills!C8=1,60+Inputs!$B$25+Inputs!$B$29,IF(Skills!C8=2,90+Inputs!$B$26+Inputs!$B$29,IF(Skills!C8=3,120+Inputs!$B$27+Inputs!$B$29,MAX(0,(Inputs!$B$3-100)*3)+Inputs!$B$28+Inputs!$B$29)))</f>
        <v/>
      </c>
      <c r="E392">
        <f>INDEX(FactorTable!$B$2:$Y$301, MATCH(ROUND(MIN(300,MAX(1,D392)),0), FactorTable!$A$2:$A$301,0), Skills!M8+1)</f>
        <v/>
      </c>
      <c r="F392">
        <f>IF(Skills!N8=TRUE,(Skills!L8/10)*(E392/1000),Skills!L8/10)+Skills!O8</f>
        <v/>
      </c>
      <c r="G392">
        <f>Calc!G8</f>
        <v/>
      </c>
      <c r="H392">
        <f>Calc!H8</f>
        <v/>
      </c>
      <c r="I392">
        <f>IF(Skills!X8&lt;&gt;"",1+(Skills!X8/10)*(Z387/1000)/100,1)</f>
        <v/>
      </c>
      <c r="J392">
        <f>((Inputs!$B$6*(1+Inputs!$B$7/100))+(((Inputs!$B$12*(1+Inputs!$B$13/100))-(Inputs!$B$12*(1+Inputs!$B$13/100)))+0.25*(Inputs!$B$14-Inputs!$B$14))*(1+Inputs!$B$7/100))*(F392/100)</f>
        <v/>
      </c>
      <c r="K392">
        <f>J392*(1+((Inputs!$B$12*(1+Inputs!$B$13/100))*0.01+Inputs!$B$14*0.0025)/100)*(1+Inputs!$B$15/100)*(1+Inputs!$B$16/100)*(5000/(6000+Inputs!$B$42*(1-Inputs!$B$19/100)))*(1+Inputs!$B$24/100)*(1+F407/100)*(1+IF(Inputs!$B$3&gt;=120,F410,0)/100)^5*(1+(IF(Skills!A8="BASIC_ATTACK",Inputs!$B$17,Inputs!$B$18+IF(Inputs!$B$3&gt;=125,F411*5,0)))/100)*(B414*B415*B416*I392)</f>
        <v/>
      </c>
      <c r="L392">
        <f>K392*(MIN(Inputs!$B$22+(F406-Calc!F22),(Inputs!$B$23+1))/100+(Inputs!$B$23+1)/100)/2</f>
        <v/>
      </c>
      <c r="M392">
        <f>L392*(1+(Inputs!$B$10+(F405-Calc!F21))/100)</f>
        <v/>
      </c>
      <c r="N392">
        <f>L392*(1-MIN(Inputs!$B$9+(F404-Calc!F20),100)/100)+M392*(MIN(Inputs!$B$9+(F404-Calc!F20),100)/100)</f>
        <v/>
      </c>
      <c r="O392">
        <f>(1-Summary!$B$56)*S392+Summary!$B$56*U392</f>
        <v/>
      </c>
      <c r="P392">
        <f>IF(B425=0,0,O392/B425)</f>
        <v/>
      </c>
      <c r="Q392">
        <f>IFERROR(1/IF(Inputs!$B$38="pvp",15,MAX(0.1,Skills!E8-IF(Skills!F8=TRUE,Inputs!$B$32,0))),0)</f>
        <v/>
      </c>
      <c r="R392">
        <f>IF(AND(Inputs!$B$38&lt;&gt;"pvp",Inputs!$B$43&gt;0),IF(MAX(0,Inputs!$B$43-B422)&lt;=0,0,(INT(MAX(0,Inputs!$B$43-B422)/IF(Inputs!$B$38="pvp",15,MAX(0.1,Skills!E8-IF(Skills!F8=TRUE,Inputs!$B$32,0))))+1)),0)</f>
        <v/>
      </c>
      <c r="S392">
        <f>IF(C392,(H392*N392*IF(AND(Inputs!$B$38&lt;&gt;"pvp",Inputs!$B$43&gt;0),((Skills!G8*((R392-1)*IF(Skills!H8&gt;0,Skills!I8/Skills!H8,1)+IF(Skills!H8&gt;0,MIN(Skills!I8,MAX(0,MAX(0,Inputs!$B$43-B422)-((R392-1)*IF(Inputs!$B$38="pvp",15,MAX(0.1,Skills!E8-IF(Skills!F8=TRUE,Inputs!$B$32,0))))))/Skills!H8,1)))/Inputs!$B$43),G392*Q392))*IF(Inputs!$B$38="pvp",1,1+(Inputs!$B$20+Skills!P8)/100),0)</f>
        <v/>
      </c>
      <c r="U392">
        <f>IF(C392,(H392*N392*IF(AND(Inputs!$B$38&lt;&gt;"pvp",Inputs!$B$43&gt;0),((Skills!G8*((R392-1)*IF(Skills!H8&gt;0,Skills!I8/Skills!H8,1)+IF(Skills!H8&gt;0,MIN(Skills!I8,MAX(0,MAX(0,Inputs!$B$43-B422)-((R392-1)*IF(Inputs!$B$38="pvp",15,MAX(0.1,Skills!E8-IF(Skills!F8=TRUE,Inputs!$B$32,0))))))/Skills!H8,1)))/Inputs!$B$43),G392*Q392))*IF(Inputs!$B$38="pvp",1,(1+(Inputs!$B$21+Skills!Q8)/100)*(MIN(Skills!R8,Inputs!$B$37))),0)</f>
        <v/>
      </c>
    </row>
    <row r="393">
      <c r="A393">
        <f>Skills!A9</f>
        <v/>
      </c>
      <c r="B393">
        <f>Skills!B9</f>
        <v/>
      </c>
      <c r="C393">
        <f>Inputs!$B$3&gt;=103</f>
        <v/>
      </c>
      <c r="D393">
        <f>IF(Skills!C9=1,60+Inputs!$B$25+Inputs!$B$29,IF(Skills!C9=2,90+Inputs!$B$26+Inputs!$B$29,IF(Skills!C9=3,120+Inputs!$B$27+Inputs!$B$29,MAX(0,(Inputs!$B$3-100)*3)+Inputs!$B$28+Inputs!$B$29)))</f>
        <v/>
      </c>
      <c r="E393">
        <f>INDEX(FactorTable!$B$2:$Y$301, MATCH(ROUND(MIN(300,MAX(1,D393)),0), FactorTable!$A$2:$A$301,0), Skills!M9+1)</f>
        <v/>
      </c>
      <c r="F393">
        <f>IF(Skills!N9=TRUE,(Skills!L9/10)*(E393/1000),Skills!L9/10)+Skills!O9</f>
        <v/>
      </c>
      <c r="G393">
        <f>Calc!G9</f>
        <v/>
      </c>
      <c r="H393">
        <f>Calc!H9</f>
        <v/>
      </c>
      <c r="I393">
        <f>IF(Skills!X9&lt;&gt;"",1+(Skills!X9/10)*(Z387/1000)/100,1)</f>
        <v/>
      </c>
      <c r="J393">
        <f>((Inputs!$B$6*(1+Inputs!$B$7/100))+(((Inputs!$B$12*(1+Inputs!$B$13/100))-(Inputs!$B$12*(1+Inputs!$B$13/100)))+0.25*(Inputs!$B$14-Inputs!$B$14))*(1+Inputs!$B$7/100))*(F393/100)</f>
        <v/>
      </c>
      <c r="K393">
        <f>J393*(1+((Inputs!$B$12*(1+Inputs!$B$13/100))*0.01+Inputs!$B$14*0.0025)/100)*(1+Inputs!$B$15/100)*(1+Inputs!$B$16/100)*(5000/(6000+Inputs!$B$42*(1-Inputs!$B$19/100)))*(1+Inputs!$B$24/100)*(1+F407/100)*(1+IF(Inputs!$B$3&gt;=120,F410,0)/100)^5*(1+(IF(Skills!A9="BASIC_ATTACK",Inputs!$B$17,Inputs!$B$18+IF(Inputs!$B$3&gt;=125,F411*5,0)))/100)*(B414*B415*B416*I393)</f>
        <v/>
      </c>
      <c r="L393">
        <f>K393*(MIN(Inputs!$B$22+(F406-Calc!F22),(Inputs!$B$23+1))/100+(Inputs!$B$23+1)/100)/2</f>
        <v/>
      </c>
      <c r="M393">
        <f>L393*(1+(Inputs!$B$10+(F405-Calc!F21))/100)</f>
        <v/>
      </c>
      <c r="N393">
        <f>L393*(1-MIN(Inputs!$B$9+(F404-Calc!F20),100)/100)+M393*(MIN(Inputs!$B$9+(F404-Calc!F20),100)/100)</f>
        <v/>
      </c>
      <c r="O393">
        <f>(1-Summary!$B$56)*S393+Summary!$B$56*U393</f>
        <v/>
      </c>
      <c r="P393">
        <f>IF(B425=0,0,O393/B425)</f>
        <v/>
      </c>
      <c r="Q393">
        <f>IFERROR(1/IF(Inputs!$B$38="pvp",15,MAX(0.1,Skills!E9-IF(Skills!F7=TRUE,Inputs!$B$32,0))),0)</f>
        <v/>
      </c>
      <c r="R393">
        <f>IF(AND(Inputs!$B$38&lt;&gt;"pvp",Inputs!$B$43&gt;0),IF(MAX(0,Inputs!$B$43-B422)&lt;=0,0,(INT(MAX(0,Inputs!$B$43-B422)/IF(Inputs!$B$38="pvp",15,MAX(0.1,Skills!E9-IF(Skills!F7=TRUE,Inputs!$B$32,0))))+1)),0)</f>
        <v/>
      </c>
      <c r="S393">
        <f>IF(C393,(H393*N393*IF(AND(Inputs!$B$38&lt;&gt;"pvp",Inputs!$B$43&gt;0),((Skills!G9*((R393-1)*IF(Skills!H9&gt;0,Skills!I9/Skills!H9,1)+IF(Skills!H9&gt;0,MIN(Skills!I9,MAX(0,MAX(0,Inputs!$B$43-B422)-((R393-1)*IF(Inputs!$B$38="pvp",15,MAX(0.1,Skills!E9-IF(Skills!F7=TRUE,Inputs!$B$32,0))))))/Skills!H9,1)))/Inputs!$B$43),G393*Q393))*IF(Inputs!$B$38="pvp",1,1+(Inputs!$B$20+Skills!P9)/100),0)</f>
        <v/>
      </c>
      <c r="U393">
        <f>IF(C393,(H393*N393*IF(AND(Inputs!$B$38&lt;&gt;"pvp",Inputs!$B$43&gt;0),((Skills!G9*((R393-1)*IF(Skills!H9&gt;0,Skills!I9/Skills!H9,1)+IF(Skills!H9&gt;0,MIN(Skills!I9,MAX(0,MAX(0,Inputs!$B$43-B422)-((R393-1)*IF(Inputs!$B$38="pvp",15,MAX(0.1,Skills!E9-IF(Skills!F7=TRUE,Inputs!$B$32,0))))))/Skills!H9,1)))/Inputs!$B$43),G393*Q393))*IF(Inputs!$B$38="pvp",1,(1+(Inputs!$B$21+Skills!Q9)/100)*(MIN(Skills!R9,Inputs!$B$37))),0)</f>
        <v/>
      </c>
    </row>
    <row r="394">
      <c r="A394">
        <f>Skills!A10</f>
        <v/>
      </c>
      <c r="B394">
        <f>Skills!B10</f>
        <v/>
      </c>
      <c r="C394">
        <f>TRUE</f>
        <v/>
      </c>
      <c r="D394">
        <f>IF(Skills!C10=1,60+Inputs!$B$25+Inputs!$B$29,IF(Skills!C10=2,90+Inputs!$B$26+Inputs!$B$29,IF(Skills!C10=3,120+Inputs!$B$27+Inputs!$B$29,MAX(0,(Inputs!$B$3-100)*3)+Inputs!$B$28+Inputs!$B$29)))</f>
        <v/>
      </c>
      <c r="E394">
        <f>INDEX(FactorTable!$B$2:$Y$301, MATCH(ROUND(MIN(300,MAX(1,D394)),0), FactorTable!$A$2:$A$301,0), Skills!M10+1)</f>
        <v/>
      </c>
      <c r="F394">
        <f>IF(Skills!N10=TRUE,(Skills!L10/10)*(E394/1000),Skills!L10/10)+Skills!O10</f>
        <v/>
      </c>
      <c r="G394">
        <f>Calc!G10</f>
        <v/>
      </c>
      <c r="H394">
        <f>Calc!H10</f>
        <v/>
      </c>
      <c r="I394">
        <f>IF(Skills!X10&lt;&gt;"",1+(Skills!X10/10)*(Z387/1000)/100,1)</f>
        <v/>
      </c>
      <c r="J394">
        <f>((Inputs!$B$6*(1+Inputs!$B$7/100))+(((Inputs!$B$12*(1+Inputs!$B$13/100))-(Inputs!$B$12*(1+Inputs!$B$13/100)))+0.25*(Inputs!$B$14-Inputs!$B$14))*(1+Inputs!$B$7/100))*(F394/100)</f>
        <v/>
      </c>
      <c r="K394">
        <f>J394*(1+((Inputs!$B$12*(1+Inputs!$B$13/100))*0.01+Inputs!$B$14*0.0025)/100)*(1+Inputs!$B$15/100)*(1+Inputs!$B$16/100)*(5000/(6000+Inputs!$B$42*(1-Inputs!$B$19/100)))*(1+Inputs!$B$24/100)*(1+F407/100)*(1+IF(Inputs!$B$3&gt;=120,F410,0)/100)^5*(1+(IF(Skills!A10="BASIC_ATTACK",Inputs!$B$17,Inputs!$B$18+IF(Inputs!$B$3&gt;=125,F411*5,0)))/100)*(B414*B415*B416*I394)</f>
        <v/>
      </c>
      <c r="L394">
        <f>K394*(MIN(Inputs!$B$22+(F406-Calc!F22),(Inputs!$B$23+1))/100+(Inputs!$B$23+1)/100)/2</f>
        <v/>
      </c>
      <c r="M394">
        <f>L394*(1+(Inputs!$B$10+(F405-Calc!F21))/100)</f>
        <v/>
      </c>
      <c r="N394">
        <f>L394*(1-MIN(Inputs!$B$9+(F404-Calc!F20),100)/100)+M394*(MIN(Inputs!$B$9+(F404-Calc!F20),100)/100)</f>
        <v/>
      </c>
      <c r="O394">
        <f>(1-Summary!$B$56)*S394+Summary!$B$56*U394</f>
        <v/>
      </c>
      <c r="P394">
        <f>IF(B425=0,0,O394/B425)</f>
        <v/>
      </c>
      <c r="Q394">
        <f>IFERROR(1/IF(Inputs!$B$38="pvp",15,MAX(0.1,Skills!E10-IF(Skills!F10=TRUE,Inputs!$B$32,0))),0)</f>
        <v/>
      </c>
      <c r="R394">
        <f>IF(AND(Inputs!$B$38&lt;&gt;"pvp",Inputs!$B$43&gt;0),IF(MAX(0,Inputs!$B$43-B422)&lt;=0,0,(INT(MAX(0,Inputs!$B$43-B422)/IF(Inputs!$B$38="pvp",15,MAX(0.1,Skills!E10-IF(Skills!F10=TRUE,Inputs!$B$32,0))))+1)),0)</f>
        <v/>
      </c>
      <c r="S394">
        <f>IF(C394,(H394*N394*IF(AND(Inputs!$B$38&lt;&gt;"pvp",Inputs!$B$43&gt;0),((Skills!G10*((R394-1)*IF(Skills!H10&gt;0,Skills!I10/Skills!H10,1)+IF(Skills!H10&gt;0,MIN(Skills!I10,MAX(0,MAX(0,Inputs!$B$43-B422)-((R394-1)*IF(Inputs!$B$38="pvp",15,MAX(0.1,Skills!E10-IF(Skills!F10=TRUE,Inputs!$B$32,0))))))/Skills!H10,1)))/Inputs!$B$43),G394*Q394))*IF(Inputs!$B$38="pvp",1,1+(Inputs!$B$20+Skills!P10)/100),0)</f>
        <v/>
      </c>
      <c r="U394">
        <f>IF(C394,(H394*N394*IF(AND(Inputs!$B$38&lt;&gt;"pvp",Inputs!$B$43&gt;0),((Skills!G10*((R394-1)*IF(Skills!H10&gt;0,Skills!I10/Skills!H10,1)+IF(Skills!H10&gt;0,MIN(Skills!I10,MAX(0,MAX(0,Inputs!$B$43-B422)-((R394-1)*IF(Inputs!$B$38="pvp",15,MAX(0.1,Skills!E10-IF(Skills!F10=TRUE,Inputs!$B$32,0))))))/Skills!H10,1)))/Inputs!$B$43),G394*Q394))*IF(Inputs!$B$38="pvp",1,(1+(Inputs!$B$21+Skills!Q10)/100)*(MIN(Skills!R10,Inputs!$B$37))),0)</f>
        <v/>
      </c>
    </row>
    <row r="395">
      <c r="A395">
        <f>Skills!A11</f>
        <v/>
      </c>
      <c r="B395">
        <f>Skills!B11</f>
        <v/>
      </c>
      <c r="C395">
        <f>TRUE</f>
        <v/>
      </c>
      <c r="D395">
        <f>IF(Skills!C11=1,60+Inputs!$B$25+Inputs!$B$29,IF(Skills!C11=2,90+Inputs!$B$26+Inputs!$B$29,IF(Skills!C11=3,120+Inputs!$B$27+Inputs!$B$29,MAX(0,(Inputs!$B$3-100)*3)+Inputs!$B$28+Inputs!$B$29)))</f>
        <v/>
      </c>
      <c r="E395">
        <f>INDEX(FactorTable!$B$2:$Y$301, MATCH(ROUND(MIN(300,MAX(1,D395)),0), FactorTable!$A$2:$A$301,0), Skills!M11+1)</f>
        <v/>
      </c>
      <c r="F395">
        <f>IF(Skills!N11=TRUE,(Skills!L11/10)*(E395/1000),Skills!L11/10)+Skills!O11</f>
        <v/>
      </c>
      <c r="G395">
        <f>Calc!G11</f>
        <v/>
      </c>
      <c r="H395">
        <f>Calc!H11</f>
        <v/>
      </c>
      <c r="I395">
        <f>IF(Skills!X11&lt;&gt;"",1+(Skills!X11/10)*(Z387/1000)/100,1)</f>
        <v/>
      </c>
      <c r="J395" t="inlineStr"/>
      <c r="K395" t="inlineStr"/>
      <c r="L395" t="inlineStr"/>
      <c r="M395" t="inlineStr"/>
      <c r="N395" t="inlineStr"/>
      <c r="O395">
        <f>(1-Summary!$B$56)*S395+Summary!$B$56*U395</f>
        <v/>
      </c>
      <c r="P395">
        <f>IF(B425=0,0,O395/B425)</f>
        <v/>
      </c>
      <c r="Q395">
        <f>IFERROR(1/IF(Inputs!$B$38="pvp",15,MAX(0.1,Skills!E11-IF(Skills!F11=TRUE,Inputs!$B$32,0))),0)</f>
        <v/>
      </c>
      <c r="R395" t="n">
        <v>0</v>
      </c>
      <c r="S395" t="n">
        <v>0</v>
      </c>
      <c r="U395" t="n">
        <v>0</v>
      </c>
    </row>
    <row r="396">
      <c r="A396">
        <f>Skills!A12</f>
        <v/>
      </c>
      <c r="B396">
        <f>Skills!B12</f>
        <v/>
      </c>
      <c r="C396">
        <f>TRUE</f>
        <v/>
      </c>
      <c r="D396">
        <f>IF(Skills!C12=1,60+Inputs!$B$25+Inputs!$B$29,IF(Skills!C12=2,90+Inputs!$B$26+Inputs!$B$29,IF(Skills!C12=3,120+Inputs!$B$27+Inputs!$B$29,MAX(0,(Inputs!$B$3-100)*3)+Inputs!$B$28+Inputs!$B$29)))</f>
        <v/>
      </c>
      <c r="E396">
        <f>INDEX(FactorTable!$B$2:$Y$301, MATCH(ROUND(MIN(300,MAX(1,D396)),0), FactorTable!$A$2:$A$301,0), Skills!M12+1)</f>
        <v/>
      </c>
      <c r="F396">
        <f>IF(Skills!N12=TRUE,(Skills!L12/10)*(E396/1000),Skills!L12/10)+Skills!O12</f>
        <v/>
      </c>
      <c r="G396">
        <f>Calc!G12</f>
        <v/>
      </c>
      <c r="H396">
        <f>Calc!H12</f>
        <v/>
      </c>
      <c r="I396">
        <f>IF(Skills!X12&lt;&gt;"",1+(Skills!X12/10)*(Z387/1000)/100,1)</f>
        <v/>
      </c>
      <c r="J396" t="inlineStr"/>
      <c r="K396" t="inlineStr"/>
      <c r="L396" t="inlineStr"/>
      <c r="M396" t="inlineStr"/>
      <c r="N396" t="inlineStr"/>
      <c r="O396">
        <f>(1-Summary!$B$56)*S396+Summary!$B$56*U396</f>
        <v/>
      </c>
      <c r="P396">
        <f>IF(B425=0,0,O396/B425)</f>
        <v/>
      </c>
      <c r="Q396">
        <f>IFERROR(1/IF(Inputs!$B$38="pvp",15,MAX(0.1,Skills!E12-IF(Skills!F12=TRUE,Inputs!$B$32,0))),0)</f>
        <v/>
      </c>
      <c r="R396" t="n">
        <v>0</v>
      </c>
      <c r="S396" t="n">
        <v>0</v>
      </c>
      <c r="U396" t="n">
        <v>0</v>
      </c>
    </row>
    <row r="397">
      <c r="A397">
        <f>Skills!A13</f>
        <v/>
      </c>
      <c r="B397">
        <f>Skills!B13</f>
        <v/>
      </c>
      <c r="C397">
        <f>Inputs!$B$3&gt;=105</f>
        <v/>
      </c>
      <c r="D397">
        <f>IF(Skills!C13=1,60+Inputs!$B$25+Inputs!$B$29,IF(Skills!C13=2,90+Inputs!$B$26+Inputs!$B$29,IF(Skills!C13=3,120+Inputs!$B$27+Inputs!$B$29,MAX(0,(Inputs!$B$3-100)*3)+Inputs!$B$28+Inputs!$B$29)))</f>
        <v/>
      </c>
      <c r="E397">
        <f>INDEX(FactorTable!$B$2:$Y$301, MATCH(ROUND(MIN(300,MAX(1,D397)),0), FactorTable!$A$2:$A$301,0), Skills!M13+1)</f>
        <v/>
      </c>
      <c r="F397">
        <f>IF(Skills!N13=TRUE,(Skills!L13/10)*(E397/1000),Skills!L13/10)+Skills!O13</f>
        <v/>
      </c>
      <c r="G397">
        <f>Calc!G13</f>
        <v/>
      </c>
      <c r="H397">
        <f>Calc!H13</f>
        <v/>
      </c>
      <c r="I397">
        <f>IF(Skills!X13&lt;&gt;"",1+(Skills!X13/10)*(Z387/1000)/100,1)</f>
        <v/>
      </c>
      <c r="J397">
        <f>((Inputs!$B$6*(1+Inputs!$B$7/100))+(((Inputs!$B$12*(1+Inputs!$B$13/100))-(Inputs!$B$12*(1+Inputs!$B$13/100)))+0.25*(Inputs!$B$14-Inputs!$B$14))*(1+Inputs!$B$7/100))*(F397/100)</f>
        <v/>
      </c>
      <c r="K397">
        <f>J397*(1+((Inputs!$B$12*(1+Inputs!$B$13/100))*0.01+Inputs!$B$14*0.0025)/100)*(1+Inputs!$B$15/100)*(1+Inputs!$B$16/100)*(5000/(6000+Inputs!$B$42*(1-Inputs!$B$19/100)))*(1+Inputs!$B$24/100)*(1+F407/100)*(1+IF(Inputs!$B$3&gt;=120,F410,0)/100)^5*(1+(IF(Skills!A13="BASIC_ATTACK",Inputs!$B$17,Inputs!$B$18+IF(Inputs!$B$3&gt;=125,F411*5,0)))/100)*(B414*B415*B416*I397)</f>
        <v/>
      </c>
      <c r="L397">
        <f>K397*(MIN(Inputs!$B$22+(F406-Calc!F22),(Inputs!$B$23+1))/100+(Inputs!$B$23+1)/100)/2</f>
        <v/>
      </c>
      <c r="M397">
        <f>L397*(1+(Inputs!$B$10+(F405-Calc!F21))/100)</f>
        <v/>
      </c>
      <c r="N397">
        <f>L397*(1-MIN(Inputs!$B$9+(F404-Calc!F20),100)/100)+M397*(MIN(Inputs!$B$9+(F404-Calc!F20),100)/100)</f>
        <v/>
      </c>
      <c r="O397">
        <f>(1-Summary!$B$56)*S397+Summary!$B$56*U397</f>
        <v/>
      </c>
      <c r="P397">
        <f>IF(B425=0,0,O397/B425)</f>
        <v/>
      </c>
      <c r="Q397">
        <f>IFERROR(1/IF(Inputs!$B$38="pvp",15,MAX(0.1,Skills!E13-IF(Skills!F13=TRUE,Inputs!$B$32,0))),0)</f>
        <v/>
      </c>
      <c r="R397">
        <f>IF(AND(Inputs!$B$38&lt;&gt;"pvp",Inputs!$B$43&gt;0),IF(MAX(0,Inputs!$B$43-B422)&lt;=0,0,(INT(MAX(0,Inputs!$B$43-B422)/IF(Inputs!$B$38="pvp",15,MAX(0.1,Skills!E13-IF(Skills!F13=TRUE,Inputs!$B$32,0))))+1)),0)</f>
        <v/>
      </c>
      <c r="S397">
        <f>IF(C397,(H397*N397*IF(AND(Inputs!$B$38&lt;&gt;"pvp",Inputs!$B$43&gt;0),((Skills!G13*((R397-1)*IF(Skills!H13&gt;0,Skills!I13/Skills!H13,1)+IF(Skills!H13&gt;0,MIN(Skills!I13,MAX(0,MAX(0,Inputs!$B$43-B422)-((R397-1)*IF(Inputs!$B$38="pvp",15,MAX(0.1,Skills!E13-IF(Skills!F13=TRUE,Inputs!$B$32,0))))))/Skills!H13,1)))/Inputs!$B$43),G397*Q397))*IF(Inputs!$B$38="pvp",1,1+(Inputs!$B$20+Skills!P13)/100),0)</f>
        <v/>
      </c>
      <c r="U397">
        <f>IF(C397,(H397*N397*IF(AND(Inputs!$B$38&lt;&gt;"pvp",Inputs!$B$43&gt;0),((Skills!G13*((R397-1)*IF(Skills!H13&gt;0,Skills!I13/Skills!H13,1)+IF(Skills!H13&gt;0,MIN(Skills!I13,MAX(0,MAX(0,Inputs!$B$43-B422)-((R397-1)*IF(Inputs!$B$38="pvp",15,MAX(0.1,Skills!E13-IF(Skills!F13=TRUE,Inputs!$B$32,0))))))/Skills!H13,1)))/Inputs!$B$43),G397*Q397))*IF(Inputs!$B$38="pvp",1,(1+(Inputs!$B$21+Skills!Q13)/100)*(MIN(Skills!R13,Inputs!$B$37))),0)</f>
        <v/>
      </c>
    </row>
    <row r="398">
      <c r="A398">
        <f>Skills!A14</f>
        <v/>
      </c>
      <c r="B398">
        <f>Skills!B14</f>
        <v/>
      </c>
      <c r="C398">
        <f>Inputs!$B$3&gt;=113</f>
        <v/>
      </c>
      <c r="D398">
        <f>IF(Skills!C14=1,60+Inputs!$B$25+Inputs!$B$29,IF(Skills!C14=2,90+Inputs!$B$26+Inputs!$B$29,IF(Skills!C14=3,120+Inputs!$B$27+Inputs!$B$29,MAX(0,(Inputs!$B$3-100)*3)+Inputs!$B$28+Inputs!$B$29)))</f>
        <v/>
      </c>
      <c r="E398">
        <f>INDEX(FactorTable!$B$2:$Y$301, MATCH(ROUND(MIN(300,MAX(1,D398)),0), FactorTable!$A$2:$A$301,0), Skills!M14+1)</f>
        <v/>
      </c>
      <c r="F398">
        <f>IF(Skills!N14=TRUE,(Skills!L14/10)*(E398/1000),Skills!L14/10)+Skills!O14</f>
        <v/>
      </c>
      <c r="G398">
        <f>Calc!G14</f>
        <v/>
      </c>
      <c r="H398">
        <f>Calc!H14</f>
        <v/>
      </c>
      <c r="I398">
        <f>IF(Skills!X14&lt;&gt;"",1+(Skills!X14/10)*(Z387/1000)/100,1)</f>
        <v/>
      </c>
      <c r="J398">
        <f>((Inputs!$B$6*(1+Inputs!$B$7/100))+(((Inputs!$B$12*(1+Inputs!$B$13/100))-(Inputs!$B$12*(1+Inputs!$B$13/100)))+0.25*(Inputs!$B$14-Inputs!$B$14))*(1+Inputs!$B$7/100))*(F398/100)</f>
        <v/>
      </c>
      <c r="K398">
        <f>J398*(1+((Inputs!$B$12*(1+Inputs!$B$13/100))*0.01+Inputs!$B$14*0.0025)/100)*(1+Inputs!$B$15/100)*(1+Inputs!$B$16/100)*(5000/(6000+Inputs!$B$42*(1-Inputs!$B$19/100)))*(1+Inputs!$B$24/100)*(1+F407/100)*(1+IF(Inputs!$B$3&gt;=120,F410,0)/100)^5*(1+(IF(Skills!A14="BASIC_ATTACK",Inputs!$B$17,Inputs!$B$18+IF(Inputs!$B$3&gt;=125,F411*5,0)))/100)*(B414*B415*B416*I398)</f>
        <v/>
      </c>
      <c r="L398">
        <f>K398*(MIN(Inputs!$B$22+(F406-Calc!F22),(Inputs!$B$23+1))/100+(Inputs!$B$23+1)/100)/2</f>
        <v/>
      </c>
      <c r="M398">
        <f>L398*(1+(Inputs!$B$10+(F405-Calc!F21))/100)</f>
        <v/>
      </c>
      <c r="N398">
        <f>L398*(1-MIN(Inputs!$B$9+(F404-Calc!F20),100)/100)+M398*(MIN(Inputs!$B$9+(F404-Calc!F20),100)/100)</f>
        <v/>
      </c>
      <c r="O398">
        <f>(1-Summary!$B$56)*S398+Summary!$B$56*U398</f>
        <v/>
      </c>
      <c r="P398">
        <f>IF(B425=0,0,O398/B425)</f>
        <v/>
      </c>
      <c r="Q398">
        <f>IFERROR(1/IF(Inputs!$B$38="pvp",15,MAX(0.1,Skills!E14-IF(Skills!F14=TRUE,Inputs!$B$32,0))),0)</f>
        <v/>
      </c>
      <c r="R398" t="n">
        <v>0</v>
      </c>
      <c r="S398">
        <f>IF(C398,((H398*B421)/(1+Skills!H14*H398*B421)*N398)*IF(Inputs!$B$38="pvp",1,1+(Inputs!$B$20+Skills!P14)/100),0)</f>
        <v/>
      </c>
      <c r="U398">
        <f>IF(C398,((H398*B421)/(1+Skills!H14*H398*B421)*N398)*IF(Inputs!$B$38="pvp",1,(1+(Inputs!$B$21+Skills!Q14)/100)*(MIN(Skills!R14,Inputs!$B$37))),0)</f>
        <v/>
      </c>
    </row>
    <row r="399">
      <c r="A399">
        <f>Skills!A15</f>
        <v/>
      </c>
      <c r="B399">
        <f>Skills!B15</f>
        <v/>
      </c>
      <c r="C399">
        <f>Inputs!$B$3&gt;=107</f>
        <v/>
      </c>
      <c r="D399">
        <f>IF(Skills!C15=1,60+Inputs!$B$25+Inputs!$B$29,IF(Skills!C15=2,90+Inputs!$B$26+Inputs!$B$29,IF(Skills!C15=3,120+Inputs!$B$27+Inputs!$B$29,MAX(0,(Inputs!$B$3-100)*3)+Inputs!$B$28+Inputs!$B$29)))</f>
        <v/>
      </c>
      <c r="E399">
        <f>INDEX(FactorTable!$B$2:$Y$301, MATCH(ROUND(MIN(300,MAX(1,D399)),0), FactorTable!$A$2:$A$301,0), Skills!M15+1)</f>
        <v/>
      </c>
      <c r="F399">
        <f>IF(Skills!N15=TRUE,(Skills!L15/10)*(E399/1000),Skills!L15/10)+Skills!O15</f>
        <v/>
      </c>
      <c r="G399">
        <f>Calc!G15</f>
        <v/>
      </c>
      <c r="H399">
        <f>Calc!H15</f>
        <v/>
      </c>
      <c r="I399">
        <f>IF(Skills!X15&lt;&gt;"",1+(Skills!X15/10)*(Z387/1000)/100,1)</f>
        <v/>
      </c>
      <c r="J399">
        <f>((Inputs!$B$6*(1+Inputs!$B$7/100))+(((Inputs!$B$12*(1+Inputs!$B$13/100))-(Inputs!$B$12*(1+Inputs!$B$13/100)))+0.25*(Inputs!$B$14-Inputs!$B$14))*(1+Inputs!$B$7/100))*(F399/100)</f>
        <v/>
      </c>
      <c r="K399">
        <f>J399*(1+((Inputs!$B$12*(1+Inputs!$B$13/100))*0.01+Inputs!$B$14*0.0025)/100)*(1+Inputs!$B$15/100)*(1+Inputs!$B$16/100)*(5000/(6000+Inputs!$B$42*(1-Inputs!$B$19/100)))*(1+Inputs!$B$24/100)*(1+F407/100)*(1+IF(Inputs!$B$3&gt;=120,F410,0)/100)^5*(1+(IF(Skills!A15="BASIC_ATTACK",Inputs!$B$17,Inputs!$B$18+IF(Inputs!$B$3&gt;=125,F411*5,0)))/100)*(B414*B415*B416*I399)</f>
        <v/>
      </c>
      <c r="L399">
        <f>K399*(MIN(Inputs!$B$22+(F406-Calc!F22),(Inputs!$B$23+1))/100+(Inputs!$B$23+1)/100)/2</f>
        <v/>
      </c>
      <c r="M399">
        <f>L399*(1+(Inputs!$B$10+(F405-Calc!F21))/100)</f>
        <v/>
      </c>
      <c r="N399">
        <f>L399*(1-MIN(Inputs!$B$9+(F404-Calc!F20),100)/100)+M399*(MIN(Inputs!$B$9+(F404-Calc!F20),100)/100)</f>
        <v/>
      </c>
      <c r="O399">
        <f>(1-Summary!$B$56)*S399+Summary!$B$56*U399</f>
        <v/>
      </c>
      <c r="P399">
        <f>IF(B425=0,0,O399/B425)</f>
        <v/>
      </c>
      <c r="Q399">
        <f>IFERROR(1/IF(Inputs!$B$38="pvp",15,MAX(0.1,Skills!E15-IF(Skills!F15=TRUE,Inputs!$B$32,0))),0)</f>
        <v/>
      </c>
      <c r="R399">
        <f>IF(AND(Inputs!$B$38&lt;&gt;"pvp",Inputs!$B$43&gt;0),IF(MAX(0,Inputs!$B$43-B422)&lt;=0,0,(INT(MAX(0,Inputs!$B$43-B422)/IF(Inputs!$B$38="pvp",15,MAX(0.1,Skills!E15-IF(Skills!F15=TRUE,Inputs!$B$32,0))))+1)),0)</f>
        <v/>
      </c>
      <c r="S399">
        <f>IF(C399,(H399*N399*IF(AND(Inputs!$B$38&lt;&gt;"pvp",Inputs!$B$43&gt;0),((Skills!G15*((R399-1)*IF(Skills!H15&gt;0,Skills!I15/Skills!H15,1)+IF(Skills!H15&gt;0,MIN(Skills!I15,MAX(0,MAX(0,Inputs!$B$43-B422)-((R399-1)*IF(Inputs!$B$38="pvp",15,MAX(0.1,Skills!E15-IF(Skills!F15=TRUE,Inputs!$B$32,0))))))/Skills!H15,1)))/Inputs!$B$43),G399*Q399))*IF(Inputs!$B$38="pvp",1,1+(Inputs!$B$20+Skills!P15)/100),0)</f>
        <v/>
      </c>
      <c r="U399">
        <f>IF(C399,(H399*N399*IF(AND(Inputs!$B$38&lt;&gt;"pvp",Inputs!$B$43&gt;0),((Skills!G15*((R399-1)*IF(Skills!H15&gt;0,Skills!I15/Skills!H15,1)+IF(Skills!H15&gt;0,MIN(Skills!I15,MAX(0,MAX(0,Inputs!$B$43-B422)-((R399-1)*IF(Inputs!$B$38="pvp",15,MAX(0.1,Skills!E15-IF(Skills!F15=TRUE,Inputs!$B$32,0))))))/Skills!H15,1)))/Inputs!$B$43),G399*Q399))*IF(Inputs!$B$38="pvp",1,(1+(Inputs!$B$21+Skills!Q15)/100)*(MIN(Skills!R15,Inputs!$B$37))),0)</f>
        <v/>
      </c>
    </row>
    <row r="400">
      <c r="A400">
        <f>Skills!A16</f>
        <v/>
      </c>
      <c r="B400">
        <f>Skills!B16</f>
        <v/>
      </c>
      <c r="C400">
        <f>Inputs!$B$3&gt;=107</f>
        <v/>
      </c>
      <c r="D400">
        <f>IF(Skills!C16=1,60+Inputs!$B$25+Inputs!$B$29,IF(Skills!C16=2,90+Inputs!$B$26+Inputs!$B$29,IF(Skills!C16=3,120+Inputs!$B$27+Inputs!$B$29,MAX(0,(Inputs!$B$3-100)*3)+Inputs!$B$28+Inputs!$B$29)))</f>
        <v/>
      </c>
      <c r="E400">
        <f>INDEX(FactorTable!$B$2:$Y$301, MATCH(ROUND(MIN(300,MAX(1,D400)),0), FactorTable!$A$2:$A$301,0), Skills!M16+1)</f>
        <v/>
      </c>
      <c r="F400">
        <f>IF(Skills!N16=TRUE,(Skills!L16/10)*(E400/1000),Skills!L16/10)+Skills!O16</f>
        <v/>
      </c>
      <c r="G400">
        <f>Calc!G16</f>
        <v/>
      </c>
      <c r="H400">
        <f>Calc!H16</f>
        <v/>
      </c>
      <c r="I400">
        <f>IF(Skills!X16&lt;&gt;"",1+(Skills!X16/10)*(Z387/1000)/100,1)</f>
        <v/>
      </c>
      <c r="J400">
        <f>((Inputs!$B$6*(1+Inputs!$B$7/100))+(((Inputs!$B$12*(1+Inputs!$B$13/100))-(Inputs!$B$12*(1+Inputs!$B$13/100)))+0.25*(Inputs!$B$14-Inputs!$B$14))*(1+Inputs!$B$7/100))*(F400/100)</f>
        <v/>
      </c>
      <c r="K400">
        <f>J400*(1+((Inputs!$B$12*(1+Inputs!$B$13/100))*0.01+Inputs!$B$14*0.0025)/100)*(1+Inputs!$B$15/100)*(1+Inputs!$B$16/100)*(5000/(6000+Inputs!$B$42*(1-Inputs!$B$19/100)))*(1+Inputs!$B$24/100)*(1+F407/100)*(1+IF(Inputs!$B$3&gt;=120,F410,0)/100)^5*(1+(IF(Skills!A16="BASIC_ATTACK",Inputs!$B$17,Inputs!$B$18+IF(Inputs!$B$3&gt;=125,F411*5,0)))/100)*(B414*B415*B416*I400)</f>
        <v/>
      </c>
      <c r="L400">
        <f>K400*(MIN(Inputs!$B$22+(F406-Calc!F22),(Inputs!$B$23+1))/100+(Inputs!$B$23+1)/100)/2</f>
        <v/>
      </c>
      <c r="M400">
        <f>L400*(1+(Inputs!$B$10+(F405-Calc!F21))/100)</f>
        <v/>
      </c>
      <c r="N400">
        <f>L400*(1-MIN(Inputs!$B$9+(F404-Calc!F20),100)/100)+M400*(MIN(Inputs!$B$9+(F404-Calc!F20),100)/100)</f>
        <v/>
      </c>
      <c r="O400">
        <f>(1-Summary!$B$56)*S400+Summary!$B$56*U400</f>
        <v/>
      </c>
      <c r="P400">
        <f>IF(B425=0,0,O400/B425)</f>
        <v/>
      </c>
      <c r="Q400">
        <f>IFERROR(1/IF(Inputs!$B$38="pvp",15,MAX(0.1,Skills!E16-IF(Skills!F16=TRUE,Inputs!$B$32,0))),0)</f>
        <v/>
      </c>
      <c r="R400">
        <f>IF(AND(Inputs!$B$38&lt;&gt;"pvp",Inputs!$B$43&gt;0),IF(MAX(0,Inputs!$B$43-B422)&lt;=0,0,(INT(MAX(0,Inputs!$B$43-B422)/IF(Inputs!$B$38="pvp",15,MAX(0.1,Skills!E16-IF(Skills!F16=TRUE,Inputs!$B$32,0))))+1)),0)</f>
        <v/>
      </c>
      <c r="S400">
        <f>IF(C400,(H400*N400*IF(AND(Inputs!$B$38&lt;&gt;"pvp",Inputs!$B$43&gt;0),((Skills!G16*((R400-1)*IF(Skills!H16&gt;0,Skills!I16/Skills!H16,1)+IF(Skills!H16&gt;0,MIN(Skills!I16,MAX(0,MAX(0,Inputs!$B$43-B422)-((R400-1)*IF(Inputs!$B$38="pvp",15,MAX(0.1,Skills!E16-IF(Skills!F16=TRUE,Inputs!$B$32,0))))))/Skills!H16,1)))/Inputs!$B$43),G400*Q400)*(1+IF(Inputs!$B$3&gt;=126,0.05*(B420+Q397+(H398*B421)/(1+Skills!H14*H398*B421)+Q408),0)*Skills!E15))*IF(Inputs!$B$38="pvp",1,1+(Inputs!$B$20+Skills!P16)/100),0)</f>
        <v/>
      </c>
      <c r="U400">
        <f>IF(C400,(H400*N400*IF(AND(Inputs!$B$38&lt;&gt;"pvp",Inputs!$B$43&gt;0),((Skills!G16*((R400-1)*IF(Skills!H16&gt;0,Skills!I16/Skills!H16,1)+IF(Skills!H16&gt;0,MIN(Skills!I16,MAX(0,MAX(0,Inputs!$B$43-B422)-((R400-1)*IF(Inputs!$B$38="pvp",15,MAX(0.1,Skills!E16-IF(Skills!F16=TRUE,Inputs!$B$32,0))))))/Skills!H16,1)))/Inputs!$B$43),G400*Q400)*(1+IF(Inputs!$B$3&gt;=126,0.05*(B420+Q397+(H398*B421)/(1+Skills!H14*H398*B421)+Q408),0)*Skills!E15))*IF(Inputs!$B$38="pvp",1,(1+(Inputs!$B$21+Skills!Q16)/100)*(MIN(Skills!R16,Inputs!$B$37))),0)</f>
        <v/>
      </c>
    </row>
    <row r="401">
      <c r="A401">
        <f>Skills!A17</f>
        <v/>
      </c>
      <c r="B401">
        <f>Skills!B17</f>
        <v/>
      </c>
      <c r="C401">
        <f>TRUE</f>
        <v/>
      </c>
      <c r="D401">
        <f>IF(Skills!C17=1,60+Inputs!$B$25+Inputs!$B$29,IF(Skills!C17=2,90+Inputs!$B$26+Inputs!$B$29,IF(Skills!C17=3,120+Inputs!$B$27+Inputs!$B$29,MAX(0,(Inputs!$B$3-100)*3)+Inputs!$B$28+Inputs!$B$29)))</f>
        <v/>
      </c>
      <c r="E401">
        <f>INDEX(FactorTable!$B$2:$Y$301, MATCH(ROUND(MIN(300,MAX(1,D401)),0), FactorTable!$A$2:$A$301,0), Skills!M17+1)</f>
        <v/>
      </c>
      <c r="F401">
        <f>IF(Skills!N17=TRUE,(Skills!L17/10)*(E401/1000),Skills!L17/10)+Skills!O17</f>
        <v/>
      </c>
      <c r="G401">
        <f>Calc!G17</f>
        <v/>
      </c>
      <c r="H401">
        <f>Calc!H17</f>
        <v/>
      </c>
      <c r="I401">
        <f>IF(Skills!X17&lt;&gt;"",1+(Skills!X17/10)*(Z387/1000)/100,1)</f>
        <v/>
      </c>
      <c r="J401" t="inlineStr"/>
      <c r="K401" t="inlineStr"/>
      <c r="L401" t="inlineStr"/>
      <c r="M401" t="inlineStr"/>
      <c r="N401" t="inlineStr"/>
      <c r="O401">
        <f>(1-Summary!$B$56)*S401+Summary!$B$56*U401</f>
        <v/>
      </c>
      <c r="P401">
        <f>IF(B425=0,0,O401/B425)</f>
        <v/>
      </c>
      <c r="Q401">
        <f>IFERROR(1/IF(Inputs!$B$38="pvp",15,MAX(0.1,Skills!E17-IF(Skills!F17=TRUE,Inputs!$B$32,0))),0)</f>
        <v/>
      </c>
      <c r="R401">
        <f>IF(AND(Inputs!$B$38&lt;&gt;"pvp",Inputs!$B$43&gt;0),IF(Inputs!$B$43&lt;=0,0,(INT(Inputs!$B$43/IF(Inputs!$B$38="pvp",15,MAX(0.1,Skills!E17-IF(Skills!F17=TRUE,Inputs!$B$32,0))))+1)),0)</f>
        <v/>
      </c>
      <c r="S401" t="n">
        <v>0</v>
      </c>
      <c r="U401" t="n">
        <v>0</v>
      </c>
    </row>
    <row r="402">
      <c r="A402">
        <f>Skills!A18</f>
        <v/>
      </c>
      <c r="B402">
        <f>Skills!B18</f>
        <v/>
      </c>
      <c r="C402">
        <f>TRUE</f>
        <v/>
      </c>
      <c r="D402">
        <f>IF(Skills!C18=1,60+Inputs!$B$25+Inputs!$B$29,IF(Skills!C18=2,90+Inputs!$B$26+Inputs!$B$29,IF(Skills!C18=3,120+Inputs!$B$27+Inputs!$B$29,MAX(0,(Inputs!$B$3-100)*3)+Inputs!$B$28+Inputs!$B$29)))</f>
        <v/>
      </c>
      <c r="E402">
        <f>INDEX(FactorTable!$B$2:$Y$301, MATCH(ROUND(MIN(300,MAX(1,D402)),0), FactorTable!$A$2:$A$301,0), Skills!M18+1)</f>
        <v/>
      </c>
      <c r="F402">
        <f>IF(Skills!N18=TRUE,(Skills!L18/10)*(E402/1000),Skills!L18/10)+Skills!O18</f>
        <v/>
      </c>
      <c r="G402">
        <f>Calc!G18</f>
        <v/>
      </c>
      <c r="H402">
        <f>Calc!H18</f>
        <v/>
      </c>
      <c r="I402">
        <f>IF(Skills!X18&lt;&gt;"",1+(Skills!X18/10)*(Z387/1000)/100,1)</f>
        <v/>
      </c>
      <c r="J402" t="inlineStr"/>
      <c r="K402" t="inlineStr"/>
      <c r="L402" t="inlineStr"/>
      <c r="M402" t="inlineStr"/>
      <c r="N402" t="inlineStr"/>
      <c r="O402">
        <f>(1-Summary!$B$56)*S402+Summary!$B$56*U402</f>
        <v/>
      </c>
      <c r="P402">
        <f>IF(B425=0,0,O402/B425)</f>
        <v/>
      </c>
      <c r="Q402">
        <f>IFERROR(1/IF(Inputs!$B$38="pvp",15,MAX(0.1,Skills!E18-IF(Skills!F18=TRUE,Inputs!$B$32,0))),0)</f>
        <v/>
      </c>
      <c r="R402">
        <f>IF(AND(Inputs!$B$38&lt;&gt;"pvp",Inputs!$B$43&gt;0),IF(Inputs!$B$43&lt;=0,0,(INT(Inputs!$B$43/IF(Inputs!$B$38="pvp",15,MAX(0.1,Skills!E18-IF(Skills!F18=TRUE,Inputs!$B$32,0))))+1)),0)</f>
        <v/>
      </c>
      <c r="S402" t="n">
        <v>0</v>
      </c>
      <c r="U402" t="n">
        <v>0</v>
      </c>
    </row>
    <row r="403">
      <c r="A403">
        <f>Skills!A19</f>
        <v/>
      </c>
      <c r="B403">
        <f>Skills!B19</f>
        <v/>
      </c>
      <c r="C403">
        <f>Inputs!$B$3&gt;=110</f>
        <v/>
      </c>
      <c r="D403">
        <f>IF(Skills!C19=1,60+Inputs!$B$25+Inputs!$B$29,IF(Skills!C19=2,90+Inputs!$B$26+Inputs!$B$29,IF(Skills!C19=3,120+Inputs!$B$27+Inputs!$B$29,MAX(0,(Inputs!$B$3-100)*3)+Inputs!$B$28+Inputs!$B$29)))</f>
        <v/>
      </c>
      <c r="E403">
        <f>INDEX(FactorTable!$B$2:$Y$301, MATCH(ROUND(MIN(300,MAX(1,D403)),0), FactorTable!$A$2:$A$301,0), Skills!M19+1)</f>
        <v/>
      </c>
      <c r="F403">
        <f>IF(Skills!N19=TRUE,(Skills!L19/10)*(E403/1000),Skills!L19/10)+Skills!O19</f>
        <v/>
      </c>
      <c r="G403">
        <f>Calc!G19</f>
        <v/>
      </c>
      <c r="H403">
        <f>Calc!H19</f>
        <v/>
      </c>
      <c r="I403">
        <f>IF(Skills!X19&lt;&gt;"",1+(Skills!X19/10)*(Z387/1000)/100,1)</f>
        <v/>
      </c>
      <c r="J403" t="inlineStr"/>
      <c r="K403" t="inlineStr"/>
      <c r="L403" t="inlineStr"/>
      <c r="M403" t="inlineStr"/>
      <c r="N403" t="inlineStr"/>
      <c r="O403">
        <f>(1-Summary!$B$56)*S403+Summary!$B$56*U403</f>
        <v/>
      </c>
      <c r="P403">
        <f>IF(B425=0,0,O403/B425)</f>
        <v/>
      </c>
      <c r="Q403">
        <f>IFERROR(1/IF(Inputs!$B$38="pvp",15,MAX(0.1,Skills!E19-IF(Skills!F19=TRUE,Inputs!$B$32,0))),0)</f>
        <v/>
      </c>
      <c r="R403">
        <f>IF(AND(Inputs!$B$38&lt;&gt;"pvp",Inputs!$B$43&gt;0),IF(Inputs!$B$43&lt;=0,0,(INT(Inputs!$B$43/IF(Inputs!$B$38="pvp",15,MAX(0.1,Skills!E19-IF(Skills!F19=TRUE,Inputs!$B$32,0))))+1)),0)</f>
        <v/>
      </c>
      <c r="S403" t="n">
        <v>0</v>
      </c>
      <c r="U403" t="n">
        <v>0</v>
      </c>
    </row>
    <row r="404">
      <c r="A404">
        <f>Skills!A20</f>
        <v/>
      </c>
      <c r="B404">
        <f>Skills!B20</f>
        <v/>
      </c>
      <c r="C404">
        <f>TRUE</f>
        <v/>
      </c>
      <c r="D404">
        <f>IF(Skills!C20=1,60+Inputs!$B$25+Inputs!$B$29,IF(Skills!C20=2,90+Inputs!$B$26+Inputs!$B$29,IF(Skills!C20=3,120+Inputs!$B$27+Inputs!$B$29,MAX(0,(Inputs!$B$3-100)*3)+Inputs!$B$28+Inputs!$B$29)))</f>
        <v/>
      </c>
      <c r="E404">
        <f>INDEX(FactorTable!$B$2:$Y$301, MATCH(ROUND(MIN(300,MAX(1,D404)),0), FactorTable!$A$2:$A$301,0), Skills!M20+1)</f>
        <v/>
      </c>
      <c r="F404">
        <f>IF(Skills!N20=TRUE,(Skills!L20/10)*(E404/1000),Skills!L20/10)+Skills!O20</f>
        <v/>
      </c>
      <c r="G404">
        <f>Calc!G20</f>
        <v/>
      </c>
      <c r="H404">
        <f>Calc!H20</f>
        <v/>
      </c>
      <c r="I404">
        <f>IF(Skills!X20&lt;&gt;"",1+(Skills!X20/10)*(Z387/1000)/100,1)</f>
        <v/>
      </c>
      <c r="J404" t="inlineStr"/>
      <c r="K404" t="inlineStr"/>
      <c r="L404" t="inlineStr"/>
      <c r="M404" t="inlineStr"/>
      <c r="N404" t="inlineStr"/>
      <c r="O404">
        <f>(1-Summary!$B$56)*S404+Summary!$B$56*U404</f>
        <v/>
      </c>
      <c r="P404">
        <f>IF(B425=0,0,O404/B425)</f>
        <v/>
      </c>
      <c r="Q404">
        <f>IFERROR(1/IF(Inputs!$B$38="pvp",15,MAX(0.1,Skills!E20-IF(Skills!F20=TRUE,Inputs!$B$32,0))),0)</f>
        <v/>
      </c>
      <c r="R404" t="n">
        <v>0</v>
      </c>
      <c r="S404" t="n">
        <v>0</v>
      </c>
      <c r="U404" t="n">
        <v>0</v>
      </c>
    </row>
    <row r="405">
      <c r="A405">
        <f>Skills!A21</f>
        <v/>
      </c>
      <c r="B405">
        <f>Skills!B21</f>
        <v/>
      </c>
      <c r="C405">
        <f>TRUE</f>
        <v/>
      </c>
      <c r="D405">
        <f>IF(Skills!C21=1,60+Inputs!$B$25+Inputs!$B$29,IF(Skills!C21=2,90+Inputs!$B$26+Inputs!$B$29,IF(Skills!C21=3,120+Inputs!$B$27+Inputs!$B$29,MAX(0,(Inputs!$B$3-100)*3)+Inputs!$B$28+Inputs!$B$29)))</f>
        <v/>
      </c>
      <c r="E405">
        <f>INDEX(FactorTable!$B$2:$Y$301, MATCH(ROUND(MIN(300,MAX(1,D405)),0), FactorTable!$A$2:$A$301,0), Skills!M21+1)</f>
        <v/>
      </c>
      <c r="F405">
        <f>IF(Skills!N21=TRUE,(Skills!L21/10)*(E405/1000),Skills!L21/10)+Skills!O21</f>
        <v/>
      </c>
      <c r="G405">
        <f>Calc!G21</f>
        <v/>
      </c>
      <c r="H405">
        <f>Calc!H21</f>
        <v/>
      </c>
      <c r="I405">
        <f>IF(Skills!X21&lt;&gt;"",1+(Skills!X21/10)*(Z387/1000)/100,1)</f>
        <v/>
      </c>
      <c r="J405" t="inlineStr"/>
      <c r="K405" t="inlineStr"/>
      <c r="L405" t="inlineStr"/>
      <c r="M405" t="inlineStr"/>
      <c r="N405" t="inlineStr"/>
      <c r="O405">
        <f>(1-Summary!$B$56)*S405+Summary!$B$56*U405</f>
        <v/>
      </c>
      <c r="P405">
        <f>IF(B425=0,0,O405/B425)</f>
        <v/>
      </c>
      <c r="Q405">
        <f>IFERROR(1/IF(Inputs!$B$38="pvp",15,MAX(0.1,Skills!E21-IF(Skills!F21=TRUE,Inputs!$B$32,0))),0)</f>
        <v/>
      </c>
      <c r="R405" t="n">
        <v>0</v>
      </c>
      <c r="S405" t="n">
        <v>0</v>
      </c>
      <c r="U405" t="n">
        <v>0</v>
      </c>
    </row>
    <row r="406">
      <c r="A406">
        <f>Skills!A22</f>
        <v/>
      </c>
      <c r="B406">
        <f>Skills!B22</f>
        <v/>
      </c>
      <c r="C406">
        <f>TRUE</f>
        <v/>
      </c>
      <c r="D406">
        <f>IF(Skills!C22=1,60+Inputs!$B$25+Inputs!$B$29,IF(Skills!C22=2,90+Inputs!$B$26+Inputs!$B$29,IF(Skills!C22=3,120+Inputs!$B$27+Inputs!$B$29,MAX(0,(Inputs!$B$3-100)*3)+Inputs!$B$28+Inputs!$B$29)))</f>
        <v/>
      </c>
      <c r="E406">
        <f>INDEX(FactorTable!$B$2:$Y$301, MATCH(ROUND(MIN(300,MAX(1,D406)),0), FactorTable!$A$2:$A$301,0), Skills!M22+1)</f>
        <v/>
      </c>
      <c r="F406">
        <f>IF(Skills!N22=TRUE,(Skills!L22/10)*(E406/1000),Skills!L22/10)+Skills!O22</f>
        <v/>
      </c>
      <c r="G406">
        <f>Calc!G22</f>
        <v/>
      </c>
      <c r="H406">
        <f>Calc!H22</f>
        <v/>
      </c>
      <c r="I406">
        <f>IF(Skills!X22&lt;&gt;"",1+(Skills!X22/10)*(Z387/1000)/100,1)</f>
        <v/>
      </c>
      <c r="J406" t="inlineStr"/>
      <c r="K406" t="inlineStr"/>
      <c r="L406" t="inlineStr"/>
      <c r="M406" t="inlineStr"/>
      <c r="N406" t="inlineStr"/>
      <c r="O406">
        <f>(1-Summary!$B$56)*S406+Summary!$B$56*U406</f>
        <v/>
      </c>
      <c r="P406">
        <f>IF(B425=0,0,O406/B425)</f>
        <v/>
      </c>
      <c r="Q406">
        <f>IFERROR(1/IF(Inputs!$B$38="pvp",15,MAX(0.1,Skills!E22-IF(Skills!F22=TRUE,Inputs!$B$32,0))),0)</f>
        <v/>
      </c>
      <c r="R406" t="n">
        <v>0</v>
      </c>
      <c r="S406" t="n">
        <v>0</v>
      </c>
      <c r="U406" t="n">
        <v>0</v>
      </c>
    </row>
    <row r="407">
      <c r="A407">
        <f>Skills!A23</f>
        <v/>
      </c>
      <c r="B407">
        <f>Skills!B23</f>
        <v/>
      </c>
      <c r="C407">
        <f>TRUE</f>
        <v/>
      </c>
      <c r="D407">
        <f>IF(Skills!C23=1,60+Inputs!$B$25+Inputs!$B$29,IF(Skills!C23=2,90+Inputs!$B$26+Inputs!$B$29,IF(Skills!C23=3,120+Inputs!$B$27+Inputs!$B$29,MAX(0,(Inputs!$B$3-100)*3)+Inputs!$B$28+Inputs!$B$29)))</f>
        <v/>
      </c>
      <c r="E407">
        <f>INDEX(FactorTable!$B$2:$Y$301, MATCH(ROUND(MIN(300,MAX(1,D407)),0), FactorTable!$A$2:$A$301,0), Skills!M23+1)</f>
        <v/>
      </c>
      <c r="F407">
        <f>IF(Skills!N23=TRUE,(Skills!L23/10)*(E407/1000),Skills!L23/10)+Skills!O23</f>
        <v/>
      </c>
      <c r="G407">
        <f>Calc!G23</f>
        <v/>
      </c>
      <c r="H407">
        <f>Calc!H23</f>
        <v/>
      </c>
      <c r="I407">
        <f>IF(Skills!X23&lt;&gt;"",1+(Skills!X23/10)*(Z387/1000)/100,1)</f>
        <v/>
      </c>
      <c r="J407" t="inlineStr"/>
      <c r="K407" t="inlineStr"/>
      <c r="L407" t="inlineStr"/>
      <c r="M407" t="inlineStr"/>
      <c r="N407" t="inlineStr"/>
      <c r="O407">
        <f>(1-Summary!$B$56)*S407+Summary!$B$56*U407</f>
        <v/>
      </c>
      <c r="P407">
        <f>IF(B425=0,0,O407/B425)</f>
        <v/>
      </c>
      <c r="Q407">
        <f>IFERROR(1/IF(Inputs!$B$38="pvp",15,MAX(0.1,Skills!E23-IF(Skills!F23=TRUE,Inputs!$B$32,0))),0)</f>
        <v/>
      </c>
      <c r="R407" t="n">
        <v>0</v>
      </c>
      <c r="S407" t="n">
        <v>0</v>
      </c>
      <c r="U407" t="n">
        <v>0</v>
      </c>
    </row>
    <row r="408">
      <c r="A408">
        <f>Skills!A24</f>
        <v/>
      </c>
      <c r="B408">
        <f>Skills!B24</f>
        <v/>
      </c>
      <c r="C408">
        <f>Inputs!$B$3&gt;=115</f>
        <v/>
      </c>
      <c r="D408">
        <f>IF(Skills!C24=1,60+Inputs!$B$25+Inputs!$B$29,IF(Skills!C24=2,90+Inputs!$B$26+Inputs!$B$29,IF(Skills!C24=3,120+Inputs!$B$27+Inputs!$B$29,MAX(0,(Inputs!$B$3-100)*3)+Inputs!$B$28+Inputs!$B$29)))</f>
        <v/>
      </c>
      <c r="E408">
        <f>INDEX(FactorTable!$B$2:$Y$301, MATCH(ROUND(MIN(300,MAX(1,D408)),0), FactorTable!$A$2:$A$301,0), Skills!M24+1)</f>
        <v/>
      </c>
      <c r="F408">
        <f>IF(Skills!N24=TRUE,(Skills!L24/10)*(E408/1000),Skills!L24/10)+Skills!O24</f>
        <v/>
      </c>
      <c r="G408">
        <f>Calc!G24</f>
        <v/>
      </c>
      <c r="H408">
        <f>Calc!H24</f>
        <v/>
      </c>
      <c r="I408">
        <f>IF(Skills!X24&lt;&gt;"",1+(Skills!X24/10)*(Z387/1000)/100,1)</f>
        <v/>
      </c>
      <c r="J408">
        <f>((Inputs!$B$6*(1+Inputs!$B$7/100))+(((Inputs!$B$12*(1+Inputs!$B$13/100))-(Inputs!$B$12*(1+Inputs!$B$13/100)))+0.25*(Inputs!$B$14-Inputs!$B$14))*(1+Inputs!$B$7/100))*(F408/100)</f>
        <v/>
      </c>
      <c r="K408">
        <f>J408*(1+((Inputs!$B$12*(1+Inputs!$B$13/100))*0.01+Inputs!$B$14*0.0025)/100)*(1+Inputs!$B$15/100)*(1+Inputs!$B$16/100)*(5000/(6000+Inputs!$B$42*(1-Inputs!$B$19/100)))*(1+Inputs!$B$24/100)*(1+F407/100)*(1+IF(Inputs!$B$3&gt;=120,F410,0)/100)^5*(1+(IF(Skills!A24="BASIC_ATTACK",Inputs!$B$17,Inputs!$B$18+IF(Inputs!$B$3&gt;=125,F411*5,0)))/100)*(B414*B415*B416*I408)</f>
        <v/>
      </c>
      <c r="L408">
        <f>K408*(MIN(Inputs!$B$22+(F406-Calc!F22),(Inputs!$B$23+1))/100+(Inputs!$B$23+1)/100)/2</f>
        <v/>
      </c>
      <c r="M408">
        <f>L408*(1+(Inputs!$B$10+(F405-Calc!F21))/100)</f>
        <v/>
      </c>
      <c r="N408">
        <f>L408*(1-MIN(Inputs!$B$9+(F404-Calc!F20),100)/100)+M408*(MIN(Inputs!$B$9+(F404-Calc!F20),100)/100)</f>
        <v/>
      </c>
      <c r="O408">
        <f>(1-Summary!$B$56)*S408+Summary!$B$56*U408</f>
        <v/>
      </c>
      <c r="P408">
        <f>IF(B425=0,0,O408/B425)</f>
        <v/>
      </c>
      <c r="Q408">
        <f>IFERROR(1/IF(Inputs!$B$38="pvp",15,MAX(0.1,Skills!E24-IF(Skills!F24=TRUE,Inputs!$B$32,0))),0)</f>
        <v/>
      </c>
      <c r="R408">
        <f>IF(AND(Inputs!$B$38&lt;&gt;"pvp",Inputs!$B$43&gt;0),IF(MAX(0,Inputs!$B$43-B422)&lt;=0,0,(INT(MAX(0,Inputs!$B$43-B422)/IF(Inputs!$B$38="pvp",15,MAX(0.1,Skills!E24-IF(Skills!F24=TRUE,Inputs!$B$32,0))))+1)),0)</f>
        <v/>
      </c>
      <c r="S408">
        <f>IF(C408,(H408*N408*IF(AND(Inputs!$B$38&lt;&gt;"pvp",Inputs!$B$43&gt;0),((Skills!G24*((R408-1)*IF(Skills!H24&gt;0,Skills!I24/Skills!H24,1)+IF(Skills!H24&gt;0,MIN(Skills!I24,MAX(0,MAX(0,Inputs!$B$43-B422)-((R408-1)*IF(Inputs!$B$38="pvp",15,MAX(0.1,Skills!E24-IF(Skills!F24=TRUE,Inputs!$B$32,0))))))/Skills!H24,1)))/Inputs!$B$43),G408*Q408)*(1+IF(Inputs!$B$3&gt;=130,0.2*(Skills!I16/Skills!E15+IF(Inputs!$B$3&gt;=126,0.05*(B420+Q397+(H398*B421)/(1+Skills!H14*H398*B421)+Q408),0)*Skills!I16),0)))*IF(Inputs!$B$38="pvp",1,1+(Inputs!$B$20+Skills!P24)/100),0)</f>
        <v/>
      </c>
      <c r="U408">
        <f>IF(C408,(H408*N408*IF(AND(Inputs!$B$38&lt;&gt;"pvp",Inputs!$B$43&gt;0),((Skills!G24*((R408-1)*IF(Skills!H24&gt;0,Skills!I24/Skills!H24,1)+IF(Skills!H24&gt;0,MIN(Skills!I24,MAX(0,MAX(0,Inputs!$B$43-B422)-((R408-1)*IF(Inputs!$B$38="pvp",15,MAX(0.1,Skills!E24-IF(Skills!F24=TRUE,Inputs!$B$32,0))))))/Skills!H24,1)))/Inputs!$B$43),G408*Q408)*(1+IF(Inputs!$B$3&gt;=130,0.2*(Skills!I16/Skills!E15+IF(Inputs!$B$3&gt;=126,0.05*(B420+Q397+(H398*B421)/(1+Skills!H14*H398*B421)+Q408),0)*Skills!I16),0)))*IF(Inputs!$B$38="pvp",1,(1+(Inputs!$B$21+Skills!Q24)/100)*(MIN(Skills!R24,Inputs!$B$37))),0)</f>
        <v/>
      </c>
    </row>
    <row r="409">
      <c r="A409">
        <f>Skills!A25</f>
        <v/>
      </c>
      <c r="B409">
        <f>Skills!B25</f>
        <v/>
      </c>
      <c r="C409">
        <f>Inputs!$B$3&gt;=117</f>
        <v/>
      </c>
      <c r="D409">
        <f>IF(Skills!C25=1,60+Inputs!$B$25+Inputs!$B$29,IF(Skills!C25=2,90+Inputs!$B$26+Inputs!$B$29,IF(Skills!C25=3,120+Inputs!$B$27+Inputs!$B$29,MAX(0,(Inputs!$B$3-100)*3)+Inputs!$B$28+Inputs!$B$29)))</f>
        <v/>
      </c>
      <c r="E409">
        <f>INDEX(FactorTable!$B$2:$Y$301, MATCH(ROUND(MIN(300,MAX(1,D409)),0), FactorTable!$A$2:$A$301,0), Skills!M25+1)</f>
        <v/>
      </c>
      <c r="F409">
        <f>IF(Skills!N25=TRUE,(Skills!L25/10)*(E409/1000),Skills!L25/10)+Skills!O25</f>
        <v/>
      </c>
      <c r="G409">
        <f>Calc!G25</f>
        <v/>
      </c>
      <c r="H409">
        <f>Calc!H25</f>
        <v/>
      </c>
      <c r="I409">
        <f>IF(Skills!X25&lt;&gt;"",1+(Skills!X25/10)*(Z387/1000)/100,1)</f>
        <v/>
      </c>
      <c r="J409" t="inlineStr"/>
      <c r="K409" t="inlineStr"/>
      <c r="L409" t="inlineStr"/>
      <c r="M409" t="inlineStr"/>
      <c r="N409" t="inlineStr"/>
      <c r="O409">
        <f>(1-Summary!$B$56)*S409+Summary!$B$56*U409</f>
        <v/>
      </c>
      <c r="P409">
        <f>IF(B425=0,0,O409/B425)</f>
        <v/>
      </c>
      <c r="Q409">
        <f>IFERROR(1/IF(Inputs!$B$38="pvp",15,MAX(0.1,Skills!E25-IF(Skills!F25=TRUE,Inputs!$B$32,0))),0)</f>
        <v/>
      </c>
      <c r="R409" t="n">
        <v>0</v>
      </c>
      <c r="S409" t="n">
        <v>0</v>
      </c>
      <c r="U409" t="n">
        <v>0</v>
      </c>
    </row>
    <row r="410">
      <c r="A410">
        <f>Skills!A26</f>
        <v/>
      </c>
      <c r="B410">
        <f>Skills!B26</f>
        <v/>
      </c>
      <c r="C410">
        <f>Inputs!$B$3&gt;=120</f>
        <v/>
      </c>
      <c r="D410">
        <f>IF(Skills!C26=1,60+Inputs!$B$25+Inputs!$B$29,IF(Skills!C26=2,90+Inputs!$B$26+Inputs!$B$29,IF(Skills!C26=3,120+Inputs!$B$27+Inputs!$B$29,MAX(0,(Inputs!$B$3-100)*3)+Inputs!$B$28+Inputs!$B$29)))</f>
        <v/>
      </c>
      <c r="E410">
        <f>INDEX(FactorTable!$B$2:$Y$301, MATCH(ROUND(MIN(300,MAX(1,D410)),0), FactorTable!$A$2:$A$301,0), Skills!M26+1)</f>
        <v/>
      </c>
      <c r="F410">
        <f>IF(Skills!N26=TRUE,(Skills!L26/10)*(E410/1000),Skills!L26/10)+Skills!O26</f>
        <v/>
      </c>
      <c r="G410">
        <f>Calc!G26</f>
        <v/>
      </c>
      <c r="H410">
        <f>Calc!H26</f>
        <v/>
      </c>
      <c r="I410">
        <f>IF(Skills!X26&lt;&gt;"",1+(Skills!X26/10)*(Z387/1000)/100,1)</f>
        <v/>
      </c>
      <c r="J410" t="inlineStr"/>
      <c r="K410" t="inlineStr"/>
      <c r="L410" t="inlineStr"/>
      <c r="M410" t="inlineStr"/>
      <c r="N410" t="inlineStr"/>
      <c r="O410">
        <f>(1-Summary!$B$56)*S410+Summary!$B$56*U410</f>
        <v/>
      </c>
      <c r="P410">
        <f>IF(B425=0,0,O410/B425)</f>
        <v/>
      </c>
      <c r="Q410">
        <f>IFERROR(1/IF(Inputs!$B$38="pvp",15,MAX(0.1,Skills!E26-IF(Skills!F26=TRUE,Inputs!$B$32,0))),0)</f>
        <v/>
      </c>
      <c r="R410" t="n">
        <v>0</v>
      </c>
      <c r="S410" t="n">
        <v>0</v>
      </c>
      <c r="U410" t="n">
        <v>0</v>
      </c>
    </row>
    <row r="411">
      <c r="A411">
        <f>Skills!A27</f>
        <v/>
      </c>
      <c r="B411">
        <f>Skills!B27</f>
        <v/>
      </c>
      <c r="C411">
        <f>Inputs!$B$3&gt;=125</f>
        <v/>
      </c>
      <c r="D411">
        <f>IF(Skills!C27=1,60+Inputs!$B$25+Inputs!$B$29,IF(Skills!C27=2,90+Inputs!$B$26+Inputs!$B$29,IF(Skills!C27=3,120+Inputs!$B$27+Inputs!$B$29,MAX(0,(Inputs!$B$3-100)*3)+Inputs!$B$28+Inputs!$B$29)))</f>
        <v/>
      </c>
      <c r="E411">
        <f>INDEX(FactorTable!$B$2:$Y$301, MATCH(ROUND(MIN(300,MAX(1,D411)),0), FactorTable!$A$2:$A$301,0), Skills!M27+1)</f>
        <v/>
      </c>
      <c r="F411">
        <f>IF(Skills!N27=TRUE,(Skills!L27/10)*(E411/1000),Skills!L27/10)+Skills!O27</f>
        <v/>
      </c>
      <c r="G411">
        <f>Calc!G27</f>
        <v/>
      </c>
      <c r="H411">
        <f>Calc!H27</f>
        <v/>
      </c>
      <c r="I411">
        <f>IF(Skills!X27&lt;&gt;"",1+(Skills!X27/10)*(Z387/1000)/100,1)</f>
        <v/>
      </c>
      <c r="J411" t="inlineStr"/>
      <c r="K411" t="inlineStr"/>
      <c r="L411" t="inlineStr"/>
      <c r="M411" t="inlineStr"/>
      <c r="N411" t="inlineStr"/>
      <c r="O411">
        <f>(1-Summary!$B$56)*S411+Summary!$B$56*U411</f>
        <v/>
      </c>
      <c r="P411">
        <f>IF(B425=0,0,O411/B425)</f>
        <v/>
      </c>
      <c r="Q411">
        <f>IFERROR(1/IF(Inputs!$B$38="pvp",15,MAX(0.1,Skills!E27-IF(Skills!F27=TRUE,Inputs!$B$32,0))),0)</f>
        <v/>
      </c>
      <c r="R411" t="n">
        <v>0</v>
      </c>
      <c r="S411" t="n">
        <v>0</v>
      </c>
      <c r="U411" t="n">
        <v>0</v>
      </c>
    </row>
    <row r="412">
      <c r="A412">
        <f>Skills!A28</f>
        <v/>
      </c>
      <c r="B412">
        <f>Skills!B28</f>
        <v/>
      </c>
      <c r="C412">
        <f>Inputs!$B$3&gt;=118</f>
        <v/>
      </c>
      <c r="D412">
        <f>IF(Skills!C28=1,60+Inputs!$B$25+Inputs!$B$29,IF(Skills!C28=2,90+Inputs!$B$26+Inputs!$B$29,IF(Skills!C28=3,120+Inputs!$B$27+Inputs!$B$29,MAX(0,(Inputs!$B$3-100)*3)+Inputs!$B$28+Inputs!$B$29)))</f>
        <v/>
      </c>
      <c r="E412">
        <f>INDEX(FactorTable!$B$2:$Y$301, MATCH(ROUND(MIN(300,MAX(1,D412)),0), FactorTable!$A$2:$A$301,0), Skills!M28+1)</f>
        <v/>
      </c>
      <c r="F412">
        <f>IF(Skills!N28=TRUE,(Skills!L28/10)*(E412/1000),Skills!L28/10)+Skills!O28</f>
        <v/>
      </c>
      <c r="G412">
        <f>Calc!G28</f>
        <v/>
      </c>
      <c r="H412">
        <f>Calc!H28</f>
        <v/>
      </c>
      <c r="I412">
        <f>IF(Skills!X28&lt;&gt;"",1+(Skills!X28/10)*(Z387/1000)/100,1)</f>
        <v/>
      </c>
      <c r="J412">
        <f>((Inputs!$B$6*(1+Inputs!$B$7/100))+(((Inputs!$B$12*(1+Inputs!$B$13/100))-(Inputs!$B$12*(1+Inputs!$B$13/100)))+0.25*(Inputs!$B$14-Inputs!$B$14))*(1+Inputs!$B$7/100))*(F412/100)</f>
        <v/>
      </c>
      <c r="K412">
        <f>J412*(1+((Inputs!$B$12*(1+Inputs!$B$13/100))*0.01+Inputs!$B$14*0.0025)/100)*(1+Inputs!$B$15/100)*(1+Inputs!$B$16/100)*(5000/(6000+Inputs!$B$42*(1-Inputs!$B$19/100)))*(1+Inputs!$B$24/100)*(1+F407/100)*(1+IF(Inputs!$B$3&gt;=120,F410,0)/100)^5*(1+(IF(Skills!A28="BASIC_ATTACK",Inputs!$B$17,Inputs!$B$18+IF(Inputs!$B$3&gt;=125,F411*5,0)))/100)*(B414*B415*B416*I412)</f>
        <v/>
      </c>
      <c r="L412">
        <f>K412*(MIN(Inputs!$B$22+(F406-Calc!F22),(Inputs!$B$23+1))/100+(Inputs!$B$23+1)/100)/2</f>
        <v/>
      </c>
      <c r="M412">
        <f>L412*(1+(Inputs!$B$10+(F405-Calc!F21))/100)</f>
        <v/>
      </c>
      <c r="N412">
        <f>L412*(1-MIN(Inputs!$B$9+(F404-Calc!F20),100)/100)+M412*(MIN(Inputs!$B$9+(F404-Calc!F20),100)/100)</f>
        <v/>
      </c>
      <c r="O412">
        <f>(1-Summary!$B$56)*S412+Summary!$B$56*U412</f>
        <v/>
      </c>
      <c r="P412">
        <f>IF(B425=0,0,O412/B425)</f>
        <v/>
      </c>
      <c r="Q412">
        <f>IFERROR(1/IF(Inputs!$B$38="pvp",15,MAX(0.1,Skills!E28-IF(Skills!F28=TRUE,Inputs!$B$32,0))),0)</f>
        <v/>
      </c>
      <c r="R412">
        <f>IF(AND(Inputs!$B$38&lt;&gt;"pvp",Inputs!$B$43&gt;0),IF(MAX(0,Inputs!$B$43-B422)&lt;=0,0,(INT(MAX(0,Inputs!$B$43-B422)/IF(Inputs!$B$38="pvp",15,MAX(0.1,Skills!E28-IF(Skills!F28=TRUE,Inputs!$B$32,0))))+1)),0)</f>
        <v/>
      </c>
      <c r="S412">
        <f>IF(C412,(H412*N412*IF(AND(Inputs!$B$38&lt;&gt;"pvp",Inputs!$B$43&gt;0),((Skills!G28*((R412-1)*IF(Skills!H28&gt;0,Skills!I28/Skills!H28,1)+IF(Skills!H28&gt;0,MIN(Skills!I28,MAX(0,MAX(0,Inputs!$B$43-B422)-((R412-1)*IF(Inputs!$B$38="pvp",15,MAX(0.1,Skills!E28-IF(Skills!F28=TRUE,Inputs!$B$32,0))))))/Skills!H28,1)))/Inputs!$B$43),G412*Q412))*IF(Inputs!$B$38="pvp",1,1+(Inputs!$B$20+Skills!P28)/100),0)</f>
        <v/>
      </c>
      <c r="U412">
        <f>IF(C412,(H412*N412*IF(AND(Inputs!$B$38&lt;&gt;"pvp",Inputs!$B$43&gt;0),((Skills!G28*((R412-1)*IF(Skills!H28&gt;0,Skills!I28/Skills!H28,1)+IF(Skills!H28&gt;0,MIN(Skills!I28,MAX(0,MAX(0,Inputs!$B$43-B422)-((R412-1)*IF(Inputs!$B$38="pvp",15,MAX(0.1,Skills!E28-IF(Skills!F28=TRUE,Inputs!$B$32,0))))))/Skills!H28,1)))/Inputs!$B$43),G412*Q412))*IF(Inputs!$B$38="pvp",1,(1+(Inputs!$B$21+Skills!Q28)/100)*(MIN(Skills!R28,Inputs!$B$37))),0)</f>
        <v/>
      </c>
    </row>
    <row r="414">
      <c r="A414" t="inlineStr">
        <is>
          <t>Burning Magic Multiplier</t>
        </is>
      </c>
      <c r="B414">
        <f>1+(F395*Skills!Z11)/100</f>
        <v/>
      </c>
    </row>
    <row r="415">
      <c r="A415" t="inlineStr">
        <is>
          <t>Elemental Decrease Multiplier (always-on)</t>
        </is>
      </c>
      <c r="B415">
        <f>1+F396/100</f>
        <v/>
      </c>
    </row>
    <row r="416">
      <c r="A416" t="inlineStr">
        <is>
          <t>Average Buff Multiplier (Magic Guard + Meditation, summed; then Infinity)</t>
        </is>
      </c>
      <c r="B416">
        <f>(1+(F390*IF(AND(Inputs!$B$38&lt;&gt;"pvp",Inputs!$B$43&gt;0),(((R390-1)*(Skills!T6*(1+(Inputs!$B$34+IF(Inputs!$B$3&gt;=117,F409,0))/100))+MIN((Skills!T6*(1+(Inputs!$B$34+IF(Inputs!$B$3&gt;=117,F409,0))/100)),MAX(0,Inputs!$B$43-((R390-1)*Skills!E6))))/Inputs!$B$43),IF(Inputs!$B$38="pvp",MIN((Skills!T6*(1+(Inputs!$B$34+IF(Inputs!$B$3&gt;=117,F409,0))/100)),15)/15,(Skills!T6*(1+(Inputs!$B$34+IF(Inputs!$B$3&gt;=117,F409,0))/100))/Skills!E6))+F401*IF(AND(Inputs!$B$38&lt;&gt;"pvp",Inputs!$B$43&gt;0),(((R401-1)*(Skills!T17*(1+(Inputs!$B$34+IF(Inputs!$B$3&gt;=117,F409,0))/100))+MIN((Skills!T17*(1+(Inputs!$B$34+IF(Inputs!$B$3&gt;=117,F409,0))/100)),MAX(0,Inputs!$B$43-((R401-1)*Skills!E17))))/Inputs!$B$43),IF(Inputs!$B$38="pvp",MIN((Skills!T17*(1+(Inputs!$B$34+IF(Inputs!$B$3&gt;=117,F409,0))/100)),15)/15,(Skills!T17*(1+(Inputs!$B$34+IF(Inputs!$B$3&gt;=117,F409,0))/100))/Skills!E17)))/100)*IF(C403=TRUE,(1+F403*IF(AND(Inputs!$B$38&lt;&gt;"pvp",Inputs!$B$43&gt;0),(((R403-1)*(Skills!T19*(1+(Inputs!$B$34+IF(Inputs!$B$3&gt;=117,F409,0))/100))+MIN((Skills!T19*(1+(Inputs!$B$34+IF(Inputs!$B$3&gt;=117,F409,0))/100)),MAX(0,Inputs!$B$43-((R403-1)*Skills!E19))))/Inputs!$B$43),IF(Inputs!$B$38="pvp",MIN((Skills!T19*(1+(Inputs!$B$34+IF(Inputs!$B$3&gt;=117,F409,0))/100)),15)/15,(Skills!T19*(1+(Inputs!$B$34+IF(Inputs!$B$3&gt;=117,F409,0))/100))/Skills!E19))/100),1)</f>
        <v/>
      </c>
    </row>
    <row r="417">
      <c r="A417" t="inlineStr">
        <is>
          <t>Attack Speed Buff Bonus % (Nimble Feet, averaged)</t>
        </is>
      </c>
      <c r="B417">
        <f>F402*IF(AND(Inputs!$B$38&lt;&gt;"pvp",Inputs!$B$43&gt;0),(((R402-1)*(Skills!T18*(1+(Inputs!$B$34+IF(Inputs!$B$3&gt;=117,F409,0))/100))+MIN((Skills!T18*(1+(Inputs!$B$34+IF(Inputs!$B$3&gt;=117,F409,0))/100)),MAX(0,Inputs!$B$43-((R402-1)*Skills!E18))))/Inputs!$B$43),IF(Inputs!$B$38="pvp",MIN((Skills!T18*(1+(Inputs!$B$34+IF(Inputs!$B$3&gt;=117,F409,0))/100)),15)/15,(Skills!T18*(1+(Inputs!$B$34+IF(Inputs!$B$3&gt;=117,F409,0))/100))/Skills!E18))</f>
        <v/>
      </c>
    </row>
    <row r="418">
      <c r="A418" t="inlineStr">
        <is>
          <t>Actions Per Second</t>
        </is>
      </c>
      <c r="B418">
        <f>1+MIN(150,150*(1-(1-Inputs!$B$11/150)*(1-B417/150)))/100</f>
        <v/>
      </c>
    </row>
    <row r="419">
      <c r="A419" t="inlineStr">
        <is>
          <t>Skill + Buff Cast Rate</t>
        </is>
      </c>
      <c r="B419">
        <f>IF(AND(Inputs!$B$38&lt;&gt;"pvp",Inputs!$B$43&gt;0),SUMPRODUCT((Skills!F2:F28=TRUE)*(C386:C412=TRUE)*R386:R412)/Inputs!$B$43,SUMPRODUCT((Skills!F2:F28=TRUE)*(C386:C412=TRUE)*Q386:Q412))</f>
        <v/>
      </c>
    </row>
    <row r="420">
      <c r="A420" t="inlineStr">
        <is>
          <t>Basic Attacks Per Second</t>
        </is>
      </c>
      <c r="B420">
        <f>MAX(0,B418-B419)</f>
        <v/>
      </c>
    </row>
    <row r="421">
      <c r="A421" t="inlineStr">
        <is>
          <t>Meteor Proc — combined trigger cast rate</t>
        </is>
      </c>
      <c r="B421">
        <f>IF(AND(Inputs!$B$38&lt;&gt;"pvp",Inputs!$B$43&gt;0),SUMPRODUCT((Skills!V2:V28=TRUE)*(C386:C412=TRUE)*R386:R412*Skills!W2:W28)/Inputs!$B$43,SUMPRODUCT((Skills!V2:V28=TRUE)*(C386:C412=TRUE)*Q386:Q412*Skills!W2:W28))+B420</f>
        <v/>
      </c>
    </row>
    <row r="422">
      <c r="A422" t="inlineStr">
        <is>
          <t>Buff-Casting Startup Delay (s, fixed-duration only)</t>
        </is>
      </c>
      <c r="B422">
        <f>IF(AND(Inputs!$B$38&lt;&gt;"pvp",Inputs!$B$43&gt;0),SUMPRODUCT((Skills!T2:T28&gt;0)*(Skills!F2:F28=TRUE)*(C386:C412=TRUE))/B418,0)</f>
        <v/>
      </c>
    </row>
    <row r="423">
      <c r="A423" t="inlineStr">
        <is>
          <t>Boss-Only Total DPS (this block's swept value)</t>
        </is>
      </c>
      <c r="B423">
        <f>SUM(S386:S412)</f>
        <v/>
      </c>
    </row>
    <row r="424">
      <c r="A424" t="inlineStr">
        <is>
          <t>Normal-Only Total DPS (this block's swept value)</t>
        </is>
      </c>
      <c r="B424">
        <f>SUM(U386:U412)</f>
        <v/>
      </c>
    </row>
    <row r="425">
      <c r="A425" s="5" t="inlineStr">
        <is>
          <t>TOTAL DPS</t>
        </is>
      </c>
      <c r="B425" s="5">
        <f>SUM(O386:O412)</f>
        <v/>
      </c>
    </row>
    <row r="428">
      <c r="A428" s="5" t="inlineStr">
        <is>
          <t>Stat: CRIT_RATE %</t>
        </is>
      </c>
    </row>
    <row r="429">
      <c r="A429" s="9" t="inlineStr">
        <is>
          <t>Key</t>
        </is>
      </c>
      <c r="B429" s="9" t="inlineStr">
        <is>
          <t>Name</t>
        </is>
      </c>
      <c r="C429" s="9" t="inlineStr">
        <is>
          <t>Unlocked</t>
        </is>
      </c>
      <c r="D429" s="9" t="inlineStr">
        <is>
          <t>InputLevel</t>
        </is>
      </c>
      <c r="E429" s="9" t="inlineStr">
        <is>
          <t>Factor</t>
        </is>
      </c>
      <c r="F429" s="9" t="inlineStr">
        <is>
          <t>CoefficientPercent</t>
        </is>
      </c>
      <c r="G429" s="9" t="inlineStr">
        <is>
          <t>EffectiveHits</t>
        </is>
      </c>
      <c r="H429" s="9" t="inlineStr">
        <is>
          <t>ProcProbability</t>
        </is>
      </c>
      <c r="I429" s="9" t="inlineStr">
        <is>
          <t>MapleHeroMultiplier</t>
        </is>
      </c>
      <c r="J429" s="9" t="inlineStr">
        <is>
          <t>BaseDamage</t>
        </is>
      </c>
      <c r="K429" s="9" t="inlineStr">
        <is>
          <t>BaseHitDamage</t>
        </is>
      </c>
      <c r="L429" s="9" t="inlineStr">
        <is>
          <t>NonCritAvg</t>
        </is>
      </c>
      <c r="M429" s="9" t="inlineStr">
        <is>
          <t>CritAvg</t>
        </is>
      </c>
      <c r="N429" s="9" t="inlineStr">
        <is>
          <t>ExpectedDamage(perHit)</t>
        </is>
      </c>
      <c r="O429" s="9" t="inlineStr">
        <is>
          <t>DPS</t>
        </is>
      </c>
      <c r="P429" s="9" t="inlineStr">
        <is>
          <t>% of Total</t>
        </is>
      </c>
      <c r="R429" t="inlineStr">
        <is>
          <t>helpers</t>
        </is>
      </c>
    </row>
    <row r="430">
      <c r="A430">
        <f>Skills!A2</f>
        <v/>
      </c>
      <c r="B430">
        <f>Skills!B2</f>
        <v/>
      </c>
      <c r="C430">
        <f>TRUE</f>
        <v/>
      </c>
      <c r="D430" t="inlineStr"/>
      <c r="E430" t="inlineStr"/>
      <c r="F430">
        <f>T432+Skills!O2</f>
        <v/>
      </c>
      <c r="G430">
        <f>Calc!G2</f>
        <v/>
      </c>
      <c r="H430">
        <f>Calc!H2</f>
        <v/>
      </c>
      <c r="I430">
        <f>IF(Skills!X2&lt;&gt;"",1+(Skills!X2/10)*(Z431/1000)/100,1)</f>
        <v/>
      </c>
      <c r="J430">
        <f>((Inputs!$B$6*(1+Inputs!$B$7/100))+(((Inputs!$B$12*(1+Inputs!$B$13/100))-(Inputs!$B$12*(1+Inputs!$B$13/100)))+0.25*(Inputs!$B$14-Inputs!$B$14))*(1+Inputs!$B$7/100))*(F430/100)</f>
        <v/>
      </c>
      <c r="K430">
        <f>J430*(1+((Inputs!$B$12*(1+Inputs!$B$13/100))*0.01+Inputs!$B$14*0.0025)/100)*(1+Inputs!$B$15/100)*(1+Inputs!$B$16/100)*(5000/(6000+Inputs!$B$42*(1-Inputs!$B$19/100)))*(1+Inputs!$B$24/100)*(1+F451/100)*(1+IF(Inputs!$B$3&gt;=120,F454,0)/100)^5*(1+(IF(Skills!A2="BASIC_ATTACK",Inputs!$B$17,Inputs!$B$18+IF(Inputs!$B$3&gt;=125,F455*5,0)))/100)*(B458*B459*B460*I430)</f>
        <v/>
      </c>
      <c r="L430">
        <f>K430*(MIN(Inputs!$B$22+(F450-Calc!F22),Inputs!$B$23)/100+Inputs!$B$23/100)/2</f>
        <v/>
      </c>
      <c r="M430">
        <f>L430*(1+(Inputs!$B$10+(F449-Calc!F21))/100)</f>
        <v/>
      </c>
      <c r="N430">
        <f>L430*(1-MIN((Inputs!$B$9+1)+(F448-Calc!F20),100)/100)+M430*(MIN((Inputs!$B$9+1)+(F448-Calc!F20),100)/100)</f>
        <v/>
      </c>
      <c r="O430">
        <f>(1-Summary!$B$56)*S430+Summary!$B$56*U430</f>
        <v/>
      </c>
      <c r="P430">
        <f>IF(B469=0,0,O430/B469)</f>
        <v/>
      </c>
      <c r="Q430">
        <f>IFERROR(1/IF(Inputs!$B$38="pvp",15,MAX(0.1,Skills!E2-IF(Skills!F2=TRUE,Inputs!$B$32,0))),0)</f>
        <v/>
      </c>
      <c r="R430" t="n">
        <v>0</v>
      </c>
      <c r="S430">
        <f>(Skills!G2*N430*B464)*IF(Inputs!$B$38="pvp",1,1+(Inputs!$B$20+Skills!P2)/100)</f>
        <v/>
      </c>
      <c r="T430">
        <f>MAX(0,(Inputs!$B$3-100)*3)+Inputs!$B$28+Inputs!$B$29</f>
        <v/>
      </c>
      <c r="U430">
        <f>(Skills!G2*N430*B464)*IF(Inputs!$B$38="pvp",1,(1+(Inputs!$B$21+Skills!Q2)/100)*(MIN((6+Inputs!$B$33+IF(Inputs!$B$3&gt;=136,1,0)),Inputs!$B$37)))</f>
        <v/>
      </c>
      <c r="Z430">
        <f>MAX(0,(Inputs!$B$3-100)*3)+Inputs!$B$28+Inputs!$B$29</f>
        <v/>
      </c>
    </row>
    <row r="431">
      <c r="A431">
        <f>Skills!A3</f>
        <v/>
      </c>
      <c r="B431">
        <f>Skills!B3</f>
        <v/>
      </c>
      <c r="C431">
        <f>TRUE</f>
        <v/>
      </c>
      <c r="D431">
        <f>IF(Skills!C3=1,60+Inputs!$B$25+Inputs!$B$29,IF(Skills!C3=2,90+Inputs!$B$26+Inputs!$B$29,IF(Skills!C3=3,120+Inputs!$B$27+Inputs!$B$29,MAX(0,(Inputs!$B$3-100)*3)+Inputs!$B$28+Inputs!$B$29)))</f>
        <v/>
      </c>
      <c r="E431">
        <f>INDEX(FactorTable!$B$2:$Y$301, MATCH(ROUND(MIN(300,MAX(1,D431)),0), FactorTable!$A$2:$A$301,0), Skills!M3+1)</f>
        <v/>
      </c>
      <c r="F431">
        <f>IF(Skills!N3=TRUE,(Skills!L3/10)*(E431/1000),Skills!L3/10)+Skills!O3</f>
        <v/>
      </c>
      <c r="G431">
        <f>Calc!G3</f>
        <v/>
      </c>
      <c r="H431">
        <f>Calc!H3</f>
        <v/>
      </c>
      <c r="I431">
        <f>IF(Skills!X3&lt;&gt;"",1+(Skills!X3/10)*(Z431/1000)/100,1)</f>
        <v/>
      </c>
      <c r="J431">
        <f>((Inputs!$B$6*(1+Inputs!$B$7/100))+(((Inputs!$B$12*(1+Inputs!$B$13/100))-(Inputs!$B$12*(1+Inputs!$B$13/100)))+0.25*(Inputs!$B$14-Inputs!$B$14))*(1+Inputs!$B$7/100))*(F431/100)</f>
        <v/>
      </c>
      <c r="K431">
        <f>J431*(1+((Inputs!$B$12*(1+Inputs!$B$13/100))*0.01+Inputs!$B$14*0.0025)/100)*(1+Inputs!$B$15/100)*(1+Inputs!$B$16/100)*(5000/(6000+Inputs!$B$42*(1-Inputs!$B$19/100)))*(1+Inputs!$B$24/100)*(1+F451/100)*(1+IF(Inputs!$B$3&gt;=120,F454,0)/100)^5*(1+(IF(Skills!A3="BASIC_ATTACK",Inputs!$B$17,Inputs!$B$18+IF(Inputs!$B$3&gt;=125,F455*5,0)))/100)*(B458*B459*B460*I431)</f>
        <v/>
      </c>
      <c r="L431">
        <f>K431*(MIN(Inputs!$B$22+(F450-Calc!F22),Inputs!$B$23)/100+Inputs!$B$23/100)/2</f>
        <v/>
      </c>
      <c r="M431">
        <f>L431*(1+(Inputs!$B$10+(F449-Calc!F21))/100)</f>
        <v/>
      </c>
      <c r="N431">
        <f>L431*(1-MIN((Inputs!$B$9+1)+(F448-Calc!F20),100)/100)+M431*(MIN((Inputs!$B$9+1)+(F448-Calc!F20),100)/100)</f>
        <v/>
      </c>
      <c r="O431">
        <f>(1-Summary!$B$56)*S431+Summary!$B$56*U431</f>
        <v/>
      </c>
      <c r="P431">
        <f>IF(B469=0,0,O431/B469)</f>
        <v/>
      </c>
      <c r="Q431">
        <f>IFERROR(1/IF(Inputs!$B$38="pvp",15,MAX(0.1,Skills!E3-IF(Skills!F3=TRUE,Inputs!$B$32,0))),0)</f>
        <v/>
      </c>
      <c r="R431">
        <f>IF(AND(Inputs!$B$38&lt;&gt;"pvp",Inputs!$B$43&gt;0),IF(MAX(0,Inputs!$B$43-B466)&lt;=0,0,(INT(MAX(0,Inputs!$B$43-B466)/IF(Inputs!$B$38="pvp",15,MAX(0.1,Skills!E3-IF(Skills!F3=TRUE,Inputs!$B$32,0))))+1)),0)</f>
        <v/>
      </c>
      <c r="S431">
        <f>IF(C431,(H431*N431*IF(AND(Inputs!$B$38&lt;&gt;"pvp",Inputs!$B$43&gt;0),((Skills!G3*((R431-1)*IF(Skills!H3&gt;0,Skills!I3/Skills!H3,1)+IF(Skills!H3&gt;0,MIN(Skills!I3,MAX(0,MAX(0,Inputs!$B$43-B466)-((R431-1)*IF(Inputs!$B$38="pvp",15,MAX(0.1,Skills!E3-IF(Skills!F3=TRUE,Inputs!$B$32,0))))))/Skills!H3,1)))/Inputs!$B$43),G431*Q431))*IF(Inputs!$B$38="pvp",1,1+(Inputs!$B$20+Skills!P3)/100),0)</f>
        <v/>
      </c>
      <c r="T431">
        <f>INDEX(FactorTable!$B$2:$Y$301, MATCH(ROUND(MIN(300,MAX(1,T430)),0), FactorTable!$A$2:$A$301,0), 22)</f>
        <v/>
      </c>
      <c r="U431">
        <f>IF(C431,(H431*N431*IF(AND(Inputs!$B$38&lt;&gt;"pvp",Inputs!$B$43&gt;0),((Skills!G3*((R431-1)*IF(Skills!H3&gt;0,Skills!I3/Skills!H3,1)+IF(Skills!H3&gt;0,MIN(Skills!I3,MAX(0,MAX(0,Inputs!$B$43-B466)-((R431-1)*IF(Inputs!$B$38="pvp",15,MAX(0.1,Skills!E3-IF(Skills!F3=TRUE,Inputs!$B$32,0))))))/Skills!H3,1)))/Inputs!$B$43),G431*Q431))*IF(Inputs!$B$38="pvp",1,(1+(Inputs!$B$21+Skills!Q3)/100)*(MIN(Skills!R3,Inputs!$B$37))),0)</f>
        <v/>
      </c>
      <c r="Z431">
        <f>INDEX(FactorTable!$B$2:$Y$301, MATCH(ROUND(MIN(300,MAX(1,Z430)),0), FactorTable!$A$2:$A$301,0), 24)</f>
        <v/>
      </c>
    </row>
    <row r="432">
      <c r="A432">
        <f>Skills!A4</f>
        <v/>
      </c>
      <c r="B432">
        <f>Skills!B4</f>
        <v/>
      </c>
      <c r="C432">
        <f>TRUE</f>
        <v/>
      </c>
      <c r="D432">
        <f>IF(Skills!C4=1,60+Inputs!$B$25+Inputs!$B$29,IF(Skills!C4=2,90+Inputs!$B$26+Inputs!$B$29,IF(Skills!C4=3,120+Inputs!$B$27+Inputs!$B$29,MAX(0,(Inputs!$B$3-100)*3)+Inputs!$B$28+Inputs!$B$29)))</f>
        <v/>
      </c>
      <c r="E432">
        <f>INDEX(FactorTable!$B$2:$Y$301, MATCH(ROUND(MIN(300,MAX(1,D432)),0), FactorTable!$A$2:$A$301,0), Skills!M4+1)</f>
        <v/>
      </c>
      <c r="F432">
        <f>IF(Skills!N4=TRUE,(Skills!L4/10)*(E432/1000),Skills!L4/10)+Skills!O4</f>
        <v/>
      </c>
      <c r="G432">
        <f>Calc!G4</f>
        <v/>
      </c>
      <c r="H432">
        <f>Calc!H4</f>
        <v/>
      </c>
      <c r="I432">
        <f>IF(Skills!X4&lt;&gt;"",1+(Skills!X4/10)*(Z431/1000)/100,1)</f>
        <v/>
      </c>
      <c r="J432">
        <f>((Inputs!$B$6*(1+Inputs!$B$7/100))+(((Inputs!$B$12*(1+Inputs!$B$13/100))-(Inputs!$B$12*(1+Inputs!$B$13/100)))+0.25*(Inputs!$B$14-Inputs!$B$14))*(1+Inputs!$B$7/100))*(F432/100)</f>
        <v/>
      </c>
      <c r="K432">
        <f>J432*(1+((Inputs!$B$12*(1+Inputs!$B$13/100))*0.01+Inputs!$B$14*0.0025)/100)*(1+Inputs!$B$15/100)*(1+Inputs!$B$16/100)*(5000/(6000+Inputs!$B$42*(1-Inputs!$B$19/100)))*(1+Inputs!$B$24/100)*(1+F451/100)*(1+IF(Inputs!$B$3&gt;=120,F454,0)/100)^5*(1+(IF(Skills!A4="BASIC_ATTACK",Inputs!$B$17,Inputs!$B$18+IF(Inputs!$B$3&gt;=125,F455*5,0)))/100)*(B458*B459*B460*I432)</f>
        <v/>
      </c>
      <c r="L432">
        <f>K432*(MIN(Inputs!$B$22+(F450-Calc!F22),Inputs!$B$23)/100+Inputs!$B$23/100)/2</f>
        <v/>
      </c>
      <c r="M432">
        <f>L432*(1+(Inputs!$B$10+(F449-Calc!F21))/100)</f>
        <v/>
      </c>
      <c r="N432">
        <f>L432*(1-MIN((Inputs!$B$9+1)+(F448-Calc!F20),100)/100)+M432*(MIN((Inputs!$B$9+1)+(F448-Calc!F20),100)/100)</f>
        <v/>
      </c>
      <c r="O432">
        <f>(1-Summary!$B$56)*S432+Summary!$B$56*U432</f>
        <v/>
      </c>
      <c r="P432">
        <f>IF(B469=0,0,O432/B469)</f>
        <v/>
      </c>
      <c r="Q432">
        <f>IFERROR(1/IF(Inputs!$B$38="pvp",15,MAX(0.1,Skills!E4-IF(Skills!F4=TRUE,Inputs!$B$32,0))),0)</f>
        <v/>
      </c>
      <c r="R432">
        <f>IF(AND(Inputs!$B$38&lt;&gt;"pvp",Inputs!$B$43&gt;0),IF(MAX(0,Inputs!$B$43-B466)&lt;=0,0,(INT(MAX(0,Inputs!$B$43-B466)/IF(Inputs!$B$38="pvp",15,MAX(0.1,Skills!E4-IF(Skills!F4=TRUE,Inputs!$B$32,0))))+1)),0)</f>
        <v/>
      </c>
      <c r="S432">
        <f>IF(C432,(H432*N432*IF(AND(Inputs!$B$38&lt;&gt;"pvp",Inputs!$B$43&gt;0),((Skills!G4*((R432-1)*IF(Skills!H4&gt;0,Skills!I4/Skills!H4,1)+IF(Skills!H4&gt;0,MIN(Skills!I4,MAX(0,MAX(0,Inputs!$B$43-B466)-((R432-1)*IF(Inputs!$B$38="pvp",15,MAX(0.1,Skills!E4-IF(Skills!F4=TRUE,Inputs!$B$32,0))))))/Skills!H4,1)))/Inputs!$B$43),G432*Q432))*IF(Inputs!$B$38="pvp",1,1+(Inputs!$B$20+Skills!P4)/100),0)</f>
        <v/>
      </c>
      <c r="T432">
        <f>290*T431/1000</f>
        <v/>
      </c>
      <c r="U432">
        <f>IF(C432,(H432*N432*IF(AND(Inputs!$B$38&lt;&gt;"pvp",Inputs!$B$43&gt;0),((Skills!G4*((R432-1)*IF(Skills!H4&gt;0,Skills!I4/Skills!H4,1)+IF(Skills!H4&gt;0,MIN(Skills!I4,MAX(0,MAX(0,Inputs!$B$43-B466)-((R432-1)*IF(Inputs!$B$38="pvp",15,MAX(0.1,Skills!E4-IF(Skills!F4=TRUE,Inputs!$B$32,0))))))/Skills!H4,1)))/Inputs!$B$43),G432*Q432))*IF(Inputs!$B$38="pvp",1,(1+(Inputs!$B$21+Skills!Q4)/100)*(MIN(Skills!R4,Inputs!$B$37))),0)</f>
        <v/>
      </c>
    </row>
    <row r="433">
      <c r="A433">
        <f>Skills!A5</f>
        <v/>
      </c>
      <c r="B433">
        <f>Skills!B5</f>
        <v/>
      </c>
      <c r="C433">
        <f>TRUE</f>
        <v/>
      </c>
      <c r="D433">
        <f>IF(Skills!C5=1,60+Inputs!$B$25+Inputs!$B$29,IF(Skills!C5=2,90+Inputs!$B$26+Inputs!$B$29,IF(Skills!C5=3,120+Inputs!$B$27+Inputs!$B$29,MAX(0,(Inputs!$B$3-100)*3)+Inputs!$B$28+Inputs!$B$29)))</f>
        <v/>
      </c>
      <c r="E433">
        <f>INDEX(FactorTable!$B$2:$Y$301, MATCH(ROUND(MIN(300,MAX(1,D433)),0), FactorTable!$A$2:$A$301,0), Skills!M5+1)</f>
        <v/>
      </c>
      <c r="F433">
        <f>IF(Skills!N5=TRUE,(Skills!L5/10)*(E433/1000),Skills!L5/10)+Skills!O5</f>
        <v/>
      </c>
      <c r="G433">
        <f>Calc!G5</f>
        <v/>
      </c>
      <c r="H433">
        <f>Calc!H5</f>
        <v/>
      </c>
      <c r="I433">
        <f>IF(Skills!X5&lt;&gt;"",1+(Skills!X5/10)*(Z431/1000)/100,1)</f>
        <v/>
      </c>
      <c r="J433">
        <f>((Inputs!$B$6*(1+Inputs!$B$7/100))+(((Inputs!$B$12*(1+Inputs!$B$13/100))-(Inputs!$B$12*(1+Inputs!$B$13/100)))+0.25*(Inputs!$B$14-Inputs!$B$14))*(1+Inputs!$B$7/100))*(F433/100)</f>
        <v/>
      </c>
      <c r="K433">
        <f>J433*(1+((Inputs!$B$12*(1+Inputs!$B$13/100))*0.01+Inputs!$B$14*0.0025)/100)*(1+Inputs!$B$15/100)*(1+Inputs!$B$16/100)*(5000/(6000+Inputs!$B$42*(1-Inputs!$B$19/100)))*(1+Inputs!$B$24/100)*(1+F451/100)*(1+IF(Inputs!$B$3&gt;=120,F454,0)/100)^5*(1+(IF(Skills!A5="BASIC_ATTACK",Inputs!$B$17,Inputs!$B$18+IF(Inputs!$B$3&gt;=125,F455*5,0)))/100)*(B458*B459*B460*I433)</f>
        <v/>
      </c>
      <c r="L433">
        <f>K433*(MIN(Inputs!$B$22+(F450-Calc!F22),Inputs!$B$23)/100+Inputs!$B$23/100)/2</f>
        <v/>
      </c>
      <c r="M433">
        <f>L433*(1+(Inputs!$B$10+(F449-Calc!F21))/100)</f>
        <v/>
      </c>
      <c r="N433">
        <f>L433*(1-MIN((Inputs!$B$9+1)+(F448-Calc!F20),100)/100)+M433*(MIN((Inputs!$B$9+1)+(F448-Calc!F20),100)/100)</f>
        <v/>
      </c>
      <c r="O433">
        <f>(1-Summary!$B$56)*S433+Summary!$B$56*U433</f>
        <v/>
      </c>
      <c r="P433">
        <f>IF(B469=0,0,O433/B469)</f>
        <v/>
      </c>
      <c r="Q433">
        <f>IFERROR(1/IF(Inputs!$B$38="pvp",15,MAX(0.1,Skills!E5-IF(Skills!F5=TRUE,Inputs!$B$32,0))),0)</f>
        <v/>
      </c>
      <c r="R433">
        <f>IF(AND(Inputs!$B$38&lt;&gt;"pvp",Inputs!$B$43&gt;0),IF(MAX(0,Inputs!$B$43-B466)&lt;=0,0,(INT(MAX(0,Inputs!$B$43-B466)/IF(Inputs!$B$38="pvp",15,MAX(0.1,Skills!E5-IF(Skills!F5=TRUE,Inputs!$B$32,0))))+1)),0)</f>
        <v/>
      </c>
      <c r="S433">
        <f>IF(C433,(H433*N433*IF(AND(Inputs!$B$38&lt;&gt;"pvp",Inputs!$B$43&gt;0),((Skills!G5*((R433-1)*IF(Skills!H5&gt;0,Skills!I5/Skills!H5,1)+IF(Skills!H5&gt;0,MIN(Skills!I5,MAX(0,MAX(0,Inputs!$B$43-B466)-((R433-1)*IF(Inputs!$B$38="pvp",15,MAX(0.1,Skills!E5-IF(Skills!F5=TRUE,Inputs!$B$32,0))))))/Skills!H5,1)))/Inputs!$B$43),G433*Q433))*IF(Inputs!$B$38="pvp",1,1+(Inputs!$B$20+Skills!P5)/100),0)</f>
        <v/>
      </c>
      <c r="U433">
        <f>IF(C433,(H433*N433*IF(AND(Inputs!$B$38&lt;&gt;"pvp",Inputs!$B$43&gt;0),((Skills!G5*((R433-1)*IF(Skills!H5&gt;0,Skills!I5/Skills!H5,1)+IF(Skills!H5&gt;0,MIN(Skills!I5,MAX(0,MAX(0,Inputs!$B$43-B466)-((R433-1)*IF(Inputs!$B$38="pvp",15,MAX(0.1,Skills!E5-IF(Skills!F5=TRUE,Inputs!$B$32,0))))))/Skills!H5,1)))/Inputs!$B$43),G433*Q433))*IF(Inputs!$B$38="pvp",1,(1+(Inputs!$B$21+Skills!Q5)/100)*(MIN(Skills!R5,Inputs!$B$37))),0)</f>
        <v/>
      </c>
    </row>
    <row r="434">
      <c r="A434">
        <f>Skills!A6</f>
        <v/>
      </c>
      <c r="B434">
        <f>Skills!B6</f>
        <v/>
      </c>
      <c r="C434">
        <f>TRUE</f>
        <v/>
      </c>
      <c r="D434">
        <f>IF(Skills!C6=1,60+Inputs!$B$25+Inputs!$B$29,IF(Skills!C6=2,90+Inputs!$B$26+Inputs!$B$29,IF(Skills!C6=3,120+Inputs!$B$27+Inputs!$B$29,MAX(0,(Inputs!$B$3-100)*3)+Inputs!$B$28+Inputs!$B$29)))</f>
        <v/>
      </c>
      <c r="E434">
        <f>INDEX(FactorTable!$B$2:$Y$301, MATCH(ROUND(MIN(300,MAX(1,D434)),0), FactorTable!$A$2:$A$301,0), Skills!M6+1)</f>
        <v/>
      </c>
      <c r="F434">
        <f>IF(Skills!N6=TRUE,(Skills!L6/10)*(E434/1000),Skills!L6/10)+Skills!O6</f>
        <v/>
      </c>
      <c r="G434">
        <f>Calc!G6</f>
        <v/>
      </c>
      <c r="H434">
        <f>Calc!H6</f>
        <v/>
      </c>
      <c r="I434">
        <f>IF(Skills!X6&lt;&gt;"",1+(Skills!X6/10)*(Z431/1000)/100,1)</f>
        <v/>
      </c>
      <c r="J434" t="inlineStr"/>
      <c r="K434" t="inlineStr"/>
      <c r="L434" t="inlineStr"/>
      <c r="M434" t="inlineStr"/>
      <c r="N434" t="inlineStr"/>
      <c r="O434">
        <f>(1-Summary!$B$56)*S434+Summary!$B$56*U434</f>
        <v/>
      </c>
      <c r="P434">
        <f>IF(B469=0,0,O434/B469)</f>
        <v/>
      </c>
      <c r="Q434">
        <f>IFERROR(1/IF(Inputs!$B$38="pvp",15,MAX(0.1,Skills!E6-IF(Skills!F6=TRUE,Inputs!$B$32,0))),0)</f>
        <v/>
      </c>
      <c r="R434">
        <f>IF(AND(Inputs!$B$38&lt;&gt;"pvp",Inputs!$B$43&gt;0),IF(Inputs!$B$43&lt;=0,0,(INT(Inputs!$B$43/IF(Inputs!$B$38="pvp",15,MAX(0.1,Skills!E6-IF(Skills!F6=TRUE,Inputs!$B$32,0))))+1)),0)</f>
        <v/>
      </c>
      <c r="S434" t="n">
        <v>0</v>
      </c>
      <c r="U434" t="n">
        <v>0</v>
      </c>
    </row>
    <row r="435">
      <c r="A435">
        <f>Skills!A7</f>
        <v/>
      </c>
      <c r="B435">
        <f>Skills!B7</f>
        <v/>
      </c>
      <c r="C435">
        <f>TRUE</f>
        <v/>
      </c>
      <c r="D435">
        <f>IF(Skills!C7=1,60+Inputs!$B$25+Inputs!$B$29,IF(Skills!C7=2,90+Inputs!$B$26+Inputs!$B$29,IF(Skills!C7=3,120+Inputs!$B$27+Inputs!$B$29,MAX(0,(Inputs!$B$3-100)*3)+Inputs!$B$28+Inputs!$B$29)))</f>
        <v/>
      </c>
      <c r="E435">
        <f>INDEX(FactorTable!$B$2:$Y$301, MATCH(ROUND(MIN(300,MAX(1,D435)),0), FactorTable!$A$2:$A$301,0), Skills!M7+1)</f>
        <v/>
      </c>
      <c r="F435">
        <f>IF(Skills!N7=TRUE,(Skills!L7/10)*(E435/1000),Skills!L7/10)+Skills!O7</f>
        <v/>
      </c>
      <c r="G435">
        <f>Calc!G7</f>
        <v/>
      </c>
      <c r="H435">
        <f>Calc!H7</f>
        <v/>
      </c>
      <c r="I435">
        <f>IF(Skills!X7&lt;&gt;"",1+(Skills!X7/10)*(Z431/1000)/100,1)</f>
        <v/>
      </c>
      <c r="J435">
        <f>((Inputs!$B$6*(1+Inputs!$B$7/100))+(((Inputs!$B$12*(1+Inputs!$B$13/100))-(Inputs!$B$12*(1+Inputs!$B$13/100)))+0.25*(Inputs!$B$14-Inputs!$B$14))*(1+Inputs!$B$7/100))*(F435/100)</f>
        <v/>
      </c>
      <c r="K435">
        <f>J435*(1+((Inputs!$B$12*(1+Inputs!$B$13/100))*0.01+Inputs!$B$14*0.0025)/100)*(1+Inputs!$B$15/100)*(1+Inputs!$B$16/100)*(5000/(6000+Inputs!$B$42*(1-Inputs!$B$19/100)))*(1+Inputs!$B$24/100)*(1+F451/100)*(1+IF(Inputs!$B$3&gt;=120,F454,0)/100)^5*(1+(IF(Skills!A7="BASIC_ATTACK",Inputs!$B$17,Inputs!$B$18+IF(Inputs!$B$3&gt;=125,F455*5,0)))/100)*(B458*B459*B460*I435)</f>
        <v/>
      </c>
      <c r="L435">
        <f>K435*(MIN(Inputs!$B$22+(F450-Calc!F22),Inputs!$B$23)/100+Inputs!$B$23/100)/2</f>
        <v/>
      </c>
      <c r="M435">
        <f>L435*(1+(Inputs!$B$10+(F449-Calc!F21))/100)</f>
        <v/>
      </c>
      <c r="N435">
        <f>L435*(1-MIN((Inputs!$B$9+1)+(F448-Calc!F20),100)/100)+M435*(MIN((Inputs!$B$9+1)+(F448-Calc!F20),100)/100)</f>
        <v/>
      </c>
      <c r="O435">
        <f>(1-Summary!$B$56)*S435+Summary!$B$56*U435</f>
        <v/>
      </c>
      <c r="P435">
        <f>IF(B469=0,0,O435/B469)</f>
        <v/>
      </c>
      <c r="Q435">
        <f>IFERROR(1/IF(Inputs!$B$38="pvp",15,MAX(0.1,Skills!E7-IF(Skills!F7=TRUE,Inputs!$B$32,0))),0)</f>
        <v/>
      </c>
      <c r="R435">
        <f>IF(AND(Inputs!$B$38&lt;&gt;"pvp",Inputs!$B$43&gt;0),IF(MAX(0,Inputs!$B$43-B466)&lt;=0,0,(INT(MAX(0,Inputs!$B$43-B466)/IF(Inputs!$B$38="pvp",15,MAX(0.1,Skills!E7-IF(Skills!F7=TRUE,Inputs!$B$32,0))))+1)),0)</f>
        <v/>
      </c>
      <c r="S435">
        <f>IF(C435,(H435*N435*IF(AND(Inputs!$B$38&lt;&gt;"pvp",Inputs!$B$43&gt;0),((Skills!G7*((R435-1)*IF(Skills!H7&gt;0,Skills!I7/Skills!H7,1)+IF(Skills!H7&gt;0,MIN(Skills!I7,MAX(0,MAX(0,Inputs!$B$43-B466)-((R435-1)*IF(Inputs!$B$38="pvp",15,MAX(0.1,Skills!E7-IF(Skills!F7=TRUE,Inputs!$B$32,0))))))/Skills!H7,1)))/Inputs!$B$43),G435*Q435))*IF(Inputs!$B$38="pvp",1,1+(Inputs!$B$20+Skills!P7)/100),0)</f>
        <v/>
      </c>
      <c r="U435">
        <f>IF(C435,(H435*N435*IF(AND(Inputs!$B$38&lt;&gt;"pvp",Inputs!$B$43&gt;0),((Skills!G7*((R435-1)*IF(Skills!H7&gt;0,Skills!I7/Skills!H7,1)+IF(Skills!H7&gt;0,MIN(Skills!I7,MAX(0,MAX(0,Inputs!$B$43-B466)-((R435-1)*IF(Inputs!$B$38="pvp",15,MAX(0.1,Skills!E7-IF(Skills!F7=TRUE,Inputs!$B$32,0))))))/Skills!H7,1)))/Inputs!$B$43),G435*Q435))*IF(Inputs!$B$38="pvp",1,(1+(Inputs!$B$21+Skills!Q7)/100)*(MIN(Skills!R7,Inputs!$B$37))),0)</f>
        <v/>
      </c>
    </row>
    <row r="436">
      <c r="A436">
        <f>Skills!A8</f>
        <v/>
      </c>
      <c r="B436">
        <f>Skills!B8</f>
        <v/>
      </c>
      <c r="C436">
        <f>TRUE</f>
        <v/>
      </c>
      <c r="D436">
        <f>IF(Skills!C8=1,60+Inputs!$B$25+Inputs!$B$29,IF(Skills!C8=2,90+Inputs!$B$26+Inputs!$B$29,IF(Skills!C8=3,120+Inputs!$B$27+Inputs!$B$29,MAX(0,(Inputs!$B$3-100)*3)+Inputs!$B$28+Inputs!$B$29)))</f>
        <v/>
      </c>
      <c r="E436">
        <f>INDEX(FactorTable!$B$2:$Y$301, MATCH(ROUND(MIN(300,MAX(1,D436)),0), FactorTable!$A$2:$A$301,0), Skills!M8+1)</f>
        <v/>
      </c>
      <c r="F436">
        <f>IF(Skills!N8=TRUE,(Skills!L8/10)*(E436/1000),Skills!L8/10)+Skills!O8</f>
        <v/>
      </c>
      <c r="G436">
        <f>Calc!G8</f>
        <v/>
      </c>
      <c r="H436">
        <f>Calc!H8</f>
        <v/>
      </c>
      <c r="I436">
        <f>IF(Skills!X8&lt;&gt;"",1+(Skills!X8/10)*(Z431/1000)/100,1)</f>
        <v/>
      </c>
      <c r="J436">
        <f>((Inputs!$B$6*(1+Inputs!$B$7/100))+(((Inputs!$B$12*(1+Inputs!$B$13/100))-(Inputs!$B$12*(1+Inputs!$B$13/100)))+0.25*(Inputs!$B$14-Inputs!$B$14))*(1+Inputs!$B$7/100))*(F436/100)</f>
        <v/>
      </c>
      <c r="K436">
        <f>J436*(1+((Inputs!$B$12*(1+Inputs!$B$13/100))*0.01+Inputs!$B$14*0.0025)/100)*(1+Inputs!$B$15/100)*(1+Inputs!$B$16/100)*(5000/(6000+Inputs!$B$42*(1-Inputs!$B$19/100)))*(1+Inputs!$B$24/100)*(1+F451/100)*(1+IF(Inputs!$B$3&gt;=120,F454,0)/100)^5*(1+(IF(Skills!A8="BASIC_ATTACK",Inputs!$B$17,Inputs!$B$18+IF(Inputs!$B$3&gt;=125,F455*5,0)))/100)*(B458*B459*B460*I436)</f>
        <v/>
      </c>
      <c r="L436">
        <f>K436*(MIN(Inputs!$B$22+(F450-Calc!F22),Inputs!$B$23)/100+Inputs!$B$23/100)/2</f>
        <v/>
      </c>
      <c r="M436">
        <f>L436*(1+(Inputs!$B$10+(F449-Calc!F21))/100)</f>
        <v/>
      </c>
      <c r="N436">
        <f>L436*(1-MIN((Inputs!$B$9+1)+(F448-Calc!F20),100)/100)+M436*(MIN((Inputs!$B$9+1)+(F448-Calc!F20),100)/100)</f>
        <v/>
      </c>
      <c r="O436">
        <f>(1-Summary!$B$56)*S436+Summary!$B$56*U436</f>
        <v/>
      </c>
      <c r="P436">
        <f>IF(B469=0,0,O436/B469)</f>
        <v/>
      </c>
      <c r="Q436">
        <f>IFERROR(1/IF(Inputs!$B$38="pvp",15,MAX(0.1,Skills!E8-IF(Skills!F8=TRUE,Inputs!$B$32,0))),0)</f>
        <v/>
      </c>
      <c r="R436">
        <f>IF(AND(Inputs!$B$38&lt;&gt;"pvp",Inputs!$B$43&gt;0),IF(MAX(0,Inputs!$B$43-B466)&lt;=0,0,(INT(MAX(0,Inputs!$B$43-B466)/IF(Inputs!$B$38="pvp",15,MAX(0.1,Skills!E8-IF(Skills!F8=TRUE,Inputs!$B$32,0))))+1)),0)</f>
        <v/>
      </c>
      <c r="S436">
        <f>IF(C436,(H436*N436*IF(AND(Inputs!$B$38&lt;&gt;"pvp",Inputs!$B$43&gt;0),((Skills!G8*((R436-1)*IF(Skills!H8&gt;0,Skills!I8/Skills!H8,1)+IF(Skills!H8&gt;0,MIN(Skills!I8,MAX(0,MAX(0,Inputs!$B$43-B466)-((R436-1)*IF(Inputs!$B$38="pvp",15,MAX(0.1,Skills!E8-IF(Skills!F8=TRUE,Inputs!$B$32,0))))))/Skills!H8,1)))/Inputs!$B$43),G436*Q436))*IF(Inputs!$B$38="pvp",1,1+(Inputs!$B$20+Skills!P8)/100),0)</f>
        <v/>
      </c>
      <c r="U436">
        <f>IF(C436,(H436*N436*IF(AND(Inputs!$B$38&lt;&gt;"pvp",Inputs!$B$43&gt;0),((Skills!G8*((R436-1)*IF(Skills!H8&gt;0,Skills!I8/Skills!H8,1)+IF(Skills!H8&gt;0,MIN(Skills!I8,MAX(0,MAX(0,Inputs!$B$43-B466)-((R436-1)*IF(Inputs!$B$38="pvp",15,MAX(0.1,Skills!E8-IF(Skills!F8=TRUE,Inputs!$B$32,0))))))/Skills!H8,1)))/Inputs!$B$43),G436*Q436))*IF(Inputs!$B$38="pvp",1,(1+(Inputs!$B$21+Skills!Q8)/100)*(MIN(Skills!R8,Inputs!$B$37))),0)</f>
        <v/>
      </c>
    </row>
    <row r="437">
      <c r="A437">
        <f>Skills!A9</f>
        <v/>
      </c>
      <c r="B437">
        <f>Skills!B9</f>
        <v/>
      </c>
      <c r="C437">
        <f>Inputs!$B$3&gt;=103</f>
        <v/>
      </c>
      <c r="D437">
        <f>IF(Skills!C9=1,60+Inputs!$B$25+Inputs!$B$29,IF(Skills!C9=2,90+Inputs!$B$26+Inputs!$B$29,IF(Skills!C9=3,120+Inputs!$B$27+Inputs!$B$29,MAX(0,(Inputs!$B$3-100)*3)+Inputs!$B$28+Inputs!$B$29)))</f>
        <v/>
      </c>
      <c r="E437">
        <f>INDEX(FactorTable!$B$2:$Y$301, MATCH(ROUND(MIN(300,MAX(1,D437)),0), FactorTable!$A$2:$A$301,0), Skills!M9+1)</f>
        <v/>
      </c>
      <c r="F437">
        <f>IF(Skills!N9=TRUE,(Skills!L9/10)*(E437/1000),Skills!L9/10)+Skills!O9</f>
        <v/>
      </c>
      <c r="G437">
        <f>Calc!G9</f>
        <v/>
      </c>
      <c r="H437">
        <f>Calc!H9</f>
        <v/>
      </c>
      <c r="I437">
        <f>IF(Skills!X9&lt;&gt;"",1+(Skills!X9/10)*(Z431/1000)/100,1)</f>
        <v/>
      </c>
      <c r="J437">
        <f>((Inputs!$B$6*(1+Inputs!$B$7/100))+(((Inputs!$B$12*(1+Inputs!$B$13/100))-(Inputs!$B$12*(1+Inputs!$B$13/100)))+0.25*(Inputs!$B$14-Inputs!$B$14))*(1+Inputs!$B$7/100))*(F437/100)</f>
        <v/>
      </c>
      <c r="K437">
        <f>J437*(1+((Inputs!$B$12*(1+Inputs!$B$13/100))*0.01+Inputs!$B$14*0.0025)/100)*(1+Inputs!$B$15/100)*(1+Inputs!$B$16/100)*(5000/(6000+Inputs!$B$42*(1-Inputs!$B$19/100)))*(1+Inputs!$B$24/100)*(1+F451/100)*(1+IF(Inputs!$B$3&gt;=120,F454,0)/100)^5*(1+(IF(Skills!A9="BASIC_ATTACK",Inputs!$B$17,Inputs!$B$18+IF(Inputs!$B$3&gt;=125,F455*5,0)))/100)*(B458*B459*B460*I437)</f>
        <v/>
      </c>
      <c r="L437">
        <f>K437*(MIN(Inputs!$B$22+(F450-Calc!F22),Inputs!$B$23)/100+Inputs!$B$23/100)/2</f>
        <v/>
      </c>
      <c r="M437">
        <f>L437*(1+(Inputs!$B$10+(F449-Calc!F21))/100)</f>
        <v/>
      </c>
      <c r="N437">
        <f>L437*(1-MIN((Inputs!$B$9+1)+(F448-Calc!F20),100)/100)+M437*(MIN((Inputs!$B$9+1)+(F448-Calc!F20),100)/100)</f>
        <v/>
      </c>
      <c r="O437">
        <f>(1-Summary!$B$56)*S437+Summary!$B$56*U437</f>
        <v/>
      </c>
      <c r="P437">
        <f>IF(B469=0,0,O437/B469)</f>
        <v/>
      </c>
      <c r="Q437">
        <f>IFERROR(1/IF(Inputs!$B$38="pvp",15,MAX(0.1,Skills!E9-IF(Skills!F7=TRUE,Inputs!$B$32,0))),0)</f>
        <v/>
      </c>
      <c r="R437">
        <f>IF(AND(Inputs!$B$38&lt;&gt;"pvp",Inputs!$B$43&gt;0),IF(MAX(0,Inputs!$B$43-B466)&lt;=0,0,(INT(MAX(0,Inputs!$B$43-B466)/IF(Inputs!$B$38="pvp",15,MAX(0.1,Skills!E9-IF(Skills!F7=TRUE,Inputs!$B$32,0))))+1)),0)</f>
        <v/>
      </c>
      <c r="S437">
        <f>IF(C437,(H437*N437*IF(AND(Inputs!$B$38&lt;&gt;"pvp",Inputs!$B$43&gt;0),((Skills!G9*((R437-1)*IF(Skills!H9&gt;0,Skills!I9/Skills!H9,1)+IF(Skills!H9&gt;0,MIN(Skills!I9,MAX(0,MAX(0,Inputs!$B$43-B466)-((R437-1)*IF(Inputs!$B$38="pvp",15,MAX(0.1,Skills!E9-IF(Skills!F7=TRUE,Inputs!$B$32,0))))))/Skills!H9,1)))/Inputs!$B$43),G437*Q437))*IF(Inputs!$B$38="pvp",1,1+(Inputs!$B$20+Skills!P9)/100),0)</f>
        <v/>
      </c>
      <c r="U437">
        <f>IF(C437,(H437*N437*IF(AND(Inputs!$B$38&lt;&gt;"pvp",Inputs!$B$43&gt;0),((Skills!G9*((R437-1)*IF(Skills!H9&gt;0,Skills!I9/Skills!H9,1)+IF(Skills!H9&gt;0,MIN(Skills!I9,MAX(0,MAX(0,Inputs!$B$43-B466)-((R437-1)*IF(Inputs!$B$38="pvp",15,MAX(0.1,Skills!E9-IF(Skills!F7=TRUE,Inputs!$B$32,0))))))/Skills!H9,1)))/Inputs!$B$43),G437*Q437))*IF(Inputs!$B$38="pvp",1,(1+(Inputs!$B$21+Skills!Q9)/100)*(MIN(Skills!R9,Inputs!$B$37))),0)</f>
        <v/>
      </c>
    </row>
    <row r="438">
      <c r="A438">
        <f>Skills!A10</f>
        <v/>
      </c>
      <c r="B438">
        <f>Skills!B10</f>
        <v/>
      </c>
      <c r="C438">
        <f>TRUE</f>
        <v/>
      </c>
      <c r="D438">
        <f>IF(Skills!C10=1,60+Inputs!$B$25+Inputs!$B$29,IF(Skills!C10=2,90+Inputs!$B$26+Inputs!$B$29,IF(Skills!C10=3,120+Inputs!$B$27+Inputs!$B$29,MAX(0,(Inputs!$B$3-100)*3)+Inputs!$B$28+Inputs!$B$29)))</f>
        <v/>
      </c>
      <c r="E438">
        <f>INDEX(FactorTable!$B$2:$Y$301, MATCH(ROUND(MIN(300,MAX(1,D438)),0), FactorTable!$A$2:$A$301,0), Skills!M10+1)</f>
        <v/>
      </c>
      <c r="F438">
        <f>IF(Skills!N10=TRUE,(Skills!L10/10)*(E438/1000),Skills!L10/10)+Skills!O10</f>
        <v/>
      </c>
      <c r="G438">
        <f>Calc!G10</f>
        <v/>
      </c>
      <c r="H438">
        <f>Calc!H10</f>
        <v/>
      </c>
      <c r="I438">
        <f>IF(Skills!X10&lt;&gt;"",1+(Skills!X10/10)*(Z431/1000)/100,1)</f>
        <v/>
      </c>
      <c r="J438">
        <f>((Inputs!$B$6*(1+Inputs!$B$7/100))+(((Inputs!$B$12*(1+Inputs!$B$13/100))-(Inputs!$B$12*(1+Inputs!$B$13/100)))+0.25*(Inputs!$B$14-Inputs!$B$14))*(1+Inputs!$B$7/100))*(F438/100)</f>
        <v/>
      </c>
      <c r="K438">
        <f>J438*(1+((Inputs!$B$12*(1+Inputs!$B$13/100))*0.01+Inputs!$B$14*0.0025)/100)*(1+Inputs!$B$15/100)*(1+Inputs!$B$16/100)*(5000/(6000+Inputs!$B$42*(1-Inputs!$B$19/100)))*(1+Inputs!$B$24/100)*(1+F451/100)*(1+IF(Inputs!$B$3&gt;=120,F454,0)/100)^5*(1+(IF(Skills!A10="BASIC_ATTACK",Inputs!$B$17,Inputs!$B$18+IF(Inputs!$B$3&gt;=125,F455*5,0)))/100)*(B458*B459*B460*I438)</f>
        <v/>
      </c>
      <c r="L438">
        <f>K438*(MIN(Inputs!$B$22+(F450-Calc!F22),Inputs!$B$23)/100+Inputs!$B$23/100)/2</f>
        <v/>
      </c>
      <c r="M438">
        <f>L438*(1+(Inputs!$B$10+(F449-Calc!F21))/100)</f>
        <v/>
      </c>
      <c r="N438">
        <f>L438*(1-MIN((Inputs!$B$9+1)+(F448-Calc!F20),100)/100)+M438*(MIN((Inputs!$B$9+1)+(F448-Calc!F20),100)/100)</f>
        <v/>
      </c>
      <c r="O438">
        <f>(1-Summary!$B$56)*S438+Summary!$B$56*U438</f>
        <v/>
      </c>
      <c r="P438">
        <f>IF(B469=0,0,O438/B469)</f>
        <v/>
      </c>
      <c r="Q438">
        <f>IFERROR(1/IF(Inputs!$B$38="pvp",15,MAX(0.1,Skills!E10-IF(Skills!F10=TRUE,Inputs!$B$32,0))),0)</f>
        <v/>
      </c>
      <c r="R438">
        <f>IF(AND(Inputs!$B$38&lt;&gt;"pvp",Inputs!$B$43&gt;0),IF(MAX(0,Inputs!$B$43-B466)&lt;=0,0,(INT(MAX(0,Inputs!$B$43-B466)/IF(Inputs!$B$38="pvp",15,MAX(0.1,Skills!E10-IF(Skills!F10=TRUE,Inputs!$B$32,0))))+1)),0)</f>
        <v/>
      </c>
      <c r="S438">
        <f>IF(C438,(H438*N438*IF(AND(Inputs!$B$38&lt;&gt;"pvp",Inputs!$B$43&gt;0),((Skills!G10*((R438-1)*IF(Skills!H10&gt;0,Skills!I10/Skills!H10,1)+IF(Skills!H10&gt;0,MIN(Skills!I10,MAX(0,MAX(0,Inputs!$B$43-B466)-((R438-1)*IF(Inputs!$B$38="pvp",15,MAX(0.1,Skills!E10-IF(Skills!F10=TRUE,Inputs!$B$32,0))))))/Skills!H10,1)))/Inputs!$B$43),G438*Q438))*IF(Inputs!$B$38="pvp",1,1+(Inputs!$B$20+Skills!P10)/100),0)</f>
        <v/>
      </c>
      <c r="U438">
        <f>IF(C438,(H438*N438*IF(AND(Inputs!$B$38&lt;&gt;"pvp",Inputs!$B$43&gt;0),((Skills!G10*((R438-1)*IF(Skills!H10&gt;0,Skills!I10/Skills!H10,1)+IF(Skills!H10&gt;0,MIN(Skills!I10,MAX(0,MAX(0,Inputs!$B$43-B466)-((R438-1)*IF(Inputs!$B$38="pvp",15,MAX(0.1,Skills!E10-IF(Skills!F10=TRUE,Inputs!$B$32,0))))))/Skills!H10,1)))/Inputs!$B$43),G438*Q438))*IF(Inputs!$B$38="pvp",1,(1+(Inputs!$B$21+Skills!Q10)/100)*(MIN(Skills!R10,Inputs!$B$37))),0)</f>
        <v/>
      </c>
    </row>
    <row r="439">
      <c r="A439">
        <f>Skills!A11</f>
        <v/>
      </c>
      <c r="B439">
        <f>Skills!B11</f>
        <v/>
      </c>
      <c r="C439">
        <f>TRUE</f>
        <v/>
      </c>
      <c r="D439">
        <f>IF(Skills!C11=1,60+Inputs!$B$25+Inputs!$B$29,IF(Skills!C11=2,90+Inputs!$B$26+Inputs!$B$29,IF(Skills!C11=3,120+Inputs!$B$27+Inputs!$B$29,MAX(0,(Inputs!$B$3-100)*3)+Inputs!$B$28+Inputs!$B$29)))</f>
        <v/>
      </c>
      <c r="E439">
        <f>INDEX(FactorTable!$B$2:$Y$301, MATCH(ROUND(MIN(300,MAX(1,D439)),0), FactorTable!$A$2:$A$301,0), Skills!M11+1)</f>
        <v/>
      </c>
      <c r="F439">
        <f>IF(Skills!N11=TRUE,(Skills!L11/10)*(E439/1000),Skills!L11/10)+Skills!O11</f>
        <v/>
      </c>
      <c r="G439">
        <f>Calc!G11</f>
        <v/>
      </c>
      <c r="H439">
        <f>Calc!H11</f>
        <v/>
      </c>
      <c r="I439">
        <f>IF(Skills!X11&lt;&gt;"",1+(Skills!X11/10)*(Z431/1000)/100,1)</f>
        <v/>
      </c>
      <c r="J439" t="inlineStr"/>
      <c r="K439" t="inlineStr"/>
      <c r="L439" t="inlineStr"/>
      <c r="M439" t="inlineStr"/>
      <c r="N439" t="inlineStr"/>
      <c r="O439">
        <f>(1-Summary!$B$56)*S439+Summary!$B$56*U439</f>
        <v/>
      </c>
      <c r="P439">
        <f>IF(B469=0,0,O439/B469)</f>
        <v/>
      </c>
      <c r="Q439">
        <f>IFERROR(1/IF(Inputs!$B$38="pvp",15,MAX(0.1,Skills!E11-IF(Skills!F11=TRUE,Inputs!$B$32,0))),0)</f>
        <v/>
      </c>
      <c r="R439" t="n">
        <v>0</v>
      </c>
      <c r="S439" t="n">
        <v>0</v>
      </c>
      <c r="U439" t="n">
        <v>0</v>
      </c>
    </row>
    <row r="440">
      <c r="A440">
        <f>Skills!A12</f>
        <v/>
      </c>
      <c r="B440">
        <f>Skills!B12</f>
        <v/>
      </c>
      <c r="C440">
        <f>TRUE</f>
        <v/>
      </c>
      <c r="D440">
        <f>IF(Skills!C12=1,60+Inputs!$B$25+Inputs!$B$29,IF(Skills!C12=2,90+Inputs!$B$26+Inputs!$B$29,IF(Skills!C12=3,120+Inputs!$B$27+Inputs!$B$29,MAX(0,(Inputs!$B$3-100)*3)+Inputs!$B$28+Inputs!$B$29)))</f>
        <v/>
      </c>
      <c r="E440">
        <f>INDEX(FactorTable!$B$2:$Y$301, MATCH(ROUND(MIN(300,MAX(1,D440)),0), FactorTable!$A$2:$A$301,0), Skills!M12+1)</f>
        <v/>
      </c>
      <c r="F440">
        <f>IF(Skills!N12=TRUE,(Skills!L12/10)*(E440/1000),Skills!L12/10)+Skills!O12</f>
        <v/>
      </c>
      <c r="G440">
        <f>Calc!G12</f>
        <v/>
      </c>
      <c r="H440">
        <f>Calc!H12</f>
        <v/>
      </c>
      <c r="I440">
        <f>IF(Skills!X12&lt;&gt;"",1+(Skills!X12/10)*(Z431/1000)/100,1)</f>
        <v/>
      </c>
      <c r="J440" t="inlineStr"/>
      <c r="K440" t="inlineStr"/>
      <c r="L440" t="inlineStr"/>
      <c r="M440" t="inlineStr"/>
      <c r="N440" t="inlineStr"/>
      <c r="O440">
        <f>(1-Summary!$B$56)*S440+Summary!$B$56*U440</f>
        <v/>
      </c>
      <c r="P440">
        <f>IF(B469=0,0,O440/B469)</f>
        <v/>
      </c>
      <c r="Q440">
        <f>IFERROR(1/IF(Inputs!$B$38="pvp",15,MAX(0.1,Skills!E12-IF(Skills!F12=TRUE,Inputs!$B$32,0))),0)</f>
        <v/>
      </c>
      <c r="R440" t="n">
        <v>0</v>
      </c>
      <c r="S440" t="n">
        <v>0</v>
      </c>
      <c r="U440" t="n">
        <v>0</v>
      </c>
    </row>
    <row r="441">
      <c r="A441">
        <f>Skills!A13</f>
        <v/>
      </c>
      <c r="B441">
        <f>Skills!B13</f>
        <v/>
      </c>
      <c r="C441">
        <f>Inputs!$B$3&gt;=105</f>
        <v/>
      </c>
      <c r="D441">
        <f>IF(Skills!C13=1,60+Inputs!$B$25+Inputs!$B$29,IF(Skills!C13=2,90+Inputs!$B$26+Inputs!$B$29,IF(Skills!C13=3,120+Inputs!$B$27+Inputs!$B$29,MAX(0,(Inputs!$B$3-100)*3)+Inputs!$B$28+Inputs!$B$29)))</f>
        <v/>
      </c>
      <c r="E441">
        <f>INDEX(FactorTable!$B$2:$Y$301, MATCH(ROUND(MIN(300,MAX(1,D441)),0), FactorTable!$A$2:$A$301,0), Skills!M13+1)</f>
        <v/>
      </c>
      <c r="F441">
        <f>IF(Skills!N13=TRUE,(Skills!L13/10)*(E441/1000),Skills!L13/10)+Skills!O13</f>
        <v/>
      </c>
      <c r="G441">
        <f>Calc!G13</f>
        <v/>
      </c>
      <c r="H441">
        <f>Calc!H13</f>
        <v/>
      </c>
      <c r="I441">
        <f>IF(Skills!X13&lt;&gt;"",1+(Skills!X13/10)*(Z431/1000)/100,1)</f>
        <v/>
      </c>
      <c r="J441">
        <f>((Inputs!$B$6*(1+Inputs!$B$7/100))+(((Inputs!$B$12*(1+Inputs!$B$13/100))-(Inputs!$B$12*(1+Inputs!$B$13/100)))+0.25*(Inputs!$B$14-Inputs!$B$14))*(1+Inputs!$B$7/100))*(F441/100)</f>
        <v/>
      </c>
      <c r="K441">
        <f>J441*(1+((Inputs!$B$12*(1+Inputs!$B$13/100))*0.01+Inputs!$B$14*0.0025)/100)*(1+Inputs!$B$15/100)*(1+Inputs!$B$16/100)*(5000/(6000+Inputs!$B$42*(1-Inputs!$B$19/100)))*(1+Inputs!$B$24/100)*(1+F451/100)*(1+IF(Inputs!$B$3&gt;=120,F454,0)/100)^5*(1+(IF(Skills!A13="BASIC_ATTACK",Inputs!$B$17,Inputs!$B$18+IF(Inputs!$B$3&gt;=125,F455*5,0)))/100)*(B458*B459*B460*I441)</f>
        <v/>
      </c>
      <c r="L441">
        <f>K441*(MIN(Inputs!$B$22+(F450-Calc!F22),Inputs!$B$23)/100+Inputs!$B$23/100)/2</f>
        <v/>
      </c>
      <c r="M441">
        <f>L441*(1+(Inputs!$B$10+(F449-Calc!F21))/100)</f>
        <v/>
      </c>
      <c r="N441">
        <f>L441*(1-MIN((Inputs!$B$9+1)+(F448-Calc!F20),100)/100)+M441*(MIN((Inputs!$B$9+1)+(F448-Calc!F20),100)/100)</f>
        <v/>
      </c>
      <c r="O441">
        <f>(1-Summary!$B$56)*S441+Summary!$B$56*U441</f>
        <v/>
      </c>
      <c r="P441">
        <f>IF(B469=0,0,O441/B469)</f>
        <v/>
      </c>
      <c r="Q441">
        <f>IFERROR(1/IF(Inputs!$B$38="pvp",15,MAX(0.1,Skills!E13-IF(Skills!F13=TRUE,Inputs!$B$32,0))),0)</f>
        <v/>
      </c>
      <c r="R441">
        <f>IF(AND(Inputs!$B$38&lt;&gt;"pvp",Inputs!$B$43&gt;0),IF(MAX(0,Inputs!$B$43-B466)&lt;=0,0,(INT(MAX(0,Inputs!$B$43-B466)/IF(Inputs!$B$38="pvp",15,MAX(0.1,Skills!E13-IF(Skills!F13=TRUE,Inputs!$B$32,0))))+1)),0)</f>
        <v/>
      </c>
      <c r="S441">
        <f>IF(C441,(H441*N441*IF(AND(Inputs!$B$38&lt;&gt;"pvp",Inputs!$B$43&gt;0),((Skills!G13*((R441-1)*IF(Skills!H13&gt;0,Skills!I13/Skills!H13,1)+IF(Skills!H13&gt;0,MIN(Skills!I13,MAX(0,MAX(0,Inputs!$B$43-B466)-((R441-1)*IF(Inputs!$B$38="pvp",15,MAX(0.1,Skills!E13-IF(Skills!F13=TRUE,Inputs!$B$32,0))))))/Skills!H13,1)))/Inputs!$B$43),G441*Q441))*IF(Inputs!$B$38="pvp",1,1+(Inputs!$B$20+Skills!P13)/100),0)</f>
        <v/>
      </c>
      <c r="U441">
        <f>IF(C441,(H441*N441*IF(AND(Inputs!$B$38&lt;&gt;"pvp",Inputs!$B$43&gt;0),((Skills!G13*((R441-1)*IF(Skills!H13&gt;0,Skills!I13/Skills!H13,1)+IF(Skills!H13&gt;0,MIN(Skills!I13,MAX(0,MAX(0,Inputs!$B$43-B466)-((R441-1)*IF(Inputs!$B$38="pvp",15,MAX(0.1,Skills!E13-IF(Skills!F13=TRUE,Inputs!$B$32,0))))))/Skills!H13,1)))/Inputs!$B$43),G441*Q441))*IF(Inputs!$B$38="pvp",1,(1+(Inputs!$B$21+Skills!Q13)/100)*(MIN(Skills!R13,Inputs!$B$37))),0)</f>
        <v/>
      </c>
    </row>
    <row r="442">
      <c r="A442">
        <f>Skills!A14</f>
        <v/>
      </c>
      <c r="B442">
        <f>Skills!B14</f>
        <v/>
      </c>
      <c r="C442">
        <f>Inputs!$B$3&gt;=113</f>
        <v/>
      </c>
      <c r="D442">
        <f>IF(Skills!C14=1,60+Inputs!$B$25+Inputs!$B$29,IF(Skills!C14=2,90+Inputs!$B$26+Inputs!$B$29,IF(Skills!C14=3,120+Inputs!$B$27+Inputs!$B$29,MAX(0,(Inputs!$B$3-100)*3)+Inputs!$B$28+Inputs!$B$29)))</f>
        <v/>
      </c>
      <c r="E442">
        <f>INDEX(FactorTable!$B$2:$Y$301, MATCH(ROUND(MIN(300,MAX(1,D442)),0), FactorTable!$A$2:$A$301,0), Skills!M14+1)</f>
        <v/>
      </c>
      <c r="F442">
        <f>IF(Skills!N14=TRUE,(Skills!L14/10)*(E442/1000),Skills!L14/10)+Skills!O14</f>
        <v/>
      </c>
      <c r="G442">
        <f>Calc!G14</f>
        <v/>
      </c>
      <c r="H442">
        <f>Calc!H14</f>
        <v/>
      </c>
      <c r="I442">
        <f>IF(Skills!X14&lt;&gt;"",1+(Skills!X14/10)*(Z431/1000)/100,1)</f>
        <v/>
      </c>
      <c r="J442">
        <f>((Inputs!$B$6*(1+Inputs!$B$7/100))+(((Inputs!$B$12*(1+Inputs!$B$13/100))-(Inputs!$B$12*(1+Inputs!$B$13/100)))+0.25*(Inputs!$B$14-Inputs!$B$14))*(1+Inputs!$B$7/100))*(F442/100)</f>
        <v/>
      </c>
      <c r="K442">
        <f>J442*(1+((Inputs!$B$12*(1+Inputs!$B$13/100))*0.01+Inputs!$B$14*0.0025)/100)*(1+Inputs!$B$15/100)*(1+Inputs!$B$16/100)*(5000/(6000+Inputs!$B$42*(1-Inputs!$B$19/100)))*(1+Inputs!$B$24/100)*(1+F451/100)*(1+IF(Inputs!$B$3&gt;=120,F454,0)/100)^5*(1+(IF(Skills!A14="BASIC_ATTACK",Inputs!$B$17,Inputs!$B$18+IF(Inputs!$B$3&gt;=125,F455*5,0)))/100)*(B458*B459*B460*I442)</f>
        <v/>
      </c>
      <c r="L442">
        <f>K442*(MIN(Inputs!$B$22+(F450-Calc!F22),Inputs!$B$23)/100+Inputs!$B$23/100)/2</f>
        <v/>
      </c>
      <c r="M442">
        <f>L442*(1+(Inputs!$B$10+(F449-Calc!F21))/100)</f>
        <v/>
      </c>
      <c r="N442">
        <f>L442*(1-MIN((Inputs!$B$9+1)+(F448-Calc!F20),100)/100)+M442*(MIN((Inputs!$B$9+1)+(F448-Calc!F20),100)/100)</f>
        <v/>
      </c>
      <c r="O442">
        <f>(1-Summary!$B$56)*S442+Summary!$B$56*U442</f>
        <v/>
      </c>
      <c r="P442">
        <f>IF(B469=0,0,O442/B469)</f>
        <v/>
      </c>
      <c r="Q442">
        <f>IFERROR(1/IF(Inputs!$B$38="pvp",15,MAX(0.1,Skills!E14-IF(Skills!F14=TRUE,Inputs!$B$32,0))),0)</f>
        <v/>
      </c>
      <c r="R442" t="n">
        <v>0</v>
      </c>
      <c r="S442">
        <f>IF(C442,((H442*B465)/(1+Skills!H14*H442*B465)*N442)*IF(Inputs!$B$38="pvp",1,1+(Inputs!$B$20+Skills!P14)/100),0)</f>
        <v/>
      </c>
      <c r="U442">
        <f>IF(C442,((H442*B465)/(1+Skills!H14*H442*B465)*N442)*IF(Inputs!$B$38="pvp",1,(1+(Inputs!$B$21+Skills!Q14)/100)*(MIN(Skills!R14,Inputs!$B$37))),0)</f>
        <v/>
      </c>
    </row>
    <row r="443">
      <c r="A443">
        <f>Skills!A15</f>
        <v/>
      </c>
      <c r="B443">
        <f>Skills!B15</f>
        <v/>
      </c>
      <c r="C443">
        <f>Inputs!$B$3&gt;=107</f>
        <v/>
      </c>
      <c r="D443">
        <f>IF(Skills!C15=1,60+Inputs!$B$25+Inputs!$B$29,IF(Skills!C15=2,90+Inputs!$B$26+Inputs!$B$29,IF(Skills!C15=3,120+Inputs!$B$27+Inputs!$B$29,MAX(0,(Inputs!$B$3-100)*3)+Inputs!$B$28+Inputs!$B$29)))</f>
        <v/>
      </c>
      <c r="E443">
        <f>INDEX(FactorTable!$B$2:$Y$301, MATCH(ROUND(MIN(300,MAX(1,D443)),0), FactorTable!$A$2:$A$301,0), Skills!M15+1)</f>
        <v/>
      </c>
      <c r="F443">
        <f>IF(Skills!N15=TRUE,(Skills!L15/10)*(E443/1000),Skills!L15/10)+Skills!O15</f>
        <v/>
      </c>
      <c r="G443">
        <f>Calc!G15</f>
        <v/>
      </c>
      <c r="H443">
        <f>Calc!H15</f>
        <v/>
      </c>
      <c r="I443">
        <f>IF(Skills!X15&lt;&gt;"",1+(Skills!X15/10)*(Z431/1000)/100,1)</f>
        <v/>
      </c>
      <c r="J443">
        <f>((Inputs!$B$6*(1+Inputs!$B$7/100))+(((Inputs!$B$12*(1+Inputs!$B$13/100))-(Inputs!$B$12*(1+Inputs!$B$13/100)))+0.25*(Inputs!$B$14-Inputs!$B$14))*(1+Inputs!$B$7/100))*(F443/100)</f>
        <v/>
      </c>
      <c r="K443">
        <f>J443*(1+((Inputs!$B$12*(1+Inputs!$B$13/100))*0.01+Inputs!$B$14*0.0025)/100)*(1+Inputs!$B$15/100)*(1+Inputs!$B$16/100)*(5000/(6000+Inputs!$B$42*(1-Inputs!$B$19/100)))*(1+Inputs!$B$24/100)*(1+F451/100)*(1+IF(Inputs!$B$3&gt;=120,F454,0)/100)^5*(1+(IF(Skills!A15="BASIC_ATTACK",Inputs!$B$17,Inputs!$B$18+IF(Inputs!$B$3&gt;=125,F455*5,0)))/100)*(B458*B459*B460*I443)</f>
        <v/>
      </c>
      <c r="L443">
        <f>K443*(MIN(Inputs!$B$22+(F450-Calc!F22),Inputs!$B$23)/100+Inputs!$B$23/100)/2</f>
        <v/>
      </c>
      <c r="M443">
        <f>L443*(1+(Inputs!$B$10+(F449-Calc!F21))/100)</f>
        <v/>
      </c>
      <c r="N443">
        <f>L443*(1-MIN((Inputs!$B$9+1)+(F448-Calc!F20),100)/100)+M443*(MIN((Inputs!$B$9+1)+(F448-Calc!F20),100)/100)</f>
        <v/>
      </c>
      <c r="O443">
        <f>(1-Summary!$B$56)*S443+Summary!$B$56*U443</f>
        <v/>
      </c>
      <c r="P443">
        <f>IF(B469=0,0,O443/B469)</f>
        <v/>
      </c>
      <c r="Q443">
        <f>IFERROR(1/IF(Inputs!$B$38="pvp",15,MAX(0.1,Skills!E15-IF(Skills!F15=TRUE,Inputs!$B$32,0))),0)</f>
        <v/>
      </c>
      <c r="R443">
        <f>IF(AND(Inputs!$B$38&lt;&gt;"pvp",Inputs!$B$43&gt;0),IF(MAX(0,Inputs!$B$43-B466)&lt;=0,0,(INT(MAX(0,Inputs!$B$43-B466)/IF(Inputs!$B$38="pvp",15,MAX(0.1,Skills!E15-IF(Skills!F15=TRUE,Inputs!$B$32,0))))+1)),0)</f>
        <v/>
      </c>
      <c r="S443">
        <f>IF(C443,(H443*N443*IF(AND(Inputs!$B$38&lt;&gt;"pvp",Inputs!$B$43&gt;0),((Skills!G15*((R443-1)*IF(Skills!H15&gt;0,Skills!I15/Skills!H15,1)+IF(Skills!H15&gt;0,MIN(Skills!I15,MAX(0,MAX(0,Inputs!$B$43-B466)-((R443-1)*IF(Inputs!$B$38="pvp",15,MAX(0.1,Skills!E15-IF(Skills!F15=TRUE,Inputs!$B$32,0))))))/Skills!H15,1)))/Inputs!$B$43),G443*Q443))*IF(Inputs!$B$38="pvp",1,1+(Inputs!$B$20+Skills!P15)/100),0)</f>
        <v/>
      </c>
      <c r="U443">
        <f>IF(C443,(H443*N443*IF(AND(Inputs!$B$38&lt;&gt;"pvp",Inputs!$B$43&gt;0),((Skills!G15*((R443-1)*IF(Skills!H15&gt;0,Skills!I15/Skills!H15,1)+IF(Skills!H15&gt;0,MIN(Skills!I15,MAX(0,MAX(0,Inputs!$B$43-B466)-((R443-1)*IF(Inputs!$B$38="pvp",15,MAX(0.1,Skills!E15-IF(Skills!F15=TRUE,Inputs!$B$32,0))))))/Skills!H15,1)))/Inputs!$B$43),G443*Q443))*IF(Inputs!$B$38="pvp",1,(1+(Inputs!$B$21+Skills!Q15)/100)*(MIN(Skills!R15,Inputs!$B$37))),0)</f>
        <v/>
      </c>
    </row>
    <row r="444">
      <c r="A444">
        <f>Skills!A16</f>
        <v/>
      </c>
      <c r="B444">
        <f>Skills!B16</f>
        <v/>
      </c>
      <c r="C444">
        <f>Inputs!$B$3&gt;=107</f>
        <v/>
      </c>
      <c r="D444">
        <f>IF(Skills!C16=1,60+Inputs!$B$25+Inputs!$B$29,IF(Skills!C16=2,90+Inputs!$B$26+Inputs!$B$29,IF(Skills!C16=3,120+Inputs!$B$27+Inputs!$B$29,MAX(0,(Inputs!$B$3-100)*3)+Inputs!$B$28+Inputs!$B$29)))</f>
        <v/>
      </c>
      <c r="E444">
        <f>INDEX(FactorTable!$B$2:$Y$301, MATCH(ROUND(MIN(300,MAX(1,D444)),0), FactorTable!$A$2:$A$301,0), Skills!M16+1)</f>
        <v/>
      </c>
      <c r="F444">
        <f>IF(Skills!N16=TRUE,(Skills!L16/10)*(E444/1000),Skills!L16/10)+Skills!O16</f>
        <v/>
      </c>
      <c r="G444">
        <f>Calc!G16</f>
        <v/>
      </c>
      <c r="H444">
        <f>Calc!H16</f>
        <v/>
      </c>
      <c r="I444">
        <f>IF(Skills!X16&lt;&gt;"",1+(Skills!X16/10)*(Z431/1000)/100,1)</f>
        <v/>
      </c>
      <c r="J444">
        <f>((Inputs!$B$6*(1+Inputs!$B$7/100))+(((Inputs!$B$12*(1+Inputs!$B$13/100))-(Inputs!$B$12*(1+Inputs!$B$13/100)))+0.25*(Inputs!$B$14-Inputs!$B$14))*(1+Inputs!$B$7/100))*(F444/100)</f>
        <v/>
      </c>
      <c r="K444">
        <f>J444*(1+((Inputs!$B$12*(1+Inputs!$B$13/100))*0.01+Inputs!$B$14*0.0025)/100)*(1+Inputs!$B$15/100)*(1+Inputs!$B$16/100)*(5000/(6000+Inputs!$B$42*(1-Inputs!$B$19/100)))*(1+Inputs!$B$24/100)*(1+F451/100)*(1+IF(Inputs!$B$3&gt;=120,F454,0)/100)^5*(1+(IF(Skills!A16="BASIC_ATTACK",Inputs!$B$17,Inputs!$B$18+IF(Inputs!$B$3&gt;=125,F455*5,0)))/100)*(B458*B459*B460*I444)</f>
        <v/>
      </c>
      <c r="L444">
        <f>K444*(MIN(Inputs!$B$22+(F450-Calc!F22),Inputs!$B$23)/100+Inputs!$B$23/100)/2</f>
        <v/>
      </c>
      <c r="M444">
        <f>L444*(1+(Inputs!$B$10+(F449-Calc!F21))/100)</f>
        <v/>
      </c>
      <c r="N444">
        <f>L444*(1-MIN((Inputs!$B$9+1)+(F448-Calc!F20),100)/100)+M444*(MIN((Inputs!$B$9+1)+(F448-Calc!F20),100)/100)</f>
        <v/>
      </c>
      <c r="O444">
        <f>(1-Summary!$B$56)*S444+Summary!$B$56*U444</f>
        <v/>
      </c>
      <c r="P444">
        <f>IF(B469=0,0,O444/B469)</f>
        <v/>
      </c>
      <c r="Q444">
        <f>IFERROR(1/IF(Inputs!$B$38="pvp",15,MAX(0.1,Skills!E16-IF(Skills!F16=TRUE,Inputs!$B$32,0))),0)</f>
        <v/>
      </c>
      <c r="R444">
        <f>IF(AND(Inputs!$B$38&lt;&gt;"pvp",Inputs!$B$43&gt;0),IF(MAX(0,Inputs!$B$43-B466)&lt;=0,0,(INT(MAX(0,Inputs!$B$43-B466)/IF(Inputs!$B$38="pvp",15,MAX(0.1,Skills!E16-IF(Skills!F16=TRUE,Inputs!$B$32,0))))+1)),0)</f>
        <v/>
      </c>
      <c r="S444">
        <f>IF(C444,(H444*N444*IF(AND(Inputs!$B$38&lt;&gt;"pvp",Inputs!$B$43&gt;0),((Skills!G16*((R444-1)*IF(Skills!H16&gt;0,Skills!I16/Skills!H16,1)+IF(Skills!H16&gt;0,MIN(Skills!I16,MAX(0,MAX(0,Inputs!$B$43-B466)-((R444-1)*IF(Inputs!$B$38="pvp",15,MAX(0.1,Skills!E16-IF(Skills!F16=TRUE,Inputs!$B$32,0))))))/Skills!H16,1)))/Inputs!$B$43),G444*Q444)*(1+IF(Inputs!$B$3&gt;=126,0.05*(B464+Q441+(H442*B465)/(1+Skills!H14*H442*B465)+Q452),0)*Skills!E15))*IF(Inputs!$B$38="pvp",1,1+(Inputs!$B$20+Skills!P16)/100),0)</f>
        <v/>
      </c>
      <c r="U444">
        <f>IF(C444,(H444*N444*IF(AND(Inputs!$B$38&lt;&gt;"pvp",Inputs!$B$43&gt;0),((Skills!G16*((R444-1)*IF(Skills!H16&gt;0,Skills!I16/Skills!H16,1)+IF(Skills!H16&gt;0,MIN(Skills!I16,MAX(0,MAX(0,Inputs!$B$43-B466)-((R444-1)*IF(Inputs!$B$38="pvp",15,MAX(0.1,Skills!E16-IF(Skills!F16=TRUE,Inputs!$B$32,0))))))/Skills!H16,1)))/Inputs!$B$43),G444*Q444)*(1+IF(Inputs!$B$3&gt;=126,0.05*(B464+Q441+(H442*B465)/(1+Skills!H14*H442*B465)+Q452),0)*Skills!E15))*IF(Inputs!$B$38="pvp",1,(1+(Inputs!$B$21+Skills!Q16)/100)*(MIN(Skills!R16,Inputs!$B$37))),0)</f>
        <v/>
      </c>
    </row>
    <row r="445">
      <c r="A445">
        <f>Skills!A17</f>
        <v/>
      </c>
      <c r="B445">
        <f>Skills!B17</f>
        <v/>
      </c>
      <c r="C445">
        <f>TRUE</f>
        <v/>
      </c>
      <c r="D445">
        <f>IF(Skills!C17=1,60+Inputs!$B$25+Inputs!$B$29,IF(Skills!C17=2,90+Inputs!$B$26+Inputs!$B$29,IF(Skills!C17=3,120+Inputs!$B$27+Inputs!$B$29,MAX(0,(Inputs!$B$3-100)*3)+Inputs!$B$28+Inputs!$B$29)))</f>
        <v/>
      </c>
      <c r="E445">
        <f>INDEX(FactorTable!$B$2:$Y$301, MATCH(ROUND(MIN(300,MAX(1,D445)),0), FactorTable!$A$2:$A$301,0), Skills!M17+1)</f>
        <v/>
      </c>
      <c r="F445">
        <f>IF(Skills!N17=TRUE,(Skills!L17/10)*(E445/1000),Skills!L17/10)+Skills!O17</f>
        <v/>
      </c>
      <c r="G445">
        <f>Calc!G17</f>
        <v/>
      </c>
      <c r="H445">
        <f>Calc!H17</f>
        <v/>
      </c>
      <c r="I445">
        <f>IF(Skills!X17&lt;&gt;"",1+(Skills!X17/10)*(Z431/1000)/100,1)</f>
        <v/>
      </c>
      <c r="J445" t="inlineStr"/>
      <c r="K445" t="inlineStr"/>
      <c r="L445" t="inlineStr"/>
      <c r="M445" t="inlineStr"/>
      <c r="N445" t="inlineStr"/>
      <c r="O445">
        <f>(1-Summary!$B$56)*S445+Summary!$B$56*U445</f>
        <v/>
      </c>
      <c r="P445">
        <f>IF(B469=0,0,O445/B469)</f>
        <v/>
      </c>
      <c r="Q445">
        <f>IFERROR(1/IF(Inputs!$B$38="pvp",15,MAX(0.1,Skills!E17-IF(Skills!F17=TRUE,Inputs!$B$32,0))),0)</f>
        <v/>
      </c>
      <c r="R445">
        <f>IF(AND(Inputs!$B$38&lt;&gt;"pvp",Inputs!$B$43&gt;0),IF(Inputs!$B$43&lt;=0,0,(INT(Inputs!$B$43/IF(Inputs!$B$38="pvp",15,MAX(0.1,Skills!E17-IF(Skills!F17=TRUE,Inputs!$B$32,0))))+1)),0)</f>
        <v/>
      </c>
      <c r="S445" t="n">
        <v>0</v>
      </c>
      <c r="U445" t="n">
        <v>0</v>
      </c>
    </row>
    <row r="446">
      <c r="A446">
        <f>Skills!A18</f>
        <v/>
      </c>
      <c r="B446">
        <f>Skills!B18</f>
        <v/>
      </c>
      <c r="C446">
        <f>TRUE</f>
        <v/>
      </c>
      <c r="D446">
        <f>IF(Skills!C18=1,60+Inputs!$B$25+Inputs!$B$29,IF(Skills!C18=2,90+Inputs!$B$26+Inputs!$B$29,IF(Skills!C18=3,120+Inputs!$B$27+Inputs!$B$29,MAX(0,(Inputs!$B$3-100)*3)+Inputs!$B$28+Inputs!$B$29)))</f>
        <v/>
      </c>
      <c r="E446">
        <f>INDEX(FactorTable!$B$2:$Y$301, MATCH(ROUND(MIN(300,MAX(1,D446)),0), FactorTable!$A$2:$A$301,0), Skills!M18+1)</f>
        <v/>
      </c>
      <c r="F446">
        <f>IF(Skills!N18=TRUE,(Skills!L18/10)*(E446/1000),Skills!L18/10)+Skills!O18</f>
        <v/>
      </c>
      <c r="G446">
        <f>Calc!G18</f>
        <v/>
      </c>
      <c r="H446">
        <f>Calc!H18</f>
        <v/>
      </c>
      <c r="I446">
        <f>IF(Skills!X18&lt;&gt;"",1+(Skills!X18/10)*(Z431/1000)/100,1)</f>
        <v/>
      </c>
      <c r="J446" t="inlineStr"/>
      <c r="K446" t="inlineStr"/>
      <c r="L446" t="inlineStr"/>
      <c r="M446" t="inlineStr"/>
      <c r="N446" t="inlineStr"/>
      <c r="O446">
        <f>(1-Summary!$B$56)*S446+Summary!$B$56*U446</f>
        <v/>
      </c>
      <c r="P446">
        <f>IF(B469=0,0,O446/B469)</f>
        <v/>
      </c>
      <c r="Q446">
        <f>IFERROR(1/IF(Inputs!$B$38="pvp",15,MAX(0.1,Skills!E18-IF(Skills!F18=TRUE,Inputs!$B$32,0))),0)</f>
        <v/>
      </c>
      <c r="R446">
        <f>IF(AND(Inputs!$B$38&lt;&gt;"pvp",Inputs!$B$43&gt;0),IF(Inputs!$B$43&lt;=0,0,(INT(Inputs!$B$43/IF(Inputs!$B$38="pvp",15,MAX(0.1,Skills!E18-IF(Skills!F18=TRUE,Inputs!$B$32,0))))+1)),0)</f>
        <v/>
      </c>
      <c r="S446" t="n">
        <v>0</v>
      </c>
      <c r="U446" t="n">
        <v>0</v>
      </c>
    </row>
    <row r="447">
      <c r="A447">
        <f>Skills!A19</f>
        <v/>
      </c>
      <c r="B447">
        <f>Skills!B19</f>
        <v/>
      </c>
      <c r="C447">
        <f>Inputs!$B$3&gt;=110</f>
        <v/>
      </c>
      <c r="D447">
        <f>IF(Skills!C19=1,60+Inputs!$B$25+Inputs!$B$29,IF(Skills!C19=2,90+Inputs!$B$26+Inputs!$B$29,IF(Skills!C19=3,120+Inputs!$B$27+Inputs!$B$29,MAX(0,(Inputs!$B$3-100)*3)+Inputs!$B$28+Inputs!$B$29)))</f>
        <v/>
      </c>
      <c r="E447">
        <f>INDEX(FactorTable!$B$2:$Y$301, MATCH(ROUND(MIN(300,MAX(1,D447)),0), FactorTable!$A$2:$A$301,0), Skills!M19+1)</f>
        <v/>
      </c>
      <c r="F447">
        <f>IF(Skills!N19=TRUE,(Skills!L19/10)*(E447/1000),Skills!L19/10)+Skills!O19</f>
        <v/>
      </c>
      <c r="G447">
        <f>Calc!G19</f>
        <v/>
      </c>
      <c r="H447">
        <f>Calc!H19</f>
        <v/>
      </c>
      <c r="I447">
        <f>IF(Skills!X19&lt;&gt;"",1+(Skills!X19/10)*(Z431/1000)/100,1)</f>
        <v/>
      </c>
      <c r="J447" t="inlineStr"/>
      <c r="K447" t="inlineStr"/>
      <c r="L447" t="inlineStr"/>
      <c r="M447" t="inlineStr"/>
      <c r="N447" t="inlineStr"/>
      <c r="O447">
        <f>(1-Summary!$B$56)*S447+Summary!$B$56*U447</f>
        <v/>
      </c>
      <c r="P447">
        <f>IF(B469=0,0,O447/B469)</f>
        <v/>
      </c>
      <c r="Q447">
        <f>IFERROR(1/IF(Inputs!$B$38="pvp",15,MAX(0.1,Skills!E19-IF(Skills!F19=TRUE,Inputs!$B$32,0))),0)</f>
        <v/>
      </c>
      <c r="R447">
        <f>IF(AND(Inputs!$B$38&lt;&gt;"pvp",Inputs!$B$43&gt;0),IF(Inputs!$B$43&lt;=0,0,(INT(Inputs!$B$43/IF(Inputs!$B$38="pvp",15,MAX(0.1,Skills!E19-IF(Skills!F19=TRUE,Inputs!$B$32,0))))+1)),0)</f>
        <v/>
      </c>
      <c r="S447" t="n">
        <v>0</v>
      </c>
      <c r="U447" t="n">
        <v>0</v>
      </c>
    </row>
    <row r="448">
      <c r="A448">
        <f>Skills!A20</f>
        <v/>
      </c>
      <c r="B448">
        <f>Skills!B20</f>
        <v/>
      </c>
      <c r="C448">
        <f>TRUE</f>
        <v/>
      </c>
      <c r="D448">
        <f>IF(Skills!C20=1,60+Inputs!$B$25+Inputs!$B$29,IF(Skills!C20=2,90+Inputs!$B$26+Inputs!$B$29,IF(Skills!C20=3,120+Inputs!$B$27+Inputs!$B$29,MAX(0,(Inputs!$B$3-100)*3)+Inputs!$B$28+Inputs!$B$29)))</f>
        <v/>
      </c>
      <c r="E448">
        <f>INDEX(FactorTable!$B$2:$Y$301, MATCH(ROUND(MIN(300,MAX(1,D448)),0), FactorTable!$A$2:$A$301,0), Skills!M20+1)</f>
        <v/>
      </c>
      <c r="F448">
        <f>IF(Skills!N20=TRUE,(Skills!L20/10)*(E448/1000),Skills!L20/10)+Skills!O20</f>
        <v/>
      </c>
      <c r="G448">
        <f>Calc!G20</f>
        <v/>
      </c>
      <c r="H448">
        <f>Calc!H20</f>
        <v/>
      </c>
      <c r="I448">
        <f>IF(Skills!X20&lt;&gt;"",1+(Skills!X20/10)*(Z431/1000)/100,1)</f>
        <v/>
      </c>
      <c r="J448" t="inlineStr"/>
      <c r="K448" t="inlineStr"/>
      <c r="L448" t="inlineStr"/>
      <c r="M448" t="inlineStr"/>
      <c r="N448" t="inlineStr"/>
      <c r="O448">
        <f>(1-Summary!$B$56)*S448+Summary!$B$56*U448</f>
        <v/>
      </c>
      <c r="P448">
        <f>IF(B469=0,0,O448/B469)</f>
        <v/>
      </c>
      <c r="Q448">
        <f>IFERROR(1/IF(Inputs!$B$38="pvp",15,MAX(0.1,Skills!E20-IF(Skills!F20=TRUE,Inputs!$B$32,0))),0)</f>
        <v/>
      </c>
      <c r="R448" t="n">
        <v>0</v>
      </c>
      <c r="S448" t="n">
        <v>0</v>
      </c>
      <c r="U448" t="n">
        <v>0</v>
      </c>
    </row>
    <row r="449">
      <c r="A449">
        <f>Skills!A21</f>
        <v/>
      </c>
      <c r="B449">
        <f>Skills!B21</f>
        <v/>
      </c>
      <c r="C449">
        <f>TRUE</f>
        <v/>
      </c>
      <c r="D449">
        <f>IF(Skills!C21=1,60+Inputs!$B$25+Inputs!$B$29,IF(Skills!C21=2,90+Inputs!$B$26+Inputs!$B$29,IF(Skills!C21=3,120+Inputs!$B$27+Inputs!$B$29,MAX(0,(Inputs!$B$3-100)*3)+Inputs!$B$28+Inputs!$B$29)))</f>
        <v/>
      </c>
      <c r="E449">
        <f>INDEX(FactorTable!$B$2:$Y$301, MATCH(ROUND(MIN(300,MAX(1,D449)),0), FactorTable!$A$2:$A$301,0), Skills!M21+1)</f>
        <v/>
      </c>
      <c r="F449">
        <f>IF(Skills!N21=TRUE,(Skills!L21/10)*(E449/1000),Skills!L21/10)+Skills!O21</f>
        <v/>
      </c>
      <c r="G449">
        <f>Calc!G21</f>
        <v/>
      </c>
      <c r="H449">
        <f>Calc!H21</f>
        <v/>
      </c>
      <c r="I449">
        <f>IF(Skills!X21&lt;&gt;"",1+(Skills!X21/10)*(Z431/1000)/100,1)</f>
        <v/>
      </c>
      <c r="J449" t="inlineStr"/>
      <c r="K449" t="inlineStr"/>
      <c r="L449" t="inlineStr"/>
      <c r="M449" t="inlineStr"/>
      <c r="N449" t="inlineStr"/>
      <c r="O449">
        <f>(1-Summary!$B$56)*S449+Summary!$B$56*U449</f>
        <v/>
      </c>
      <c r="P449">
        <f>IF(B469=0,0,O449/B469)</f>
        <v/>
      </c>
      <c r="Q449">
        <f>IFERROR(1/IF(Inputs!$B$38="pvp",15,MAX(0.1,Skills!E21-IF(Skills!F21=TRUE,Inputs!$B$32,0))),0)</f>
        <v/>
      </c>
      <c r="R449" t="n">
        <v>0</v>
      </c>
      <c r="S449" t="n">
        <v>0</v>
      </c>
      <c r="U449" t="n">
        <v>0</v>
      </c>
    </row>
    <row r="450">
      <c r="A450">
        <f>Skills!A22</f>
        <v/>
      </c>
      <c r="B450">
        <f>Skills!B22</f>
        <v/>
      </c>
      <c r="C450">
        <f>TRUE</f>
        <v/>
      </c>
      <c r="D450">
        <f>IF(Skills!C22=1,60+Inputs!$B$25+Inputs!$B$29,IF(Skills!C22=2,90+Inputs!$B$26+Inputs!$B$29,IF(Skills!C22=3,120+Inputs!$B$27+Inputs!$B$29,MAX(0,(Inputs!$B$3-100)*3)+Inputs!$B$28+Inputs!$B$29)))</f>
        <v/>
      </c>
      <c r="E450">
        <f>INDEX(FactorTable!$B$2:$Y$301, MATCH(ROUND(MIN(300,MAX(1,D450)),0), FactorTable!$A$2:$A$301,0), Skills!M22+1)</f>
        <v/>
      </c>
      <c r="F450">
        <f>IF(Skills!N22=TRUE,(Skills!L22/10)*(E450/1000),Skills!L22/10)+Skills!O22</f>
        <v/>
      </c>
      <c r="G450">
        <f>Calc!G22</f>
        <v/>
      </c>
      <c r="H450">
        <f>Calc!H22</f>
        <v/>
      </c>
      <c r="I450">
        <f>IF(Skills!X22&lt;&gt;"",1+(Skills!X22/10)*(Z431/1000)/100,1)</f>
        <v/>
      </c>
      <c r="J450" t="inlineStr"/>
      <c r="K450" t="inlineStr"/>
      <c r="L450" t="inlineStr"/>
      <c r="M450" t="inlineStr"/>
      <c r="N450" t="inlineStr"/>
      <c r="O450">
        <f>(1-Summary!$B$56)*S450+Summary!$B$56*U450</f>
        <v/>
      </c>
      <c r="P450">
        <f>IF(B469=0,0,O450/B469)</f>
        <v/>
      </c>
      <c r="Q450">
        <f>IFERROR(1/IF(Inputs!$B$38="pvp",15,MAX(0.1,Skills!E22-IF(Skills!F22=TRUE,Inputs!$B$32,0))),0)</f>
        <v/>
      </c>
      <c r="R450" t="n">
        <v>0</v>
      </c>
      <c r="S450" t="n">
        <v>0</v>
      </c>
      <c r="U450" t="n">
        <v>0</v>
      </c>
    </row>
    <row r="451">
      <c r="A451">
        <f>Skills!A23</f>
        <v/>
      </c>
      <c r="B451">
        <f>Skills!B23</f>
        <v/>
      </c>
      <c r="C451">
        <f>TRUE</f>
        <v/>
      </c>
      <c r="D451">
        <f>IF(Skills!C23=1,60+Inputs!$B$25+Inputs!$B$29,IF(Skills!C23=2,90+Inputs!$B$26+Inputs!$B$29,IF(Skills!C23=3,120+Inputs!$B$27+Inputs!$B$29,MAX(0,(Inputs!$B$3-100)*3)+Inputs!$B$28+Inputs!$B$29)))</f>
        <v/>
      </c>
      <c r="E451">
        <f>INDEX(FactorTable!$B$2:$Y$301, MATCH(ROUND(MIN(300,MAX(1,D451)),0), FactorTable!$A$2:$A$301,0), Skills!M23+1)</f>
        <v/>
      </c>
      <c r="F451">
        <f>IF(Skills!N23=TRUE,(Skills!L23/10)*(E451/1000),Skills!L23/10)+Skills!O23</f>
        <v/>
      </c>
      <c r="G451">
        <f>Calc!G23</f>
        <v/>
      </c>
      <c r="H451">
        <f>Calc!H23</f>
        <v/>
      </c>
      <c r="I451">
        <f>IF(Skills!X23&lt;&gt;"",1+(Skills!X23/10)*(Z431/1000)/100,1)</f>
        <v/>
      </c>
      <c r="J451" t="inlineStr"/>
      <c r="K451" t="inlineStr"/>
      <c r="L451" t="inlineStr"/>
      <c r="M451" t="inlineStr"/>
      <c r="N451" t="inlineStr"/>
      <c r="O451">
        <f>(1-Summary!$B$56)*S451+Summary!$B$56*U451</f>
        <v/>
      </c>
      <c r="P451">
        <f>IF(B469=0,0,O451/B469)</f>
        <v/>
      </c>
      <c r="Q451">
        <f>IFERROR(1/IF(Inputs!$B$38="pvp",15,MAX(0.1,Skills!E23-IF(Skills!F23=TRUE,Inputs!$B$32,0))),0)</f>
        <v/>
      </c>
      <c r="R451" t="n">
        <v>0</v>
      </c>
      <c r="S451" t="n">
        <v>0</v>
      </c>
      <c r="U451" t="n">
        <v>0</v>
      </c>
    </row>
    <row r="452">
      <c r="A452">
        <f>Skills!A24</f>
        <v/>
      </c>
      <c r="B452">
        <f>Skills!B24</f>
        <v/>
      </c>
      <c r="C452">
        <f>Inputs!$B$3&gt;=115</f>
        <v/>
      </c>
      <c r="D452">
        <f>IF(Skills!C24=1,60+Inputs!$B$25+Inputs!$B$29,IF(Skills!C24=2,90+Inputs!$B$26+Inputs!$B$29,IF(Skills!C24=3,120+Inputs!$B$27+Inputs!$B$29,MAX(0,(Inputs!$B$3-100)*3)+Inputs!$B$28+Inputs!$B$29)))</f>
        <v/>
      </c>
      <c r="E452">
        <f>INDEX(FactorTable!$B$2:$Y$301, MATCH(ROUND(MIN(300,MAX(1,D452)),0), FactorTable!$A$2:$A$301,0), Skills!M24+1)</f>
        <v/>
      </c>
      <c r="F452">
        <f>IF(Skills!N24=TRUE,(Skills!L24/10)*(E452/1000),Skills!L24/10)+Skills!O24</f>
        <v/>
      </c>
      <c r="G452">
        <f>Calc!G24</f>
        <v/>
      </c>
      <c r="H452">
        <f>Calc!H24</f>
        <v/>
      </c>
      <c r="I452">
        <f>IF(Skills!X24&lt;&gt;"",1+(Skills!X24/10)*(Z431/1000)/100,1)</f>
        <v/>
      </c>
      <c r="J452">
        <f>((Inputs!$B$6*(1+Inputs!$B$7/100))+(((Inputs!$B$12*(1+Inputs!$B$13/100))-(Inputs!$B$12*(1+Inputs!$B$13/100)))+0.25*(Inputs!$B$14-Inputs!$B$14))*(1+Inputs!$B$7/100))*(F452/100)</f>
        <v/>
      </c>
      <c r="K452">
        <f>J452*(1+((Inputs!$B$12*(1+Inputs!$B$13/100))*0.01+Inputs!$B$14*0.0025)/100)*(1+Inputs!$B$15/100)*(1+Inputs!$B$16/100)*(5000/(6000+Inputs!$B$42*(1-Inputs!$B$19/100)))*(1+Inputs!$B$24/100)*(1+F451/100)*(1+IF(Inputs!$B$3&gt;=120,F454,0)/100)^5*(1+(IF(Skills!A24="BASIC_ATTACK",Inputs!$B$17,Inputs!$B$18+IF(Inputs!$B$3&gt;=125,F455*5,0)))/100)*(B458*B459*B460*I452)</f>
        <v/>
      </c>
      <c r="L452">
        <f>K452*(MIN(Inputs!$B$22+(F450-Calc!F22),Inputs!$B$23)/100+Inputs!$B$23/100)/2</f>
        <v/>
      </c>
      <c r="M452">
        <f>L452*(1+(Inputs!$B$10+(F449-Calc!F21))/100)</f>
        <v/>
      </c>
      <c r="N452">
        <f>L452*(1-MIN((Inputs!$B$9+1)+(F448-Calc!F20),100)/100)+M452*(MIN((Inputs!$B$9+1)+(F448-Calc!F20),100)/100)</f>
        <v/>
      </c>
      <c r="O452">
        <f>(1-Summary!$B$56)*S452+Summary!$B$56*U452</f>
        <v/>
      </c>
      <c r="P452">
        <f>IF(B469=0,0,O452/B469)</f>
        <v/>
      </c>
      <c r="Q452">
        <f>IFERROR(1/IF(Inputs!$B$38="pvp",15,MAX(0.1,Skills!E24-IF(Skills!F24=TRUE,Inputs!$B$32,0))),0)</f>
        <v/>
      </c>
      <c r="R452">
        <f>IF(AND(Inputs!$B$38&lt;&gt;"pvp",Inputs!$B$43&gt;0),IF(MAX(0,Inputs!$B$43-B466)&lt;=0,0,(INT(MAX(0,Inputs!$B$43-B466)/IF(Inputs!$B$38="pvp",15,MAX(0.1,Skills!E24-IF(Skills!F24=TRUE,Inputs!$B$32,0))))+1)),0)</f>
        <v/>
      </c>
      <c r="S452">
        <f>IF(C452,(H452*N452*IF(AND(Inputs!$B$38&lt;&gt;"pvp",Inputs!$B$43&gt;0),((Skills!G24*((R452-1)*IF(Skills!H24&gt;0,Skills!I24/Skills!H24,1)+IF(Skills!H24&gt;0,MIN(Skills!I24,MAX(0,MAX(0,Inputs!$B$43-B466)-((R452-1)*IF(Inputs!$B$38="pvp",15,MAX(0.1,Skills!E24-IF(Skills!F24=TRUE,Inputs!$B$32,0))))))/Skills!H24,1)))/Inputs!$B$43),G452*Q452)*(1+IF(Inputs!$B$3&gt;=130,0.2*(Skills!I16/Skills!E15+IF(Inputs!$B$3&gt;=126,0.05*(B464+Q441+(H442*B465)/(1+Skills!H14*H442*B465)+Q452),0)*Skills!I16),0)))*IF(Inputs!$B$38="pvp",1,1+(Inputs!$B$20+Skills!P24)/100),0)</f>
        <v/>
      </c>
      <c r="U452">
        <f>IF(C452,(H452*N452*IF(AND(Inputs!$B$38&lt;&gt;"pvp",Inputs!$B$43&gt;0),((Skills!G24*((R452-1)*IF(Skills!H24&gt;0,Skills!I24/Skills!H24,1)+IF(Skills!H24&gt;0,MIN(Skills!I24,MAX(0,MAX(0,Inputs!$B$43-B466)-((R452-1)*IF(Inputs!$B$38="pvp",15,MAX(0.1,Skills!E24-IF(Skills!F24=TRUE,Inputs!$B$32,0))))))/Skills!H24,1)))/Inputs!$B$43),G452*Q452)*(1+IF(Inputs!$B$3&gt;=130,0.2*(Skills!I16/Skills!E15+IF(Inputs!$B$3&gt;=126,0.05*(B464+Q441+(H442*B465)/(1+Skills!H14*H442*B465)+Q452),0)*Skills!I16),0)))*IF(Inputs!$B$38="pvp",1,(1+(Inputs!$B$21+Skills!Q24)/100)*(MIN(Skills!R24,Inputs!$B$37))),0)</f>
        <v/>
      </c>
    </row>
    <row r="453">
      <c r="A453">
        <f>Skills!A25</f>
        <v/>
      </c>
      <c r="B453">
        <f>Skills!B25</f>
        <v/>
      </c>
      <c r="C453">
        <f>Inputs!$B$3&gt;=117</f>
        <v/>
      </c>
      <c r="D453">
        <f>IF(Skills!C25=1,60+Inputs!$B$25+Inputs!$B$29,IF(Skills!C25=2,90+Inputs!$B$26+Inputs!$B$29,IF(Skills!C25=3,120+Inputs!$B$27+Inputs!$B$29,MAX(0,(Inputs!$B$3-100)*3)+Inputs!$B$28+Inputs!$B$29)))</f>
        <v/>
      </c>
      <c r="E453">
        <f>INDEX(FactorTable!$B$2:$Y$301, MATCH(ROUND(MIN(300,MAX(1,D453)),0), FactorTable!$A$2:$A$301,0), Skills!M25+1)</f>
        <v/>
      </c>
      <c r="F453">
        <f>IF(Skills!N25=TRUE,(Skills!L25/10)*(E453/1000),Skills!L25/10)+Skills!O25</f>
        <v/>
      </c>
      <c r="G453">
        <f>Calc!G25</f>
        <v/>
      </c>
      <c r="H453">
        <f>Calc!H25</f>
        <v/>
      </c>
      <c r="I453">
        <f>IF(Skills!X25&lt;&gt;"",1+(Skills!X25/10)*(Z431/1000)/100,1)</f>
        <v/>
      </c>
      <c r="J453" t="inlineStr"/>
      <c r="K453" t="inlineStr"/>
      <c r="L453" t="inlineStr"/>
      <c r="M453" t="inlineStr"/>
      <c r="N453" t="inlineStr"/>
      <c r="O453">
        <f>(1-Summary!$B$56)*S453+Summary!$B$56*U453</f>
        <v/>
      </c>
      <c r="P453">
        <f>IF(B469=0,0,O453/B469)</f>
        <v/>
      </c>
      <c r="Q453">
        <f>IFERROR(1/IF(Inputs!$B$38="pvp",15,MAX(0.1,Skills!E25-IF(Skills!F25=TRUE,Inputs!$B$32,0))),0)</f>
        <v/>
      </c>
      <c r="R453" t="n">
        <v>0</v>
      </c>
      <c r="S453" t="n">
        <v>0</v>
      </c>
      <c r="U453" t="n">
        <v>0</v>
      </c>
    </row>
    <row r="454">
      <c r="A454">
        <f>Skills!A26</f>
        <v/>
      </c>
      <c r="B454">
        <f>Skills!B26</f>
        <v/>
      </c>
      <c r="C454">
        <f>Inputs!$B$3&gt;=120</f>
        <v/>
      </c>
      <c r="D454">
        <f>IF(Skills!C26=1,60+Inputs!$B$25+Inputs!$B$29,IF(Skills!C26=2,90+Inputs!$B$26+Inputs!$B$29,IF(Skills!C26=3,120+Inputs!$B$27+Inputs!$B$29,MAX(0,(Inputs!$B$3-100)*3)+Inputs!$B$28+Inputs!$B$29)))</f>
        <v/>
      </c>
      <c r="E454">
        <f>INDEX(FactorTable!$B$2:$Y$301, MATCH(ROUND(MIN(300,MAX(1,D454)),0), FactorTable!$A$2:$A$301,0), Skills!M26+1)</f>
        <v/>
      </c>
      <c r="F454">
        <f>IF(Skills!N26=TRUE,(Skills!L26/10)*(E454/1000),Skills!L26/10)+Skills!O26</f>
        <v/>
      </c>
      <c r="G454">
        <f>Calc!G26</f>
        <v/>
      </c>
      <c r="H454">
        <f>Calc!H26</f>
        <v/>
      </c>
      <c r="I454">
        <f>IF(Skills!X26&lt;&gt;"",1+(Skills!X26/10)*(Z431/1000)/100,1)</f>
        <v/>
      </c>
      <c r="J454" t="inlineStr"/>
      <c r="K454" t="inlineStr"/>
      <c r="L454" t="inlineStr"/>
      <c r="M454" t="inlineStr"/>
      <c r="N454" t="inlineStr"/>
      <c r="O454">
        <f>(1-Summary!$B$56)*S454+Summary!$B$56*U454</f>
        <v/>
      </c>
      <c r="P454">
        <f>IF(B469=0,0,O454/B469)</f>
        <v/>
      </c>
      <c r="Q454">
        <f>IFERROR(1/IF(Inputs!$B$38="pvp",15,MAX(0.1,Skills!E26-IF(Skills!F26=TRUE,Inputs!$B$32,0))),0)</f>
        <v/>
      </c>
      <c r="R454" t="n">
        <v>0</v>
      </c>
      <c r="S454" t="n">
        <v>0</v>
      </c>
      <c r="U454" t="n">
        <v>0</v>
      </c>
    </row>
    <row r="455">
      <c r="A455">
        <f>Skills!A27</f>
        <v/>
      </c>
      <c r="B455">
        <f>Skills!B27</f>
        <v/>
      </c>
      <c r="C455">
        <f>Inputs!$B$3&gt;=125</f>
        <v/>
      </c>
      <c r="D455">
        <f>IF(Skills!C27=1,60+Inputs!$B$25+Inputs!$B$29,IF(Skills!C27=2,90+Inputs!$B$26+Inputs!$B$29,IF(Skills!C27=3,120+Inputs!$B$27+Inputs!$B$29,MAX(0,(Inputs!$B$3-100)*3)+Inputs!$B$28+Inputs!$B$29)))</f>
        <v/>
      </c>
      <c r="E455">
        <f>INDEX(FactorTable!$B$2:$Y$301, MATCH(ROUND(MIN(300,MAX(1,D455)),0), FactorTable!$A$2:$A$301,0), Skills!M27+1)</f>
        <v/>
      </c>
      <c r="F455">
        <f>IF(Skills!N27=TRUE,(Skills!L27/10)*(E455/1000),Skills!L27/10)+Skills!O27</f>
        <v/>
      </c>
      <c r="G455">
        <f>Calc!G27</f>
        <v/>
      </c>
      <c r="H455">
        <f>Calc!H27</f>
        <v/>
      </c>
      <c r="I455">
        <f>IF(Skills!X27&lt;&gt;"",1+(Skills!X27/10)*(Z431/1000)/100,1)</f>
        <v/>
      </c>
      <c r="J455" t="inlineStr"/>
      <c r="K455" t="inlineStr"/>
      <c r="L455" t="inlineStr"/>
      <c r="M455" t="inlineStr"/>
      <c r="N455" t="inlineStr"/>
      <c r="O455">
        <f>(1-Summary!$B$56)*S455+Summary!$B$56*U455</f>
        <v/>
      </c>
      <c r="P455">
        <f>IF(B469=0,0,O455/B469)</f>
        <v/>
      </c>
      <c r="Q455">
        <f>IFERROR(1/IF(Inputs!$B$38="pvp",15,MAX(0.1,Skills!E27-IF(Skills!F27=TRUE,Inputs!$B$32,0))),0)</f>
        <v/>
      </c>
      <c r="R455" t="n">
        <v>0</v>
      </c>
      <c r="S455" t="n">
        <v>0</v>
      </c>
      <c r="U455" t="n">
        <v>0</v>
      </c>
    </row>
    <row r="456">
      <c r="A456">
        <f>Skills!A28</f>
        <v/>
      </c>
      <c r="B456">
        <f>Skills!B28</f>
        <v/>
      </c>
      <c r="C456">
        <f>Inputs!$B$3&gt;=118</f>
        <v/>
      </c>
      <c r="D456">
        <f>IF(Skills!C28=1,60+Inputs!$B$25+Inputs!$B$29,IF(Skills!C28=2,90+Inputs!$B$26+Inputs!$B$29,IF(Skills!C28=3,120+Inputs!$B$27+Inputs!$B$29,MAX(0,(Inputs!$B$3-100)*3)+Inputs!$B$28+Inputs!$B$29)))</f>
        <v/>
      </c>
      <c r="E456">
        <f>INDEX(FactorTable!$B$2:$Y$301, MATCH(ROUND(MIN(300,MAX(1,D456)),0), FactorTable!$A$2:$A$301,0), Skills!M28+1)</f>
        <v/>
      </c>
      <c r="F456">
        <f>IF(Skills!N28=TRUE,(Skills!L28/10)*(E456/1000),Skills!L28/10)+Skills!O28</f>
        <v/>
      </c>
      <c r="G456">
        <f>Calc!G28</f>
        <v/>
      </c>
      <c r="H456">
        <f>Calc!H28</f>
        <v/>
      </c>
      <c r="I456">
        <f>IF(Skills!X28&lt;&gt;"",1+(Skills!X28/10)*(Z431/1000)/100,1)</f>
        <v/>
      </c>
      <c r="J456">
        <f>((Inputs!$B$6*(1+Inputs!$B$7/100))+(((Inputs!$B$12*(1+Inputs!$B$13/100))-(Inputs!$B$12*(1+Inputs!$B$13/100)))+0.25*(Inputs!$B$14-Inputs!$B$14))*(1+Inputs!$B$7/100))*(F456/100)</f>
        <v/>
      </c>
      <c r="K456">
        <f>J456*(1+((Inputs!$B$12*(1+Inputs!$B$13/100))*0.01+Inputs!$B$14*0.0025)/100)*(1+Inputs!$B$15/100)*(1+Inputs!$B$16/100)*(5000/(6000+Inputs!$B$42*(1-Inputs!$B$19/100)))*(1+Inputs!$B$24/100)*(1+F451/100)*(1+IF(Inputs!$B$3&gt;=120,F454,0)/100)^5*(1+(IF(Skills!A28="BASIC_ATTACK",Inputs!$B$17,Inputs!$B$18+IF(Inputs!$B$3&gt;=125,F455*5,0)))/100)*(B458*B459*B460*I456)</f>
        <v/>
      </c>
      <c r="L456">
        <f>K456*(MIN(Inputs!$B$22+(F450-Calc!F22),Inputs!$B$23)/100+Inputs!$B$23/100)/2</f>
        <v/>
      </c>
      <c r="M456">
        <f>L456*(1+(Inputs!$B$10+(F449-Calc!F21))/100)</f>
        <v/>
      </c>
      <c r="N456">
        <f>L456*(1-MIN((Inputs!$B$9+1)+(F448-Calc!F20),100)/100)+M456*(MIN((Inputs!$B$9+1)+(F448-Calc!F20),100)/100)</f>
        <v/>
      </c>
      <c r="O456">
        <f>(1-Summary!$B$56)*S456+Summary!$B$56*U456</f>
        <v/>
      </c>
      <c r="P456">
        <f>IF(B469=0,0,O456/B469)</f>
        <v/>
      </c>
      <c r="Q456">
        <f>IFERROR(1/IF(Inputs!$B$38="pvp",15,MAX(0.1,Skills!E28-IF(Skills!F28=TRUE,Inputs!$B$32,0))),0)</f>
        <v/>
      </c>
      <c r="R456">
        <f>IF(AND(Inputs!$B$38&lt;&gt;"pvp",Inputs!$B$43&gt;0),IF(MAX(0,Inputs!$B$43-B466)&lt;=0,0,(INT(MAX(0,Inputs!$B$43-B466)/IF(Inputs!$B$38="pvp",15,MAX(0.1,Skills!E28-IF(Skills!F28=TRUE,Inputs!$B$32,0))))+1)),0)</f>
        <v/>
      </c>
      <c r="S456">
        <f>IF(C456,(H456*N456*IF(AND(Inputs!$B$38&lt;&gt;"pvp",Inputs!$B$43&gt;0),((Skills!G28*((R456-1)*IF(Skills!H28&gt;0,Skills!I28/Skills!H28,1)+IF(Skills!H28&gt;0,MIN(Skills!I28,MAX(0,MAX(0,Inputs!$B$43-B466)-((R456-1)*IF(Inputs!$B$38="pvp",15,MAX(0.1,Skills!E28-IF(Skills!F28=TRUE,Inputs!$B$32,0))))))/Skills!H28,1)))/Inputs!$B$43),G456*Q456))*IF(Inputs!$B$38="pvp",1,1+(Inputs!$B$20+Skills!P28)/100),0)</f>
        <v/>
      </c>
      <c r="U456">
        <f>IF(C456,(H456*N456*IF(AND(Inputs!$B$38&lt;&gt;"pvp",Inputs!$B$43&gt;0),((Skills!G28*((R456-1)*IF(Skills!H28&gt;0,Skills!I28/Skills!H28,1)+IF(Skills!H28&gt;0,MIN(Skills!I28,MAX(0,MAX(0,Inputs!$B$43-B466)-((R456-1)*IF(Inputs!$B$38="pvp",15,MAX(0.1,Skills!E28-IF(Skills!F28=TRUE,Inputs!$B$32,0))))))/Skills!H28,1)))/Inputs!$B$43),G456*Q456))*IF(Inputs!$B$38="pvp",1,(1+(Inputs!$B$21+Skills!Q28)/100)*(MIN(Skills!R28,Inputs!$B$37))),0)</f>
        <v/>
      </c>
    </row>
    <row r="458">
      <c r="A458" t="inlineStr">
        <is>
          <t>Burning Magic Multiplier</t>
        </is>
      </c>
      <c r="B458">
        <f>1+(F439*Skills!Z11)/100</f>
        <v/>
      </c>
    </row>
    <row r="459">
      <c r="A459" t="inlineStr">
        <is>
          <t>Elemental Decrease Multiplier (always-on)</t>
        </is>
      </c>
      <c r="B459">
        <f>1+F440/100</f>
        <v/>
      </c>
    </row>
    <row r="460">
      <c r="A460" t="inlineStr">
        <is>
          <t>Average Buff Multiplier (Magic Guard + Meditation, summed; then Infinity)</t>
        </is>
      </c>
      <c r="B460">
        <f>(1+(F434*IF(AND(Inputs!$B$38&lt;&gt;"pvp",Inputs!$B$43&gt;0),(((R434-1)*(Skills!T6*(1+(Inputs!$B$34+IF(Inputs!$B$3&gt;=117,F453,0))/100))+MIN((Skills!T6*(1+(Inputs!$B$34+IF(Inputs!$B$3&gt;=117,F453,0))/100)),MAX(0,Inputs!$B$43-((R434-1)*Skills!E6))))/Inputs!$B$43),IF(Inputs!$B$38="pvp",MIN((Skills!T6*(1+(Inputs!$B$34+IF(Inputs!$B$3&gt;=117,F453,0))/100)),15)/15,(Skills!T6*(1+(Inputs!$B$34+IF(Inputs!$B$3&gt;=117,F453,0))/100))/Skills!E6))+F445*IF(AND(Inputs!$B$38&lt;&gt;"pvp",Inputs!$B$43&gt;0),(((R445-1)*(Skills!T17*(1+(Inputs!$B$34+IF(Inputs!$B$3&gt;=117,F453,0))/100))+MIN((Skills!T17*(1+(Inputs!$B$34+IF(Inputs!$B$3&gt;=117,F453,0))/100)),MAX(0,Inputs!$B$43-((R445-1)*Skills!E17))))/Inputs!$B$43),IF(Inputs!$B$38="pvp",MIN((Skills!T17*(1+(Inputs!$B$34+IF(Inputs!$B$3&gt;=117,F453,0))/100)),15)/15,(Skills!T17*(1+(Inputs!$B$34+IF(Inputs!$B$3&gt;=117,F453,0))/100))/Skills!E17)))/100)*IF(C447=TRUE,(1+F447*IF(AND(Inputs!$B$38&lt;&gt;"pvp",Inputs!$B$43&gt;0),(((R447-1)*(Skills!T19*(1+(Inputs!$B$34+IF(Inputs!$B$3&gt;=117,F453,0))/100))+MIN((Skills!T19*(1+(Inputs!$B$34+IF(Inputs!$B$3&gt;=117,F453,0))/100)),MAX(0,Inputs!$B$43-((R447-1)*Skills!E19))))/Inputs!$B$43),IF(Inputs!$B$38="pvp",MIN((Skills!T19*(1+(Inputs!$B$34+IF(Inputs!$B$3&gt;=117,F453,0))/100)),15)/15,(Skills!T19*(1+(Inputs!$B$34+IF(Inputs!$B$3&gt;=117,F453,0))/100))/Skills!E19))/100),1)</f>
        <v/>
      </c>
    </row>
    <row r="461">
      <c r="A461" t="inlineStr">
        <is>
          <t>Attack Speed Buff Bonus % (Nimble Feet, averaged)</t>
        </is>
      </c>
      <c r="B461">
        <f>F446*IF(AND(Inputs!$B$38&lt;&gt;"pvp",Inputs!$B$43&gt;0),(((R446-1)*(Skills!T18*(1+(Inputs!$B$34+IF(Inputs!$B$3&gt;=117,F453,0))/100))+MIN((Skills!T18*(1+(Inputs!$B$34+IF(Inputs!$B$3&gt;=117,F453,0))/100)),MAX(0,Inputs!$B$43-((R446-1)*Skills!E18))))/Inputs!$B$43),IF(Inputs!$B$38="pvp",MIN((Skills!T18*(1+(Inputs!$B$34+IF(Inputs!$B$3&gt;=117,F453,0))/100)),15)/15,(Skills!T18*(1+(Inputs!$B$34+IF(Inputs!$B$3&gt;=117,F453,0))/100))/Skills!E18))</f>
        <v/>
      </c>
    </row>
    <row r="462">
      <c r="A462" t="inlineStr">
        <is>
          <t>Actions Per Second</t>
        </is>
      </c>
      <c r="B462">
        <f>1+MIN(150,150*(1-(1-Inputs!$B$11/150)*(1-B461/150)))/100</f>
        <v/>
      </c>
    </row>
    <row r="463">
      <c r="A463" t="inlineStr">
        <is>
          <t>Skill + Buff Cast Rate</t>
        </is>
      </c>
      <c r="B463">
        <f>IF(AND(Inputs!$B$38&lt;&gt;"pvp",Inputs!$B$43&gt;0),SUMPRODUCT((Skills!F2:F28=TRUE)*(C430:C456=TRUE)*R430:R456)/Inputs!$B$43,SUMPRODUCT((Skills!F2:F28=TRUE)*(C430:C456=TRUE)*Q430:Q456))</f>
        <v/>
      </c>
    </row>
    <row r="464">
      <c r="A464" t="inlineStr">
        <is>
          <t>Basic Attacks Per Second</t>
        </is>
      </c>
      <c r="B464">
        <f>MAX(0,B462-B463)</f>
        <v/>
      </c>
    </row>
    <row r="465">
      <c r="A465" t="inlineStr">
        <is>
          <t>Meteor Proc — combined trigger cast rate</t>
        </is>
      </c>
      <c r="B465">
        <f>IF(AND(Inputs!$B$38&lt;&gt;"pvp",Inputs!$B$43&gt;0),SUMPRODUCT((Skills!V2:V28=TRUE)*(C430:C456=TRUE)*R430:R456*Skills!W2:W28)/Inputs!$B$43,SUMPRODUCT((Skills!V2:V28=TRUE)*(C430:C456=TRUE)*Q430:Q456*Skills!W2:W28))+B464</f>
        <v/>
      </c>
    </row>
    <row r="466">
      <c r="A466" t="inlineStr">
        <is>
          <t>Buff-Casting Startup Delay (s, fixed-duration only)</t>
        </is>
      </c>
      <c r="B466">
        <f>IF(AND(Inputs!$B$38&lt;&gt;"pvp",Inputs!$B$43&gt;0),SUMPRODUCT((Skills!T2:T28&gt;0)*(Skills!F2:F28=TRUE)*(C430:C456=TRUE))/B462,0)</f>
        <v/>
      </c>
    </row>
    <row r="467">
      <c r="A467" t="inlineStr">
        <is>
          <t>Boss-Only Total DPS (this block's swept value)</t>
        </is>
      </c>
      <c r="B467">
        <f>SUM(S430:S456)</f>
        <v/>
      </c>
    </row>
    <row r="468">
      <c r="A468" t="inlineStr">
        <is>
          <t>Normal-Only Total DPS (this block's swept value)</t>
        </is>
      </c>
      <c r="B468">
        <f>SUM(U430:U456)</f>
        <v/>
      </c>
    </row>
    <row r="469">
      <c r="A469" s="5" t="inlineStr">
        <is>
          <t>TOTAL DPS</t>
        </is>
      </c>
      <c r="B469" s="5">
        <f>SUM(O430:O456)</f>
        <v/>
      </c>
    </row>
    <row r="472">
      <c r="A472" s="5" t="inlineStr">
        <is>
          <t>Stat: CRIT_DAMAGE %</t>
        </is>
      </c>
    </row>
    <row r="473">
      <c r="A473" s="9" t="inlineStr">
        <is>
          <t>Key</t>
        </is>
      </c>
      <c r="B473" s="9" t="inlineStr">
        <is>
          <t>Name</t>
        </is>
      </c>
      <c r="C473" s="9" t="inlineStr">
        <is>
          <t>Unlocked</t>
        </is>
      </c>
      <c r="D473" s="9" t="inlineStr">
        <is>
          <t>InputLevel</t>
        </is>
      </c>
      <c r="E473" s="9" t="inlineStr">
        <is>
          <t>Factor</t>
        </is>
      </c>
      <c r="F473" s="9" t="inlineStr">
        <is>
          <t>CoefficientPercent</t>
        </is>
      </c>
      <c r="G473" s="9" t="inlineStr">
        <is>
          <t>EffectiveHits</t>
        </is>
      </c>
      <c r="H473" s="9" t="inlineStr">
        <is>
          <t>ProcProbability</t>
        </is>
      </c>
      <c r="I473" s="9" t="inlineStr">
        <is>
          <t>MapleHeroMultiplier</t>
        </is>
      </c>
      <c r="J473" s="9" t="inlineStr">
        <is>
          <t>BaseDamage</t>
        </is>
      </c>
      <c r="K473" s="9" t="inlineStr">
        <is>
          <t>BaseHitDamage</t>
        </is>
      </c>
      <c r="L473" s="9" t="inlineStr">
        <is>
          <t>NonCritAvg</t>
        </is>
      </c>
      <c r="M473" s="9" t="inlineStr">
        <is>
          <t>CritAvg</t>
        </is>
      </c>
      <c r="N473" s="9" t="inlineStr">
        <is>
          <t>ExpectedDamage(perHit)</t>
        </is>
      </c>
      <c r="O473" s="9" t="inlineStr">
        <is>
          <t>DPS</t>
        </is>
      </c>
      <c r="P473" s="9" t="inlineStr">
        <is>
          <t>% of Total</t>
        </is>
      </c>
      <c r="R473" t="inlineStr">
        <is>
          <t>helpers</t>
        </is>
      </c>
    </row>
    <row r="474">
      <c r="A474">
        <f>Skills!A2</f>
        <v/>
      </c>
      <c r="B474">
        <f>Skills!B2</f>
        <v/>
      </c>
      <c r="C474">
        <f>TRUE</f>
        <v/>
      </c>
      <c r="D474" t="inlineStr"/>
      <c r="E474" t="inlineStr"/>
      <c r="F474">
        <f>T476+Skills!O2</f>
        <v/>
      </c>
      <c r="G474">
        <f>Calc!G2</f>
        <v/>
      </c>
      <c r="H474">
        <f>Calc!H2</f>
        <v/>
      </c>
      <c r="I474">
        <f>IF(Skills!X2&lt;&gt;"",1+(Skills!X2/10)*(Z475/1000)/100,1)</f>
        <v/>
      </c>
      <c r="J474">
        <f>((Inputs!$B$6*(1+Inputs!$B$7/100))+(((Inputs!$B$12*(1+Inputs!$B$13/100))-(Inputs!$B$12*(1+Inputs!$B$13/100)))+0.25*(Inputs!$B$14-Inputs!$B$14))*(1+Inputs!$B$7/100))*(F474/100)</f>
        <v/>
      </c>
      <c r="K474">
        <f>J474*(1+((Inputs!$B$12*(1+Inputs!$B$13/100))*0.01+Inputs!$B$14*0.0025)/100)*(1+Inputs!$B$15/100)*(1+Inputs!$B$16/100)*(5000/(6000+Inputs!$B$42*(1-Inputs!$B$19/100)))*(1+Inputs!$B$24/100)*(1+F495/100)*(1+IF(Inputs!$B$3&gt;=120,F498,0)/100)^5*(1+(IF(Skills!A2="BASIC_ATTACK",Inputs!$B$17,Inputs!$B$18+IF(Inputs!$B$3&gt;=125,F499*5,0)))/100)*(B502*B503*B504*I474)</f>
        <v/>
      </c>
      <c r="L474">
        <f>K474*(MIN(Inputs!$B$22+(F494-Calc!F22),Inputs!$B$23)/100+Inputs!$B$23/100)/2</f>
        <v/>
      </c>
      <c r="M474">
        <f>L474*(1+((Inputs!$B$10+1)+(F493-Calc!F21))/100)</f>
        <v/>
      </c>
      <c r="N474">
        <f>L474*(1-MIN(Inputs!$B$9+(F492-Calc!F20),100)/100)+M474*(MIN(Inputs!$B$9+(F492-Calc!F20),100)/100)</f>
        <v/>
      </c>
      <c r="O474">
        <f>(1-Summary!$B$56)*S474+Summary!$B$56*U474</f>
        <v/>
      </c>
      <c r="P474">
        <f>IF(B513=0,0,O474/B513)</f>
        <v/>
      </c>
      <c r="Q474">
        <f>IFERROR(1/IF(Inputs!$B$38="pvp",15,MAX(0.1,Skills!E2-IF(Skills!F2=TRUE,Inputs!$B$32,0))),0)</f>
        <v/>
      </c>
      <c r="R474" t="n">
        <v>0</v>
      </c>
      <c r="S474">
        <f>(Skills!G2*N474*B508)*IF(Inputs!$B$38="pvp",1,1+(Inputs!$B$20+Skills!P2)/100)</f>
        <v/>
      </c>
      <c r="T474">
        <f>MAX(0,(Inputs!$B$3-100)*3)+Inputs!$B$28+Inputs!$B$29</f>
        <v/>
      </c>
      <c r="U474">
        <f>(Skills!G2*N474*B508)*IF(Inputs!$B$38="pvp",1,(1+(Inputs!$B$21+Skills!Q2)/100)*(MIN((6+Inputs!$B$33+IF(Inputs!$B$3&gt;=136,1,0)),Inputs!$B$37)))</f>
        <v/>
      </c>
      <c r="Z474">
        <f>MAX(0,(Inputs!$B$3-100)*3)+Inputs!$B$28+Inputs!$B$29</f>
        <v/>
      </c>
    </row>
    <row r="475">
      <c r="A475">
        <f>Skills!A3</f>
        <v/>
      </c>
      <c r="B475">
        <f>Skills!B3</f>
        <v/>
      </c>
      <c r="C475">
        <f>TRUE</f>
        <v/>
      </c>
      <c r="D475">
        <f>IF(Skills!C3=1,60+Inputs!$B$25+Inputs!$B$29,IF(Skills!C3=2,90+Inputs!$B$26+Inputs!$B$29,IF(Skills!C3=3,120+Inputs!$B$27+Inputs!$B$29,MAX(0,(Inputs!$B$3-100)*3)+Inputs!$B$28+Inputs!$B$29)))</f>
        <v/>
      </c>
      <c r="E475">
        <f>INDEX(FactorTable!$B$2:$Y$301, MATCH(ROUND(MIN(300,MAX(1,D475)),0), FactorTable!$A$2:$A$301,0), Skills!M3+1)</f>
        <v/>
      </c>
      <c r="F475">
        <f>IF(Skills!N3=TRUE,(Skills!L3/10)*(E475/1000),Skills!L3/10)+Skills!O3</f>
        <v/>
      </c>
      <c r="G475">
        <f>Calc!G3</f>
        <v/>
      </c>
      <c r="H475">
        <f>Calc!H3</f>
        <v/>
      </c>
      <c r="I475">
        <f>IF(Skills!X3&lt;&gt;"",1+(Skills!X3/10)*(Z475/1000)/100,1)</f>
        <v/>
      </c>
      <c r="J475">
        <f>((Inputs!$B$6*(1+Inputs!$B$7/100))+(((Inputs!$B$12*(1+Inputs!$B$13/100))-(Inputs!$B$12*(1+Inputs!$B$13/100)))+0.25*(Inputs!$B$14-Inputs!$B$14))*(1+Inputs!$B$7/100))*(F475/100)</f>
        <v/>
      </c>
      <c r="K475">
        <f>J475*(1+((Inputs!$B$12*(1+Inputs!$B$13/100))*0.01+Inputs!$B$14*0.0025)/100)*(1+Inputs!$B$15/100)*(1+Inputs!$B$16/100)*(5000/(6000+Inputs!$B$42*(1-Inputs!$B$19/100)))*(1+Inputs!$B$24/100)*(1+F495/100)*(1+IF(Inputs!$B$3&gt;=120,F498,0)/100)^5*(1+(IF(Skills!A3="BASIC_ATTACK",Inputs!$B$17,Inputs!$B$18+IF(Inputs!$B$3&gt;=125,F499*5,0)))/100)*(B502*B503*B504*I475)</f>
        <v/>
      </c>
      <c r="L475">
        <f>K475*(MIN(Inputs!$B$22+(F494-Calc!F22),Inputs!$B$23)/100+Inputs!$B$23/100)/2</f>
        <v/>
      </c>
      <c r="M475">
        <f>L475*(1+((Inputs!$B$10+1)+(F493-Calc!F21))/100)</f>
        <v/>
      </c>
      <c r="N475">
        <f>L475*(1-MIN(Inputs!$B$9+(F492-Calc!F20),100)/100)+M475*(MIN(Inputs!$B$9+(F492-Calc!F20),100)/100)</f>
        <v/>
      </c>
      <c r="O475">
        <f>(1-Summary!$B$56)*S475+Summary!$B$56*U475</f>
        <v/>
      </c>
      <c r="P475">
        <f>IF(B513=0,0,O475/B513)</f>
        <v/>
      </c>
      <c r="Q475">
        <f>IFERROR(1/IF(Inputs!$B$38="pvp",15,MAX(0.1,Skills!E3-IF(Skills!F3=TRUE,Inputs!$B$32,0))),0)</f>
        <v/>
      </c>
      <c r="R475">
        <f>IF(AND(Inputs!$B$38&lt;&gt;"pvp",Inputs!$B$43&gt;0),IF(MAX(0,Inputs!$B$43-B510)&lt;=0,0,(INT(MAX(0,Inputs!$B$43-B510)/IF(Inputs!$B$38="pvp",15,MAX(0.1,Skills!E3-IF(Skills!F3=TRUE,Inputs!$B$32,0))))+1)),0)</f>
        <v/>
      </c>
      <c r="S475">
        <f>IF(C475,(H475*N475*IF(AND(Inputs!$B$38&lt;&gt;"pvp",Inputs!$B$43&gt;0),((Skills!G3*((R475-1)*IF(Skills!H3&gt;0,Skills!I3/Skills!H3,1)+IF(Skills!H3&gt;0,MIN(Skills!I3,MAX(0,MAX(0,Inputs!$B$43-B510)-((R475-1)*IF(Inputs!$B$38="pvp",15,MAX(0.1,Skills!E3-IF(Skills!F3=TRUE,Inputs!$B$32,0))))))/Skills!H3,1)))/Inputs!$B$43),G475*Q475))*IF(Inputs!$B$38="pvp",1,1+(Inputs!$B$20+Skills!P3)/100),0)</f>
        <v/>
      </c>
      <c r="T475">
        <f>INDEX(FactorTable!$B$2:$Y$301, MATCH(ROUND(MIN(300,MAX(1,T474)),0), FactorTable!$A$2:$A$301,0), 22)</f>
        <v/>
      </c>
      <c r="U475">
        <f>IF(C475,(H475*N475*IF(AND(Inputs!$B$38&lt;&gt;"pvp",Inputs!$B$43&gt;0),((Skills!G3*((R475-1)*IF(Skills!H3&gt;0,Skills!I3/Skills!H3,1)+IF(Skills!H3&gt;0,MIN(Skills!I3,MAX(0,MAX(0,Inputs!$B$43-B510)-((R475-1)*IF(Inputs!$B$38="pvp",15,MAX(0.1,Skills!E3-IF(Skills!F3=TRUE,Inputs!$B$32,0))))))/Skills!H3,1)))/Inputs!$B$43),G475*Q475))*IF(Inputs!$B$38="pvp",1,(1+(Inputs!$B$21+Skills!Q3)/100)*(MIN(Skills!R3,Inputs!$B$37))),0)</f>
        <v/>
      </c>
      <c r="Z475">
        <f>INDEX(FactorTable!$B$2:$Y$301, MATCH(ROUND(MIN(300,MAX(1,Z474)),0), FactorTable!$A$2:$A$301,0), 24)</f>
        <v/>
      </c>
    </row>
    <row r="476">
      <c r="A476">
        <f>Skills!A4</f>
        <v/>
      </c>
      <c r="B476">
        <f>Skills!B4</f>
        <v/>
      </c>
      <c r="C476">
        <f>TRUE</f>
        <v/>
      </c>
      <c r="D476">
        <f>IF(Skills!C4=1,60+Inputs!$B$25+Inputs!$B$29,IF(Skills!C4=2,90+Inputs!$B$26+Inputs!$B$29,IF(Skills!C4=3,120+Inputs!$B$27+Inputs!$B$29,MAX(0,(Inputs!$B$3-100)*3)+Inputs!$B$28+Inputs!$B$29)))</f>
        <v/>
      </c>
      <c r="E476">
        <f>INDEX(FactorTable!$B$2:$Y$301, MATCH(ROUND(MIN(300,MAX(1,D476)),0), FactorTable!$A$2:$A$301,0), Skills!M4+1)</f>
        <v/>
      </c>
      <c r="F476">
        <f>IF(Skills!N4=TRUE,(Skills!L4/10)*(E476/1000),Skills!L4/10)+Skills!O4</f>
        <v/>
      </c>
      <c r="G476">
        <f>Calc!G4</f>
        <v/>
      </c>
      <c r="H476">
        <f>Calc!H4</f>
        <v/>
      </c>
      <c r="I476">
        <f>IF(Skills!X4&lt;&gt;"",1+(Skills!X4/10)*(Z475/1000)/100,1)</f>
        <v/>
      </c>
      <c r="J476">
        <f>((Inputs!$B$6*(1+Inputs!$B$7/100))+(((Inputs!$B$12*(1+Inputs!$B$13/100))-(Inputs!$B$12*(1+Inputs!$B$13/100)))+0.25*(Inputs!$B$14-Inputs!$B$14))*(1+Inputs!$B$7/100))*(F476/100)</f>
        <v/>
      </c>
      <c r="K476">
        <f>J476*(1+((Inputs!$B$12*(1+Inputs!$B$13/100))*0.01+Inputs!$B$14*0.0025)/100)*(1+Inputs!$B$15/100)*(1+Inputs!$B$16/100)*(5000/(6000+Inputs!$B$42*(1-Inputs!$B$19/100)))*(1+Inputs!$B$24/100)*(1+F495/100)*(1+IF(Inputs!$B$3&gt;=120,F498,0)/100)^5*(1+(IF(Skills!A4="BASIC_ATTACK",Inputs!$B$17,Inputs!$B$18+IF(Inputs!$B$3&gt;=125,F499*5,0)))/100)*(B502*B503*B504*I476)</f>
        <v/>
      </c>
      <c r="L476">
        <f>K476*(MIN(Inputs!$B$22+(F494-Calc!F22),Inputs!$B$23)/100+Inputs!$B$23/100)/2</f>
        <v/>
      </c>
      <c r="M476">
        <f>L476*(1+((Inputs!$B$10+1)+(F493-Calc!F21))/100)</f>
        <v/>
      </c>
      <c r="N476">
        <f>L476*(1-MIN(Inputs!$B$9+(F492-Calc!F20),100)/100)+M476*(MIN(Inputs!$B$9+(F492-Calc!F20),100)/100)</f>
        <v/>
      </c>
      <c r="O476">
        <f>(1-Summary!$B$56)*S476+Summary!$B$56*U476</f>
        <v/>
      </c>
      <c r="P476">
        <f>IF(B513=0,0,O476/B513)</f>
        <v/>
      </c>
      <c r="Q476">
        <f>IFERROR(1/IF(Inputs!$B$38="pvp",15,MAX(0.1,Skills!E4-IF(Skills!F4=TRUE,Inputs!$B$32,0))),0)</f>
        <v/>
      </c>
      <c r="R476">
        <f>IF(AND(Inputs!$B$38&lt;&gt;"pvp",Inputs!$B$43&gt;0),IF(MAX(0,Inputs!$B$43-B510)&lt;=0,0,(INT(MAX(0,Inputs!$B$43-B510)/IF(Inputs!$B$38="pvp",15,MAX(0.1,Skills!E4-IF(Skills!F4=TRUE,Inputs!$B$32,0))))+1)),0)</f>
        <v/>
      </c>
      <c r="S476">
        <f>IF(C476,(H476*N476*IF(AND(Inputs!$B$38&lt;&gt;"pvp",Inputs!$B$43&gt;0),((Skills!G4*((R476-1)*IF(Skills!H4&gt;0,Skills!I4/Skills!H4,1)+IF(Skills!H4&gt;0,MIN(Skills!I4,MAX(0,MAX(0,Inputs!$B$43-B510)-((R476-1)*IF(Inputs!$B$38="pvp",15,MAX(0.1,Skills!E4-IF(Skills!F4=TRUE,Inputs!$B$32,0))))))/Skills!H4,1)))/Inputs!$B$43),G476*Q476))*IF(Inputs!$B$38="pvp",1,1+(Inputs!$B$20+Skills!P4)/100),0)</f>
        <v/>
      </c>
      <c r="T476">
        <f>290*T475/1000</f>
        <v/>
      </c>
      <c r="U476">
        <f>IF(C476,(H476*N476*IF(AND(Inputs!$B$38&lt;&gt;"pvp",Inputs!$B$43&gt;0),((Skills!G4*((R476-1)*IF(Skills!H4&gt;0,Skills!I4/Skills!H4,1)+IF(Skills!H4&gt;0,MIN(Skills!I4,MAX(0,MAX(0,Inputs!$B$43-B510)-((R476-1)*IF(Inputs!$B$38="pvp",15,MAX(0.1,Skills!E4-IF(Skills!F4=TRUE,Inputs!$B$32,0))))))/Skills!H4,1)))/Inputs!$B$43),G476*Q476))*IF(Inputs!$B$38="pvp",1,(1+(Inputs!$B$21+Skills!Q4)/100)*(MIN(Skills!R4,Inputs!$B$37))),0)</f>
        <v/>
      </c>
    </row>
    <row r="477">
      <c r="A477">
        <f>Skills!A5</f>
        <v/>
      </c>
      <c r="B477">
        <f>Skills!B5</f>
        <v/>
      </c>
      <c r="C477">
        <f>TRUE</f>
        <v/>
      </c>
      <c r="D477">
        <f>IF(Skills!C5=1,60+Inputs!$B$25+Inputs!$B$29,IF(Skills!C5=2,90+Inputs!$B$26+Inputs!$B$29,IF(Skills!C5=3,120+Inputs!$B$27+Inputs!$B$29,MAX(0,(Inputs!$B$3-100)*3)+Inputs!$B$28+Inputs!$B$29)))</f>
        <v/>
      </c>
      <c r="E477">
        <f>INDEX(FactorTable!$B$2:$Y$301, MATCH(ROUND(MIN(300,MAX(1,D477)),0), FactorTable!$A$2:$A$301,0), Skills!M5+1)</f>
        <v/>
      </c>
      <c r="F477">
        <f>IF(Skills!N5=TRUE,(Skills!L5/10)*(E477/1000),Skills!L5/10)+Skills!O5</f>
        <v/>
      </c>
      <c r="G477">
        <f>Calc!G5</f>
        <v/>
      </c>
      <c r="H477">
        <f>Calc!H5</f>
        <v/>
      </c>
      <c r="I477">
        <f>IF(Skills!X5&lt;&gt;"",1+(Skills!X5/10)*(Z475/1000)/100,1)</f>
        <v/>
      </c>
      <c r="J477">
        <f>((Inputs!$B$6*(1+Inputs!$B$7/100))+(((Inputs!$B$12*(1+Inputs!$B$13/100))-(Inputs!$B$12*(1+Inputs!$B$13/100)))+0.25*(Inputs!$B$14-Inputs!$B$14))*(1+Inputs!$B$7/100))*(F477/100)</f>
        <v/>
      </c>
      <c r="K477">
        <f>J477*(1+((Inputs!$B$12*(1+Inputs!$B$13/100))*0.01+Inputs!$B$14*0.0025)/100)*(1+Inputs!$B$15/100)*(1+Inputs!$B$16/100)*(5000/(6000+Inputs!$B$42*(1-Inputs!$B$19/100)))*(1+Inputs!$B$24/100)*(1+F495/100)*(1+IF(Inputs!$B$3&gt;=120,F498,0)/100)^5*(1+(IF(Skills!A5="BASIC_ATTACK",Inputs!$B$17,Inputs!$B$18+IF(Inputs!$B$3&gt;=125,F499*5,0)))/100)*(B502*B503*B504*I477)</f>
        <v/>
      </c>
      <c r="L477">
        <f>K477*(MIN(Inputs!$B$22+(F494-Calc!F22),Inputs!$B$23)/100+Inputs!$B$23/100)/2</f>
        <v/>
      </c>
      <c r="M477">
        <f>L477*(1+((Inputs!$B$10+1)+(F493-Calc!F21))/100)</f>
        <v/>
      </c>
      <c r="N477">
        <f>L477*(1-MIN(Inputs!$B$9+(F492-Calc!F20),100)/100)+M477*(MIN(Inputs!$B$9+(F492-Calc!F20),100)/100)</f>
        <v/>
      </c>
      <c r="O477">
        <f>(1-Summary!$B$56)*S477+Summary!$B$56*U477</f>
        <v/>
      </c>
      <c r="P477">
        <f>IF(B513=0,0,O477/B513)</f>
        <v/>
      </c>
      <c r="Q477">
        <f>IFERROR(1/IF(Inputs!$B$38="pvp",15,MAX(0.1,Skills!E5-IF(Skills!F5=TRUE,Inputs!$B$32,0))),0)</f>
        <v/>
      </c>
      <c r="R477">
        <f>IF(AND(Inputs!$B$38&lt;&gt;"pvp",Inputs!$B$43&gt;0),IF(MAX(0,Inputs!$B$43-B510)&lt;=0,0,(INT(MAX(0,Inputs!$B$43-B510)/IF(Inputs!$B$38="pvp",15,MAX(0.1,Skills!E5-IF(Skills!F5=TRUE,Inputs!$B$32,0))))+1)),0)</f>
        <v/>
      </c>
      <c r="S477">
        <f>IF(C477,(H477*N477*IF(AND(Inputs!$B$38&lt;&gt;"pvp",Inputs!$B$43&gt;0),((Skills!G5*((R477-1)*IF(Skills!H5&gt;0,Skills!I5/Skills!H5,1)+IF(Skills!H5&gt;0,MIN(Skills!I5,MAX(0,MAX(0,Inputs!$B$43-B510)-((R477-1)*IF(Inputs!$B$38="pvp",15,MAX(0.1,Skills!E5-IF(Skills!F5=TRUE,Inputs!$B$32,0))))))/Skills!H5,1)))/Inputs!$B$43),G477*Q477))*IF(Inputs!$B$38="pvp",1,1+(Inputs!$B$20+Skills!P5)/100),0)</f>
        <v/>
      </c>
      <c r="U477">
        <f>IF(C477,(H477*N477*IF(AND(Inputs!$B$38&lt;&gt;"pvp",Inputs!$B$43&gt;0),((Skills!G5*((R477-1)*IF(Skills!H5&gt;0,Skills!I5/Skills!H5,1)+IF(Skills!H5&gt;0,MIN(Skills!I5,MAX(0,MAX(0,Inputs!$B$43-B510)-((R477-1)*IF(Inputs!$B$38="pvp",15,MAX(0.1,Skills!E5-IF(Skills!F5=TRUE,Inputs!$B$32,0))))))/Skills!H5,1)))/Inputs!$B$43),G477*Q477))*IF(Inputs!$B$38="pvp",1,(1+(Inputs!$B$21+Skills!Q5)/100)*(MIN(Skills!R5,Inputs!$B$37))),0)</f>
        <v/>
      </c>
    </row>
    <row r="478">
      <c r="A478">
        <f>Skills!A6</f>
        <v/>
      </c>
      <c r="B478">
        <f>Skills!B6</f>
        <v/>
      </c>
      <c r="C478">
        <f>TRUE</f>
        <v/>
      </c>
      <c r="D478">
        <f>IF(Skills!C6=1,60+Inputs!$B$25+Inputs!$B$29,IF(Skills!C6=2,90+Inputs!$B$26+Inputs!$B$29,IF(Skills!C6=3,120+Inputs!$B$27+Inputs!$B$29,MAX(0,(Inputs!$B$3-100)*3)+Inputs!$B$28+Inputs!$B$29)))</f>
        <v/>
      </c>
      <c r="E478">
        <f>INDEX(FactorTable!$B$2:$Y$301, MATCH(ROUND(MIN(300,MAX(1,D478)),0), FactorTable!$A$2:$A$301,0), Skills!M6+1)</f>
        <v/>
      </c>
      <c r="F478">
        <f>IF(Skills!N6=TRUE,(Skills!L6/10)*(E478/1000),Skills!L6/10)+Skills!O6</f>
        <v/>
      </c>
      <c r="G478">
        <f>Calc!G6</f>
        <v/>
      </c>
      <c r="H478">
        <f>Calc!H6</f>
        <v/>
      </c>
      <c r="I478">
        <f>IF(Skills!X6&lt;&gt;"",1+(Skills!X6/10)*(Z475/1000)/100,1)</f>
        <v/>
      </c>
      <c r="J478" t="inlineStr"/>
      <c r="K478" t="inlineStr"/>
      <c r="L478" t="inlineStr"/>
      <c r="M478" t="inlineStr"/>
      <c r="N478" t="inlineStr"/>
      <c r="O478">
        <f>(1-Summary!$B$56)*S478+Summary!$B$56*U478</f>
        <v/>
      </c>
      <c r="P478">
        <f>IF(B513=0,0,O478/B513)</f>
        <v/>
      </c>
      <c r="Q478">
        <f>IFERROR(1/IF(Inputs!$B$38="pvp",15,MAX(0.1,Skills!E6-IF(Skills!F6=TRUE,Inputs!$B$32,0))),0)</f>
        <v/>
      </c>
      <c r="R478">
        <f>IF(AND(Inputs!$B$38&lt;&gt;"pvp",Inputs!$B$43&gt;0),IF(Inputs!$B$43&lt;=0,0,(INT(Inputs!$B$43/IF(Inputs!$B$38="pvp",15,MAX(0.1,Skills!E6-IF(Skills!F6=TRUE,Inputs!$B$32,0))))+1)),0)</f>
        <v/>
      </c>
      <c r="S478" t="n">
        <v>0</v>
      </c>
      <c r="U478" t="n">
        <v>0</v>
      </c>
    </row>
    <row r="479">
      <c r="A479">
        <f>Skills!A7</f>
        <v/>
      </c>
      <c r="B479">
        <f>Skills!B7</f>
        <v/>
      </c>
      <c r="C479">
        <f>TRUE</f>
        <v/>
      </c>
      <c r="D479">
        <f>IF(Skills!C7=1,60+Inputs!$B$25+Inputs!$B$29,IF(Skills!C7=2,90+Inputs!$B$26+Inputs!$B$29,IF(Skills!C7=3,120+Inputs!$B$27+Inputs!$B$29,MAX(0,(Inputs!$B$3-100)*3)+Inputs!$B$28+Inputs!$B$29)))</f>
        <v/>
      </c>
      <c r="E479">
        <f>INDEX(FactorTable!$B$2:$Y$301, MATCH(ROUND(MIN(300,MAX(1,D479)),0), FactorTable!$A$2:$A$301,0), Skills!M7+1)</f>
        <v/>
      </c>
      <c r="F479">
        <f>IF(Skills!N7=TRUE,(Skills!L7/10)*(E479/1000),Skills!L7/10)+Skills!O7</f>
        <v/>
      </c>
      <c r="G479">
        <f>Calc!G7</f>
        <v/>
      </c>
      <c r="H479">
        <f>Calc!H7</f>
        <v/>
      </c>
      <c r="I479">
        <f>IF(Skills!X7&lt;&gt;"",1+(Skills!X7/10)*(Z475/1000)/100,1)</f>
        <v/>
      </c>
      <c r="J479">
        <f>((Inputs!$B$6*(1+Inputs!$B$7/100))+(((Inputs!$B$12*(1+Inputs!$B$13/100))-(Inputs!$B$12*(1+Inputs!$B$13/100)))+0.25*(Inputs!$B$14-Inputs!$B$14))*(1+Inputs!$B$7/100))*(F479/100)</f>
        <v/>
      </c>
      <c r="K479">
        <f>J479*(1+((Inputs!$B$12*(1+Inputs!$B$13/100))*0.01+Inputs!$B$14*0.0025)/100)*(1+Inputs!$B$15/100)*(1+Inputs!$B$16/100)*(5000/(6000+Inputs!$B$42*(1-Inputs!$B$19/100)))*(1+Inputs!$B$24/100)*(1+F495/100)*(1+IF(Inputs!$B$3&gt;=120,F498,0)/100)^5*(1+(IF(Skills!A7="BASIC_ATTACK",Inputs!$B$17,Inputs!$B$18+IF(Inputs!$B$3&gt;=125,F499*5,0)))/100)*(B502*B503*B504*I479)</f>
        <v/>
      </c>
      <c r="L479">
        <f>K479*(MIN(Inputs!$B$22+(F494-Calc!F22),Inputs!$B$23)/100+Inputs!$B$23/100)/2</f>
        <v/>
      </c>
      <c r="M479">
        <f>L479*(1+((Inputs!$B$10+1)+(F493-Calc!F21))/100)</f>
        <v/>
      </c>
      <c r="N479">
        <f>L479*(1-MIN(Inputs!$B$9+(F492-Calc!F20),100)/100)+M479*(MIN(Inputs!$B$9+(F492-Calc!F20),100)/100)</f>
        <v/>
      </c>
      <c r="O479">
        <f>(1-Summary!$B$56)*S479+Summary!$B$56*U479</f>
        <v/>
      </c>
      <c r="P479">
        <f>IF(B513=0,0,O479/B513)</f>
        <v/>
      </c>
      <c r="Q479">
        <f>IFERROR(1/IF(Inputs!$B$38="pvp",15,MAX(0.1,Skills!E7-IF(Skills!F7=TRUE,Inputs!$B$32,0))),0)</f>
        <v/>
      </c>
      <c r="R479">
        <f>IF(AND(Inputs!$B$38&lt;&gt;"pvp",Inputs!$B$43&gt;0),IF(MAX(0,Inputs!$B$43-B510)&lt;=0,0,(INT(MAX(0,Inputs!$B$43-B510)/IF(Inputs!$B$38="pvp",15,MAX(0.1,Skills!E7-IF(Skills!F7=TRUE,Inputs!$B$32,0))))+1)),0)</f>
        <v/>
      </c>
      <c r="S479">
        <f>IF(C479,(H479*N479*IF(AND(Inputs!$B$38&lt;&gt;"pvp",Inputs!$B$43&gt;0),((Skills!G7*((R479-1)*IF(Skills!H7&gt;0,Skills!I7/Skills!H7,1)+IF(Skills!H7&gt;0,MIN(Skills!I7,MAX(0,MAX(0,Inputs!$B$43-B510)-((R479-1)*IF(Inputs!$B$38="pvp",15,MAX(0.1,Skills!E7-IF(Skills!F7=TRUE,Inputs!$B$32,0))))))/Skills!H7,1)))/Inputs!$B$43),G479*Q479))*IF(Inputs!$B$38="pvp",1,1+(Inputs!$B$20+Skills!P7)/100),0)</f>
        <v/>
      </c>
      <c r="U479">
        <f>IF(C479,(H479*N479*IF(AND(Inputs!$B$38&lt;&gt;"pvp",Inputs!$B$43&gt;0),((Skills!G7*((R479-1)*IF(Skills!H7&gt;0,Skills!I7/Skills!H7,1)+IF(Skills!H7&gt;0,MIN(Skills!I7,MAX(0,MAX(0,Inputs!$B$43-B510)-((R479-1)*IF(Inputs!$B$38="pvp",15,MAX(0.1,Skills!E7-IF(Skills!F7=TRUE,Inputs!$B$32,0))))))/Skills!H7,1)))/Inputs!$B$43),G479*Q479))*IF(Inputs!$B$38="pvp",1,(1+(Inputs!$B$21+Skills!Q7)/100)*(MIN(Skills!R7,Inputs!$B$37))),0)</f>
        <v/>
      </c>
    </row>
    <row r="480">
      <c r="A480">
        <f>Skills!A8</f>
        <v/>
      </c>
      <c r="B480">
        <f>Skills!B8</f>
        <v/>
      </c>
      <c r="C480">
        <f>TRUE</f>
        <v/>
      </c>
      <c r="D480">
        <f>IF(Skills!C8=1,60+Inputs!$B$25+Inputs!$B$29,IF(Skills!C8=2,90+Inputs!$B$26+Inputs!$B$29,IF(Skills!C8=3,120+Inputs!$B$27+Inputs!$B$29,MAX(0,(Inputs!$B$3-100)*3)+Inputs!$B$28+Inputs!$B$29)))</f>
        <v/>
      </c>
      <c r="E480">
        <f>INDEX(FactorTable!$B$2:$Y$301, MATCH(ROUND(MIN(300,MAX(1,D480)),0), FactorTable!$A$2:$A$301,0), Skills!M8+1)</f>
        <v/>
      </c>
      <c r="F480">
        <f>IF(Skills!N8=TRUE,(Skills!L8/10)*(E480/1000),Skills!L8/10)+Skills!O8</f>
        <v/>
      </c>
      <c r="G480">
        <f>Calc!G8</f>
        <v/>
      </c>
      <c r="H480">
        <f>Calc!H8</f>
        <v/>
      </c>
      <c r="I480">
        <f>IF(Skills!X8&lt;&gt;"",1+(Skills!X8/10)*(Z475/1000)/100,1)</f>
        <v/>
      </c>
      <c r="J480">
        <f>((Inputs!$B$6*(1+Inputs!$B$7/100))+(((Inputs!$B$12*(1+Inputs!$B$13/100))-(Inputs!$B$12*(1+Inputs!$B$13/100)))+0.25*(Inputs!$B$14-Inputs!$B$14))*(1+Inputs!$B$7/100))*(F480/100)</f>
        <v/>
      </c>
      <c r="K480">
        <f>J480*(1+((Inputs!$B$12*(1+Inputs!$B$13/100))*0.01+Inputs!$B$14*0.0025)/100)*(1+Inputs!$B$15/100)*(1+Inputs!$B$16/100)*(5000/(6000+Inputs!$B$42*(1-Inputs!$B$19/100)))*(1+Inputs!$B$24/100)*(1+F495/100)*(1+IF(Inputs!$B$3&gt;=120,F498,0)/100)^5*(1+(IF(Skills!A8="BASIC_ATTACK",Inputs!$B$17,Inputs!$B$18+IF(Inputs!$B$3&gt;=125,F499*5,0)))/100)*(B502*B503*B504*I480)</f>
        <v/>
      </c>
      <c r="L480">
        <f>K480*(MIN(Inputs!$B$22+(F494-Calc!F22),Inputs!$B$23)/100+Inputs!$B$23/100)/2</f>
        <v/>
      </c>
      <c r="M480">
        <f>L480*(1+((Inputs!$B$10+1)+(F493-Calc!F21))/100)</f>
        <v/>
      </c>
      <c r="N480">
        <f>L480*(1-MIN(Inputs!$B$9+(F492-Calc!F20),100)/100)+M480*(MIN(Inputs!$B$9+(F492-Calc!F20),100)/100)</f>
        <v/>
      </c>
      <c r="O480">
        <f>(1-Summary!$B$56)*S480+Summary!$B$56*U480</f>
        <v/>
      </c>
      <c r="P480">
        <f>IF(B513=0,0,O480/B513)</f>
        <v/>
      </c>
      <c r="Q480">
        <f>IFERROR(1/IF(Inputs!$B$38="pvp",15,MAX(0.1,Skills!E8-IF(Skills!F8=TRUE,Inputs!$B$32,0))),0)</f>
        <v/>
      </c>
      <c r="R480">
        <f>IF(AND(Inputs!$B$38&lt;&gt;"pvp",Inputs!$B$43&gt;0),IF(MAX(0,Inputs!$B$43-B510)&lt;=0,0,(INT(MAX(0,Inputs!$B$43-B510)/IF(Inputs!$B$38="pvp",15,MAX(0.1,Skills!E8-IF(Skills!F8=TRUE,Inputs!$B$32,0))))+1)),0)</f>
        <v/>
      </c>
      <c r="S480">
        <f>IF(C480,(H480*N480*IF(AND(Inputs!$B$38&lt;&gt;"pvp",Inputs!$B$43&gt;0),((Skills!G8*((R480-1)*IF(Skills!H8&gt;0,Skills!I8/Skills!H8,1)+IF(Skills!H8&gt;0,MIN(Skills!I8,MAX(0,MAX(0,Inputs!$B$43-B510)-((R480-1)*IF(Inputs!$B$38="pvp",15,MAX(0.1,Skills!E8-IF(Skills!F8=TRUE,Inputs!$B$32,0))))))/Skills!H8,1)))/Inputs!$B$43),G480*Q480))*IF(Inputs!$B$38="pvp",1,1+(Inputs!$B$20+Skills!P8)/100),0)</f>
        <v/>
      </c>
      <c r="U480">
        <f>IF(C480,(H480*N480*IF(AND(Inputs!$B$38&lt;&gt;"pvp",Inputs!$B$43&gt;0),((Skills!G8*((R480-1)*IF(Skills!H8&gt;0,Skills!I8/Skills!H8,1)+IF(Skills!H8&gt;0,MIN(Skills!I8,MAX(0,MAX(0,Inputs!$B$43-B510)-((R480-1)*IF(Inputs!$B$38="pvp",15,MAX(0.1,Skills!E8-IF(Skills!F8=TRUE,Inputs!$B$32,0))))))/Skills!H8,1)))/Inputs!$B$43),G480*Q480))*IF(Inputs!$B$38="pvp",1,(1+(Inputs!$B$21+Skills!Q8)/100)*(MIN(Skills!R8,Inputs!$B$37))),0)</f>
        <v/>
      </c>
    </row>
    <row r="481">
      <c r="A481">
        <f>Skills!A9</f>
        <v/>
      </c>
      <c r="B481">
        <f>Skills!B9</f>
        <v/>
      </c>
      <c r="C481">
        <f>Inputs!$B$3&gt;=103</f>
        <v/>
      </c>
      <c r="D481">
        <f>IF(Skills!C9=1,60+Inputs!$B$25+Inputs!$B$29,IF(Skills!C9=2,90+Inputs!$B$26+Inputs!$B$29,IF(Skills!C9=3,120+Inputs!$B$27+Inputs!$B$29,MAX(0,(Inputs!$B$3-100)*3)+Inputs!$B$28+Inputs!$B$29)))</f>
        <v/>
      </c>
      <c r="E481">
        <f>INDEX(FactorTable!$B$2:$Y$301, MATCH(ROUND(MIN(300,MAX(1,D481)),0), FactorTable!$A$2:$A$301,0), Skills!M9+1)</f>
        <v/>
      </c>
      <c r="F481">
        <f>IF(Skills!N9=TRUE,(Skills!L9/10)*(E481/1000),Skills!L9/10)+Skills!O9</f>
        <v/>
      </c>
      <c r="G481">
        <f>Calc!G9</f>
        <v/>
      </c>
      <c r="H481">
        <f>Calc!H9</f>
        <v/>
      </c>
      <c r="I481">
        <f>IF(Skills!X9&lt;&gt;"",1+(Skills!X9/10)*(Z475/1000)/100,1)</f>
        <v/>
      </c>
      <c r="J481">
        <f>((Inputs!$B$6*(1+Inputs!$B$7/100))+(((Inputs!$B$12*(1+Inputs!$B$13/100))-(Inputs!$B$12*(1+Inputs!$B$13/100)))+0.25*(Inputs!$B$14-Inputs!$B$14))*(1+Inputs!$B$7/100))*(F481/100)</f>
        <v/>
      </c>
      <c r="K481">
        <f>J481*(1+((Inputs!$B$12*(1+Inputs!$B$13/100))*0.01+Inputs!$B$14*0.0025)/100)*(1+Inputs!$B$15/100)*(1+Inputs!$B$16/100)*(5000/(6000+Inputs!$B$42*(1-Inputs!$B$19/100)))*(1+Inputs!$B$24/100)*(1+F495/100)*(1+IF(Inputs!$B$3&gt;=120,F498,0)/100)^5*(1+(IF(Skills!A9="BASIC_ATTACK",Inputs!$B$17,Inputs!$B$18+IF(Inputs!$B$3&gt;=125,F499*5,0)))/100)*(B502*B503*B504*I481)</f>
        <v/>
      </c>
      <c r="L481">
        <f>K481*(MIN(Inputs!$B$22+(F494-Calc!F22),Inputs!$B$23)/100+Inputs!$B$23/100)/2</f>
        <v/>
      </c>
      <c r="M481">
        <f>L481*(1+((Inputs!$B$10+1)+(F493-Calc!F21))/100)</f>
        <v/>
      </c>
      <c r="N481">
        <f>L481*(1-MIN(Inputs!$B$9+(F492-Calc!F20),100)/100)+M481*(MIN(Inputs!$B$9+(F492-Calc!F20),100)/100)</f>
        <v/>
      </c>
      <c r="O481">
        <f>(1-Summary!$B$56)*S481+Summary!$B$56*U481</f>
        <v/>
      </c>
      <c r="P481">
        <f>IF(B513=0,0,O481/B513)</f>
        <v/>
      </c>
      <c r="Q481">
        <f>IFERROR(1/IF(Inputs!$B$38="pvp",15,MAX(0.1,Skills!E9-IF(Skills!F7=TRUE,Inputs!$B$32,0))),0)</f>
        <v/>
      </c>
      <c r="R481">
        <f>IF(AND(Inputs!$B$38&lt;&gt;"pvp",Inputs!$B$43&gt;0),IF(MAX(0,Inputs!$B$43-B510)&lt;=0,0,(INT(MAX(0,Inputs!$B$43-B510)/IF(Inputs!$B$38="pvp",15,MAX(0.1,Skills!E9-IF(Skills!F7=TRUE,Inputs!$B$32,0))))+1)),0)</f>
        <v/>
      </c>
      <c r="S481">
        <f>IF(C481,(H481*N481*IF(AND(Inputs!$B$38&lt;&gt;"pvp",Inputs!$B$43&gt;0),((Skills!G9*((R481-1)*IF(Skills!H9&gt;0,Skills!I9/Skills!H9,1)+IF(Skills!H9&gt;0,MIN(Skills!I9,MAX(0,MAX(0,Inputs!$B$43-B510)-((R481-1)*IF(Inputs!$B$38="pvp",15,MAX(0.1,Skills!E9-IF(Skills!F7=TRUE,Inputs!$B$32,0))))))/Skills!H9,1)))/Inputs!$B$43),G481*Q481))*IF(Inputs!$B$38="pvp",1,1+(Inputs!$B$20+Skills!P9)/100),0)</f>
        <v/>
      </c>
      <c r="U481">
        <f>IF(C481,(H481*N481*IF(AND(Inputs!$B$38&lt;&gt;"pvp",Inputs!$B$43&gt;0),((Skills!G9*((R481-1)*IF(Skills!H9&gt;0,Skills!I9/Skills!H9,1)+IF(Skills!H9&gt;0,MIN(Skills!I9,MAX(0,MAX(0,Inputs!$B$43-B510)-((R481-1)*IF(Inputs!$B$38="pvp",15,MAX(0.1,Skills!E9-IF(Skills!F7=TRUE,Inputs!$B$32,0))))))/Skills!H9,1)))/Inputs!$B$43),G481*Q481))*IF(Inputs!$B$38="pvp",1,(1+(Inputs!$B$21+Skills!Q9)/100)*(MIN(Skills!R9,Inputs!$B$37))),0)</f>
        <v/>
      </c>
    </row>
    <row r="482">
      <c r="A482">
        <f>Skills!A10</f>
        <v/>
      </c>
      <c r="B482">
        <f>Skills!B10</f>
        <v/>
      </c>
      <c r="C482">
        <f>TRUE</f>
        <v/>
      </c>
      <c r="D482">
        <f>IF(Skills!C10=1,60+Inputs!$B$25+Inputs!$B$29,IF(Skills!C10=2,90+Inputs!$B$26+Inputs!$B$29,IF(Skills!C10=3,120+Inputs!$B$27+Inputs!$B$29,MAX(0,(Inputs!$B$3-100)*3)+Inputs!$B$28+Inputs!$B$29)))</f>
        <v/>
      </c>
      <c r="E482">
        <f>INDEX(FactorTable!$B$2:$Y$301, MATCH(ROUND(MIN(300,MAX(1,D482)),0), FactorTable!$A$2:$A$301,0), Skills!M10+1)</f>
        <v/>
      </c>
      <c r="F482">
        <f>IF(Skills!N10=TRUE,(Skills!L10/10)*(E482/1000),Skills!L10/10)+Skills!O10</f>
        <v/>
      </c>
      <c r="G482">
        <f>Calc!G10</f>
        <v/>
      </c>
      <c r="H482">
        <f>Calc!H10</f>
        <v/>
      </c>
      <c r="I482">
        <f>IF(Skills!X10&lt;&gt;"",1+(Skills!X10/10)*(Z475/1000)/100,1)</f>
        <v/>
      </c>
      <c r="J482">
        <f>((Inputs!$B$6*(1+Inputs!$B$7/100))+(((Inputs!$B$12*(1+Inputs!$B$13/100))-(Inputs!$B$12*(1+Inputs!$B$13/100)))+0.25*(Inputs!$B$14-Inputs!$B$14))*(1+Inputs!$B$7/100))*(F482/100)</f>
        <v/>
      </c>
      <c r="K482">
        <f>J482*(1+((Inputs!$B$12*(1+Inputs!$B$13/100))*0.01+Inputs!$B$14*0.0025)/100)*(1+Inputs!$B$15/100)*(1+Inputs!$B$16/100)*(5000/(6000+Inputs!$B$42*(1-Inputs!$B$19/100)))*(1+Inputs!$B$24/100)*(1+F495/100)*(1+IF(Inputs!$B$3&gt;=120,F498,0)/100)^5*(1+(IF(Skills!A10="BASIC_ATTACK",Inputs!$B$17,Inputs!$B$18+IF(Inputs!$B$3&gt;=125,F499*5,0)))/100)*(B502*B503*B504*I482)</f>
        <v/>
      </c>
      <c r="L482">
        <f>K482*(MIN(Inputs!$B$22+(F494-Calc!F22),Inputs!$B$23)/100+Inputs!$B$23/100)/2</f>
        <v/>
      </c>
      <c r="M482">
        <f>L482*(1+((Inputs!$B$10+1)+(F493-Calc!F21))/100)</f>
        <v/>
      </c>
      <c r="N482">
        <f>L482*(1-MIN(Inputs!$B$9+(F492-Calc!F20),100)/100)+M482*(MIN(Inputs!$B$9+(F492-Calc!F20),100)/100)</f>
        <v/>
      </c>
      <c r="O482">
        <f>(1-Summary!$B$56)*S482+Summary!$B$56*U482</f>
        <v/>
      </c>
      <c r="P482">
        <f>IF(B513=0,0,O482/B513)</f>
        <v/>
      </c>
      <c r="Q482">
        <f>IFERROR(1/IF(Inputs!$B$38="pvp",15,MAX(0.1,Skills!E10-IF(Skills!F10=TRUE,Inputs!$B$32,0))),0)</f>
        <v/>
      </c>
      <c r="R482">
        <f>IF(AND(Inputs!$B$38&lt;&gt;"pvp",Inputs!$B$43&gt;0),IF(MAX(0,Inputs!$B$43-B510)&lt;=0,0,(INT(MAX(0,Inputs!$B$43-B510)/IF(Inputs!$B$38="pvp",15,MAX(0.1,Skills!E10-IF(Skills!F10=TRUE,Inputs!$B$32,0))))+1)),0)</f>
        <v/>
      </c>
      <c r="S482">
        <f>IF(C482,(H482*N482*IF(AND(Inputs!$B$38&lt;&gt;"pvp",Inputs!$B$43&gt;0),((Skills!G10*((R482-1)*IF(Skills!H10&gt;0,Skills!I10/Skills!H10,1)+IF(Skills!H10&gt;0,MIN(Skills!I10,MAX(0,MAX(0,Inputs!$B$43-B510)-((R482-1)*IF(Inputs!$B$38="pvp",15,MAX(0.1,Skills!E10-IF(Skills!F10=TRUE,Inputs!$B$32,0))))))/Skills!H10,1)))/Inputs!$B$43),G482*Q482))*IF(Inputs!$B$38="pvp",1,1+(Inputs!$B$20+Skills!P10)/100),0)</f>
        <v/>
      </c>
      <c r="U482">
        <f>IF(C482,(H482*N482*IF(AND(Inputs!$B$38&lt;&gt;"pvp",Inputs!$B$43&gt;0),((Skills!G10*((R482-1)*IF(Skills!H10&gt;0,Skills!I10/Skills!H10,1)+IF(Skills!H10&gt;0,MIN(Skills!I10,MAX(0,MAX(0,Inputs!$B$43-B510)-((R482-1)*IF(Inputs!$B$38="pvp",15,MAX(0.1,Skills!E10-IF(Skills!F10=TRUE,Inputs!$B$32,0))))))/Skills!H10,1)))/Inputs!$B$43),G482*Q482))*IF(Inputs!$B$38="pvp",1,(1+(Inputs!$B$21+Skills!Q10)/100)*(MIN(Skills!R10,Inputs!$B$37))),0)</f>
        <v/>
      </c>
    </row>
    <row r="483">
      <c r="A483">
        <f>Skills!A11</f>
        <v/>
      </c>
      <c r="B483">
        <f>Skills!B11</f>
        <v/>
      </c>
      <c r="C483">
        <f>TRUE</f>
        <v/>
      </c>
      <c r="D483">
        <f>IF(Skills!C11=1,60+Inputs!$B$25+Inputs!$B$29,IF(Skills!C11=2,90+Inputs!$B$26+Inputs!$B$29,IF(Skills!C11=3,120+Inputs!$B$27+Inputs!$B$29,MAX(0,(Inputs!$B$3-100)*3)+Inputs!$B$28+Inputs!$B$29)))</f>
        <v/>
      </c>
      <c r="E483">
        <f>INDEX(FactorTable!$B$2:$Y$301, MATCH(ROUND(MIN(300,MAX(1,D483)),0), FactorTable!$A$2:$A$301,0), Skills!M11+1)</f>
        <v/>
      </c>
      <c r="F483">
        <f>IF(Skills!N11=TRUE,(Skills!L11/10)*(E483/1000),Skills!L11/10)+Skills!O11</f>
        <v/>
      </c>
      <c r="G483">
        <f>Calc!G11</f>
        <v/>
      </c>
      <c r="H483">
        <f>Calc!H11</f>
        <v/>
      </c>
      <c r="I483">
        <f>IF(Skills!X11&lt;&gt;"",1+(Skills!X11/10)*(Z475/1000)/100,1)</f>
        <v/>
      </c>
      <c r="J483" t="inlineStr"/>
      <c r="K483" t="inlineStr"/>
      <c r="L483" t="inlineStr"/>
      <c r="M483" t="inlineStr"/>
      <c r="N483" t="inlineStr"/>
      <c r="O483">
        <f>(1-Summary!$B$56)*S483+Summary!$B$56*U483</f>
        <v/>
      </c>
      <c r="P483">
        <f>IF(B513=0,0,O483/B513)</f>
        <v/>
      </c>
      <c r="Q483">
        <f>IFERROR(1/IF(Inputs!$B$38="pvp",15,MAX(0.1,Skills!E11-IF(Skills!F11=TRUE,Inputs!$B$32,0))),0)</f>
        <v/>
      </c>
      <c r="R483" t="n">
        <v>0</v>
      </c>
      <c r="S483" t="n">
        <v>0</v>
      </c>
      <c r="U483" t="n">
        <v>0</v>
      </c>
    </row>
    <row r="484">
      <c r="A484">
        <f>Skills!A12</f>
        <v/>
      </c>
      <c r="B484">
        <f>Skills!B12</f>
        <v/>
      </c>
      <c r="C484">
        <f>TRUE</f>
        <v/>
      </c>
      <c r="D484">
        <f>IF(Skills!C12=1,60+Inputs!$B$25+Inputs!$B$29,IF(Skills!C12=2,90+Inputs!$B$26+Inputs!$B$29,IF(Skills!C12=3,120+Inputs!$B$27+Inputs!$B$29,MAX(0,(Inputs!$B$3-100)*3)+Inputs!$B$28+Inputs!$B$29)))</f>
        <v/>
      </c>
      <c r="E484">
        <f>INDEX(FactorTable!$B$2:$Y$301, MATCH(ROUND(MIN(300,MAX(1,D484)),0), FactorTable!$A$2:$A$301,0), Skills!M12+1)</f>
        <v/>
      </c>
      <c r="F484">
        <f>IF(Skills!N12=TRUE,(Skills!L12/10)*(E484/1000),Skills!L12/10)+Skills!O12</f>
        <v/>
      </c>
      <c r="G484">
        <f>Calc!G12</f>
        <v/>
      </c>
      <c r="H484">
        <f>Calc!H12</f>
        <v/>
      </c>
      <c r="I484">
        <f>IF(Skills!X12&lt;&gt;"",1+(Skills!X12/10)*(Z475/1000)/100,1)</f>
        <v/>
      </c>
      <c r="J484" t="inlineStr"/>
      <c r="K484" t="inlineStr"/>
      <c r="L484" t="inlineStr"/>
      <c r="M484" t="inlineStr"/>
      <c r="N484" t="inlineStr"/>
      <c r="O484">
        <f>(1-Summary!$B$56)*S484+Summary!$B$56*U484</f>
        <v/>
      </c>
      <c r="P484">
        <f>IF(B513=0,0,O484/B513)</f>
        <v/>
      </c>
      <c r="Q484">
        <f>IFERROR(1/IF(Inputs!$B$38="pvp",15,MAX(0.1,Skills!E12-IF(Skills!F12=TRUE,Inputs!$B$32,0))),0)</f>
        <v/>
      </c>
      <c r="R484" t="n">
        <v>0</v>
      </c>
      <c r="S484" t="n">
        <v>0</v>
      </c>
      <c r="U484" t="n">
        <v>0</v>
      </c>
    </row>
    <row r="485">
      <c r="A485">
        <f>Skills!A13</f>
        <v/>
      </c>
      <c r="B485">
        <f>Skills!B13</f>
        <v/>
      </c>
      <c r="C485">
        <f>Inputs!$B$3&gt;=105</f>
        <v/>
      </c>
      <c r="D485">
        <f>IF(Skills!C13=1,60+Inputs!$B$25+Inputs!$B$29,IF(Skills!C13=2,90+Inputs!$B$26+Inputs!$B$29,IF(Skills!C13=3,120+Inputs!$B$27+Inputs!$B$29,MAX(0,(Inputs!$B$3-100)*3)+Inputs!$B$28+Inputs!$B$29)))</f>
        <v/>
      </c>
      <c r="E485">
        <f>INDEX(FactorTable!$B$2:$Y$301, MATCH(ROUND(MIN(300,MAX(1,D485)),0), FactorTable!$A$2:$A$301,0), Skills!M13+1)</f>
        <v/>
      </c>
      <c r="F485">
        <f>IF(Skills!N13=TRUE,(Skills!L13/10)*(E485/1000),Skills!L13/10)+Skills!O13</f>
        <v/>
      </c>
      <c r="G485">
        <f>Calc!G13</f>
        <v/>
      </c>
      <c r="H485">
        <f>Calc!H13</f>
        <v/>
      </c>
      <c r="I485">
        <f>IF(Skills!X13&lt;&gt;"",1+(Skills!X13/10)*(Z475/1000)/100,1)</f>
        <v/>
      </c>
      <c r="J485">
        <f>((Inputs!$B$6*(1+Inputs!$B$7/100))+(((Inputs!$B$12*(1+Inputs!$B$13/100))-(Inputs!$B$12*(1+Inputs!$B$13/100)))+0.25*(Inputs!$B$14-Inputs!$B$14))*(1+Inputs!$B$7/100))*(F485/100)</f>
        <v/>
      </c>
      <c r="K485">
        <f>J485*(1+((Inputs!$B$12*(1+Inputs!$B$13/100))*0.01+Inputs!$B$14*0.0025)/100)*(1+Inputs!$B$15/100)*(1+Inputs!$B$16/100)*(5000/(6000+Inputs!$B$42*(1-Inputs!$B$19/100)))*(1+Inputs!$B$24/100)*(1+F495/100)*(1+IF(Inputs!$B$3&gt;=120,F498,0)/100)^5*(1+(IF(Skills!A13="BASIC_ATTACK",Inputs!$B$17,Inputs!$B$18+IF(Inputs!$B$3&gt;=125,F499*5,0)))/100)*(B502*B503*B504*I485)</f>
        <v/>
      </c>
      <c r="L485">
        <f>K485*(MIN(Inputs!$B$22+(F494-Calc!F22),Inputs!$B$23)/100+Inputs!$B$23/100)/2</f>
        <v/>
      </c>
      <c r="M485">
        <f>L485*(1+((Inputs!$B$10+1)+(F493-Calc!F21))/100)</f>
        <v/>
      </c>
      <c r="N485">
        <f>L485*(1-MIN(Inputs!$B$9+(F492-Calc!F20),100)/100)+M485*(MIN(Inputs!$B$9+(F492-Calc!F20),100)/100)</f>
        <v/>
      </c>
      <c r="O485">
        <f>(1-Summary!$B$56)*S485+Summary!$B$56*U485</f>
        <v/>
      </c>
      <c r="P485">
        <f>IF(B513=0,0,O485/B513)</f>
        <v/>
      </c>
      <c r="Q485">
        <f>IFERROR(1/IF(Inputs!$B$38="pvp",15,MAX(0.1,Skills!E13-IF(Skills!F13=TRUE,Inputs!$B$32,0))),0)</f>
        <v/>
      </c>
      <c r="R485">
        <f>IF(AND(Inputs!$B$38&lt;&gt;"pvp",Inputs!$B$43&gt;0),IF(MAX(0,Inputs!$B$43-B510)&lt;=0,0,(INT(MAX(0,Inputs!$B$43-B510)/IF(Inputs!$B$38="pvp",15,MAX(0.1,Skills!E13-IF(Skills!F13=TRUE,Inputs!$B$32,0))))+1)),0)</f>
        <v/>
      </c>
      <c r="S485">
        <f>IF(C485,(H485*N485*IF(AND(Inputs!$B$38&lt;&gt;"pvp",Inputs!$B$43&gt;0),((Skills!G13*((R485-1)*IF(Skills!H13&gt;0,Skills!I13/Skills!H13,1)+IF(Skills!H13&gt;0,MIN(Skills!I13,MAX(0,MAX(0,Inputs!$B$43-B510)-((R485-1)*IF(Inputs!$B$38="pvp",15,MAX(0.1,Skills!E13-IF(Skills!F13=TRUE,Inputs!$B$32,0))))))/Skills!H13,1)))/Inputs!$B$43),G485*Q485))*IF(Inputs!$B$38="pvp",1,1+(Inputs!$B$20+Skills!P13)/100),0)</f>
        <v/>
      </c>
      <c r="U485">
        <f>IF(C485,(H485*N485*IF(AND(Inputs!$B$38&lt;&gt;"pvp",Inputs!$B$43&gt;0),((Skills!G13*((R485-1)*IF(Skills!H13&gt;0,Skills!I13/Skills!H13,1)+IF(Skills!H13&gt;0,MIN(Skills!I13,MAX(0,MAX(0,Inputs!$B$43-B510)-((R485-1)*IF(Inputs!$B$38="pvp",15,MAX(0.1,Skills!E13-IF(Skills!F13=TRUE,Inputs!$B$32,0))))))/Skills!H13,1)))/Inputs!$B$43),G485*Q485))*IF(Inputs!$B$38="pvp",1,(1+(Inputs!$B$21+Skills!Q13)/100)*(MIN(Skills!R13,Inputs!$B$37))),0)</f>
        <v/>
      </c>
    </row>
    <row r="486">
      <c r="A486">
        <f>Skills!A14</f>
        <v/>
      </c>
      <c r="B486">
        <f>Skills!B14</f>
        <v/>
      </c>
      <c r="C486">
        <f>Inputs!$B$3&gt;=113</f>
        <v/>
      </c>
      <c r="D486">
        <f>IF(Skills!C14=1,60+Inputs!$B$25+Inputs!$B$29,IF(Skills!C14=2,90+Inputs!$B$26+Inputs!$B$29,IF(Skills!C14=3,120+Inputs!$B$27+Inputs!$B$29,MAX(0,(Inputs!$B$3-100)*3)+Inputs!$B$28+Inputs!$B$29)))</f>
        <v/>
      </c>
      <c r="E486">
        <f>INDEX(FactorTable!$B$2:$Y$301, MATCH(ROUND(MIN(300,MAX(1,D486)),0), FactorTable!$A$2:$A$301,0), Skills!M14+1)</f>
        <v/>
      </c>
      <c r="F486">
        <f>IF(Skills!N14=TRUE,(Skills!L14/10)*(E486/1000),Skills!L14/10)+Skills!O14</f>
        <v/>
      </c>
      <c r="G486">
        <f>Calc!G14</f>
        <v/>
      </c>
      <c r="H486">
        <f>Calc!H14</f>
        <v/>
      </c>
      <c r="I486">
        <f>IF(Skills!X14&lt;&gt;"",1+(Skills!X14/10)*(Z475/1000)/100,1)</f>
        <v/>
      </c>
      <c r="J486">
        <f>((Inputs!$B$6*(1+Inputs!$B$7/100))+(((Inputs!$B$12*(1+Inputs!$B$13/100))-(Inputs!$B$12*(1+Inputs!$B$13/100)))+0.25*(Inputs!$B$14-Inputs!$B$14))*(1+Inputs!$B$7/100))*(F486/100)</f>
        <v/>
      </c>
      <c r="K486">
        <f>J486*(1+((Inputs!$B$12*(1+Inputs!$B$13/100))*0.01+Inputs!$B$14*0.0025)/100)*(1+Inputs!$B$15/100)*(1+Inputs!$B$16/100)*(5000/(6000+Inputs!$B$42*(1-Inputs!$B$19/100)))*(1+Inputs!$B$24/100)*(1+F495/100)*(1+IF(Inputs!$B$3&gt;=120,F498,0)/100)^5*(1+(IF(Skills!A14="BASIC_ATTACK",Inputs!$B$17,Inputs!$B$18+IF(Inputs!$B$3&gt;=125,F499*5,0)))/100)*(B502*B503*B504*I486)</f>
        <v/>
      </c>
      <c r="L486">
        <f>K486*(MIN(Inputs!$B$22+(F494-Calc!F22),Inputs!$B$23)/100+Inputs!$B$23/100)/2</f>
        <v/>
      </c>
      <c r="M486">
        <f>L486*(1+((Inputs!$B$10+1)+(F493-Calc!F21))/100)</f>
        <v/>
      </c>
      <c r="N486">
        <f>L486*(1-MIN(Inputs!$B$9+(F492-Calc!F20),100)/100)+M486*(MIN(Inputs!$B$9+(F492-Calc!F20),100)/100)</f>
        <v/>
      </c>
      <c r="O486">
        <f>(1-Summary!$B$56)*S486+Summary!$B$56*U486</f>
        <v/>
      </c>
      <c r="P486">
        <f>IF(B513=0,0,O486/B513)</f>
        <v/>
      </c>
      <c r="Q486">
        <f>IFERROR(1/IF(Inputs!$B$38="pvp",15,MAX(0.1,Skills!E14-IF(Skills!F14=TRUE,Inputs!$B$32,0))),0)</f>
        <v/>
      </c>
      <c r="R486" t="n">
        <v>0</v>
      </c>
      <c r="S486">
        <f>IF(C486,((H486*B509)/(1+Skills!H14*H486*B509)*N486)*IF(Inputs!$B$38="pvp",1,1+(Inputs!$B$20+Skills!P14)/100),0)</f>
        <v/>
      </c>
      <c r="U486">
        <f>IF(C486,((H486*B509)/(1+Skills!H14*H486*B509)*N486)*IF(Inputs!$B$38="pvp",1,(1+(Inputs!$B$21+Skills!Q14)/100)*(MIN(Skills!R14,Inputs!$B$37))),0)</f>
        <v/>
      </c>
    </row>
    <row r="487">
      <c r="A487">
        <f>Skills!A15</f>
        <v/>
      </c>
      <c r="B487">
        <f>Skills!B15</f>
        <v/>
      </c>
      <c r="C487">
        <f>Inputs!$B$3&gt;=107</f>
        <v/>
      </c>
      <c r="D487">
        <f>IF(Skills!C15=1,60+Inputs!$B$25+Inputs!$B$29,IF(Skills!C15=2,90+Inputs!$B$26+Inputs!$B$29,IF(Skills!C15=3,120+Inputs!$B$27+Inputs!$B$29,MAX(0,(Inputs!$B$3-100)*3)+Inputs!$B$28+Inputs!$B$29)))</f>
        <v/>
      </c>
      <c r="E487">
        <f>INDEX(FactorTable!$B$2:$Y$301, MATCH(ROUND(MIN(300,MAX(1,D487)),0), FactorTable!$A$2:$A$301,0), Skills!M15+1)</f>
        <v/>
      </c>
      <c r="F487">
        <f>IF(Skills!N15=TRUE,(Skills!L15/10)*(E487/1000),Skills!L15/10)+Skills!O15</f>
        <v/>
      </c>
      <c r="G487">
        <f>Calc!G15</f>
        <v/>
      </c>
      <c r="H487">
        <f>Calc!H15</f>
        <v/>
      </c>
      <c r="I487">
        <f>IF(Skills!X15&lt;&gt;"",1+(Skills!X15/10)*(Z475/1000)/100,1)</f>
        <v/>
      </c>
      <c r="J487">
        <f>((Inputs!$B$6*(1+Inputs!$B$7/100))+(((Inputs!$B$12*(1+Inputs!$B$13/100))-(Inputs!$B$12*(1+Inputs!$B$13/100)))+0.25*(Inputs!$B$14-Inputs!$B$14))*(1+Inputs!$B$7/100))*(F487/100)</f>
        <v/>
      </c>
      <c r="K487">
        <f>J487*(1+((Inputs!$B$12*(1+Inputs!$B$13/100))*0.01+Inputs!$B$14*0.0025)/100)*(1+Inputs!$B$15/100)*(1+Inputs!$B$16/100)*(5000/(6000+Inputs!$B$42*(1-Inputs!$B$19/100)))*(1+Inputs!$B$24/100)*(1+F495/100)*(1+IF(Inputs!$B$3&gt;=120,F498,0)/100)^5*(1+(IF(Skills!A15="BASIC_ATTACK",Inputs!$B$17,Inputs!$B$18+IF(Inputs!$B$3&gt;=125,F499*5,0)))/100)*(B502*B503*B504*I487)</f>
        <v/>
      </c>
      <c r="L487">
        <f>K487*(MIN(Inputs!$B$22+(F494-Calc!F22),Inputs!$B$23)/100+Inputs!$B$23/100)/2</f>
        <v/>
      </c>
      <c r="M487">
        <f>L487*(1+((Inputs!$B$10+1)+(F493-Calc!F21))/100)</f>
        <v/>
      </c>
      <c r="N487">
        <f>L487*(1-MIN(Inputs!$B$9+(F492-Calc!F20),100)/100)+M487*(MIN(Inputs!$B$9+(F492-Calc!F20),100)/100)</f>
        <v/>
      </c>
      <c r="O487">
        <f>(1-Summary!$B$56)*S487+Summary!$B$56*U487</f>
        <v/>
      </c>
      <c r="P487">
        <f>IF(B513=0,0,O487/B513)</f>
        <v/>
      </c>
      <c r="Q487">
        <f>IFERROR(1/IF(Inputs!$B$38="pvp",15,MAX(0.1,Skills!E15-IF(Skills!F15=TRUE,Inputs!$B$32,0))),0)</f>
        <v/>
      </c>
      <c r="R487">
        <f>IF(AND(Inputs!$B$38&lt;&gt;"pvp",Inputs!$B$43&gt;0),IF(MAX(0,Inputs!$B$43-B510)&lt;=0,0,(INT(MAX(0,Inputs!$B$43-B510)/IF(Inputs!$B$38="pvp",15,MAX(0.1,Skills!E15-IF(Skills!F15=TRUE,Inputs!$B$32,0))))+1)),0)</f>
        <v/>
      </c>
      <c r="S487">
        <f>IF(C487,(H487*N487*IF(AND(Inputs!$B$38&lt;&gt;"pvp",Inputs!$B$43&gt;0),((Skills!G15*((R487-1)*IF(Skills!H15&gt;0,Skills!I15/Skills!H15,1)+IF(Skills!H15&gt;0,MIN(Skills!I15,MAX(0,MAX(0,Inputs!$B$43-B510)-((R487-1)*IF(Inputs!$B$38="pvp",15,MAX(0.1,Skills!E15-IF(Skills!F15=TRUE,Inputs!$B$32,0))))))/Skills!H15,1)))/Inputs!$B$43),G487*Q487))*IF(Inputs!$B$38="pvp",1,1+(Inputs!$B$20+Skills!P15)/100),0)</f>
        <v/>
      </c>
      <c r="U487">
        <f>IF(C487,(H487*N487*IF(AND(Inputs!$B$38&lt;&gt;"pvp",Inputs!$B$43&gt;0),((Skills!G15*((R487-1)*IF(Skills!H15&gt;0,Skills!I15/Skills!H15,1)+IF(Skills!H15&gt;0,MIN(Skills!I15,MAX(0,MAX(0,Inputs!$B$43-B510)-((R487-1)*IF(Inputs!$B$38="pvp",15,MAX(0.1,Skills!E15-IF(Skills!F15=TRUE,Inputs!$B$32,0))))))/Skills!H15,1)))/Inputs!$B$43),G487*Q487))*IF(Inputs!$B$38="pvp",1,(1+(Inputs!$B$21+Skills!Q15)/100)*(MIN(Skills!R15,Inputs!$B$37))),0)</f>
        <v/>
      </c>
    </row>
    <row r="488">
      <c r="A488">
        <f>Skills!A16</f>
        <v/>
      </c>
      <c r="B488">
        <f>Skills!B16</f>
        <v/>
      </c>
      <c r="C488">
        <f>Inputs!$B$3&gt;=107</f>
        <v/>
      </c>
      <c r="D488">
        <f>IF(Skills!C16=1,60+Inputs!$B$25+Inputs!$B$29,IF(Skills!C16=2,90+Inputs!$B$26+Inputs!$B$29,IF(Skills!C16=3,120+Inputs!$B$27+Inputs!$B$29,MAX(0,(Inputs!$B$3-100)*3)+Inputs!$B$28+Inputs!$B$29)))</f>
        <v/>
      </c>
      <c r="E488">
        <f>INDEX(FactorTable!$B$2:$Y$301, MATCH(ROUND(MIN(300,MAX(1,D488)),0), FactorTable!$A$2:$A$301,0), Skills!M16+1)</f>
        <v/>
      </c>
      <c r="F488">
        <f>IF(Skills!N16=TRUE,(Skills!L16/10)*(E488/1000),Skills!L16/10)+Skills!O16</f>
        <v/>
      </c>
      <c r="G488">
        <f>Calc!G16</f>
        <v/>
      </c>
      <c r="H488">
        <f>Calc!H16</f>
        <v/>
      </c>
      <c r="I488">
        <f>IF(Skills!X16&lt;&gt;"",1+(Skills!X16/10)*(Z475/1000)/100,1)</f>
        <v/>
      </c>
      <c r="J488">
        <f>((Inputs!$B$6*(1+Inputs!$B$7/100))+(((Inputs!$B$12*(1+Inputs!$B$13/100))-(Inputs!$B$12*(1+Inputs!$B$13/100)))+0.25*(Inputs!$B$14-Inputs!$B$14))*(1+Inputs!$B$7/100))*(F488/100)</f>
        <v/>
      </c>
      <c r="K488">
        <f>J488*(1+((Inputs!$B$12*(1+Inputs!$B$13/100))*0.01+Inputs!$B$14*0.0025)/100)*(1+Inputs!$B$15/100)*(1+Inputs!$B$16/100)*(5000/(6000+Inputs!$B$42*(1-Inputs!$B$19/100)))*(1+Inputs!$B$24/100)*(1+F495/100)*(1+IF(Inputs!$B$3&gt;=120,F498,0)/100)^5*(1+(IF(Skills!A16="BASIC_ATTACK",Inputs!$B$17,Inputs!$B$18+IF(Inputs!$B$3&gt;=125,F499*5,0)))/100)*(B502*B503*B504*I488)</f>
        <v/>
      </c>
      <c r="L488">
        <f>K488*(MIN(Inputs!$B$22+(F494-Calc!F22),Inputs!$B$23)/100+Inputs!$B$23/100)/2</f>
        <v/>
      </c>
      <c r="M488">
        <f>L488*(1+((Inputs!$B$10+1)+(F493-Calc!F21))/100)</f>
        <v/>
      </c>
      <c r="N488">
        <f>L488*(1-MIN(Inputs!$B$9+(F492-Calc!F20),100)/100)+M488*(MIN(Inputs!$B$9+(F492-Calc!F20),100)/100)</f>
        <v/>
      </c>
      <c r="O488">
        <f>(1-Summary!$B$56)*S488+Summary!$B$56*U488</f>
        <v/>
      </c>
      <c r="P488">
        <f>IF(B513=0,0,O488/B513)</f>
        <v/>
      </c>
      <c r="Q488">
        <f>IFERROR(1/IF(Inputs!$B$38="pvp",15,MAX(0.1,Skills!E16-IF(Skills!F16=TRUE,Inputs!$B$32,0))),0)</f>
        <v/>
      </c>
      <c r="R488">
        <f>IF(AND(Inputs!$B$38&lt;&gt;"pvp",Inputs!$B$43&gt;0),IF(MAX(0,Inputs!$B$43-B510)&lt;=0,0,(INT(MAX(0,Inputs!$B$43-B510)/IF(Inputs!$B$38="pvp",15,MAX(0.1,Skills!E16-IF(Skills!F16=TRUE,Inputs!$B$32,0))))+1)),0)</f>
        <v/>
      </c>
      <c r="S488">
        <f>IF(C488,(H488*N488*IF(AND(Inputs!$B$38&lt;&gt;"pvp",Inputs!$B$43&gt;0),((Skills!G16*((R488-1)*IF(Skills!H16&gt;0,Skills!I16/Skills!H16,1)+IF(Skills!H16&gt;0,MIN(Skills!I16,MAX(0,MAX(0,Inputs!$B$43-B510)-((R488-1)*IF(Inputs!$B$38="pvp",15,MAX(0.1,Skills!E16-IF(Skills!F16=TRUE,Inputs!$B$32,0))))))/Skills!H16,1)))/Inputs!$B$43),G488*Q488)*(1+IF(Inputs!$B$3&gt;=126,0.05*(B508+Q485+(H486*B509)/(1+Skills!H14*H486*B509)+Q496),0)*Skills!E15))*IF(Inputs!$B$38="pvp",1,1+(Inputs!$B$20+Skills!P16)/100),0)</f>
        <v/>
      </c>
      <c r="U488">
        <f>IF(C488,(H488*N488*IF(AND(Inputs!$B$38&lt;&gt;"pvp",Inputs!$B$43&gt;0),((Skills!G16*((R488-1)*IF(Skills!H16&gt;0,Skills!I16/Skills!H16,1)+IF(Skills!H16&gt;0,MIN(Skills!I16,MAX(0,MAX(0,Inputs!$B$43-B510)-((R488-1)*IF(Inputs!$B$38="pvp",15,MAX(0.1,Skills!E16-IF(Skills!F16=TRUE,Inputs!$B$32,0))))))/Skills!H16,1)))/Inputs!$B$43),G488*Q488)*(1+IF(Inputs!$B$3&gt;=126,0.05*(B508+Q485+(H486*B509)/(1+Skills!H14*H486*B509)+Q496),0)*Skills!E15))*IF(Inputs!$B$38="pvp",1,(1+(Inputs!$B$21+Skills!Q16)/100)*(MIN(Skills!R16,Inputs!$B$37))),0)</f>
        <v/>
      </c>
    </row>
    <row r="489">
      <c r="A489">
        <f>Skills!A17</f>
        <v/>
      </c>
      <c r="B489">
        <f>Skills!B17</f>
        <v/>
      </c>
      <c r="C489">
        <f>TRUE</f>
        <v/>
      </c>
      <c r="D489">
        <f>IF(Skills!C17=1,60+Inputs!$B$25+Inputs!$B$29,IF(Skills!C17=2,90+Inputs!$B$26+Inputs!$B$29,IF(Skills!C17=3,120+Inputs!$B$27+Inputs!$B$29,MAX(0,(Inputs!$B$3-100)*3)+Inputs!$B$28+Inputs!$B$29)))</f>
        <v/>
      </c>
      <c r="E489">
        <f>INDEX(FactorTable!$B$2:$Y$301, MATCH(ROUND(MIN(300,MAX(1,D489)),0), FactorTable!$A$2:$A$301,0), Skills!M17+1)</f>
        <v/>
      </c>
      <c r="F489">
        <f>IF(Skills!N17=TRUE,(Skills!L17/10)*(E489/1000),Skills!L17/10)+Skills!O17</f>
        <v/>
      </c>
      <c r="G489">
        <f>Calc!G17</f>
        <v/>
      </c>
      <c r="H489">
        <f>Calc!H17</f>
        <v/>
      </c>
      <c r="I489">
        <f>IF(Skills!X17&lt;&gt;"",1+(Skills!X17/10)*(Z475/1000)/100,1)</f>
        <v/>
      </c>
      <c r="J489" t="inlineStr"/>
      <c r="K489" t="inlineStr"/>
      <c r="L489" t="inlineStr"/>
      <c r="M489" t="inlineStr"/>
      <c r="N489" t="inlineStr"/>
      <c r="O489">
        <f>(1-Summary!$B$56)*S489+Summary!$B$56*U489</f>
        <v/>
      </c>
      <c r="P489">
        <f>IF(B513=0,0,O489/B513)</f>
        <v/>
      </c>
      <c r="Q489">
        <f>IFERROR(1/IF(Inputs!$B$38="pvp",15,MAX(0.1,Skills!E17-IF(Skills!F17=TRUE,Inputs!$B$32,0))),0)</f>
        <v/>
      </c>
      <c r="R489">
        <f>IF(AND(Inputs!$B$38&lt;&gt;"pvp",Inputs!$B$43&gt;0),IF(Inputs!$B$43&lt;=0,0,(INT(Inputs!$B$43/IF(Inputs!$B$38="pvp",15,MAX(0.1,Skills!E17-IF(Skills!F17=TRUE,Inputs!$B$32,0))))+1)),0)</f>
        <v/>
      </c>
      <c r="S489" t="n">
        <v>0</v>
      </c>
      <c r="U489" t="n">
        <v>0</v>
      </c>
    </row>
    <row r="490">
      <c r="A490">
        <f>Skills!A18</f>
        <v/>
      </c>
      <c r="B490">
        <f>Skills!B18</f>
        <v/>
      </c>
      <c r="C490">
        <f>TRUE</f>
        <v/>
      </c>
      <c r="D490">
        <f>IF(Skills!C18=1,60+Inputs!$B$25+Inputs!$B$29,IF(Skills!C18=2,90+Inputs!$B$26+Inputs!$B$29,IF(Skills!C18=3,120+Inputs!$B$27+Inputs!$B$29,MAX(0,(Inputs!$B$3-100)*3)+Inputs!$B$28+Inputs!$B$29)))</f>
        <v/>
      </c>
      <c r="E490">
        <f>INDEX(FactorTable!$B$2:$Y$301, MATCH(ROUND(MIN(300,MAX(1,D490)),0), FactorTable!$A$2:$A$301,0), Skills!M18+1)</f>
        <v/>
      </c>
      <c r="F490">
        <f>IF(Skills!N18=TRUE,(Skills!L18/10)*(E490/1000),Skills!L18/10)+Skills!O18</f>
        <v/>
      </c>
      <c r="G490">
        <f>Calc!G18</f>
        <v/>
      </c>
      <c r="H490">
        <f>Calc!H18</f>
        <v/>
      </c>
      <c r="I490">
        <f>IF(Skills!X18&lt;&gt;"",1+(Skills!X18/10)*(Z475/1000)/100,1)</f>
        <v/>
      </c>
      <c r="J490" t="inlineStr"/>
      <c r="K490" t="inlineStr"/>
      <c r="L490" t="inlineStr"/>
      <c r="M490" t="inlineStr"/>
      <c r="N490" t="inlineStr"/>
      <c r="O490">
        <f>(1-Summary!$B$56)*S490+Summary!$B$56*U490</f>
        <v/>
      </c>
      <c r="P490">
        <f>IF(B513=0,0,O490/B513)</f>
        <v/>
      </c>
      <c r="Q490">
        <f>IFERROR(1/IF(Inputs!$B$38="pvp",15,MAX(0.1,Skills!E18-IF(Skills!F18=TRUE,Inputs!$B$32,0))),0)</f>
        <v/>
      </c>
      <c r="R490">
        <f>IF(AND(Inputs!$B$38&lt;&gt;"pvp",Inputs!$B$43&gt;0),IF(Inputs!$B$43&lt;=0,0,(INT(Inputs!$B$43/IF(Inputs!$B$38="pvp",15,MAX(0.1,Skills!E18-IF(Skills!F18=TRUE,Inputs!$B$32,0))))+1)),0)</f>
        <v/>
      </c>
      <c r="S490" t="n">
        <v>0</v>
      </c>
      <c r="U490" t="n">
        <v>0</v>
      </c>
    </row>
    <row r="491">
      <c r="A491">
        <f>Skills!A19</f>
        <v/>
      </c>
      <c r="B491">
        <f>Skills!B19</f>
        <v/>
      </c>
      <c r="C491">
        <f>Inputs!$B$3&gt;=110</f>
        <v/>
      </c>
      <c r="D491">
        <f>IF(Skills!C19=1,60+Inputs!$B$25+Inputs!$B$29,IF(Skills!C19=2,90+Inputs!$B$26+Inputs!$B$29,IF(Skills!C19=3,120+Inputs!$B$27+Inputs!$B$29,MAX(0,(Inputs!$B$3-100)*3)+Inputs!$B$28+Inputs!$B$29)))</f>
        <v/>
      </c>
      <c r="E491">
        <f>INDEX(FactorTable!$B$2:$Y$301, MATCH(ROUND(MIN(300,MAX(1,D491)),0), FactorTable!$A$2:$A$301,0), Skills!M19+1)</f>
        <v/>
      </c>
      <c r="F491">
        <f>IF(Skills!N19=TRUE,(Skills!L19/10)*(E491/1000),Skills!L19/10)+Skills!O19</f>
        <v/>
      </c>
      <c r="G491">
        <f>Calc!G19</f>
        <v/>
      </c>
      <c r="H491">
        <f>Calc!H19</f>
        <v/>
      </c>
      <c r="I491">
        <f>IF(Skills!X19&lt;&gt;"",1+(Skills!X19/10)*(Z475/1000)/100,1)</f>
        <v/>
      </c>
      <c r="J491" t="inlineStr"/>
      <c r="K491" t="inlineStr"/>
      <c r="L491" t="inlineStr"/>
      <c r="M491" t="inlineStr"/>
      <c r="N491" t="inlineStr"/>
      <c r="O491">
        <f>(1-Summary!$B$56)*S491+Summary!$B$56*U491</f>
        <v/>
      </c>
      <c r="P491">
        <f>IF(B513=0,0,O491/B513)</f>
        <v/>
      </c>
      <c r="Q491">
        <f>IFERROR(1/IF(Inputs!$B$38="pvp",15,MAX(0.1,Skills!E19-IF(Skills!F19=TRUE,Inputs!$B$32,0))),0)</f>
        <v/>
      </c>
      <c r="R491">
        <f>IF(AND(Inputs!$B$38&lt;&gt;"pvp",Inputs!$B$43&gt;0),IF(Inputs!$B$43&lt;=0,0,(INT(Inputs!$B$43/IF(Inputs!$B$38="pvp",15,MAX(0.1,Skills!E19-IF(Skills!F19=TRUE,Inputs!$B$32,0))))+1)),0)</f>
        <v/>
      </c>
      <c r="S491" t="n">
        <v>0</v>
      </c>
      <c r="U491" t="n">
        <v>0</v>
      </c>
    </row>
    <row r="492">
      <c r="A492">
        <f>Skills!A20</f>
        <v/>
      </c>
      <c r="B492">
        <f>Skills!B20</f>
        <v/>
      </c>
      <c r="C492">
        <f>TRUE</f>
        <v/>
      </c>
      <c r="D492">
        <f>IF(Skills!C20=1,60+Inputs!$B$25+Inputs!$B$29,IF(Skills!C20=2,90+Inputs!$B$26+Inputs!$B$29,IF(Skills!C20=3,120+Inputs!$B$27+Inputs!$B$29,MAX(0,(Inputs!$B$3-100)*3)+Inputs!$B$28+Inputs!$B$29)))</f>
        <v/>
      </c>
      <c r="E492">
        <f>INDEX(FactorTable!$B$2:$Y$301, MATCH(ROUND(MIN(300,MAX(1,D492)),0), FactorTable!$A$2:$A$301,0), Skills!M20+1)</f>
        <v/>
      </c>
      <c r="F492">
        <f>IF(Skills!N20=TRUE,(Skills!L20/10)*(E492/1000),Skills!L20/10)+Skills!O20</f>
        <v/>
      </c>
      <c r="G492">
        <f>Calc!G20</f>
        <v/>
      </c>
      <c r="H492">
        <f>Calc!H20</f>
        <v/>
      </c>
      <c r="I492">
        <f>IF(Skills!X20&lt;&gt;"",1+(Skills!X20/10)*(Z475/1000)/100,1)</f>
        <v/>
      </c>
      <c r="J492" t="inlineStr"/>
      <c r="K492" t="inlineStr"/>
      <c r="L492" t="inlineStr"/>
      <c r="M492" t="inlineStr"/>
      <c r="N492" t="inlineStr"/>
      <c r="O492">
        <f>(1-Summary!$B$56)*S492+Summary!$B$56*U492</f>
        <v/>
      </c>
      <c r="P492">
        <f>IF(B513=0,0,O492/B513)</f>
        <v/>
      </c>
      <c r="Q492">
        <f>IFERROR(1/IF(Inputs!$B$38="pvp",15,MAX(0.1,Skills!E20-IF(Skills!F20=TRUE,Inputs!$B$32,0))),0)</f>
        <v/>
      </c>
      <c r="R492" t="n">
        <v>0</v>
      </c>
      <c r="S492" t="n">
        <v>0</v>
      </c>
      <c r="U492" t="n">
        <v>0</v>
      </c>
    </row>
    <row r="493">
      <c r="A493">
        <f>Skills!A21</f>
        <v/>
      </c>
      <c r="B493">
        <f>Skills!B21</f>
        <v/>
      </c>
      <c r="C493">
        <f>TRUE</f>
        <v/>
      </c>
      <c r="D493">
        <f>IF(Skills!C21=1,60+Inputs!$B$25+Inputs!$B$29,IF(Skills!C21=2,90+Inputs!$B$26+Inputs!$B$29,IF(Skills!C21=3,120+Inputs!$B$27+Inputs!$B$29,MAX(0,(Inputs!$B$3-100)*3)+Inputs!$B$28+Inputs!$B$29)))</f>
        <v/>
      </c>
      <c r="E493">
        <f>INDEX(FactorTable!$B$2:$Y$301, MATCH(ROUND(MIN(300,MAX(1,D493)),0), FactorTable!$A$2:$A$301,0), Skills!M21+1)</f>
        <v/>
      </c>
      <c r="F493">
        <f>IF(Skills!N21=TRUE,(Skills!L21/10)*(E493/1000),Skills!L21/10)+Skills!O21</f>
        <v/>
      </c>
      <c r="G493">
        <f>Calc!G21</f>
        <v/>
      </c>
      <c r="H493">
        <f>Calc!H21</f>
        <v/>
      </c>
      <c r="I493">
        <f>IF(Skills!X21&lt;&gt;"",1+(Skills!X21/10)*(Z475/1000)/100,1)</f>
        <v/>
      </c>
      <c r="J493" t="inlineStr"/>
      <c r="K493" t="inlineStr"/>
      <c r="L493" t="inlineStr"/>
      <c r="M493" t="inlineStr"/>
      <c r="N493" t="inlineStr"/>
      <c r="O493">
        <f>(1-Summary!$B$56)*S493+Summary!$B$56*U493</f>
        <v/>
      </c>
      <c r="P493">
        <f>IF(B513=0,0,O493/B513)</f>
        <v/>
      </c>
      <c r="Q493">
        <f>IFERROR(1/IF(Inputs!$B$38="pvp",15,MAX(0.1,Skills!E21-IF(Skills!F21=TRUE,Inputs!$B$32,0))),0)</f>
        <v/>
      </c>
      <c r="R493" t="n">
        <v>0</v>
      </c>
      <c r="S493" t="n">
        <v>0</v>
      </c>
      <c r="U493" t="n">
        <v>0</v>
      </c>
    </row>
    <row r="494">
      <c r="A494">
        <f>Skills!A22</f>
        <v/>
      </c>
      <c r="B494">
        <f>Skills!B22</f>
        <v/>
      </c>
      <c r="C494">
        <f>TRUE</f>
        <v/>
      </c>
      <c r="D494">
        <f>IF(Skills!C22=1,60+Inputs!$B$25+Inputs!$B$29,IF(Skills!C22=2,90+Inputs!$B$26+Inputs!$B$29,IF(Skills!C22=3,120+Inputs!$B$27+Inputs!$B$29,MAX(0,(Inputs!$B$3-100)*3)+Inputs!$B$28+Inputs!$B$29)))</f>
        <v/>
      </c>
      <c r="E494">
        <f>INDEX(FactorTable!$B$2:$Y$301, MATCH(ROUND(MIN(300,MAX(1,D494)),0), FactorTable!$A$2:$A$301,0), Skills!M22+1)</f>
        <v/>
      </c>
      <c r="F494">
        <f>IF(Skills!N22=TRUE,(Skills!L22/10)*(E494/1000),Skills!L22/10)+Skills!O22</f>
        <v/>
      </c>
      <c r="G494">
        <f>Calc!G22</f>
        <v/>
      </c>
      <c r="H494">
        <f>Calc!H22</f>
        <v/>
      </c>
      <c r="I494">
        <f>IF(Skills!X22&lt;&gt;"",1+(Skills!X22/10)*(Z475/1000)/100,1)</f>
        <v/>
      </c>
      <c r="J494" t="inlineStr"/>
      <c r="K494" t="inlineStr"/>
      <c r="L494" t="inlineStr"/>
      <c r="M494" t="inlineStr"/>
      <c r="N494" t="inlineStr"/>
      <c r="O494">
        <f>(1-Summary!$B$56)*S494+Summary!$B$56*U494</f>
        <v/>
      </c>
      <c r="P494">
        <f>IF(B513=0,0,O494/B513)</f>
        <v/>
      </c>
      <c r="Q494">
        <f>IFERROR(1/IF(Inputs!$B$38="pvp",15,MAX(0.1,Skills!E22-IF(Skills!F22=TRUE,Inputs!$B$32,0))),0)</f>
        <v/>
      </c>
      <c r="R494" t="n">
        <v>0</v>
      </c>
      <c r="S494" t="n">
        <v>0</v>
      </c>
      <c r="U494" t="n">
        <v>0</v>
      </c>
    </row>
    <row r="495">
      <c r="A495">
        <f>Skills!A23</f>
        <v/>
      </c>
      <c r="B495">
        <f>Skills!B23</f>
        <v/>
      </c>
      <c r="C495">
        <f>TRUE</f>
        <v/>
      </c>
      <c r="D495">
        <f>IF(Skills!C23=1,60+Inputs!$B$25+Inputs!$B$29,IF(Skills!C23=2,90+Inputs!$B$26+Inputs!$B$29,IF(Skills!C23=3,120+Inputs!$B$27+Inputs!$B$29,MAX(0,(Inputs!$B$3-100)*3)+Inputs!$B$28+Inputs!$B$29)))</f>
        <v/>
      </c>
      <c r="E495">
        <f>INDEX(FactorTable!$B$2:$Y$301, MATCH(ROUND(MIN(300,MAX(1,D495)),0), FactorTable!$A$2:$A$301,0), Skills!M23+1)</f>
        <v/>
      </c>
      <c r="F495">
        <f>IF(Skills!N23=TRUE,(Skills!L23/10)*(E495/1000),Skills!L23/10)+Skills!O23</f>
        <v/>
      </c>
      <c r="G495">
        <f>Calc!G23</f>
        <v/>
      </c>
      <c r="H495">
        <f>Calc!H23</f>
        <v/>
      </c>
      <c r="I495">
        <f>IF(Skills!X23&lt;&gt;"",1+(Skills!X23/10)*(Z475/1000)/100,1)</f>
        <v/>
      </c>
      <c r="J495" t="inlineStr"/>
      <c r="K495" t="inlineStr"/>
      <c r="L495" t="inlineStr"/>
      <c r="M495" t="inlineStr"/>
      <c r="N495" t="inlineStr"/>
      <c r="O495">
        <f>(1-Summary!$B$56)*S495+Summary!$B$56*U495</f>
        <v/>
      </c>
      <c r="P495">
        <f>IF(B513=0,0,O495/B513)</f>
        <v/>
      </c>
      <c r="Q495">
        <f>IFERROR(1/IF(Inputs!$B$38="pvp",15,MAX(0.1,Skills!E23-IF(Skills!F23=TRUE,Inputs!$B$32,0))),0)</f>
        <v/>
      </c>
      <c r="R495" t="n">
        <v>0</v>
      </c>
      <c r="S495" t="n">
        <v>0</v>
      </c>
      <c r="U495" t="n">
        <v>0</v>
      </c>
    </row>
    <row r="496">
      <c r="A496">
        <f>Skills!A24</f>
        <v/>
      </c>
      <c r="B496">
        <f>Skills!B24</f>
        <v/>
      </c>
      <c r="C496">
        <f>Inputs!$B$3&gt;=115</f>
        <v/>
      </c>
      <c r="D496">
        <f>IF(Skills!C24=1,60+Inputs!$B$25+Inputs!$B$29,IF(Skills!C24=2,90+Inputs!$B$26+Inputs!$B$29,IF(Skills!C24=3,120+Inputs!$B$27+Inputs!$B$29,MAX(0,(Inputs!$B$3-100)*3)+Inputs!$B$28+Inputs!$B$29)))</f>
        <v/>
      </c>
      <c r="E496">
        <f>INDEX(FactorTable!$B$2:$Y$301, MATCH(ROUND(MIN(300,MAX(1,D496)),0), FactorTable!$A$2:$A$301,0), Skills!M24+1)</f>
        <v/>
      </c>
      <c r="F496">
        <f>IF(Skills!N24=TRUE,(Skills!L24/10)*(E496/1000),Skills!L24/10)+Skills!O24</f>
        <v/>
      </c>
      <c r="G496">
        <f>Calc!G24</f>
        <v/>
      </c>
      <c r="H496">
        <f>Calc!H24</f>
        <v/>
      </c>
      <c r="I496">
        <f>IF(Skills!X24&lt;&gt;"",1+(Skills!X24/10)*(Z475/1000)/100,1)</f>
        <v/>
      </c>
      <c r="J496">
        <f>((Inputs!$B$6*(1+Inputs!$B$7/100))+(((Inputs!$B$12*(1+Inputs!$B$13/100))-(Inputs!$B$12*(1+Inputs!$B$13/100)))+0.25*(Inputs!$B$14-Inputs!$B$14))*(1+Inputs!$B$7/100))*(F496/100)</f>
        <v/>
      </c>
      <c r="K496">
        <f>J496*(1+((Inputs!$B$12*(1+Inputs!$B$13/100))*0.01+Inputs!$B$14*0.0025)/100)*(1+Inputs!$B$15/100)*(1+Inputs!$B$16/100)*(5000/(6000+Inputs!$B$42*(1-Inputs!$B$19/100)))*(1+Inputs!$B$24/100)*(1+F495/100)*(1+IF(Inputs!$B$3&gt;=120,F498,0)/100)^5*(1+(IF(Skills!A24="BASIC_ATTACK",Inputs!$B$17,Inputs!$B$18+IF(Inputs!$B$3&gt;=125,F499*5,0)))/100)*(B502*B503*B504*I496)</f>
        <v/>
      </c>
      <c r="L496">
        <f>K496*(MIN(Inputs!$B$22+(F494-Calc!F22),Inputs!$B$23)/100+Inputs!$B$23/100)/2</f>
        <v/>
      </c>
      <c r="M496">
        <f>L496*(1+((Inputs!$B$10+1)+(F493-Calc!F21))/100)</f>
        <v/>
      </c>
      <c r="N496">
        <f>L496*(1-MIN(Inputs!$B$9+(F492-Calc!F20),100)/100)+M496*(MIN(Inputs!$B$9+(F492-Calc!F20),100)/100)</f>
        <v/>
      </c>
      <c r="O496">
        <f>(1-Summary!$B$56)*S496+Summary!$B$56*U496</f>
        <v/>
      </c>
      <c r="P496">
        <f>IF(B513=0,0,O496/B513)</f>
        <v/>
      </c>
      <c r="Q496">
        <f>IFERROR(1/IF(Inputs!$B$38="pvp",15,MAX(0.1,Skills!E24-IF(Skills!F24=TRUE,Inputs!$B$32,0))),0)</f>
        <v/>
      </c>
      <c r="R496">
        <f>IF(AND(Inputs!$B$38&lt;&gt;"pvp",Inputs!$B$43&gt;0),IF(MAX(0,Inputs!$B$43-B510)&lt;=0,0,(INT(MAX(0,Inputs!$B$43-B510)/IF(Inputs!$B$38="pvp",15,MAX(0.1,Skills!E24-IF(Skills!F24=TRUE,Inputs!$B$32,0))))+1)),0)</f>
        <v/>
      </c>
      <c r="S496">
        <f>IF(C496,(H496*N496*IF(AND(Inputs!$B$38&lt;&gt;"pvp",Inputs!$B$43&gt;0),((Skills!G24*((R496-1)*IF(Skills!H24&gt;0,Skills!I24/Skills!H24,1)+IF(Skills!H24&gt;0,MIN(Skills!I24,MAX(0,MAX(0,Inputs!$B$43-B510)-((R496-1)*IF(Inputs!$B$38="pvp",15,MAX(0.1,Skills!E24-IF(Skills!F24=TRUE,Inputs!$B$32,0))))))/Skills!H24,1)))/Inputs!$B$43),G496*Q496)*(1+IF(Inputs!$B$3&gt;=130,0.2*(Skills!I16/Skills!E15+IF(Inputs!$B$3&gt;=126,0.05*(B508+Q485+(H486*B509)/(1+Skills!H14*H486*B509)+Q496),0)*Skills!I16),0)))*IF(Inputs!$B$38="pvp",1,1+(Inputs!$B$20+Skills!P24)/100),0)</f>
        <v/>
      </c>
      <c r="U496">
        <f>IF(C496,(H496*N496*IF(AND(Inputs!$B$38&lt;&gt;"pvp",Inputs!$B$43&gt;0),((Skills!G24*((R496-1)*IF(Skills!H24&gt;0,Skills!I24/Skills!H24,1)+IF(Skills!H24&gt;0,MIN(Skills!I24,MAX(0,MAX(0,Inputs!$B$43-B510)-((R496-1)*IF(Inputs!$B$38="pvp",15,MAX(0.1,Skills!E24-IF(Skills!F24=TRUE,Inputs!$B$32,0))))))/Skills!H24,1)))/Inputs!$B$43),G496*Q496)*(1+IF(Inputs!$B$3&gt;=130,0.2*(Skills!I16/Skills!E15+IF(Inputs!$B$3&gt;=126,0.05*(B508+Q485+(H486*B509)/(1+Skills!H14*H486*B509)+Q496),0)*Skills!I16),0)))*IF(Inputs!$B$38="pvp",1,(1+(Inputs!$B$21+Skills!Q24)/100)*(MIN(Skills!R24,Inputs!$B$37))),0)</f>
        <v/>
      </c>
    </row>
    <row r="497">
      <c r="A497">
        <f>Skills!A25</f>
        <v/>
      </c>
      <c r="B497">
        <f>Skills!B25</f>
        <v/>
      </c>
      <c r="C497">
        <f>Inputs!$B$3&gt;=117</f>
        <v/>
      </c>
      <c r="D497">
        <f>IF(Skills!C25=1,60+Inputs!$B$25+Inputs!$B$29,IF(Skills!C25=2,90+Inputs!$B$26+Inputs!$B$29,IF(Skills!C25=3,120+Inputs!$B$27+Inputs!$B$29,MAX(0,(Inputs!$B$3-100)*3)+Inputs!$B$28+Inputs!$B$29)))</f>
        <v/>
      </c>
      <c r="E497">
        <f>INDEX(FactorTable!$B$2:$Y$301, MATCH(ROUND(MIN(300,MAX(1,D497)),0), FactorTable!$A$2:$A$301,0), Skills!M25+1)</f>
        <v/>
      </c>
      <c r="F497">
        <f>IF(Skills!N25=TRUE,(Skills!L25/10)*(E497/1000),Skills!L25/10)+Skills!O25</f>
        <v/>
      </c>
      <c r="G497">
        <f>Calc!G25</f>
        <v/>
      </c>
      <c r="H497">
        <f>Calc!H25</f>
        <v/>
      </c>
      <c r="I497">
        <f>IF(Skills!X25&lt;&gt;"",1+(Skills!X25/10)*(Z475/1000)/100,1)</f>
        <v/>
      </c>
      <c r="J497" t="inlineStr"/>
      <c r="K497" t="inlineStr"/>
      <c r="L497" t="inlineStr"/>
      <c r="M497" t="inlineStr"/>
      <c r="N497" t="inlineStr"/>
      <c r="O497">
        <f>(1-Summary!$B$56)*S497+Summary!$B$56*U497</f>
        <v/>
      </c>
      <c r="P497">
        <f>IF(B513=0,0,O497/B513)</f>
        <v/>
      </c>
      <c r="Q497">
        <f>IFERROR(1/IF(Inputs!$B$38="pvp",15,MAX(0.1,Skills!E25-IF(Skills!F25=TRUE,Inputs!$B$32,0))),0)</f>
        <v/>
      </c>
      <c r="R497" t="n">
        <v>0</v>
      </c>
      <c r="S497" t="n">
        <v>0</v>
      </c>
      <c r="U497" t="n">
        <v>0</v>
      </c>
    </row>
    <row r="498">
      <c r="A498">
        <f>Skills!A26</f>
        <v/>
      </c>
      <c r="B498">
        <f>Skills!B26</f>
        <v/>
      </c>
      <c r="C498">
        <f>Inputs!$B$3&gt;=120</f>
        <v/>
      </c>
      <c r="D498">
        <f>IF(Skills!C26=1,60+Inputs!$B$25+Inputs!$B$29,IF(Skills!C26=2,90+Inputs!$B$26+Inputs!$B$29,IF(Skills!C26=3,120+Inputs!$B$27+Inputs!$B$29,MAX(0,(Inputs!$B$3-100)*3)+Inputs!$B$28+Inputs!$B$29)))</f>
        <v/>
      </c>
      <c r="E498">
        <f>INDEX(FactorTable!$B$2:$Y$301, MATCH(ROUND(MIN(300,MAX(1,D498)),0), FactorTable!$A$2:$A$301,0), Skills!M26+1)</f>
        <v/>
      </c>
      <c r="F498">
        <f>IF(Skills!N26=TRUE,(Skills!L26/10)*(E498/1000),Skills!L26/10)+Skills!O26</f>
        <v/>
      </c>
      <c r="G498">
        <f>Calc!G26</f>
        <v/>
      </c>
      <c r="H498">
        <f>Calc!H26</f>
        <v/>
      </c>
      <c r="I498">
        <f>IF(Skills!X26&lt;&gt;"",1+(Skills!X26/10)*(Z475/1000)/100,1)</f>
        <v/>
      </c>
      <c r="J498" t="inlineStr"/>
      <c r="K498" t="inlineStr"/>
      <c r="L498" t="inlineStr"/>
      <c r="M498" t="inlineStr"/>
      <c r="N498" t="inlineStr"/>
      <c r="O498">
        <f>(1-Summary!$B$56)*S498+Summary!$B$56*U498</f>
        <v/>
      </c>
      <c r="P498">
        <f>IF(B513=0,0,O498/B513)</f>
        <v/>
      </c>
      <c r="Q498">
        <f>IFERROR(1/IF(Inputs!$B$38="pvp",15,MAX(0.1,Skills!E26-IF(Skills!F26=TRUE,Inputs!$B$32,0))),0)</f>
        <v/>
      </c>
      <c r="R498" t="n">
        <v>0</v>
      </c>
      <c r="S498" t="n">
        <v>0</v>
      </c>
      <c r="U498" t="n">
        <v>0</v>
      </c>
    </row>
    <row r="499">
      <c r="A499">
        <f>Skills!A27</f>
        <v/>
      </c>
      <c r="B499">
        <f>Skills!B27</f>
        <v/>
      </c>
      <c r="C499">
        <f>Inputs!$B$3&gt;=125</f>
        <v/>
      </c>
      <c r="D499">
        <f>IF(Skills!C27=1,60+Inputs!$B$25+Inputs!$B$29,IF(Skills!C27=2,90+Inputs!$B$26+Inputs!$B$29,IF(Skills!C27=3,120+Inputs!$B$27+Inputs!$B$29,MAX(0,(Inputs!$B$3-100)*3)+Inputs!$B$28+Inputs!$B$29)))</f>
        <v/>
      </c>
      <c r="E499">
        <f>INDEX(FactorTable!$B$2:$Y$301, MATCH(ROUND(MIN(300,MAX(1,D499)),0), FactorTable!$A$2:$A$301,0), Skills!M27+1)</f>
        <v/>
      </c>
      <c r="F499">
        <f>IF(Skills!N27=TRUE,(Skills!L27/10)*(E499/1000),Skills!L27/10)+Skills!O27</f>
        <v/>
      </c>
      <c r="G499">
        <f>Calc!G27</f>
        <v/>
      </c>
      <c r="H499">
        <f>Calc!H27</f>
        <v/>
      </c>
      <c r="I499">
        <f>IF(Skills!X27&lt;&gt;"",1+(Skills!X27/10)*(Z475/1000)/100,1)</f>
        <v/>
      </c>
      <c r="J499" t="inlineStr"/>
      <c r="K499" t="inlineStr"/>
      <c r="L499" t="inlineStr"/>
      <c r="M499" t="inlineStr"/>
      <c r="N499" t="inlineStr"/>
      <c r="O499">
        <f>(1-Summary!$B$56)*S499+Summary!$B$56*U499</f>
        <v/>
      </c>
      <c r="P499">
        <f>IF(B513=0,0,O499/B513)</f>
        <v/>
      </c>
      <c r="Q499">
        <f>IFERROR(1/IF(Inputs!$B$38="pvp",15,MAX(0.1,Skills!E27-IF(Skills!F27=TRUE,Inputs!$B$32,0))),0)</f>
        <v/>
      </c>
      <c r="R499" t="n">
        <v>0</v>
      </c>
      <c r="S499" t="n">
        <v>0</v>
      </c>
      <c r="U499" t="n">
        <v>0</v>
      </c>
    </row>
    <row r="500">
      <c r="A500">
        <f>Skills!A28</f>
        <v/>
      </c>
      <c r="B500">
        <f>Skills!B28</f>
        <v/>
      </c>
      <c r="C500">
        <f>Inputs!$B$3&gt;=118</f>
        <v/>
      </c>
      <c r="D500">
        <f>IF(Skills!C28=1,60+Inputs!$B$25+Inputs!$B$29,IF(Skills!C28=2,90+Inputs!$B$26+Inputs!$B$29,IF(Skills!C28=3,120+Inputs!$B$27+Inputs!$B$29,MAX(0,(Inputs!$B$3-100)*3)+Inputs!$B$28+Inputs!$B$29)))</f>
        <v/>
      </c>
      <c r="E500">
        <f>INDEX(FactorTable!$B$2:$Y$301, MATCH(ROUND(MIN(300,MAX(1,D500)),0), FactorTable!$A$2:$A$301,0), Skills!M28+1)</f>
        <v/>
      </c>
      <c r="F500">
        <f>IF(Skills!N28=TRUE,(Skills!L28/10)*(E500/1000),Skills!L28/10)+Skills!O28</f>
        <v/>
      </c>
      <c r="G500">
        <f>Calc!G28</f>
        <v/>
      </c>
      <c r="H500">
        <f>Calc!H28</f>
        <v/>
      </c>
      <c r="I500">
        <f>IF(Skills!X28&lt;&gt;"",1+(Skills!X28/10)*(Z475/1000)/100,1)</f>
        <v/>
      </c>
      <c r="J500">
        <f>((Inputs!$B$6*(1+Inputs!$B$7/100))+(((Inputs!$B$12*(1+Inputs!$B$13/100))-(Inputs!$B$12*(1+Inputs!$B$13/100)))+0.25*(Inputs!$B$14-Inputs!$B$14))*(1+Inputs!$B$7/100))*(F500/100)</f>
        <v/>
      </c>
      <c r="K500">
        <f>J500*(1+((Inputs!$B$12*(1+Inputs!$B$13/100))*0.01+Inputs!$B$14*0.0025)/100)*(1+Inputs!$B$15/100)*(1+Inputs!$B$16/100)*(5000/(6000+Inputs!$B$42*(1-Inputs!$B$19/100)))*(1+Inputs!$B$24/100)*(1+F495/100)*(1+IF(Inputs!$B$3&gt;=120,F498,0)/100)^5*(1+(IF(Skills!A28="BASIC_ATTACK",Inputs!$B$17,Inputs!$B$18+IF(Inputs!$B$3&gt;=125,F499*5,0)))/100)*(B502*B503*B504*I500)</f>
        <v/>
      </c>
      <c r="L500">
        <f>K500*(MIN(Inputs!$B$22+(F494-Calc!F22),Inputs!$B$23)/100+Inputs!$B$23/100)/2</f>
        <v/>
      </c>
      <c r="M500">
        <f>L500*(1+((Inputs!$B$10+1)+(F493-Calc!F21))/100)</f>
        <v/>
      </c>
      <c r="N500">
        <f>L500*(1-MIN(Inputs!$B$9+(F492-Calc!F20),100)/100)+M500*(MIN(Inputs!$B$9+(F492-Calc!F20),100)/100)</f>
        <v/>
      </c>
      <c r="O500">
        <f>(1-Summary!$B$56)*S500+Summary!$B$56*U500</f>
        <v/>
      </c>
      <c r="P500">
        <f>IF(B513=0,0,O500/B513)</f>
        <v/>
      </c>
      <c r="Q500">
        <f>IFERROR(1/IF(Inputs!$B$38="pvp",15,MAX(0.1,Skills!E28-IF(Skills!F28=TRUE,Inputs!$B$32,0))),0)</f>
        <v/>
      </c>
      <c r="R500">
        <f>IF(AND(Inputs!$B$38&lt;&gt;"pvp",Inputs!$B$43&gt;0),IF(MAX(0,Inputs!$B$43-B510)&lt;=0,0,(INT(MAX(0,Inputs!$B$43-B510)/IF(Inputs!$B$38="pvp",15,MAX(0.1,Skills!E28-IF(Skills!F28=TRUE,Inputs!$B$32,0))))+1)),0)</f>
        <v/>
      </c>
      <c r="S500">
        <f>IF(C500,(H500*N500*IF(AND(Inputs!$B$38&lt;&gt;"pvp",Inputs!$B$43&gt;0),((Skills!G28*((R500-1)*IF(Skills!H28&gt;0,Skills!I28/Skills!H28,1)+IF(Skills!H28&gt;0,MIN(Skills!I28,MAX(0,MAX(0,Inputs!$B$43-B510)-((R500-1)*IF(Inputs!$B$38="pvp",15,MAX(0.1,Skills!E28-IF(Skills!F28=TRUE,Inputs!$B$32,0))))))/Skills!H28,1)))/Inputs!$B$43),G500*Q500))*IF(Inputs!$B$38="pvp",1,1+(Inputs!$B$20+Skills!P28)/100),0)</f>
        <v/>
      </c>
      <c r="U500">
        <f>IF(C500,(H500*N500*IF(AND(Inputs!$B$38&lt;&gt;"pvp",Inputs!$B$43&gt;0),((Skills!G28*((R500-1)*IF(Skills!H28&gt;0,Skills!I28/Skills!H28,1)+IF(Skills!H28&gt;0,MIN(Skills!I28,MAX(0,MAX(0,Inputs!$B$43-B510)-((R500-1)*IF(Inputs!$B$38="pvp",15,MAX(0.1,Skills!E28-IF(Skills!F28=TRUE,Inputs!$B$32,0))))))/Skills!H28,1)))/Inputs!$B$43),G500*Q500))*IF(Inputs!$B$38="pvp",1,(1+(Inputs!$B$21+Skills!Q28)/100)*(MIN(Skills!R28,Inputs!$B$37))),0)</f>
        <v/>
      </c>
    </row>
    <row r="502">
      <c r="A502" t="inlineStr">
        <is>
          <t>Burning Magic Multiplier</t>
        </is>
      </c>
      <c r="B502">
        <f>1+(F483*Skills!Z11)/100</f>
        <v/>
      </c>
    </row>
    <row r="503">
      <c r="A503" t="inlineStr">
        <is>
          <t>Elemental Decrease Multiplier (always-on)</t>
        </is>
      </c>
      <c r="B503">
        <f>1+F484/100</f>
        <v/>
      </c>
    </row>
    <row r="504">
      <c r="A504" t="inlineStr">
        <is>
          <t>Average Buff Multiplier (Magic Guard + Meditation, summed; then Infinity)</t>
        </is>
      </c>
      <c r="B504">
        <f>(1+(F478*IF(AND(Inputs!$B$38&lt;&gt;"pvp",Inputs!$B$43&gt;0),(((R478-1)*(Skills!T6*(1+(Inputs!$B$34+IF(Inputs!$B$3&gt;=117,F497,0))/100))+MIN((Skills!T6*(1+(Inputs!$B$34+IF(Inputs!$B$3&gt;=117,F497,0))/100)),MAX(0,Inputs!$B$43-((R478-1)*Skills!E6))))/Inputs!$B$43),IF(Inputs!$B$38="pvp",MIN((Skills!T6*(1+(Inputs!$B$34+IF(Inputs!$B$3&gt;=117,F497,0))/100)),15)/15,(Skills!T6*(1+(Inputs!$B$34+IF(Inputs!$B$3&gt;=117,F497,0))/100))/Skills!E6))+F489*IF(AND(Inputs!$B$38&lt;&gt;"pvp",Inputs!$B$43&gt;0),(((R489-1)*(Skills!T17*(1+(Inputs!$B$34+IF(Inputs!$B$3&gt;=117,F497,0))/100))+MIN((Skills!T17*(1+(Inputs!$B$34+IF(Inputs!$B$3&gt;=117,F497,0))/100)),MAX(0,Inputs!$B$43-((R489-1)*Skills!E17))))/Inputs!$B$43),IF(Inputs!$B$38="pvp",MIN((Skills!T17*(1+(Inputs!$B$34+IF(Inputs!$B$3&gt;=117,F497,0))/100)),15)/15,(Skills!T17*(1+(Inputs!$B$34+IF(Inputs!$B$3&gt;=117,F497,0))/100))/Skills!E17)))/100)*IF(C491=TRUE,(1+F491*IF(AND(Inputs!$B$38&lt;&gt;"pvp",Inputs!$B$43&gt;0),(((R491-1)*(Skills!T19*(1+(Inputs!$B$34+IF(Inputs!$B$3&gt;=117,F497,0))/100))+MIN((Skills!T19*(1+(Inputs!$B$34+IF(Inputs!$B$3&gt;=117,F497,0))/100)),MAX(0,Inputs!$B$43-((R491-1)*Skills!E19))))/Inputs!$B$43),IF(Inputs!$B$38="pvp",MIN((Skills!T19*(1+(Inputs!$B$34+IF(Inputs!$B$3&gt;=117,F497,0))/100)),15)/15,(Skills!T19*(1+(Inputs!$B$34+IF(Inputs!$B$3&gt;=117,F497,0))/100))/Skills!E19))/100),1)</f>
        <v/>
      </c>
    </row>
    <row r="505">
      <c r="A505" t="inlineStr">
        <is>
          <t>Attack Speed Buff Bonus % (Nimble Feet, averaged)</t>
        </is>
      </c>
      <c r="B505">
        <f>F490*IF(AND(Inputs!$B$38&lt;&gt;"pvp",Inputs!$B$43&gt;0),(((R490-1)*(Skills!T18*(1+(Inputs!$B$34+IF(Inputs!$B$3&gt;=117,F497,0))/100))+MIN((Skills!T18*(1+(Inputs!$B$34+IF(Inputs!$B$3&gt;=117,F497,0))/100)),MAX(0,Inputs!$B$43-((R490-1)*Skills!E18))))/Inputs!$B$43),IF(Inputs!$B$38="pvp",MIN((Skills!T18*(1+(Inputs!$B$34+IF(Inputs!$B$3&gt;=117,F497,0))/100)),15)/15,(Skills!T18*(1+(Inputs!$B$34+IF(Inputs!$B$3&gt;=117,F497,0))/100))/Skills!E18))</f>
        <v/>
      </c>
    </row>
    <row r="506">
      <c r="A506" t="inlineStr">
        <is>
          <t>Actions Per Second</t>
        </is>
      </c>
      <c r="B506">
        <f>1+MIN(150,150*(1-(1-Inputs!$B$11/150)*(1-B505/150)))/100</f>
        <v/>
      </c>
    </row>
    <row r="507">
      <c r="A507" t="inlineStr">
        <is>
          <t>Skill + Buff Cast Rate</t>
        </is>
      </c>
      <c r="B507">
        <f>IF(AND(Inputs!$B$38&lt;&gt;"pvp",Inputs!$B$43&gt;0),SUMPRODUCT((Skills!F2:F28=TRUE)*(C474:C500=TRUE)*R474:R500)/Inputs!$B$43,SUMPRODUCT((Skills!F2:F28=TRUE)*(C474:C500=TRUE)*Q474:Q500))</f>
        <v/>
      </c>
    </row>
    <row r="508">
      <c r="A508" t="inlineStr">
        <is>
          <t>Basic Attacks Per Second</t>
        </is>
      </c>
      <c r="B508">
        <f>MAX(0,B506-B507)</f>
        <v/>
      </c>
    </row>
    <row r="509">
      <c r="A509" t="inlineStr">
        <is>
          <t>Meteor Proc — combined trigger cast rate</t>
        </is>
      </c>
      <c r="B509">
        <f>IF(AND(Inputs!$B$38&lt;&gt;"pvp",Inputs!$B$43&gt;0),SUMPRODUCT((Skills!V2:V28=TRUE)*(C474:C500=TRUE)*R474:R500*Skills!W2:W28)/Inputs!$B$43,SUMPRODUCT((Skills!V2:V28=TRUE)*(C474:C500=TRUE)*Q474:Q500*Skills!W2:W28))+B508</f>
        <v/>
      </c>
    </row>
    <row r="510">
      <c r="A510" t="inlineStr">
        <is>
          <t>Buff-Casting Startup Delay (s, fixed-duration only)</t>
        </is>
      </c>
      <c r="B510">
        <f>IF(AND(Inputs!$B$38&lt;&gt;"pvp",Inputs!$B$43&gt;0),SUMPRODUCT((Skills!T2:T28&gt;0)*(Skills!F2:F28=TRUE)*(C474:C500=TRUE))/B506,0)</f>
        <v/>
      </c>
    </row>
    <row r="511">
      <c r="A511" t="inlineStr">
        <is>
          <t>Boss-Only Total DPS (this block's swept value)</t>
        </is>
      </c>
      <c r="B511">
        <f>SUM(S474:S500)</f>
        <v/>
      </c>
    </row>
    <row r="512">
      <c r="A512" t="inlineStr">
        <is>
          <t>Normal-Only Total DPS (this block's swept value)</t>
        </is>
      </c>
      <c r="B512">
        <f>SUM(U474:U500)</f>
        <v/>
      </c>
    </row>
    <row r="513">
      <c r="A513" s="5" t="inlineStr">
        <is>
          <t>TOTAL DPS</t>
        </is>
      </c>
      <c r="B513" s="5">
        <f>SUM(O474:O500)</f>
        <v/>
      </c>
    </row>
    <row r="516">
      <c r="A516" s="5" t="inlineStr">
        <is>
          <t>Stat: ATTACK_SPEED % (diminishing returns, factor 150)</t>
        </is>
      </c>
    </row>
    <row r="517">
      <c r="A517" s="9" t="inlineStr">
        <is>
          <t>Key</t>
        </is>
      </c>
      <c r="B517" s="9" t="inlineStr">
        <is>
          <t>Name</t>
        </is>
      </c>
      <c r="C517" s="9" t="inlineStr">
        <is>
          <t>Unlocked</t>
        </is>
      </c>
      <c r="D517" s="9" t="inlineStr">
        <is>
          <t>InputLevel</t>
        </is>
      </c>
      <c r="E517" s="9" t="inlineStr">
        <is>
          <t>Factor</t>
        </is>
      </c>
      <c r="F517" s="9" t="inlineStr">
        <is>
          <t>CoefficientPercent</t>
        </is>
      </c>
      <c r="G517" s="9" t="inlineStr">
        <is>
          <t>EffectiveHits</t>
        </is>
      </c>
      <c r="H517" s="9" t="inlineStr">
        <is>
          <t>ProcProbability</t>
        </is>
      </c>
      <c r="I517" s="9" t="inlineStr">
        <is>
          <t>MapleHeroMultiplier</t>
        </is>
      </c>
      <c r="J517" s="9" t="inlineStr">
        <is>
          <t>BaseDamage</t>
        </is>
      </c>
      <c r="K517" s="9" t="inlineStr">
        <is>
          <t>BaseHitDamage</t>
        </is>
      </c>
      <c r="L517" s="9" t="inlineStr">
        <is>
          <t>NonCritAvg</t>
        </is>
      </c>
      <c r="M517" s="9" t="inlineStr">
        <is>
          <t>CritAvg</t>
        </is>
      </c>
      <c r="N517" s="9" t="inlineStr">
        <is>
          <t>ExpectedDamage(perHit)</t>
        </is>
      </c>
      <c r="O517" s="9" t="inlineStr">
        <is>
          <t>DPS</t>
        </is>
      </c>
      <c r="P517" s="9" t="inlineStr">
        <is>
          <t>% of Total</t>
        </is>
      </c>
      <c r="R517" t="inlineStr">
        <is>
          <t>helpers</t>
        </is>
      </c>
    </row>
    <row r="518">
      <c r="A518">
        <f>Skills!A2</f>
        <v/>
      </c>
      <c r="B518">
        <f>Skills!B2</f>
        <v/>
      </c>
      <c r="C518">
        <f>TRUE</f>
        <v/>
      </c>
      <c r="D518" t="inlineStr"/>
      <c r="E518" t="inlineStr"/>
      <c r="F518">
        <f>T520+Skills!O2</f>
        <v/>
      </c>
      <c r="G518">
        <f>Calc!G2</f>
        <v/>
      </c>
      <c r="H518">
        <f>Calc!H2</f>
        <v/>
      </c>
      <c r="I518">
        <f>IF(Skills!X2&lt;&gt;"",1+(Skills!X2/10)*(Z519/1000)/100,1)</f>
        <v/>
      </c>
      <c r="J518">
        <f>((Inputs!$B$6*(1+Inputs!$B$7/100))+(((Inputs!$B$12*(1+Inputs!$B$13/100))-(Inputs!$B$12*(1+Inputs!$B$13/100)))+0.25*(Inputs!$B$14-Inputs!$B$14))*(1+Inputs!$B$7/100))*(F518/100)</f>
        <v/>
      </c>
      <c r="K518">
        <f>J518*(1+((Inputs!$B$12*(1+Inputs!$B$13/100))*0.01+Inputs!$B$14*0.0025)/100)*(1+Inputs!$B$15/100)*(1+Inputs!$B$16/100)*(5000/(6000+Inputs!$B$42*(1-Inputs!$B$19/100)))*(1+Inputs!$B$24/100)*(1+F539/100)*(1+IF(Inputs!$B$3&gt;=120,F542,0)/100)^5*(1+(IF(Skills!A2="BASIC_ATTACK",Inputs!$B$17,Inputs!$B$18+IF(Inputs!$B$3&gt;=125,F543*5,0)))/100)*(B546*B547*B548*I518)</f>
        <v/>
      </c>
      <c r="L518">
        <f>K518*(MIN(Inputs!$B$22+(F538-Calc!F22),Inputs!$B$23)/100+Inputs!$B$23/100)/2</f>
        <v/>
      </c>
      <c r="M518">
        <f>L518*(1+(Inputs!$B$10+(F537-Calc!F21))/100)</f>
        <v/>
      </c>
      <c r="N518">
        <f>L518*(1-MIN(Inputs!$B$9+(F536-Calc!F20),100)/100)+M518*(MIN(Inputs!$B$9+(F536-Calc!F20),100)/100)</f>
        <v/>
      </c>
      <c r="O518">
        <f>(1-Summary!$B$56)*S518+Summary!$B$56*U518</f>
        <v/>
      </c>
      <c r="P518">
        <f>IF(B557=0,0,O518/B557)</f>
        <v/>
      </c>
      <c r="Q518">
        <f>IFERROR(1/IF(Inputs!$B$38="pvp",15,MAX(0.1,Skills!E2-IF(Skills!F2=TRUE,Inputs!$B$32,0))),0)</f>
        <v/>
      </c>
      <c r="R518" t="n">
        <v>0</v>
      </c>
      <c r="S518">
        <f>(Skills!G2*N518*B552)*IF(Inputs!$B$38="pvp",1,1+(Inputs!$B$20+Skills!P2)/100)</f>
        <v/>
      </c>
      <c r="T518">
        <f>MAX(0,(Inputs!$B$3-100)*3)+Inputs!$B$28+Inputs!$B$29</f>
        <v/>
      </c>
      <c r="U518">
        <f>(Skills!G2*N518*B552)*IF(Inputs!$B$38="pvp",1,(1+(Inputs!$B$21+Skills!Q2)/100)*(MIN((6+Inputs!$B$33+IF(Inputs!$B$3&gt;=136,1,0)),Inputs!$B$37)))</f>
        <v/>
      </c>
      <c r="Z518">
        <f>MAX(0,(Inputs!$B$3-100)*3)+Inputs!$B$28+Inputs!$B$29</f>
        <v/>
      </c>
    </row>
    <row r="519">
      <c r="A519">
        <f>Skills!A3</f>
        <v/>
      </c>
      <c r="B519">
        <f>Skills!B3</f>
        <v/>
      </c>
      <c r="C519">
        <f>TRUE</f>
        <v/>
      </c>
      <c r="D519">
        <f>IF(Skills!C3=1,60+Inputs!$B$25+Inputs!$B$29,IF(Skills!C3=2,90+Inputs!$B$26+Inputs!$B$29,IF(Skills!C3=3,120+Inputs!$B$27+Inputs!$B$29,MAX(0,(Inputs!$B$3-100)*3)+Inputs!$B$28+Inputs!$B$29)))</f>
        <v/>
      </c>
      <c r="E519">
        <f>INDEX(FactorTable!$B$2:$Y$301, MATCH(ROUND(MIN(300,MAX(1,D519)),0), FactorTable!$A$2:$A$301,0), Skills!M3+1)</f>
        <v/>
      </c>
      <c r="F519">
        <f>IF(Skills!N3=TRUE,(Skills!L3/10)*(E519/1000),Skills!L3/10)+Skills!O3</f>
        <v/>
      </c>
      <c r="G519">
        <f>Calc!G3</f>
        <v/>
      </c>
      <c r="H519">
        <f>Calc!H3</f>
        <v/>
      </c>
      <c r="I519">
        <f>IF(Skills!X3&lt;&gt;"",1+(Skills!X3/10)*(Z519/1000)/100,1)</f>
        <v/>
      </c>
      <c r="J519">
        <f>((Inputs!$B$6*(1+Inputs!$B$7/100))+(((Inputs!$B$12*(1+Inputs!$B$13/100))-(Inputs!$B$12*(1+Inputs!$B$13/100)))+0.25*(Inputs!$B$14-Inputs!$B$14))*(1+Inputs!$B$7/100))*(F519/100)</f>
        <v/>
      </c>
      <c r="K519">
        <f>J519*(1+((Inputs!$B$12*(1+Inputs!$B$13/100))*0.01+Inputs!$B$14*0.0025)/100)*(1+Inputs!$B$15/100)*(1+Inputs!$B$16/100)*(5000/(6000+Inputs!$B$42*(1-Inputs!$B$19/100)))*(1+Inputs!$B$24/100)*(1+F539/100)*(1+IF(Inputs!$B$3&gt;=120,F542,0)/100)^5*(1+(IF(Skills!A3="BASIC_ATTACK",Inputs!$B$17,Inputs!$B$18+IF(Inputs!$B$3&gt;=125,F543*5,0)))/100)*(B546*B547*B548*I519)</f>
        <v/>
      </c>
      <c r="L519">
        <f>K519*(MIN(Inputs!$B$22+(F538-Calc!F22),Inputs!$B$23)/100+Inputs!$B$23/100)/2</f>
        <v/>
      </c>
      <c r="M519">
        <f>L519*(1+(Inputs!$B$10+(F537-Calc!F21))/100)</f>
        <v/>
      </c>
      <c r="N519">
        <f>L519*(1-MIN(Inputs!$B$9+(F536-Calc!F20),100)/100)+M519*(MIN(Inputs!$B$9+(F536-Calc!F20),100)/100)</f>
        <v/>
      </c>
      <c r="O519">
        <f>(1-Summary!$B$56)*S519+Summary!$B$56*U519</f>
        <v/>
      </c>
      <c r="P519">
        <f>IF(B557=0,0,O519/B557)</f>
        <v/>
      </c>
      <c r="Q519">
        <f>IFERROR(1/IF(Inputs!$B$38="pvp",15,MAX(0.1,Skills!E3-IF(Skills!F3=TRUE,Inputs!$B$32,0))),0)</f>
        <v/>
      </c>
      <c r="R519">
        <f>IF(AND(Inputs!$B$38&lt;&gt;"pvp",Inputs!$B$43&gt;0),IF(MAX(0,Inputs!$B$43-B554)&lt;=0,0,(INT(MAX(0,Inputs!$B$43-B554)/IF(Inputs!$B$38="pvp",15,MAX(0.1,Skills!E3-IF(Skills!F3=TRUE,Inputs!$B$32,0))))+1)),0)</f>
        <v/>
      </c>
      <c r="S519">
        <f>IF(C519,(H519*N519*IF(AND(Inputs!$B$38&lt;&gt;"pvp",Inputs!$B$43&gt;0),((Skills!G3*((R519-1)*IF(Skills!H3&gt;0,Skills!I3/Skills!H3,1)+IF(Skills!H3&gt;0,MIN(Skills!I3,MAX(0,MAX(0,Inputs!$B$43-B554)-((R519-1)*IF(Inputs!$B$38="pvp",15,MAX(0.1,Skills!E3-IF(Skills!F3=TRUE,Inputs!$B$32,0))))))/Skills!H3,1)))/Inputs!$B$43),G519*Q519))*IF(Inputs!$B$38="pvp",1,1+(Inputs!$B$20+Skills!P3)/100),0)</f>
        <v/>
      </c>
      <c r="T519">
        <f>INDEX(FactorTable!$B$2:$Y$301, MATCH(ROUND(MIN(300,MAX(1,T518)),0), FactorTable!$A$2:$A$301,0), 22)</f>
        <v/>
      </c>
      <c r="U519">
        <f>IF(C519,(H519*N519*IF(AND(Inputs!$B$38&lt;&gt;"pvp",Inputs!$B$43&gt;0),((Skills!G3*((R519-1)*IF(Skills!H3&gt;0,Skills!I3/Skills!H3,1)+IF(Skills!H3&gt;0,MIN(Skills!I3,MAX(0,MAX(0,Inputs!$B$43-B554)-((R519-1)*IF(Inputs!$B$38="pvp",15,MAX(0.1,Skills!E3-IF(Skills!F3=TRUE,Inputs!$B$32,0))))))/Skills!H3,1)))/Inputs!$B$43),G519*Q519))*IF(Inputs!$B$38="pvp",1,(1+(Inputs!$B$21+Skills!Q3)/100)*(MIN(Skills!R3,Inputs!$B$37))),0)</f>
        <v/>
      </c>
      <c r="Z519">
        <f>INDEX(FactorTable!$B$2:$Y$301, MATCH(ROUND(MIN(300,MAX(1,Z518)),0), FactorTable!$A$2:$A$301,0), 24)</f>
        <v/>
      </c>
    </row>
    <row r="520">
      <c r="A520">
        <f>Skills!A4</f>
        <v/>
      </c>
      <c r="B520">
        <f>Skills!B4</f>
        <v/>
      </c>
      <c r="C520">
        <f>TRUE</f>
        <v/>
      </c>
      <c r="D520">
        <f>IF(Skills!C4=1,60+Inputs!$B$25+Inputs!$B$29,IF(Skills!C4=2,90+Inputs!$B$26+Inputs!$B$29,IF(Skills!C4=3,120+Inputs!$B$27+Inputs!$B$29,MAX(0,(Inputs!$B$3-100)*3)+Inputs!$B$28+Inputs!$B$29)))</f>
        <v/>
      </c>
      <c r="E520">
        <f>INDEX(FactorTable!$B$2:$Y$301, MATCH(ROUND(MIN(300,MAX(1,D520)),0), FactorTable!$A$2:$A$301,0), Skills!M4+1)</f>
        <v/>
      </c>
      <c r="F520">
        <f>IF(Skills!N4=TRUE,(Skills!L4/10)*(E520/1000),Skills!L4/10)+Skills!O4</f>
        <v/>
      </c>
      <c r="G520">
        <f>Calc!G4</f>
        <v/>
      </c>
      <c r="H520">
        <f>Calc!H4</f>
        <v/>
      </c>
      <c r="I520">
        <f>IF(Skills!X4&lt;&gt;"",1+(Skills!X4/10)*(Z519/1000)/100,1)</f>
        <v/>
      </c>
      <c r="J520">
        <f>((Inputs!$B$6*(1+Inputs!$B$7/100))+(((Inputs!$B$12*(1+Inputs!$B$13/100))-(Inputs!$B$12*(1+Inputs!$B$13/100)))+0.25*(Inputs!$B$14-Inputs!$B$14))*(1+Inputs!$B$7/100))*(F520/100)</f>
        <v/>
      </c>
      <c r="K520">
        <f>J520*(1+((Inputs!$B$12*(1+Inputs!$B$13/100))*0.01+Inputs!$B$14*0.0025)/100)*(1+Inputs!$B$15/100)*(1+Inputs!$B$16/100)*(5000/(6000+Inputs!$B$42*(1-Inputs!$B$19/100)))*(1+Inputs!$B$24/100)*(1+F539/100)*(1+IF(Inputs!$B$3&gt;=120,F542,0)/100)^5*(1+(IF(Skills!A4="BASIC_ATTACK",Inputs!$B$17,Inputs!$B$18+IF(Inputs!$B$3&gt;=125,F543*5,0)))/100)*(B546*B547*B548*I520)</f>
        <v/>
      </c>
      <c r="L520">
        <f>K520*(MIN(Inputs!$B$22+(F538-Calc!F22),Inputs!$B$23)/100+Inputs!$B$23/100)/2</f>
        <v/>
      </c>
      <c r="M520">
        <f>L520*(1+(Inputs!$B$10+(F537-Calc!F21))/100)</f>
        <v/>
      </c>
      <c r="N520">
        <f>L520*(1-MIN(Inputs!$B$9+(F536-Calc!F20),100)/100)+M520*(MIN(Inputs!$B$9+(F536-Calc!F20),100)/100)</f>
        <v/>
      </c>
      <c r="O520">
        <f>(1-Summary!$B$56)*S520+Summary!$B$56*U520</f>
        <v/>
      </c>
      <c r="P520">
        <f>IF(B557=0,0,O520/B557)</f>
        <v/>
      </c>
      <c r="Q520">
        <f>IFERROR(1/IF(Inputs!$B$38="pvp",15,MAX(0.1,Skills!E4-IF(Skills!F4=TRUE,Inputs!$B$32,0))),0)</f>
        <v/>
      </c>
      <c r="R520">
        <f>IF(AND(Inputs!$B$38&lt;&gt;"pvp",Inputs!$B$43&gt;0),IF(MAX(0,Inputs!$B$43-B554)&lt;=0,0,(INT(MAX(0,Inputs!$B$43-B554)/IF(Inputs!$B$38="pvp",15,MAX(0.1,Skills!E4-IF(Skills!F4=TRUE,Inputs!$B$32,0))))+1)),0)</f>
        <v/>
      </c>
      <c r="S520">
        <f>IF(C520,(H520*N520*IF(AND(Inputs!$B$38&lt;&gt;"pvp",Inputs!$B$43&gt;0),((Skills!G4*((R520-1)*IF(Skills!H4&gt;0,Skills!I4/Skills!H4,1)+IF(Skills!H4&gt;0,MIN(Skills!I4,MAX(0,MAX(0,Inputs!$B$43-B554)-((R520-1)*IF(Inputs!$B$38="pvp",15,MAX(0.1,Skills!E4-IF(Skills!F4=TRUE,Inputs!$B$32,0))))))/Skills!H4,1)))/Inputs!$B$43),G520*Q520))*IF(Inputs!$B$38="pvp",1,1+(Inputs!$B$20+Skills!P4)/100),0)</f>
        <v/>
      </c>
      <c r="T520">
        <f>290*T519/1000</f>
        <v/>
      </c>
      <c r="U520">
        <f>IF(C520,(H520*N520*IF(AND(Inputs!$B$38&lt;&gt;"pvp",Inputs!$B$43&gt;0),((Skills!G4*((R520-1)*IF(Skills!H4&gt;0,Skills!I4/Skills!H4,1)+IF(Skills!H4&gt;0,MIN(Skills!I4,MAX(0,MAX(0,Inputs!$B$43-B554)-((R520-1)*IF(Inputs!$B$38="pvp",15,MAX(0.1,Skills!E4-IF(Skills!F4=TRUE,Inputs!$B$32,0))))))/Skills!H4,1)))/Inputs!$B$43),G520*Q520))*IF(Inputs!$B$38="pvp",1,(1+(Inputs!$B$21+Skills!Q4)/100)*(MIN(Skills!R4,Inputs!$B$37))),0)</f>
        <v/>
      </c>
    </row>
    <row r="521">
      <c r="A521">
        <f>Skills!A5</f>
        <v/>
      </c>
      <c r="B521">
        <f>Skills!B5</f>
        <v/>
      </c>
      <c r="C521">
        <f>TRUE</f>
        <v/>
      </c>
      <c r="D521">
        <f>IF(Skills!C5=1,60+Inputs!$B$25+Inputs!$B$29,IF(Skills!C5=2,90+Inputs!$B$26+Inputs!$B$29,IF(Skills!C5=3,120+Inputs!$B$27+Inputs!$B$29,MAX(0,(Inputs!$B$3-100)*3)+Inputs!$B$28+Inputs!$B$29)))</f>
        <v/>
      </c>
      <c r="E521">
        <f>INDEX(FactorTable!$B$2:$Y$301, MATCH(ROUND(MIN(300,MAX(1,D521)),0), FactorTable!$A$2:$A$301,0), Skills!M5+1)</f>
        <v/>
      </c>
      <c r="F521">
        <f>IF(Skills!N5=TRUE,(Skills!L5/10)*(E521/1000),Skills!L5/10)+Skills!O5</f>
        <v/>
      </c>
      <c r="G521">
        <f>Calc!G5</f>
        <v/>
      </c>
      <c r="H521">
        <f>Calc!H5</f>
        <v/>
      </c>
      <c r="I521">
        <f>IF(Skills!X5&lt;&gt;"",1+(Skills!X5/10)*(Z519/1000)/100,1)</f>
        <v/>
      </c>
      <c r="J521">
        <f>((Inputs!$B$6*(1+Inputs!$B$7/100))+(((Inputs!$B$12*(1+Inputs!$B$13/100))-(Inputs!$B$12*(1+Inputs!$B$13/100)))+0.25*(Inputs!$B$14-Inputs!$B$14))*(1+Inputs!$B$7/100))*(F521/100)</f>
        <v/>
      </c>
      <c r="K521">
        <f>J521*(1+((Inputs!$B$12*(1+Inputs!$B$13/100))*0.01+Inputs!$B$14*0.0025)/100)*(1+Inputs!$B$15/100)*(1+Inputs!$B$16/100)*(5000/(6000+Inputs!$B$42*(1-Inputs!$B$19/100)))*(1+Inputs!$B$24/100)*(1+F539/100)*(1+IF(Inputs!$B$3&gt;=120,F542,0)/100)^5*(1+(IF(Skills!A5="BASIC_ATTACK",Inputs!$B$17,Inputs!$B$18+IF(Inputs!$B$3&gt;=125,F543*5,0)))/100)*(B546*B547*B548*I521)</f>
        <v/>
      </c>
      <c r="L521">
        <f>K521*(MIN(Inputs!$B$22+(F538-Calc!F22),Inputs!$B$23)/100+Inputs!$B$23/100)/2</f>
        <v/>
      </c>
      <c r="M521">
        <f>L521*(1+(Inputs!$B$10+(F537-Calc!F21))/100)</f>
        <v/>
      </c>
      <c r="N521">
        <f>L521*(1-MIN(Inputs!$B$9+(F536-Calc!F20),100)/100)+M521*(MIN(Inputs!$B$9+(F536-Calc!F20),100)/100)</f>
        <v/>
      </c>
      <c r="O521">
        <f>(1-Summary!$B$56)*S521+Summary!$B$56*U521</f>
        <v/>
      </c>
      <c r="P521">
        <f>IF(B557=0,0,O521/B557)</f>
        <v/>
      </c>
      <c r="Q521">
        <f>IFERROR(1/IF(Inputs!$B$38="pvp",15,MAX(0.1,Skills!E5-IF(Skills!F5=TRUE,Inputs!$B$32,0))),0)</f>
        <v/>
      </c>
      <c r="R521">
        <f>IF(AND(Inputs!$B$38&lt;&gt;"pvp",Inputs!$B$43&gt;0),IF(MAX(0,Inputs!$B$43-B554)&lt;=0,0,(INT(MAX(0,Inputs!$B$43-B554)/IF(Inputs!$B$38="pvp",15,MAX(0.1,Skills!E5-IF(Skills!F5=TRUE,Inputs!$B$32,0))))+1)),0)</f>
        <v/>
      </c>
      <c r="S521">
        <f>IF(C521,(H521*N521*IF(AND(Inputs!$B$38&lt;&gt;"pvp",Inputs!$B$43&gt;0),((Skills!G5*((R521-1)*IF(Skills!H5&gt;0,Skills!I5/Skills!H5,1)+IF(Skills!H5&gt;0,MIN(Skills!I5,MAX(0,MAX(0,Inputs!$B$43-B554)-((R521-1)*IF(Inputs!$B$38="pvp",15,MAX(0.1,Skills!E5-IF(Skills!F5=TRUE,Inputs!$B$32,0))))))/Skills!H5,1)))/Inputs!$B$43),G521*Q521))*IF(Inputs!$B$38="pvp",1,1+(Inputs!$B$20+Skills!P5)/100),0)</f>
        <v/>
      </c>
      <c r="U521">
        <f>IF(C521,(H521*N521*IF(AND(Inputs!$B$38&lt;&gt;"pvp",Inputs!$B$43&gt;0),((Skills!G5*((R521-1)*IF(Skills!H5&gt;0,Skills!I5/Skills!H5,1)+IF(Skills!H5&gt;0,MIN(Skills!I5,MAX(0,MAX(0,Inputs!$B$43-B554)-((R521-1)*IF(Inputs!$B$38="pvp",15,MAX(0.1,Skills!E5-IF(Skills!F5=TRUE,Inputs!$B$32,0))))))/Skills!H5,1)))/Inputs!$B$43),G521*Q521))*IF(Inputs!$B$38="pvp",1,(1+(Inputs!$B$21+Skills!Q5)/100)*(MIN(Skills!R5,Inputs!$B$37))),0)</f>
        <v/>
      </c>
    </row>
    <row r="522">
      <c r="A522">
        <f>Skills!A6</f>
        <v/>
      </c>
      <c r="B522">
        <f>Skills!B6</f>
        <v/>
      </c>
      <c r="C522">
        <f>TRUE</f>
        <v/>
      </c>
      <c r="D522">
        <f>IF(Skills!C6=1,60+Inputs!$B$25+Inputs!$B$29,IF(Skills!C6=2,90+Inputs!$B$26+Inputs!$B$29,IF(Skills!C6=3,120+Inputs!$B$27+Inputs!$B$29,MAX(0,(Inputs!$B$3-100)*3)+Inputs!$B$28+Inputs!$B$29)))</f>
        <v/>
      </c>
      <c r="E522">
        <f>INDEX(FactorTable!$B$2:$Y$301, MATCH(ROUND(MIN(300,MAX(1,D522)),0), FactorTable!$A$2:$A$301,0), Skills!M6+1)</f>
        <v/>
      </c>
      <c r="F522">
        <f>IF(Skills!N6=TRUE,(Skills!L6/10)*(E522/1000),Skills!L6/10)+Skills!O6</f>
        <v/>
      </c>
      <c r="G522">
        <f>Calc!G6</f>
        <v/>
      </c>
      <c r="H522">
        <f>Calc!H6</f>
        <v/>
      </c>
      <c r="I522">
        <f>IF(Skills!X6&lt;&gt;"",1+(Skills!X6/10)*(Z519/1000)/100,1)</f>
        <v/>
      </c>
      <c r="J522" t="inlineStr"/>
      <c r="K522" t="inlineStr"/>
      <c r="L522" t="inlineStr"/>
      <c r="M522" t="inlineStr"/>
      <c r="N522" t="inlineStr"/>
      <c r="O522">
        <f>(1-Summary!$B$56)*S522+Summary!$B$56*U522</f>
        <v/>
      </c>
      <c r="P522">
        <f>IF(B557=0,0,O522/B557)</f>
        <v/>
      </c>
      <c r="Q522">
        <f>IFERROR(1/IF(Inputs!$B$38="pvp",15,MAX(0.1,Skills!E6-IF(Skills!F6=TRUE,Inputs!$B$32,0))),0)</f>
        <v/>
      </c>
      <c r="R522">
        <f>IF(AND(Inputs!$B$38&lt;&gt;"pvp",Inputs!$B$43&gt;0),IF(Inputs!$B$43&lt;=0,0,(INT(Inputs!$B$43/IF(Inputs!$B$38="pvp",15,MAX(0.1,Skills!E6-IF(Skills!F6=TRUE,Inputs!$B$32,0))))+1)),0)</f>
        <v/>
      </c>
      <c r="S522" t="n">
        <v>0</v>
      </c>
      <c r="U522" t="n">
        <v>0</v>
      </c>
    </row>
    <row r="523">
      <c r="A523">
        <f>Skills!A7</f>
        <v/>
      </c>
      <c r="B523">
        <f>Skills!B7</f>
        <v/>
      </c>
      <c r="C523">
        <f>TRUE</f>
        <v/>
      </c>
      <c r="D523">
        <f>IF(Skills!C7=1,60+Inputs!$B$25+Inputs!$B$29,IF(Skills!C7=2,90+Inputs!$B$26+Inputs!$B$29,IF(Skills!C7=3,120+Inputs!$B$27+Inputs!$B$29,MAX(0,(Inputs!$B$3-100)*3)+Inputs!$B$28+Inputs!$B$29)))</f>
        <v/>
      </c>
      <c r="E523">
        <f>INDEX(FactorTable!$B$2:$Y$301, MATCH(ROUND(MIN(300,MAX(1,D523)),0), FactorTable!$A$2:$A$301,0), Skills!M7+1)</f>
        <v/>
      </c>
      <c r="F523">
        <f>IF(Skills!N7=TRUE,(Skills!L7/10)*(E523/1000),Skills!L7/10)+Skills!O7</f>
        <v/>
      </c>
      <c r="G523">
        <f>Calc!G7</f>
        <v/>
      </c>
      <c r="H523">
        <f>Calc!H7</f>
        <v/>
      </c>
      <c r="I523">
        <f>IF(Skills!X7&lt;&gt;"",1+(Skills!X7/10)*(Z519/1000)/100,1)</f>
        <v/>
      </c>
      <c r="J523">
        <f>((Inputs!$B$6*(1+Inputs!$B$7/100))+(((Inputs!$B$12*(1+Inputs!$B$13/100))-(Inputs!$B$12*(1+Inputs!$B$13/100)))+0.25*(Inputs!$B$14-Inputs!$B$14))*(1+Inputs!$B$7/100))*(F523/100)</f>
        <v/>
      </c>
      <c r="K523">
        <f>J523*(1+((Inputs!$B$12*(1+Inputs!$B$13/100))*0.01+Inputs!$B$14*0.0025)/100)*(1+Inputs!$B$15/100)*(1+Inputs!$B$16/100)*(5000/(6000+Inputs!$B$42*(1-Inputs!$B$19/100)))*(1+Inputs!$B$24/100)*(1+F539/100)*(1+IF(Inputs!$B$3&gt;=120,F542,0)/100)^5*(1+(IF(Skills!A7="BASIC_ATTACK",Inputs!$B$17,Inputs!$B$18+IF(Inputs!$B$3&gt;=125,F543*5,0)))/100)*(B546*B547*B548*I523)</f>
        <v/>
      </c>
      <c r="L523">
        <f>K523*(MIN(Inputs!$B$22+(F538-Calc!F22),Inputs!$B$23)/100+Inputs!$B$23/100)/2</f>
        <v/>
      </c>
      <c r="M523">
        <f>L523*(1+(Inputs!$B$10+(F537-Calc!F21))/100)</f>
        <v/>
      </c>
      <c r="N523">
        <f>L523*(1-MIN(Inputs!$B$9+(F536-Calc!F20),100)/100)+M523*(MIN(Inputs!$B$9+(F536-Calc!F20),100)/100)</f>
        <v/>
      </c>
      <c r="O523">
        <f>(1-Summary!$B$56)*S523+Summary!$B$56*U523</f>
        <v/>
      </c>
      <c r="P523">
        <f>IF(B557=0,0,O523/B557)</f>
        <v/>
      </c>
      <c r="Q523">
        <f>IFERROR(1/IF(Inputs!$B$38="pvp",15,MAX(0.1,Skills!E7-IF(Skills!F7=TRUE,Inputs!$B$32,0))),0)</f>
        <v/>
      </c>
      <c r="R523">
        <f>IF(AND(Inputs!$B$38&lt;&gt;"pvp",Inputs!$B$43&gt;0),IF(MAX(0,Inputs!$B$43-B554)&lt;=0,0,(INT(MAX(0,Inputs!$B$43-B554)/IF(Inputs!$B$38="pvp",15,MAX(0.1,Skills!E7-IF(Skills!F7=TRUE,Inputs!$B$32,0))))+1)),0)</f>
        <v/>
      </c>
      <c r="S523">
        <f>IF(C523,(H523*N523*IF(AND(Inputs!$B$38&lt;&gt;"pvp",Inputs!$B$43&gt;0),((Skills!G7*((R523-1)*IF(Skills!H7&gt;0,Skills!I7/Skills!H7,1)+IF(Skills!H7&gt;0,MIN(Skills!I7,MAX(0,MAX(0,Inputs!$B$43-B554)-((R523-1)*IF(Inputs!$B$38="pvp",15,MAX(0.1,Skills!E7-IF(Skills!F7=TRUE,Inputs!$B$32,0))))))/Skills!H7,1)))/Inputs!$B$43),G523*Q523))*IF(Inputs!$B$38="pvp",1,1+(Inputs!$B$20+Skills!P7)/100),0)</f>
        <v/>
      </c>
      <c r="U523">
        <f>IF(C523,(H523*N523*IF(AND(Inputs!$B$38&lt;&gt;"pvp",Inputs!$B$43&gt;0),((Skills!G7*((R523-1)*IF(Skills!H7&gt;0,Skills!I7/Skills!H7,1)+IF(Skills!H7&gt;0,MIN(Skills!I7,MAX(0,MAX(0,Inputs!$B$43-B554)-((R523-1)*IF(Inputs!$B$38="pvp",15,MAX(0.1,Skills!E7-IF(Skills!F7=TRUE,Inputs!$B$32,0))))))/Skills!H7,1)))/Inputs!$B$43),G523*Q523))*IF(Inputs!$B$38="pvp",1,(1+(Inputs!$B$21+Skills!Q7)/100)*(MIN(Skills!R7,Inputs!$B$37))),0)</f>
        <v/>
      </c>
    </row>
    <row r="524">
      <c r="A524">
        <f>Skills!A8</f>
        <v/>
      </c>
      <c r="B524">
        <f>Skills!B8</f>
        <v/>
      </c>
      <c r="C524">
        <f>TRUE</f>
        <v/>
      </c>
      <c r="D524">
        <f>IF(Skills!C8=1,60+Inputs!$B$25+Inputs!$B$29,IF(Skills!C8=2,90+Inputs!$B$26+Inputs!$B$29,IF(Skills!C8=3,120+Inputs!$B$27+Inputs!$B$29,MAX(0,(Inputs!$B$3-100)*3)+Inputs!$B$28+Inputs!$B$29)))</f>
        <v/>
      </c>
      <c r="E524">
        <f>INDEX(FactorTable!$B$2:$Y$301, MATCH(ROUND(MIN(300,MAX(1,D524)),0), FactorTable!$A$2:$A$301,0), Skills!M8+1)</f>
        <v/>
      </c>
      <c r="F524">
        <f>IF(Skills!N8=TRUE,(Skills!L8/10)*(E524/1000),Skills!L8/10)+Skills!O8</f>
        <v/>
      </c>
      <c r="G524">
        <f>Calc!G8</f>
        <v/>
      </c>
      <c r="H524">
        <f>Calc!H8</f>
        <v/>
      </c>
      <c r="I524">
        <f>IF(Skills!X8&lt;&gt;"",1+(Skills!X8/10)*(Z519/1000)/100,1)</f>
        <v/>
      </c>
      <c r="J524">
        <f>((Inputs!$B$6*(1+Inputs!$B$7/100))+(((Inputs!$B$12*(1+Inputs!$B$13/100))-(Inputs!$B$12*(1+Inputs!$B$13/100)))+0.25*(Inputs!$B$14-Inputs!$B$14))*(1+Inputs!$B$7/100))*(F524/100)</f>
        <v/>
      </c>
      <c r="K524">
        <f>J524*(1+((Inputs!$B$12*(1+Inputs!$B$13/100))*0.01+Inputs!$B$14*0.0025)/100)*(1+Inputs!$B$15/100)*(1+Inputs!$B$16/100)*(5000/(6000+Inputs!$B$42*(1-Inputs!$B$19/100)))*(1+Inputs!$B$24/100)*(1+F539/100)*(1+IF(Inputs!$B$3&gt;=120,F542,0)/100)^5*(1+(IF(Skills!A8="BASIC_ATTACK",Inputs!$B$17,Inputs!$B$18+IF(Inputs!$B$3&gt;=125,F543*5,0)))/100)*(B546*B547*B548*I524)</f>
        <v/>
      </c>
      <c r="L524">
        <f>K524*(MIN(Inputs!$B$22+(F538-Calc!F22),Inputs!$B$23)/100+Inputs!$B$23/100)/2</f>
        <v/>
      </c>
      <c r="M524">
        <f>L524*(1+(Inputs!$B$10+(F537-Calc!F21))/100)</f>
        <v/>
      </c>
      <c r="N524">
        <f>L524*(1-MIN(Inputs!$B$9+(F536-Calc!F20),100)/100)+M524*(MIN(Inputs!$B$9+(F536-Calc!F20),100)/100)</f>
        <v/>
      </c>
      <c r="O524">
        <f>(1-Summary!$B$56)*S524+Summary!$B$56*U524</f>
        <v/>
      </c>
      <c r="P524">
        <f>IF(B557=0,0,O524/B557)</f>
        <v/>
      </c>
      <c r="Q524">
        <f>IFERROR(1/IF(Inputs!$B$38="pvp",15,MAX(0.1,Skills!E8-IF(Skills!F8=TRUE,Inputs!$B$32,0))),0)</f>
        <v/>
      </c>
      <c r="R524">
        <f>IF(AND(Inputs!$B$38&lt;&gt;"pvp",Inputs!$B$43&gt;0),IF(MAX(0,Inputs!$B$43-B554)&lt;=0,0,(INT(MAX(0,Inputs!$B$43-B554)/IF(Inputs!$B$38="pvp",15,MAX(0.1,Skills!E8-IF(Skills!F8=TRUE,Inputs!$B$32,0))))+1)),0)</f>
        <v/>
      </c>
      <c r="S524">
        <f>IF(C524,(H524*N524*IF(AND(Inputs!$B$38&lt;&gt;"pvp",Inputs!$B$43&gt;0),((Skills!G8*((R524-1)*IF(Skills!H8&gt;0,Skills!I8/Skills!H8,1)+IF(Skills!H8&gt;0,MIN(Skills!I8,MAX(0,MAX(0,Inputs!$B$43-B554)-((R524-1)*IF(Inputs!$B$38="pvp",15,MAX(0.1,Skills!E8-IF(Skills!F8=TRUE,Inputs!$B$32,0))))))/Skills!H8,1)))/Inputs!$B$43),G524*Q524))*IF(Inputs!$B$38="pvp",1,1+(Inputs!$B$20+Skills!P8)/100),0)</f>
        <v/>
      </c>
      <c r="U524">
        <f>IF(C524,(H524*N524*IF(AND(Inputs!$B$38&lt;&gt;"pvp",Inputs!$B$43&gt;0),((Skills!G8*((R524-1)*IF(Skills!H8&gt;0,Skills!I8/Skills!H8,1)+IF(Skills!H8&gt;0,MIN(Skills!I8,MAX(0,MAX(0,Inputs!$B$43-B554)-((R524-1)*IF(Inputs!$B$38="pvp",15,MAX(0.1,Skills!E8-IF(Skills!F8=TRUE,Inputs!$B$32,0))))))/Skills!H8,1)))/Inputs!$B$43),G524*Q524))*IF(Inputs!$B$38="pvp",1,(1+(Inputs!$B$21+Skills!Q8)/100)*(MIN(Skills!R8,Inputs!$B$37))),0)</f>
        <v/>
      </c>
    </row>
    <row r="525">
      <c r="A525">
        <f>Skills!A9</f>
        <v/>
      </c>
      <c r="B525">
        <f>Skills!B9</f>
        <v/>
      </c>
      <c r="C525">
        <f>Inputs!$B$3&gt;=103</f>
        <v/>
      </c>
      <c r="D525">
        <f>IF(Skills!C9=1,60+Inputs!$B$25+Inputs!$B$29,IF(Skills!C9=2,90+Inputs!$B$26+Inputs!$B$29,IF(Skills!C9=3,120+Inputs!$B$27+Inputs!$B$29,MAX(0,(Inputs!$B$3-100)*3)+Inputs!$B$28+Inputs!$B$29)))</f>
        <v/>
      </c>
      <c r="E525">
        <f>INDEX(FactorTable!$B$2:$Y$301, MATCH(ROUND(MIN(300,MAX(1,D525)),0), FactorTable!$A$2:$A$301,0), Skills!M9+1)</f>
        <v/>
      </c>
      <c r="F525">
        <f>IF(Skills!N9=TRUE,(Skills!L9/10)*(E525/1000),Skills!L9/10)+Skills!O9</f>
        <v/>
      </c>
      <c r="G525">
        <f>Calc!G9</f>
        <v/>
      </c>
      <c r="H525">
        <f>Calc!H9</f>
        <v/>
      </c>
      <c r="I525">
        <f>IF(Skills!X9&lt;&gt;"",1+(Skills!X9/10)*(Z519/1000)/100,1)</f>
        <v/>
      </c>
      <c r="J525">
        <f>((Inputs!$B$6*(1+Inputs!$B$7/100))+(((Inputs!$B$12*(1+Inputs!$B$13/100))-(Inputs!$B$12*(1+Inputs!$B$13/100)))+0.25*(Inputs!$B$14-Inputs!$B$14))*(1+Inputs!$B$7/100))*(F525/100)</f>
        <v/>
      </c>
      <c r="K525">
        <f>J525*(1+((Inputs!$B$12*(1+Inputs!$B$13/100))*0.01+Inputs!$B$14*0.0025)/100)*(1+Inputs!$B$15/100)*(1+Inputs!$B$16/100)*(5000/(6000+Inputs!$B$42*(1-Inputs!$B$19/100)))*(1+Inputs!$B$24/100)*(1+F539/100)*(1+IF(Inputs!$B$3&gt;=120,F542,0)/100)^5*(1+(IF(Skills!A9="BASIC_ATTACK",Inputs!$B$17,Inputs!$B$18+IF(Inputs!$B$3&gt;=125,F543*5,0)))/100)*(B546*B547*B548*I525)</f>
        <v/>
      </c>
      <c r="L525">
        <f>K525*(MIN(Inputs!$B$22+(F538-Calc!F22),Inputs!$B$23)/100+Inputs!$B$23/100)/2</f>
        <v/>
      </c>
      <c r="M525">
        <f>L525*(1+(Inputs!$B$10+(F537-Calc!F21))/100)</f>
        <v/>
      </c>
      <c r="N525">
        <f>L525*(1-MIN(Inputs!$B$9+(F536-Calc!F20),100)/100)+M525*(MIN(Inputs!$B$9+(F536-Calc!F20),100)/100)</f>
        <v/>
      </c>
      <c r="O525">
        <f>(1-Summary!$B$56)*S525+Summary!$B$56*U525</f>
        <v/>
      </c>
      <c r="P525">
        <f>IF(B557=0,0,O525/B557)</f>
        <v/>
      </c>
      <c r="Q525">
        <f>IFERROR(1/IF(Inputs!$B$38="pvp",15,MAX(0.1,Skills!E9-IF(Skills!F7=TRUE,Inputs!$B$32,0))),0)</f>
        <v/>
      </c>
      <c r="R525">
        <f>IF(AND(Inputs!$B$38&lt;&gt;"pvp",Inputs!$B$43&gt;0),IF(MAX(0,Inputs!$B$43-B554)&lt;=0,0,(INT(MAX(0,Inputs!$B$43-B554)/IF(Inputs!$B$38="pvp",15,MAX(0.1,Skills!E9-IF(Skills!F7=TRUE,Inputs!$B$32,0))))+1)),0)</f>
        <v/>
      </c>
      <c r="S525">
        <f>IF(C525,(H525*N525*IF(AND(Inputs!$B$38&lt;&gt;"pvp",Inputs!$B$43&gt;0),((Skills!G9*((R525-1)*IF(Skills!H9&gt;0,Skills!I9/Skills!H9,1)+IF(Skills!H9&gt;0,MIN(Skills!I9,MAX(0,MAX(0,Inputs!$B$43-B554)-((R525-1)*IF(Inputs!$B$38="pvp",15,MAX(0.1,Skills!E9-IF(Skills!F7=TRUE,Inputs!$B$32,0))))))/Skills!H9,1)))/Inputs!$B$43),G525*Q525))*IF(Inputs!$B$38="pvp",1,1+(Inputs!$B$20+Skills!P9)/100),0)</f>
        <v/>
      </c>
      <c r="U525">
        <f>IF(C525,(H525*N525*IF(AND(Inputs!$B$38&lt;&gt;"pvp",Inputs!$B$43&gt;0),((Skills!G9*((R525-1)*IF(Skills!H9&gt;0,Skills!I9/Skills!H9,1)+IF(Skills!H9&gt;0,MIN(Skills!I9,MAX(0,MAX(0,Inputs!$B$43-B554)-((R525-1)*IF(Inputs!$B$38="pvp",15,MAX(0.1,Skills!E9-IF(Skills!F7=TRUE,Inputs!$B$32,0))))))/Skills!H9,1)))/Inputs!$B$43),G525*Q525))*IF(Inputs!$B$38="pvp",1,(1+(Inputs!$B$21+Skills!Q9)/100)*(MIN(Skills!R9,Inputs!$B$37))),0)</f>
        <v/>
      </c>
    </row>
    <row r="526">
      <c r="A526">
        <f>Skills!A10</f>
        <v/>
      </c>
      <c r="B526">
        <f>Skills!B10</f>
        <v/>
      </c>
      <c r="C526">
        <f>TRUE</f>
        <v/>
      </c>
      <c r="D526">
        <f>IF(Skills!C10=1,60+Inputs!$B$25+Inputs!$B$29,IF(Skills!C10=2,90+Inputs!$B$26+Inputs!$B$29,IF(Skills!C10=3,120+Inputs!$B$27+Inputs!$B$29,MAX(0,(Inputs!$B$3-100)*3)+Inputs!$B$28+Inputs!$B$29)))</f>
        <v/>
      </c>
      <c r="E526">
        <f>INDEX(FactorTable!$B$2:$Y$301, MATCH(ROUND(MIN(300,MAX(1,D526)),0), FactorTable!$A$2:$A$301,0), Skills!M10+1)</f>
        <v/>
      </c>
      <c r="F526">
        <f>IF(Skills!N10=TRUE,(Skills!L10/10)*(E526/1000),Skills!L10/10)+Skills!O10</f>
        <v/>
      </c>
      <c r="G526">
        <f>Calc!G10</f>
        <v/>
      </c>
      <c r="H526">
        <f>Calc!H10</f>
        <v/>
      </c>
      <c r="I526">
        <f>IF(Skills!X10&lt;&gt;"",1+(Skills!X10/10)*(Z519/1000)/100,1)</f>
        <v/>
      </c>
      <c r="J526">
        <f>((Inputs!$B$6*(1+Inputs!$B$7/100))+(((Inputs!$B$12*(1+Inputs!$B$13/100))-(Inputs!$B$12*(1+Inputs!$B$13/100)))+0.25*(Inputs!$B$14-Inputs!$B$14))*(1+Inputs!$B$7/100))*(F526/100)</f>
        <v/>
      </c>
      <c r="K526">
        <f>J526*(1+((Inputs!$B$12*(1+Inputs!$B$13/100))*0.01+Inputs!$B$14*0.0025)/100)*(1+Inputs!$B$15/100)*(1+Inputs!$B$16/100)*(5000/(6000+Inputs!$B$42*(1-Inputs!$B$19/100)))*(1+Inputs!$B$24/100)*(1+F539/100)*(1+IF(Inputs!$B$3&gt;=120,F542,0)/100)^5*(1+(IF(Skills!A10="BASIC_ATTACK",Inputs!$B$17,Inputs!$B$18+IF(Inputs!$B$3&gt;=125,F543*5,0)))/100)*(B546*B547*B548*I526)</f>
        <v/>
      </c>
      <c r="L526">
        <f>K526*(MIN(Inputs!$B$22+(F538-Calc!F22),Inputs!$B$23)/100+Inputs!$B$23/100)/2</f>
        <v/>
      </c>
      <c r="M526">
        <f>L526*(1+(Inputs!$B$10+(F537-Calc!F21))/100)</f>
        <v/>
      </c>
      <c r="N526">
        <f>L526*(1-MIN(Inputs!$B$9+(F536-Calc!F20),100)/100)+M526*(MIN(Inputs!$B$9+(F536-Calc!F20),100)/100)</f>
        <v/>
      </c>
      <c r="O526">
        <f>(1-Summary!$B$56)*S526+Summary!$B$56*U526</f>
        <v/>
      </c>
      <c r="P526">
        <f>IF(B557=0,0,O526/B557)</f>
        <v/>
      </c>
      <c r="Q526">
        <f>IFERROR(1/IF(Inputs!$B$38="pvp",15,MAX(0.1,Skills!E10-IF(Skills!F10=TRUE,Inputs!$B$32,0))),0)</f>
        <v/>
      </c>
      <c r="R526">
        <f>IF(AND(Inputs!$B$38&lt;&gt;"pvp",Inputs!$B$43&gt;0),IF(MAX(0,Inputs!$B$43-B554)&lt;=0,0,(INT(MAX(0,Inputs!$B$43-B554)/IF(Inputs!$B$38="pvp",15,MAX(0.1,Skills!E10-IF(Skills!F10=TRUE,Inputs!$B$32,0))))+1)),0)</f>
        <v/>
      </c>
      <c r="S526">
        <f>IF(C526,(H526*N526*IF(AND(Inputs!$B$38&lt;&gt;"pvp",Inputs!$B$43&gt;0),((Skills!G10*((R526-1)*IF(Skills!H10&gt;0,Skills!I10/Skills!H10,1)+IF(Skills!H10&gt;0,MIN(Skills!I10,MAX(0,MAX(0,Inputs!$B$43-B554)-((R526-1)*IF(Inputs!$B$38="pvp",15,MAX(0.1,Skills!E10-IF(Skills!F10=TRUE,Inputs!$B$32,0))))))/Skills!H10,1)))/Inputs!$B$43),G526*Q526))*IF(Inputs!$B$38="pvp",1,1+(Inputs!$B$20+Skills!P10)/100),0)</f>
        <v/>
      </c>
      <c r="U526">
        <f>IF(C526,(H526*N526*IF(AND(Inputs!$B$38&lt;&gt;"pvp",Inputs!$B$43&gt;0),((Skills!G10*((R526-1)*IF(Skills!H10&gt;0,Skills!I10/Skills!H10,1)+IF(Skills!H10&gt;0,MIN(Skills!I10,MAX(0,MAX(0,Inputs!$B$43-B554)-((R526-1)*IF(Inputs!$B$38="pvp",15,MAX(0.1,Skills!E10-IF(Skills!F10=TRUE,Inputs!$B$32,0))))))/Skills!H10,1)))/Inputs!$B$43),G526*Q526))*IF(Inputs!$B$38="pvp",1,(1+(Inputs!$B$21+Skills!Q10)/100)*(MIN(Skills!R10,Inputs!$B$37))),0)</f>
        <v/>
      </c>
    </row>
    <row r="527">
      <c r="A527">
        <f>Skills!A11</f>
        <v/>
      </c>
      <c r="B527">
        <f>Skills!B11</f>
        <v/>
      </c>
      <c r="C527">
        <f>TRUE</f>
        <v/>
      </c>
      <c r="D527">
        <f>IF(Skills!C11=1,60+Inputs!$B$25+Inputs!$B$29,IF(Skills!C11=2,90+Inputs!$B$26+Inputs!$B$29,IF(Skills!C11=3,120+Inputs!$B$27+Inputs!$B$29,MAX(0,(Inputs!$B$3-100)*3)+Inputs!$B$28+Inputs!$B$29)))</f>
        <v/>
      </c>
      <c r="E527">
        <f>INDEX(FactorTable!$B$2:$Y$301, MATCH(ROUND(MIN(300,MAX(1,D527)),0), FactorTable!$A$2:$A$301,0), Skills!M11+1)</f>
        <v/>
      </c>
      <c r="F527">
        <f>IF(Skills!N11=TRUE,(Skills!L11/10)*(E527/1000),Skills!L11/10)+Skills!O11</f>
        <v/>
      </c>
      <c r="G527">
        <f>Calc!G11</f>
        <v/>
      </c>
      <c r="H527">
        <f>Calc!H11</f>
        <v/>
      </c>
      <c r="I527">
        <f>IF(Skills!X11&lt;&gt;"",1+(Skills!X11/10)*(Z519/1000)/100,1)</f>
        <v/>
      </c>
      <c r="J527" t="inlineStr"/>
      <c r="K527" t="inlineStr"/>
      <c r="L527" t="inlineStr"/>
      <c r="M527" t="inlineStr"/>
      <c r="N527" t="inlineStr"/>
      <c r="O527">
        <f>(1-Summary!$B$56)*S527+Summary!$B$56*U527</f>
        <v/>
      </c>
      <c r="P527">
        <f>IF(B557=0,0,O527/B557)</f>
        <v/>
      </c>
      <c r="Q527">
        <f>IFERROR(1/IF(Inputs!$B$38="pvp",15,MAX(0.1,Skills!E11-IF(Skills!F11=TRUE,Inputs!$B$32,0))),0)</f>
        <v/>
      </c>
      <c r="R527" t="n">
        <v>0</v>
      </c>
      <c r="S527" t="n">
        <v>0</v>
      </c>
      <c r="U527" t="n">
        <v>0</v>
      </c>
    </row>
    <row r="528">
      <c r="A528">
        <f>Skills!A12</f>
        <v/>
      </c>
      <c r="B528">
        <f>Skills!B12</f>
        <v/>
      </c>
      <c r="C528">
        <f>TRUE</f>
        <v/>
      </c>
      <c r="D528">
        <f>IF(Skills!C12=1,60+Inputs!$B$25+Inputs!$B$29,IF(Skills!C12=2,90+Inputs!$B$26+Inputs!$B$29,IF(Skills!C12=3,120+Inputs!$B$27+Inputs!$B$29,MAX(0,(Inputs!$B$3-100)*3)+Inputs!$B$28+Inputs!$B$29)))</f>
        <v/>
      </c>
      <c r="E528">
        <f>INDEX(FactorTable!$B$2:$Y$301, MATCH(ROUND(MIN(300,MAX(1,D528)),0), FactorTable!$A$2:$A$301,0), Skills!M12+1)</f>
        <v/>
      </c>
      <c r="F528">
        <f>IF(Skills!N12=TRUE,(Skills!L12/10)*(E528/1000),Skills!L12/10)+Skills!O12</f>
        <v/>
      </c>
      <c r="G528">
        <f>Calc!G12</f>
        <v/>
      </c>
      <c r="H528">
        <f>Calc!H12</f>
        <v/>
      </c>
      <c r="I528">
        <f>IF(Skills!X12&lt;&gt;"",1+(Skills!X12/10)*(Z519/1000)/100,1)</f>
        <v/>
      </c>
      <c r="J528" t="inlineStr"/>
      <c r="K528" t="inlineStr"/>
      <c r="L528" t="inlineStr"/>
      <c r="M528" t="inlineStr"/>
      <c r="N528" t="inlineStr"/>
      <c r="O528">
        <f>(1-Summary!$B$56)*S528+Summary!$B$56*U528</f>
        <v/>
      </c>
      <c r="P528">
        <f>IF(B557=0,0,O528/B557)</f>
        <v/>
      </c>
      <c r="Q528">
        <f>IFERROR(1/IF(Inputs!$B$38="pvp",15,MAX(0.1,Skills!E12-IF(Skills!F12=TRUE,Inputs!$B$32,0))),0)</f>
        <v/>
      </c>
      <c r="R528" t="n">
        <v>0</v>
      </c>
      <c r="S528" t="n">
        <v>0</v>
      </c>
      <c r="U528" t="n">
        <v>0</v>
      </c>
    </row>
    <row r="529">
      <c r="A529">
        <f>Skills!A13</f>
        <v/>
      </c>
      <c r="B529">
        <f>Skills!B13</f>
        <v/>
      </c>
      <c r="C529">
        <f>Inputs!$B$3&gt;=105</f>
        <v/>
      </c>
      <c r="D529">
        <f>IF(Skills!C13=1,60+Inputs!$B$25+Inputs!$B$29,IF(Skills!C13=2,90+Inputs!$B$26+Inputs!$B$29,IF(Skills!C13=3,120+Inputs!$B$27+Inputs!$B$29,MAX(0,(Inputs!$B$3-100)*3)+Inputs!$B$28+Inputs!$B$29)))</f>
        <v/>
      </c>
      <c r="E529">
        <f>INDEX(FactorTable!$B$2:$Y$301, MATCH(ROUND(MIN(300,MAX(1,D529)),0), FactorTable!$A$2:$A$301,0), Skills!M13+1)</f>
        <v/>
      </c>
      <c r="F529">
        <f>IF(Skills!N13=TRUE,(Skills!L13/10)*(E529/1000),Skills!L13/10)+Skills!O13</f>
        <v/>
      </c>
      <c r="G529">
        <f>Calc!G13</f>
        <v/>
      </c>
      <c r="H529">
        <f>Calc!H13</f>
        <v/>
      </c>
      <c r="I529">
        <f>IF(Skills!X13&lt;&gt;"",1+(Skills!X13/10)*(Z519/1000)/100,1)</f>
        <v/>
      </c>
      <c r="J529">
        <f>((Inputs!$B$6*(1+Inputs!$B$7/100))+(((Inputs!$B$12*(1+Inputs!$B$13/100))-(Inputs!$B$12*(1+Inputs!$B$13/100)))+0.25*(Inputs!$B$14-Inputs!$B$14))*(1+Inputs!$B$7/100))*(F529/100)</f>
        <v/>
      </c>
      <c r="K529">
        <f>J529*(1+((Inputs!$B$12*(1+Inputs!$B$13/100))*0.01+Inputs!$B$14*0.0025)/100)*(1+Inputs!$B$15/100)*(1+Inputs!$B$16/100)*(5000/(6000+Inputs!$B$42*(1-Inputs!$B$19/100)))*(1+Inputs!$B$24/100)*(1+F539/100)*(1+IF(Inputs!$B$3&gt;=120,F542,0)/100)^5*(1+(IF(Skills!A13="BASIC_ATTACK",Inputs!$B$17,Inputs!$B$18+IF(Inputs!$B$3&gt;=125,F543*5,0)))/100)*(B546*B547*B548*I529)</f>
        <v/>
      </c>
      <c r="L529">
        <f>K529*(MIN(Inputs!$B$22+(F538-Calc!F22),Inputs!$B$23)/100+Inputs!$B$23/100)/2</f>
        <v/>
      </c>
      <c r="M529">
        <f>L529*(1+(Inputs!$B$10+(F537-Calc!F21))/100)</f>
        <v/>
      </c>
      <c r="N529">
        <f>L529*(1-MIN(Inputs!$B$9+(F536-Calc!F20),100)/100)+M529*(MIN(Inputs!$B$9+(F536-Calc!F20),100)/100)</f>
        <v/>
      </c>
      <c r="O529">
        <f>(1-Summary!$B$56)*S529+Summary!$B$56*U529</f>
        <v/>
      </c>
      <c r="P529">
        <f>IF(B557=0,0,O529/B557)</f>
        <v/>
      </c>
      <c r="Q529">
        <f>IFERROR(1/IF(Inputs!$B$38="pvp",15,MAX(0.1,Skills!E13-IF(Skills!F13=TRUE,Inputs!$B$32,0))),0)</f>
        <v/>
      </c>
      <c r="R529">
        <f>IF(AND(Inputs!$B$38&lt;&gt;"pvp",Inputs!$B$43&gt;0),IF(MAX(0,Inputs!$B$43-B554)&lt;=0,0,(INT(MAX(0,Inputs!$B$43-B554)/IF(Inputs!$B$38="pvp",15,MAX(0.1,Skills!E13-IF(Skills!F13=TRUE,Inputs!$B$32,0))))+1)),0)</f>
        <v/>
      </c>
      <c r="S529">
        <f>IF(C529,(H529*N529*IF(AND(Inputs!$B$38&lt;&gt;"pvp",Inputs!$B$43&gt;0),((Skills!G13*((R529-1)*IF(Skills!H13&gt;0,Skills!I13/Skills!H13,1)+IF(Skills!H13&gt;0,MIN(Skills!I13,MAX(0,MAX(0,Inputs!$B$43-B554)-((R529-1)*IF(Inputs!$B$38="pvp",15,MAX(0.1,Skills!E13-IF(Skills!F13=TRUE,Inputs!$B$32,0))))))/Skills!H13,1)))/Inputs!$B$43),G529*Q529))*IF(Inputs!$B$38="pvp",1,1+(Inputs!$B$20+Skills!P13)/100),0)</f>
        <v/>
      </c>
      <c r="U529">
        <f>IF(C529,(H529*N529*IF(AND(Inputs!$B$38&lt;&gt;"pvp",Inputs!$B$43&gt;0),((Skills!G13*((R529-1)*IF(Skills!H13&gt;0,Skills!I13/Skills!H13,1)+IF(Skills!H13&gt;0,MIN(Skills!I13,MAX(0,MAX(0,Inputs!$B$43-B554)-((R529-1)*IF(Inputs!$B$38="pvp",15,MAX(0.1,Skills!E13-IF(Skills!F13=TRUE,Inputs!$B$32,0))))))/Skills!H13,1)))/Inputs!$B$43),G529*Q529))*IF(Inputs!$B$38="pvp",1,(1+(Inputs!$B$21+Skills!Q13)/100)*(MIN(Skills!R13,Inputs!$B$37))),0)</f>
        <v/>
      </c>
    </row>
    <row r="530">
      <c r="A530">
        <f>Skills!A14</f>
        <v/>
      </c>
      <c r="B530">
        <f>Skills!B14</f>
        <v/>
      </c>
      <c r="C530">
        <f>Inputs!$B$3&gt;=113</f>
        <v/>
      </c>
      <c r="D530">
        <f>IF(Skills!C14=1,60+Inputs!$B$25+Inputs!$B$29,IF(Skills!C14=2,90+Inputs!$B$26+Inputs!$B$29,IF(Skills!C14=3,120+Inputs!$B$27+Inputs!$B$29,MAX(0,(Inputs!$B$3-100)*3)+Inputs!$B$28+Inputs!$B$29)))</f>
        <v/>
      </c>
      <c r="E530">
        <f>INDEX(FactorTable!$B$2:$Y$301, MATCH(ROUND(MIN(300,MAX(1,D530)),0), FactorTable!$A$2:$A$301,0), Skills!M14+1)</f>
        <v/>
      </c>
      <c r="F530">
        <f>IF(Skills!N14=TRUE,(Skills!L14/10)*(E530/1000),Skills!L14/10)+Skills!O14</f>
        <v/>
      </c>
      <c r="G530">
        <f>Calc!G14</f>
        <v/>
      </c>
      <c r="H530">
        <f>Calc!H14</f>
        <v/>
      </c>
      <c r="I530">
        <f>IF(Skills!X14&lt;&gt;"",1+(Skills!X14/10)*(Z519/1000)/100,1)</f>
        <v/>
      </c>
      <c r="J530">
        <f>((Inputs!$B$6*(1+Inputs!$B$7/100))+(((Inputs!$B$12*(1+Inputs!$B$13/100))-(Inputs!$B$12*(1+Inputs!$B$13/100)))+0.25*(Inputs!$B$14-Inputs!$B$14))*(1+Inputs!$B$7/100))*(F530/100)</f>
        <v/>
      </c>
      <c r="K530">
        <f>J530*(1+((Inputs!$B$12*(1+Inputs!$B$13/100))*0.01+Inputs!$B$14*0.0025)/100)*(1+Inputs!$B$15/100)*(1+Inputs!$B$16/100)*(5000/(6000+Inputs!$B$42*(1-Inputs!$B$19/100)))*(1+Inputs!$B$24/100)*(1+F539/100)*(1+IF(Inputs!$B$3&gt;=120,F542,0)/100)^5*(1+(IF(Skills!A14="BASIC_ATTACK",Inputs!$B$17,Inputs!$B$18+IF(Inputs!$B$3&gt;=125,F543*5,0)))/100)*(B546*B547*B548*I530)</f>
        <v/>
      </c>
      <c r="L530">
        <f>K530*(MIN(Inputs!$B$22+(F538-Calc!F22),Inputs!$B$23)/100+Inputs!$B$23/100)/2</f>
        <v/>
      </c>
      <c r="M530">
        <f>L530*(1+(Inputs!$B$10+(F537-Calc!F21))/100)</f>
        <v/>
      </c>
      <c r="N530">
        <f>L530*(1-MIN(Inputs!$B$9+(F536-Calc!F20),100)/100)+M530*(MIN(Inputs!$B$9+(F536-Calc!F20),100)/100)</f>
        <v/>
      </c>
      <c r="O530">
        <f>(1-Summary!$B$56)*S530+Summary!$B$56*U530</f>
        <v/>
      </c>
      <c r="P530">
        <f>IF(B557=0,0,O530/B557)</f>
        <v/>
      </c>
      <c r="Q530">
        <f>IFERROR(1/IF(Inputs!$B$38="pvp",15,MAX(0.1,Skills!E14-IF(Skills!F14=TRUE,Inputs!$B$32,0))),0)</f>
        <v/>
      </c>
      <c r="R530" t="n">
        <v>0</v>
      </c>
      <c r="S530">
        <f>IF(C530,((H530*B553)/(1+Skills!H14*H530*B553)*N530)*IF(Inputs!$B$38="pvp",1,1+(Inputs!$B$20+Skills!P14)/100),0)</f>
        <v/>
      </c>
      <c r="U530">
        <f>IF(C530,((H530*B553)/(1+Skills!H14*H530*B553)*N530)*IF(Inputs!$B$38="pvp",1,(1+(Inputs!$B$21+Skills!Q14)/100)*(MIN(Skills!R14,Inputs!$B$37))),0)</f>
        <v/>
      </c>
    </row>
    <row r="531">
      <c r="A531">
        <f>Skills!A15</f>
        <v/>
      </c>
      <c r="B531">
        <f>Skills!B15</f>
        <v/>
      </c>
      <c r="C531">
        <f>Inputs!$B$3&gt;=107</f>
        <v/>
      </c>
      <c r="D531">
        <f>IF(Skills!C15=1,60+Inputs!$B$25+Inputs!$B$29,IF(Skills!C15=2,90+Inputs!$B$26+Inputs!$B$29,IF(Skills!C15=3,120+Inputs!$B$27+Inputs!$B$29,MAX(0,(Inputs!$B$3-100)*3)+Inputs!$B$28+Inputs!$B$29)))</f>
        <v/>
      </c>
      <c r="E531">
        <f>INDEX(FactorTable!$B$2:$Y$301, MATCH(ROUND(MIN(300,MAX(1,D531)),0), FactorTable!$A$2:$A$301,0), Skills!M15+1)</f>
        <v/>
      </c>
      <c r="F531">
        <f>IF(Skills!N15=TRUE,(Skills!L15/10)*(E531/1000),Skills!L15/10)+Skills!O15</f>
        <v/>
      </c>
      <c r="G531">
        <f>Calc!G15</f>
        <v/>
      </c>
      <c r="H531">
        <f>Calc!H15</f>
        <v/>
      </c>
      <c r="I531">
        <f>IF(Skills!X15&lt;&gt;"",1+(Skills!X15/10)*(Z519/1000)/100,1)</f>
        <v/>
      </c>
      <c r="J531">
        <f>((Inputs!$B$6*(1+Inputs!$B$7/100))+(((Inputs!$B$12*(1+Inputs!$B$13/100))-(Inputs!$B$12*(1+Inputs!$B$13/100)))+0.25*(Inputs!$B$14-Inputs!$B$14))*(1+Inputs!$B$7/100))*(F531/100)</f>
        <v/>
      </c>
      <c r="K531">
        <f>J531*(1+((Inputs!$B$12*(1+Inputs!$B$13/100))*0.01+Inputs!$B$14*0.0025)/100)*(1+Inputs!$B$15/100)*(1+Inputs!$B$16/100)*(5000/(6000+Inputs!$B$42*(1-Inputs!$B$19/100)))*(1+Inputs!$B$24/100)*(1+F539/100)*(1+IF(Inputs!$B$3&gt;=120,F542,0)/100)^5*(1+(IF(Skills!A15="BASIC_ATTACK",Inputs!$B$17,Inputs!$B$18+IF(Inputs!$B$3&gt;=125,F543*5,0)))/100)*(B546*B547*B548*I531)</f>
        <v/>
      </c>
      <c r="L531">
        <f>K531*(MIN(Inputs!$B$22+(F538-Calc!F22),Inputs!$B$23)/100+Inputs!$B$23/100)/2</f>
        <v/>
      </c>
      <c r="M531">
        <f>L531*(1+(Inputs!$B$10+(F537-Calc!F21))/100)</f>
        <v/>
      </c>
      <c r="N531">
        <f>L531*(1-MIN(Inputs!$B$9+(F536-Calc!F20),100)/100)+M531*(MIN(Inputs!$B$9+(F536-Calc!F20),100)/100)</f>
        <v/>
      </c>
      <c r="O531">
        <f>(1-Summary!$B$56)*S531+Summary!$B$56*U531</f>
        <v/>
      </c>
      <c r="P531">
        <f>IF(B557=0,0,O531/B557)</f>
        <v/>
      </c>
      <c r="Q531">
        <f>IFERROR(1/IF(Inputs!$B$38="pvp",15,MAX(0.1,Skills!E15-IF(Skills!F15=TRUE,Inputs!$B$32,0))),0)</f>
        <v/>
      </c>
      <c r="R531">
        <f>IF(AND(Inputs!$B$38&lt;&gt;"pvp",Inputs!$B$43&gt;0),IF(MAX(0,Inputs!$B$43-B554)&lt;=0,0,(INT(MAX(0,Inputs!$B$43-B554)/IF(Inputs!$B$38="pvp",15,MAX(0.1,Skills!E15-IF(Skills!F15=TRUE,Inputs!$B$32,0))))+1)),0)</f>
        <v/>
      </c>
      <c r="S531">
        <f>IF(C531,(H531*N531*IF(AND(Inputs!$B$38&lt;&gt;"pvp",Inputs!$B$43&gt;0),((Skills!G15*((R531-1)*IF(Skills!H15&gt;0,Skills!I15/Skills!H15,1)+IF(Skills!H15&gt;0,MIN(Skills!I15,MAX(0,MAX(0,Inputs!$B$43-B554)-((R531-1)*IF(Inputs!$B$38="pvp",15,MAX(0.1,Skills!E15-IF(Skills!F15=TRUE,Inputs!$B$32,0))))))/Skills!H15,1)))/Inputs!$B$43),G531*Q531))*IF(Inputs!$B$38="pvp",1,1+(Inputs!$B$20+Skills!P15)/100),0)</f>
        <v/>
      </c>
      <c r="U531">
        <f>IF(C531,(H531*N531*IF(AND(Inputs!$B$38&lt;&gt;"pvp",Inputs!$B$43&gt;0),((Skills!G15*((R531-1)*IF(Skills!H15&gt;0,Skills!I15/Skills!H15,1)+IF(Skills!H15&gt;0,MIN(Skills!I15,MAX(0,MAX(0,Inputs!$B$43-B554)-((R531-1)*IF(Inputs!$B$38="pvp",15,MAX(0.1,Skills!E15-IF(Skills!F15=TRUE,Inputs!$B$32,0))))))/Skills!H15,1)))/Inputs!$B$43),G531*Q531))*IF(Inputs!$B$38="pvp",1,(1+(Inputs!$B$21+Skills!Q15)/100)*(MIN(Skills!R15,Inputs!$B$37))),0)</f>
        <v/>
      </c>
    </row>
    <row r="532">
      <c r="A532">
        <f>Skills!A16</f>
        <v/>
      </c>
      <c r="B532">
        <f>Skills!B16</f>
        <v/>
      </c>
      <c r="C532">
        <f>Inputs!$B$3&gt;=107</f>
        <v/>
      </c>
      <c r="D532">
        <f>IF(Skills!C16=1,60+Inputs!$B$25+Inputs!$B$29,IF(Skills!C16=2,90+Inputs!$B$26+Inputs!$B$29,IF(Skills!C16=3,120+Inputs!$B$27+Inputs!$B$29,MAX(0,(Inputs!$B$3-100)*3)+Inputs!$B$28+Inputs!$B$29)))</f>
        <v/>
      </c>
      <c r="E532">
        <f>INDEX(FactorTable!$B$2:$Y$301, MATCH(ROUND(MIN(300,MAX(1,D532)),0), FactorTable!$A$2:$A$301,0), Skills!M16+1)</f>
        <v/>
      </c>
      <c r="F532">
        <f>IF(Skills!N16=TRUE,(Skills!L16/10)*(E532/1000),Skills!L16/10)+Skills!O16</f>
        <v/>
      </c>
      <c r="G532">
        <f>Calc!G16</f>
        <v/>
      </c>
      <c r="H532">
        <f>Calc!H16</f>
        <v/>
      </c>
      <c r="I532">
        <f>IF(Skills!X16&lt;&gt;"",1+(Skills!X16/10)*(Z519/1000)/100,1)</f>
        <v/>
      </c>
      <c r="J532">
        <f>((Inputs!$B$6*(1+Inputs!$B$7/100))+(((Inputs!$B$12*(1+Inputs!$B$13/100))-(Inputs!$B$12*(1+Inputs!$B$13/100)))+0.25*(Inputs!$B$14-Inputs!$B$14))*(1+Inputs!$B$7/100))*(F532/100)</f>
        <v/>
      </c>
      <c r="K532">
        <f>J532*(1+((Inputs!$B$12*(1+Inputs!$B$13/100))*0.01+Inputs!$B$14*0.0025)/100)*(1+Inputs!$B$15/100)*(1+Inputs!$B$16/100)*(5000/(6000+Inputs!$B$42*(1-Inputs!$B$19/100)))*(1+Inputs!$B$24/100)*(1+F539/100)*(1+IF(Inputs!$B$3&gt;=120,F542,0)/100)^5*(1+(IF(Skills!A16="BASIC_ATTACK",Inputs!$B$17,Inputs!$B$18+IF(Inputs!$B$3&gt;=125,F543*5,0)))/100)*(B546*B547*B548*I532)</f>
        <v/>
      </c>
      <c r="L532">
        <f>K532*(MIN(Inputs!$B$22+(F538-Calc!F22),Inputs!$B$23)/100+Inputs!$B$23/100)/2</f>
        <v/>
      </c>
      <c r="M532">
        <f>L532*(1+(Inputs!$B$10+(F537-Calc!F21))/100)</f>
        <v/>
      </c>
      <c r="N532">
        <f>L532*(1-MIN(Inputs!$B$9+(F536-Calc!F20),100)/100)+M532*(MIN(Inputs!$B$9+(F536-Calc!F20),100)/100)</f>
        <v/>
      </c>
      <c r="O532">
        <f>(1-Summary!$B$56)*S532+Summary!$B$56*U532</f>
        <v/>
      </c>
      <c r="P532">
        <f>IF(B557=0,0,O532/B557)</f>
        <v/>
      </c>
      <c r="Q532">
        <f>IFERROR(1/IF(Inputs!$B$38="pvp",15,MAX(0.1,Skills!E16-IF(Skills!F16=TRUE,Inputs!$B$32,0))),0)</f>
        <v/>
      </c>
      <c r="R532">
        <f>IF(AND(Inputs!$B$38&lt;&gt;"pvp",Inputs!$B$43&gt;0),IF(MAX(0,Inputs!$B$43-B554)&lt;=0,0,(INT(MAX(0,Inputs!$B$43-B554)/IF(Inputs!$B$38="pvp",15,MAX(0.1,Skills!E16-IF(Skills!F16=TRUE,Inputs!$B$32,0))))+1)),0)</f>
        <v/>
      </c>
      <c r="S532">
        <f>IF(C532,(H532*N532*IF(AND(Inputs!$B$38&lt;&gt;"pvp",Inputs!$B$43&gt;0),((Skills!G16*((R532-1)*IF(Skills!H16&gt;0,Skills!I16/Skills!H16,1)+IF(Skills!H16&gt;0,MIN(Skills!I16,MAX(0,MAX(0,Inputs!$B$43-B554)-((R532-1)*IF(Inputs!$B$38="pvp",15,MAX(0.1,Skills!E16-IF(Skills!F16=TRUE,Inputs!$B$32,0))))))/Skills!H16,1)))/Inputs!$B$43),G532*Q532)*(1+IF(Inputs!$B$3&gt;=126,0.05*(B552+Q529+(H530*B553)/(1+Skills!H14*H530*B553)+Q540),0)*Skills!E15))*IF(Inputs!$B$38="pvp",1,1+(Inputs!$B$20+Skills!P16)/100),0)</f>
        <v/>
      </c>
      <c r="U532">
        <f>IF(C532,(H532*N532*IF(AND(Inputs!$B$38&lt;&gt;"pvp",Inputs!$B$43&gt;0),((Skills!G16*((R532-1)*IF(Skills!H16&gt;0,Skills!I16/Skills!H16,1)+IF(Skills!H16&gt;0,MIN(Skills!I16,MAX(0,MAX(0,Inputs!$B$43-B554)-((R532-1)*IF(Inputs!$B$38="pvp",15,MAX(0.1,Skills!E16-IF(Skills!F16=TRUE,Inputs!$B$32,0))))))/Skills!H16,1)))/Inputs!$B$43),G532*Q532)*(1+IF(Inputs!$B$3&gt;=126,0.05*(B552+Q529+(H530*B553)/(1+Skills!H14*H530*B553)+Q540),0)*Skills!E15))*IF(Inputs!$B$38="pvp",1,(1+(Inputs!$B$21+Skills!Q16)/100)*(MIN(Skills!R16,Inputs!$B$37))),0)</f>
        <v/>
      </c>
    </row>
    <row r="533">
      <c r="A533">
        <f>Skills!A17</f>
        <v/>
      </c>
      <c r="B533">
        <f>Skills!B17</f>
        <v/>
      </c>
      <c r="C533">
        <f>TRUE</f>
        <v/>
      </c>
      <c r="D533">
        <f>IF(Skills!C17=1,60+Inputs!$B$25+Inputs!$B$29,IF(Skills!C17=2,90+Inputs!$B$26+Inputs!$B$29,IF(Skills!C17=3,120+Inputs!$B$27+Inputs!$B$29,MAX(0,(Inputs!$B$3-100)*3)+Inputs!$B$28+Inputs!$B$29)))</f>
        <v/>
      </c>
      <c r="E533">
        <f>INDEX(FactorTable!$B$2:$Y$301, MATCH(ROUND(MIN(300,MAX(1,D533)),0), FactorTable!$A$2:$A$301,0), Skills!M17+1)</f>
        <v/>
      </c>
      <c r="F533">
        <f>IF(Skills!N17=TRUE,(Skills!L17/10)*(E533/1000),Skills!L17/10)+Skills!O17</f>
        <v/>
      </c>
      <c r="G533">
        <f>Calc!G17</f>
        <v/>
      </c>
      <c r="H533">
        <f>Calc!H17</f>
        <v/>
      </c>
      <c r="I533">
        <f>IF(Skills!X17&lt;&gt;"",1+(Skills!X17/10)*(Z519/1000)/100,1)</f>
        <v/>
      </c>
      <c r="J533" t="inlineStr"/>
      <c r="K533" t="inlineStr"/>
      <c r="L533" t="inlineStr"/>
      <c r="M533" t="inlineStr"/>
      <c r="N533" t="inlineStr"/>
      <c r="O533">
        <f>(1-Summary!$B$56)*S533+Summary!$B$56*U533</f>
        <v/>
      </c>
      <c r="P533">
        <f>IF(B557=0,0,O533/B557)</f>
        <v/>
      </c>
      <c r="Q533">
        <f>IFERROR(1/IF(Inputs!$B$38="pvp",15,MAX(0.1,Skills!E17-IF(Skills!F17=TRUE,Inputs!$B$32,0))),0)</f>
        <v/>
      </c>
      <c r="R533">
        <f>IF(AND(Inputs!$B$38&lt;&gt;"pvp",Inputs!$B$43&gt;0),IF(Inputs!$B$43&lt;=0,0,(INT(Inputs!$B$43/IF(Inputs!$B$38="pvp",15,MAX(0.1,Skills!E17-IF(Skills!F17=TRUE,Inputs!$B$32,0))))+1)),0)</f>
        <v/>
      </c>
      <c r="S533" t="n">
        <v>0</v>
      </c>
      <c r="U533" t="n">
        <v>0</v>
      </c>
    </row>
    <row r="534">
      <c r="A534">
        <f>Skills!A18</f>
        <v/>
      </c>
      <c r="B534">
        <f>Skills!B18</f>
        <v/>
      </c>
      <c r="C534">
        <f>TRUE</f>
        <v/>
      </c>
      <c r="D534">
        <f>IF(Skills!C18=1,60+Inputs!$B$25+Inputs!$B$29,IF(Skills!C18=2,90+Inputs!$B$26+Inputs!$B$29,IF(Skills!C18=3,120+Inputs!$B$27+Inputs!$B$29,MAX(0,(Inputs!$B$3-100)*3)+Inputs!$B$28+Inputs!$B$29)))</f>
        <v/>
      </c>
      <c r="E534">
        <f>INDEX(FactorTable!$B$2:$Y$301, MATCH(ROUND(MIN(300,MAX(1,D534)),0), FactorTable!$A$2:$A$301,0), Skills!M18+1)</f>
        <v/>
      </c>
      <c r="F534">
        <f>IF(Skills!N18=TRUE,(Skills!L18/10)*(E534/1000),Skills!L18/10)+Skills!O18</f>
        <v/>
      </c>
      <c r="G534">
        <f>Calc!G18</f>
        <v/>
      </c>
      <c r="H534">
        <f>Calc!H18</f>
        <v/>
      </c>
      <c r="I534">
        <f>IF(Skills!X18&lt;&gt;"",1+(Skills!X18/10)*(Z519/1000)/100,1)</f>
        <v/>
      </c>
      <c r="J534" t="inlineStr"/>
      <c r="K534" t="inlineStr"/>
      <c r="L534" t="inlineStr"/>
      <c r="M534" t="inlineStr"/>
      <c r="N534" t="inlineStr"/>
      <c r="O534">
        <f>(1-Summary!$B$56)*S534+Summary!$B$56*U534</f>
        <v/>
      </c>
      <c r="P534">
        <f>IF(B557=0,0,O534/B557)</f>
        <v/>
      </c>
      <c r="Q534">
        <f>IFERROR(1/IF(Inputs!$B$38="pvp",15,MAX(0.1,Skills!E18-IF(Skills!F18=TRUE,Inputs!$B$32,0))),0)</f>
        <v/>
      </c>
      <c r="R534">
        <f>IF(AND(Inputs!$B$38&lt;&gt;"pvp",Inputs!$B$43&gt;0),IF(Inputs!$B$43&lt;=0,0,(INT(Inputs!$B$43/IF(Inputs!$B$38="pvp",15,MAX(0.1,Skills!E18-IF(Skills!F18=TRUE,Inputs!$B$32,0))))+1)),0)</f>
        <v/>
      </c>
      <c r="S534" t="n">
        <v>0</v>
      </c>
      <c r="U534" t="n">
        <v>0</v>
      </c>
    </row>
    <row r="535">
      <c r="A535">
        <f>Skills!A19</f>
        <v/>
      </c>
      <c r="B535">
        <f>Skills!B19</f>
        <v/>
      </c>
      <c r="C535">
        <f>Inputs!$B$3&gt;=110</f>
        <v/>
      </c>
      <c r="D535">
        <f>IF(Skills!C19=1,60+Inputs!$B$25+Inputs!$B$29,IF(Skills!C19=2,90+Inputs!$B$26+Inputs!$B$29,IF(Skills!C19=3,120+Inputs!$B$27+Inputs!$B$29,MAX(0,(Inputs!$B$3-100)*3)+Inputs!$B$28+Inputs!$B$29)))</f>
        <v/>
      </c>
      <c r="E535">
        <f>INDEX(FactorTable!$B$2:$Y$301, MATCH(ROUND(MIN(300,MAX(1,D535)),0), FactorTable!$A$2:$A$301,0), Skills!M19+1)</f>
        <v/>
      </c>
      <c r="F535">
        <f>IF(Skills!N19=TRUE,(Skills!L19/10)*(E535/1000),Skills!L19/10)+Skills!O19</f>
        <v/>
      </c>
      <c r="G535">
        <f>Calc!G19</f>
        <v/>
      </c>
      <c r="H535">
        <f>Calc!H19</f>
        <v/>
      </c>
      <c r="I535">
        <f>IF(Skills!X19&lt;&gt;"",1+(Skills!X19/10)*(Z519/1000)/100,1)</f>
        <v/>
      </c>
      <c r="J535" t="inlineStr"/>
      <c r="K535" t="inlineStr"/>
      <c r="L535" t="inlineStr"/>
      <c r="M535" t="inlineStr"/>
      <c r="N535" t="inlineStr"/>
      <c r="O535">
        <f>(1-Summary!$B$56)*S535+Summary!$B$56*U535</f>
        <v/>
      </c>
      <c r="P535">
        <f>IF(B557=0,0,O535/B557)</f>
        <v/>
      </c>
      <c r="Q535">
        <f>IFERROR(1/IF(Inputs!$B$38="pvp",15,MAX(0.1,Skills!E19-IF(Skills!F19=TRUE,Inputs!$B$32,0))),0)</f>
        <v/>
      </c>
      <c r="R535">
        <f>IF(AND(Inputs!$B$38&lt;&gt;"pvp",Inputs!$B$43&gt;0),IF(Inputs!$B$43&lt;=0,0,(INT(Inputs!$B$43/IF(Inputs!$B$38="pvp",15,MAX(0.1,Skills!E19-IF(Skills!F19=TRUE,Inputs!$B$32,0))))+1)),0)</f>
        <v/>
      </c>
      <c r="S535" t="n">
        <v>0</v>
      </c>
      <c r="U535" t="n">
        <v>0</v>
      </c>
    </row>
    <row r="536">
      <c r="A536">
        <f>Skills!A20</f>
        <v/>
      </c>
      <c r="B536">
        <f>Skills!B20</f>
        <v/>
      </c>
      <c r="C536">
        <f>TRUE</f>
        <v/>
      </c>
      <c r="D536">
        <f>IF(Skills!C20=1,60+Inputs!$B$25+Inputs!$B$29,IF(Skills!C20=2,90+Inputs!$B$26+Inputs!$B$29,IF(Skills!C20=3,120+Inputs!$B$27+Inputs!$B$29,MAX(0,(Inputs!$B$3-100)*3)+Inputs!$B$28+Inputs!$B$29)))</f>
        <v/>
      </c>
      <c r="E536">
        <f>INDEX(FactorTable!$B$2:$Y$301, MATCH(ROUND(MIN(300,MAX(1,D536)),0), FactorTable!$A$2:$A$301,0), Skills!M20+1)</f>
        <v/>
      </c>
      <c r="F536">
        <f>IF(Skills!N20=TRUE,(Skills!L20/10)*(E536/1000),Skills!L20/10)+Skills!O20</f>
        <v/>
      </c>
      <c r="G536">
        <f>Calc!G20</f>
        <v/>
      </c>
      <c r="H536">
        <f>Calc!H20</f>
        <v/>
      </c>
      <c r="I536">
        <f>IF(Skills!X20&lt;&gt;"",1+(Skills!X20/10)*(Z519/1000)/100,1)</f>
        <v/>
      </c>
      <c r="J536" t="inlineStr"/>
      <c r="K536" t="inlineStr"/>
      <c r="L536" t="inlineStr"/>
      <c r="M536" t="inlineStr"/>
      <c r="N536" t="inlineStr"/>
      <c r="O536">
        <f>(1-Summary!$B$56)*S536+Summary!$B$56*U536</f>
        <v/>
      </c>
      <c r="P536">
        <f>IF(B557=0,0,O536/B557)</f>
        <v/>
      </c>
      <c r="Q536">
        <f>IFERROR(1/IF(Inputs!$B$38="pvp",15,MAX(0.1,Skills!E20-IF(Skills!F20=TRUE,Inputs!$B$32,0))),0)</f>
        <v/>
      </c>
      <c r="R536" t="n">
        <v>0</v>
      </c>
      <c r="S536" t="n">
        <v>0</v>
      </c>
      <c r="U536" t="n">
        <v>0</v>
      </c>
    </row>
    <row r="537">
      <c r="A537">
        <f>Skills!A21</f>
        <v/>
      </c>
      <c r="B537">
        <f>Skills!B21</f>
        <v/>
      </c>
      <c r="C537">
        <f>TRUE</f>
        <v/>
      </c>
      <c r="D537">
        <f>IF(Skills!C21=1,60+Inputs!$B$25+Inputs!$B$29,IF(Skills!C21=2,90+Inputs!$B$26+Inputs!$B$29,IF(Skills!C21=3,120+Inputs!$B$27+Inputs!$B$29,MAX(0,(Inputs!$B$3-100)*3)+Inputs!$B$28+Inputs!$B$29)))</f>
        <v/>
      </c>
      <c r="E537">
        <f>INDEX(FactorTable!$B$2:$Y$301, MATCH(ROUND(MIN(300,MAX(1,D537)),0), FactorTable!$A$2:$A$301,0), Skills!M21+1)</f>
        <v/>
      </c>
      <c r="F537">
        <f>IF(Skills!N21=TRUE,(Skills!L21/10)*(E537/1000),Skills!L21/10)+Skills!O21</f>
        <v/>
      </c>
      <c r="G537">
        <f>Calc!G21</f>
        <v/>
      </c>
      <c r="H537">
        <f>Calc!H21</f>
        <v/>
      </c>
      <c r="I537">
        <f>IF(Skills!X21&lt;&gt;"",1+(Skills!X21/10)*(Z519/1000)/100,1)</f>
        <v/>
      </c>
      <c r="J537" t="inlineStr"/>
      <c r="K537" t="inlineStr"/>
      <c r="L537" t="inlineStr"/>
      <c r="M537" t="inlineStr"/>
      <c r="N537" t="inlineStr"/>
      <c r="O537">
        <f>(1-Summary!$B$56)*S537+Summary!$B$56*U537</f>
        <v/>
      </c>
      <c r="P537">
        <f>IF(B557=0,0,O537/B557)</f>
        <v/>
      </c>
      <c r="Q537">
        <f>IFERROR(1/IF(Inputs!$B$38="pvp",15,MAX(0.1,Skills!E21-IF(Skills!F21=TRUE,Inputs!$B$32,0))),0)</f>
        <v/>
      </c>
      <c r="R537" t="n">
        <v>0</v>
      </c>
      <c r="S537" t="n">
        <v>0</v>
      </c>
      <c r="U537" t="n">
        <v>0</v>
      </c>
    </row>
    <row r="538">
      <c r="A538">
        <f>Skills!A22</f>
        <v/>
      </c>
      <c r="B538">
        <f>Skills!B22</f>
        <v/>
      </c>
      <c r="C538">
        <f>TRUE</f>
        <v/>
      </c>
      <c r="D538">
        <f>IF(Skills!C22=1,60+Inputs!$B$25+Inputs!$B$29,IF(Skills!C22=2,90+Inputs!$B$26+Inputs!$B$29,IF(Skills!C22=3,120+Inputs!$B$27+Inputs!$B$29,MAX(0,(Inputs!$B$3-100)*3)+Inputs!$B$28+Inputs!$B$29)))</f>
        <v/>
      </c>
      <c r="E538">
        <f>INDEX(FactorTable!$B$2:$Y$301, MATCH(ROUND(MIN(300,MAX(1,D538)),0), FactorTable!$A$2:$A$301,0), Skills!M22+1)</f>
        <v/>
      </c>
      <c r="F538">
        <f>IF(Skills!N22=TRUE,(Skills!L22/10)*(E538/1000),Skills!L22/10)+Skills!O22</f>
        <v/>
      </c>
      <c r="G538">
        <f>Calc!G22</f>
        <v/>
      </c>
      <c r="H538">
        <f>Calc!H22</f>
        <v/>
      </c>
      <c r="I538">
        <f>IF(Skills!X22&lt;&gt;"",1+(Skills!X22/10)*(Z519/1000)/100,1)</f>
        <v/>
      </c>
      <c r="J538" t="inlineStr"/>
      <c r="K538" t="inlineStr"/>
      <c r="L538" t="inlineStr"/>
      <c r="M538" t="inlineStr"/>
      <c r="N538" t="inlineStr"/>
      <c r="O538">
        <f>(1-Summary!$B$56)*S538+Summary!$B$56*U538</f>
        <v/>
      </c>
      <c r="P538">
        <f>IF(B557=0,0,O538/B557)</f>
        <v/>
      </c>
      <c r="Q538">
        <f>IFERROR(1/IF(Inputs!$B$38="pvp",15,MAX(0.1,Skills!E22-IF(Skills!F22=TRUE,Inputs!$B$32,0))),0)</f>
        <v/>
      </c>
      <c r="R538" t="n">
        <v>0</v>
      </c>
      <c r="S538" t="n">
        <v>0</v>
      </c>
      <c r="U538" t="n">
        <v>0</v>
      </c>
    </row>
    <row r="539">
      <c r="A539">
        <f>Skills!A23</f>
        <v/>
      </c>
      <c r="B539">
        <f>Skills!B23</f>
        <v/>
      </c>
      <c r="C539">
        <f>TRUE</f>
        <v/>
      </c>
      <c r="D539">
        <f>IF(Skills!C23=1,60+Inputs!$B$25+Inputs!$B$29,IF(Skills!C23=2,90+Inputs!$B$26+Inputs!$B$29,IF(Skills!C23=3,120+Inputs!$B$27+Inputs!$B$29,MAX(0,(Inputs!$B$3-100)*3)+Inputs!$B$28+Inputs!$B$29)))</f>
        <v/>
      </c>
      <c r="E539">
        <f>INDEX(FactorTable!$B$2:$Y$301, MATCH(ROUND(MIN(300,MAX(1,D539)),0), FactorTable!$A$2:$A$301,0), Skills!M23+1)</f>
        <v/>
      </c>
      <c r="F539">
        <f>IF(Skills!N23=TRUE,(Skills!L23/10)*(E539/1000),Skills!L23/10)+Skills!O23</f>
        <v/>
      </c>
      <c r="G539">
        <f>Calc!G23</f>
        <v/>
      </c>
      <c r="H539">
        <f>Calc!H23</f>
        <v/>
      </c>
      <c r="I539">
        <f>IF(Skills!X23&lt;&gt;"",1+(Skills!X23/10)*(Z519/1000)/100,1)</f>
        <v/>
      </c>
      <c r="J539" t="inlineStr"/>
      <c r="K539" t="inlineStr"/>
      <c r="L539" t="inlineStr"/>
      <c r="M539" t="inlineStr"/>
      <c r="N539" t="inlineStr"/>
      <c r="O539">
        <f>(1-Summary!$B$56)*S539+Summary!$B$56*U539</f>
        <v/>
      </c>
      <c r="P539">
        <f>IF(B557=0,0,O539/B557)</f>
        <v/>
      </c>
      <c r="Q539">
        <f>IFERROR(1/IF(Inputs!$B$38="pvp",15,MAX(0.1,Skills!E23-IF(Skills!F23=TRUE,Inputs!$B$32,0))),0)</f>
        <v/>
      </c>
      <c r="R539" t="n">
        <v>0</v>
      </c>
      <c r="S539" t="n">
        <v>0</v>
      </c>
      <c r="U539" t="n">
        <v>0</v>
      </c>
    </row>
    <row r="540">
      <c r="A540">
        <f>Skills!A24</f>
        <v/>
      </c>
      <c r="B540">
        <f>Skills!B24</f>
        <v/>
      </c>
      <c r="C540">
        <f>Inputs!$B$3&gt;=115</f>
        <v/>
      </c>
      <c r="D540">
        <f>IF(Skills!C24=1,60+Inputs!$B$25+Inputs!$B$29,IF(Skills!C24=2,90+Inputs!$B$26+Inputs!$B$29,IF(Skills!C24=3,120+Inputs!$B$27+Inputs!$B$29,MAX(0,(Inputs!$B$3-100)*3)+Inputs!$B$28+Inputs!$B$29)))</f>
        <v/>
      </c>
      <c r="E540">
        <f>INDEX(FactorTable!$B$2:$Y$301, MATCH(ROUND(MIN(300,MAX(1,D540)),0), FactorTable!$A$2:$A$301,0), Skills!M24+1)</f>
        <v/>
      </c>
      <c r="F540">
        <f>IF(Skills!N24=TRUE,(Skills!L24/10)*(E540/1000),Skills!L24/10)+Skills!O24</f>
        <v/>
      </c>
      <c r="G540">
        <f>Calc!G24</f>
        <v/>
      </c>
      <c r="H540">
        <f>Calc!H24</f>
        <v/>
      </c>
      <c r="I540">
        <f>IF(Skills!X24&lt;&gt;"",1+(Skills!X24/10)*(Z519/1000)/100,1)</f>
        <v/>
      </c>
      <c r="J540">
        <f>((Inputs!$B$6*(1+Inputs!$B$7/100))+(((Inputs!$B$12*(1+Inputs!$B$13/100))-(Inputs!$B$12*(1+Inputs!$B$13/100)))+0.25*(Inputs!$B$14-Inputs!$B$14))*(1+Inputs!$B$7/100))*(F540/100)</f>
        <v/>
      </c>
      <c r="K540">
        <f>J540*(1+((Inputs!$B$12*(1+Inputs!$B$13/100))*0.01+Inputs!$B$14*0.0025)/100)*(1+Inputs!$B$15/100)*(1+Inputs!$B$16/100)*(5000/(6000+Inputs!$B$42*(1-Inputs!$B$19/100)))*(1+Inputs!$B$24/100)*(1+F539/100)*(1+IF(Inputs!$B$3&gt;=120,F542,0)/100)^5*(1+(IF(Skills!A24="BASIC_ATTACK",Inputs!$B$17,Inputs!$B$18+IF(Inputs!$B$3&gt;=125,F543*5,0)))/100)*(B546*B547*B548*I540)</f>
        <v/>
      </c>
      <c r="L540">
        <f>K540*(MIN(Inputs!$B$22+(F538-Calc!F22),Inputs!$B$23)/100+Inputs!$B$23/100)/2</f>
        <v/>
      </c>
      <c r="M540">
        <f>L540*(1+(Inputs!$B$10+(F537-Calc!F21))/100)</f>
        <v/>
      </c>
      <c r="N540">
        <f>L540*(1-MIN(Inputs!$B$9+(F536-Calc!F20),100)/100)+M540*(MIN(Inputs!$B$9+(F536-Calc!F20),100)/100)</f>
        <v/>
      </c>
      <c r="O540">
        <f>(1-Summary!$B$56)*S540+Summary!$B$56*U540</f>
        <v/>
      </c>
      <c r="P540">
        <f>IF(B557=0,0,O540/B557)</f>
        <v/>
      </c>
      <c r="Q540">
        <f>IFERROR(1/IF(Inputs!$B$38="pvp",15,MAX(0.1,Skills!E24-IF(Skills!F24=TRUE,Inputs!$B$32,0))),0)</f>
        <v/>
      </c>
      <c r="R540">
        <f>IF(AND(Inputs!$B$38&lt;&gt;"pvp",Inputs!$B$43&gt;0),IF(MAX(0,Inputs!$B$43-B554)&lt;=0,0,(INT(MAX(0,Inputs!$B$43-B554)/IF(Inputs!$B$38="pvp",15,MAX(0.1,Skills!E24-IF(Skills!F24=TRUE,Inputs!$B$32,0))))+1)),0)</f>
        <v/>
      </c>
      <c r="S540">
        <f>IF(C540,(H540*N540*IF(AND(Inputs!$B$38&lt;&gt;"pvp",Inputs!$B$43&gt;0),((Skills!G24*((R540-1)*IF(Skills!H24&gt;0,Skills!I24/Skills!H24,1)+IF(Skills!H24&gt;0,MIN(Skills!I24,MAX(0,MAX(0,Inputs!$B$43-B554)-((R540-1)*IF(Inputs!$B$38="pvp",15,MAX(0.1,Skills!E24-IF(Skills!F24=TRUE,Inputs!$B$32,0))))))/Skills!H24,1)))/Inputs!$B$43),G540*Q540)*(1+IF(Inputs!$B$3&gt;=130,0.2*(Skills!I16/Skills!E15+IF(Inputs!$B$3&gt;=126,0.05*(B552+Q529+(H530*B553)/(1+Skills!H14*H530*B553)+Q540),0)*Skills!I16),0)))*IF(Inputs!$B$38="pvp",1,1+(Inputs!$B$20+Skills!P24)/100),0)</f>
        <v/>
      </c>
      <c r="U540">
        <f>IF(C540,(H540*N540*IF(AND(Inputs!$B$38&lt;&gt;"pvp",Inputs!$B$43&gt;0),((Skills!G24*((R540-1)*IF(Skills!H24&gt;0,Skills!I24/Skills!H24,1)+IF(Skills!H24&gt;0,MIN(Skills!I24,MAX(0,MAX(0,Inputs!$B$43-B554)-((R540-1)*IF(Inputs!$B$38="pvp",15,MAX(0.1,Skills!E24-IF(Skills!F24=TRUE,Inputs!$B$32,0))))))/Skills!H24,1)))/Inputs!$B$43),G540*Q540)*(1+IF(Inputs!$B$3&gt;=130,0.2*(Skills!I16/Skills!E15+IF(Inputs!$B$3&gt;=126,0.05*(B552+Q529+(H530*B553)/(1+Skills!H14*H530*B553)+Q540),0)*Skills!I16),0)))*IF(Inputs!$B$38="pvp",1,(1+(Inputs!$B$21+Skills!Q24)/100)*(MIN(Skills!R24,Inputs!$B$37))),0)</f>
        <v/>
      </c>
    </row>
    <row r="541">
      <c r="A541">
        <f>Skills!A25</f>
        <v/>
      </c>
      <c r="B541">
        <f>Skills!B25</f>
        <v/>
      </c>
      <c r="C541">
        <f>Inputs!$B$3&gt;=117</f>
        <v/>
      </c>
      <c r="D541">
        <f>IF(Skills!C25=1,60+Inputs!$B$25+Inputs!$B$29,IF(Skills!C25=2,90+Inputs!$B$26+Inputs!$B$29,IF(Skills!C25=3,120+Inputs!$B$27+Inputs!$B$29,MAX(0,(Inputs!$B$3-100)*3)+Inputs!$B$28+Inputs!$B$29)))</f>
        <v/>
      </c>
      <c r="E541">
        <f>INDEX(FactorTable!$B$2:$Y$301, MATCH(ROUND(MIN(300,MAX(1,D541)),0), FactorTable!$A$2:$A$301,0), Skills!M25+1)</f>
        <v/>
      </c>
      <c r="F541">
        <f>IF(Skills!N25=TRUE,(Skills!L25/10)*(E541/1000),Skills!L25/10)+Skills!O25</f>
        <v/>
      </c>
      <c r="G541">
        <f>Calc!G25</f>
        <v/>
      </c>
      <c r="H541">
        <f>Calc!H25</f>
        <v/>
      </c>
      <c r="I541">
        <f>IF(Skills!X25&lt;&gt;"",1+(Skills!X25/10)*(Z519/1000)/100,1)</f>
        <v/>
      </c>
      <c r="J541" t="inlineStr"/>
      <c r="K541" t="inlineStr"/>
      <c r="L541" t="inlineStr"/>
      <c r="M541" t="inlineStr"/>
      <c r="N541" t="inlineStr"/>
      <c r="O541">
        <f>(1-Summary!$B$56)*S541+Summary!$B$56*U541</f>
        <v/>
      </c>
      <c r="P541">
        <f>IF(B557=0,0,O541/B557)</f>
        <v/>
      </c>
      <c r="Q541">
        <f>IFERROR(1/IF(Inputs!$B$38="pvp",15,MAX(0.1,Skills!E25-IF(Skills!F25=TRUE,Inputs!$B$32,0))),0)</f>
        <v/>
      </c>
      <c r="R541" t="n">
        <v>0</v>
      </c>
      <c r="S541" t="n">
        <v>0</v>
      </c>
      <c r="U541" t="n">
        <v>0</v>
      </c>
    </row>
    <row r="542">
      <c r="A542">
        <f>Skills!A26</f>
        <v/>
      </c>
      <c r="B542">
        <f>Skills!B26</f>
        <v/>
      </c>
      <c r="C542">
        <f>Inputs!$B$3&gt;=120</f>
        <v/>
      </c>
      <c r="D542">
        <f>IF(Skills!C26=1,60+Inputs!$B$25+Inputs!$B$29,IF(Skills!C26=2,90+Inputs!$B$26+Inputs!$B$29,IF(Skills!C26=3,120+Inputs!$B$27+Inputs!$B$29,MAX(0,(Inputs!$B$3-100)*3)+Inputs!$B$28+Inputs!$B$29)))</f>
        <v/>
      </c>
      <c r="E542">
        <f>INDEX(FactorTable!$B$2:$Y$301, MATCH(ROUND(MIN(300,MAX(1,D542)),0), FactorTable!$A$2:$A$301,0), Skills!M26+1)</f>
        <v/>
      </c>
      <c r="F542">
        <f>IF(Skills!N26=TRUE,(Skills!L26/10)*(E542/1000),Skills!L26/10)+Skills!O26</f>
        <v/>
      </c>
      <c r="G542">
        <f>Calc!G26</f>
        <v/>
      </c>
      <c r="H542">
        <f>Calc!H26</f>
        <v/>
      </c>
      <c r="I542">
        <f>IF(Skills!X26&lt;&gt;"",1+(Skills!X26/10)*(Z519/1000)/100,1)</f>
        <v/>
      </c>
      <c r="J542" t="inlineStr"/>
      <c r="K542" t="inlineStr"/>
      <c r="L542" t="inlineStr"/>
      <c r="M542" t="inlineStr"/>
      <c r="N542" t="inlineStr"/>
      <c r="O542">
        <f>(1-Summary!$B$56)*S542+Summary!$B$56*U542</f>
        <v/>
      </c>
      <c r="P542">
        <f>IF(B557=0,0,O542/B557)</f>
        <v/>
      </c>
      <c r="Q542">
        <f>IFERROR(1/IF(Inputs!$B$38="pvp",15,MAX(0.1,Skills!E26-IF(Skills!F26=TRUE,Inputs!$B$32,0))),0)</f>
        <v/>
      </c>
      <c r="R542" t="n">
        <v>0</v>
      </c>
      <c r="S542" t="n">
        <v>0</v>
      </c>
      <c r="U542" t="n">
        <v>0</v>
      </c>
    </row>
    <row r="543">
      <c r="A543">
        <f>Skills!A27</f>
        <v/>
      </c>
      <c r="B543">
        <f>Skills!B27</f>
        <v/>
      </c>
      <c r="C543">
        <f>Inputs!$B$3&gt;=125</f>
        <v/>
      </c>
      <c r="D543">
        <f>IF(Skills!C27=1,60+Inputs!$B$25+Inputs!$B$29,IF(Skills!C27=2,90+Inputs!$B$26+Inputs!$B$29,IF(Skills!C27=3,120+Inputs!$B$27+Inputs!$B$29,MAX(0,(Inputs!$B$3-100)*3)+Inputs!$B$28+Inputs!$B$29)))</f>
        <v/>
      </c>
      <c r="E543">
        <f>INDEX(FactorTable!$B$2:$Y$301, MATCH(ROUND(MIN(300,MAX(1,D543)),0), FactorTable!$A$2:$A$301,0), Skills!M27+1)</f>
        <v/>
      </c>
      <c r="F543">
        <f>IF(Skills!N27=TRUE,(Skills!L27/10)*(E543/1000),Skills!L27/10)+Skills!O27</f>
        <v/>
      </c>
      <c r="G543">
        <f>Calc!G27</f>
        <v/>
      </c>
      <c r="H543">
        <f>Calc!H27</f>
        <v/>
      </c>
      <c r="I543">
        <f>IF(Skills!X27&lt;&gt;"",1+(Skills!X27/10)*(Z519/1000)/100,1)</f>
        <v/>
      </c>
      <c r="J543" t="inlineStr"/>
      <c r="K543" t="inlineStr"/>
      <c r="L543" t="inlineStr"/>
      <c r="M543" t="inlineStr"/>
      <c r="N543" t="inlineStr"/>
      <c r="O543">
        <f>(1-Summary!$B$56)*S543+Summary!$B$56*U543</f>
        <v/>
      </c>
      <c r="P543">
        <f>IF(B557=0,0,O543/B557)</f>
        <v/>
      </c>
      <c r="Q543">
        <f>IFERROR(1/IF(Inputs!$B$38="pvp",15,MAX(0.1,Skills!E27-IF(Skills!F27=TRUE,Inputs!$B$32,0))),0)</f>
        <v/>
      </c>
      <c r="R543" t="n">
        <v>0</v>
      </c>
      <c r="S543" t="n">
        <v>0</v>
      </c>
      <c r="U543" t="n">
        <v>0</v>
      </c>
    </row>
    <row r="544">
      <c r="A544">
        <f>Skills!A28</f>
        <v/>
      </c>
      <c r="B544">
        <f>Skills!B28</f>
        <v/>
      </c>
      <c r="C544">
        <f>Inputs!$B$3&gt;=118</f>
        <v/>
      </c>
      <c r="D544">
        <f>IF(Skills!C28=1,60+Inputs!$B$25+Inputs!$B$29,IF(Skills!C28=2,90+Inputs!$B$26+Inputs!$B$29,IF(Skills!C28=3,120+Inputs!$B$27+Inputs!$B$29,MAX(0,(Inputs!$B$3-100)*3)+Inputs!$B$28+Inputs!$B$29)))</f>
        <v/>
      </c>
      <c r="E544">
        <f>INDEX(FactorTable!$B$2:$Y$301, MATCH(ROUND(MIN(300,MAX(1,D544)),0), FactorTable!$A$2:$A$301,0), Skills!M28+1)</f>
        <v/>
      </c>
      <c r="F544">
        <f>IF(Skills!N28=TRUE,(Skills!L28/10)*(E544/1000),Skills!L28/10)+Skills!O28</f>
        <v/>
      </c>
      <c r="G544">
        <f>Calc!G28</f>
        <v/>
      </c>
      <c r="H544">
        <f>Calc!H28</f>
        <v/>
      </c>
      <c r="I544">
        <f>IF(Skills!X28&lt;&gt;"",1+(Skills!X28/10)*(Z519/1000)/100,1)</f>
        <v/>
      </c>
      <c r="J544">
        <f>((Inputs!$B$6*(1+Inputs!$B$7/100))+(((Inputs!$B$12*(1+Inputs!$B$13/100))-(Inputs!$B$12*(1+Inputs!$B$13/100)))+0.25*(Inputs!$B$14-Inputs!$B$14))*(1+Inputs!$B$7/100))*(F544/100)</f>
        <v/>
      </c>
      <c r="K544">
        <f>J544*(1+((Inputs!$B$12*(1+Inputs!$B$13/100))*0.01+Inputs!$B$14*0.0025)/100)*(1+Inputs!$B$15/100)*(1+Inputs!$B$16/100)*(5000/(6000+Inputs!$B$42*(1-Inputs!$B$19/100)))*(1+Inputs!$B$24/100)*(1+F539/100)*(1+IF(Inputs!$B$3&gt;=120,F542,0)/100)^5*(1+(IF(Skills!A28="BASIC_ATTACK",Inputs!$B$17,Inputs!$B$18+IF(Inputs!$B$3&gt;=125,F543*5,0)))/100)*(B546*B547*B548*I544)</f>
        <v/>
      </c>
      <c r="L544">
        <f>K544*(MIN(Inputs!$B$22+(F538-Calc!F22),Inputs!$B$23)/100+Inputs!$B$23/100)/2</f>
        <v/>
      </c>
      <c r="M544">
        <f>L544*(1+(Inputs!$B$10+(F537-Calc!F21))/100)</f>
        <v/>
      </c>
      <c r="N544">
        <f>L544*(1-MIN(Inputs!$B$9+(F536-Calc!F20),100)/100)+M544*(MIN(Inputs!$B$9+(F536-Calc!F20),100)/100)</f>
        <v/>
      </c>
      <c r="O544">
        <f>(1-Summary!$B$56)*S544+Summary!$B$56*U544</f>
        <v/>
      </c>
      <c r="P544">
        <f>IF(B557=0,0,O544/B557)</f>
        <v/>
      </c>
      <c r="Q544">
        <f>IFERROR(1/IF(Inputs!$B$38="pvp",15,MAX(0.1,Skills!E28-IF(Skills!F28=TRUE,Inputs!$B$32,0))),0)</f>
        <v/>
      </c>
      <c r="R544">
        <f>IF(AND(Inputs!$B$38&lt;&gt;"pvp",Inputs!$B$43&gt;0),IF(MAX(0,Inputs!$B$43-B554)&lt;=0,0,(INT(MAX(0,Inputs!$B$43-B554)/IF(Inputs!$B$38="pvp",15,MAX(0.1,Skills!E28-IF(Skills!F28=TRUE,Inputs!$B$32,0))))+1)),0)</f>
        <v/>
      </c>
      <c r="S544">
        <f>IF(C544,(H544*N544*IF(AND(Inputs!$B$38&lt;&gt;"pvp",Inputs!$B$43&gt;0),((Skills!G28*((R544-1)*IF(Skills!H28&gt;0,Skills!I28/Skills!H28,1)+IF(Skills!H28&gt;0,MIN(Skills!I28,MAX(0,MAX(0,Inputs!$B$43-B554)-((R544-1)*IF(Inputs!$B$38="pvp",15,MAX(0.1,Skills!E28-IF(Skills!F28=TRUE,Inputs!$B$32,0))))))/Skills!H28,1)))/Inputs!$B$43),G544*Q544))*IF(Inputs!$B$38="pvp",1,1+(Inputs!$B$20+Skills!P28)/100),0)</f>
        <v/>
      </c>
      <c r="U544">
        <f>IF(C544,(H544*N544*IF(AND(Inputs!$B$38&lt;&gt;"pvp",Inputs!$B$43&gt;0),((Skills!G28*((R544-1)*IF(Skills!H28&gt;0,Skills!I28/Skills!H28,1)+IF(Skills!H28&gt;0,MIN(Skills!I28,MAX(0,MAX(0,Inputs!$B$43-B554)-((R544-1)*IF(Inputs!$B$38="pvp",15,MAX(0.1,Skills!E28-IF(Skills!F28=TRUE,Inputs!$B$32,0))))))/Skills!H28,1)))/Inputs!$B$43),G544*Q544))*IF(Inputs!$B$38="pvp",1,(1+(Inputs!$B$21+Skills!Q28)/100)*(MIN(Skills!R28,Inputs!$B$37))),0)</f>
        <v/>
      </c>
    </row>
    <row r="546">
      <c r="A546" t="inlineStr">
        <is>
          <t>Burning Magic Multiplier</t>
        </is>
      </c>
      <c r="B546">
        <f>1+(F527*Skills!Z11)/100</f>
        <v/>
      </c>
    </row>
    <row r="547">
      <c r="A547" t="inlineStr">
        <is>
          <t>Elemental Decrease Multiplier (always-on)</t>
        </is>
      </c>
      <c r="B547">
        <f>1+F528/100</f>
        <v/>
      </c>
    </row>
    <row r="548">
      <c r="A548" t="inlineStr">
        <is>
          <t>Average Buff Multiplier (Magic Guard + Meditation, summed; then Infinity)</t>
        </is>
      </c>
      <c r="B548">
        <f>(1+(F522*IF(AND(Inputs!$B$38&lt;&gt;"pvp",Inputs!$B$43&gt;0),(((R522-1)*(Skills!T6*(1+(Inputs!$B$34+IF(Inputs!$B$3&gt;=117,F541,0))/100))+MIN((Skills!T6*(1+(Inputs!$B$34+IF(Inputs!$B$3&gt;=117,F541,0))/100)),MAX(0,Inputs!$B$43-((R522-1)*Skills!E6))))/Inputs!$B$43),IF(Inputs!$B$38="pvp",MIN((Skills!T6*(1+(Inputs!$B$34+IF(Inputs!$B$3&gt;=117,F541,0))/100)),15)/15,(Skills!T6*(1+(Inputs!$B$34+IF(Inputs!$B$3&gt;=117,F541,0))/100))/Skills!E6))+F533*IF(AND(Inputs!$B$38&lt;&gt;"pvp",Inputs!$B$43&gt;0),(((R533-1)*(Skills!T17*(1+(Inputs!$B$34+IF(Inputs!$B$3&gt;=117,F541,0))/100))+MIN((Skills!T17*(1+(Inputs!$B$34+IF(Inputs!$B$3&gt;=117,F541,0))/100)),MAX(0,Inputs!$B$43-((R533-1)*Skills!E17))))/Inputs!$B$43),IF(Inputs!$B$38="pvp",MIN((Skills!T17*(1+(Inputs!$B$34+IF(Inputs!$B$3&gt;=117,F541,0))/100)),15)/15,(Skills!T17*(1+(Inputs!$B$34+IF(Inputs!$B$3&gt;=117,F541,0))/100))/Skills!E17)))/100)*IF(C535=TRUE,(1+F535*IF(AND(Inputs!$B$38&lt;&gt;"pvp",Inputs!$B$43&gt;0),(((R535-1)*(Skills!T19*(1+(Inputs!$B$34+IF(Inputs!$B$3&gt;=117,F541,0))/100))+MIN((Skills!T19*(1+(Inputs!$B$34+IF(Inputs!$B$3&gt;=117,F541,0))/100)),MAX(0,Inputs!$B$43-((R535-1)*Skills!E19))))/Inputs!$B$43),IF(Inputs!$B$38="pvp",MIN((Skills!T19*(1+(Inputs!$B$34+IF(Inputs!$B$3&gt;=117,F541,0))/100)),15)/15,(Skills!T19*(1+(Inputs!$B$34+IF(Inputs!$B$3&gt;=117,F541,0))/100))/Skills!E19))/100),1)</f>
        <v/>
      </c>
    </row>
    <row r="549">
      <c r="A549" t="inlineStr">
        <is>
          <t>Attack Speed Buff Bonus % (Nimble Feet, averaged)</t>
        </is>
      </c>
      <c r="B549">
        <f>F534*IF(AND(Inputs!$B$38&lt;&gt;"pvp",Inputs!$B$43&gt;0),(((R534-1)*(Skills!T18*(1+(Inputs!$B$34+IF(Inputs!$B$3&gt;=117,F541,0))/100))+MIN((Skills!T18*(1+(Inputs!$B$34+IF(Inputs!$B$3&gt;=117,F541,0))/100)),MAX(0,Inputs!$B$43-((R534-1)*Skills!E18))))/Inputs!$B$43),IF(Inputs!$B$38="pvp",MIN((Skills!T18*(1+(Inputs!$B$34+IF(Inputs!$B$3&gt;=117,F541,0))/100)),15)/15,(Skills!T18*(1+(Inputs!$B$34+IF(Inputs!$B$3&gt;=117,F541,0))/100))/Skills!E18))</f>
        <v/>
      </c>
    </row>
    <row r="550">
      <c r="A550" t="inlineStr">
        <is>
          <t>Actions Per Second</t>
        </is>
      </c>
      <c r="B550">
        <f>1+MIN(150,150*(1-(1-((1-(1-Inputs!$B$11/150)*(1-1/150))*150)/150)*(1-B549/150)))/100</f>
        <v/>
      </c>
    </row>
    <row r="551">
      <c r="A551" t="inlineStr">
        <is>
          <t>Skill + Buff Cast Rate</t>
        </is>
      </c>
      <c r="B551">
        <f>IF(AND(Inputs!$B$38&lt;&gt;"pvp",Inputs!$B$43&gt;0),SUMPRODUCT((Skills!F2:F28=TRUE)*(C518:C544=TRUE)*R518:R544)/Inputs!$B$43,SUMPRODUCT((Skills!F2:F28=TRUE)*(C518:C544=TRUE)*Q518:Q544))</f>
        <v/>
      </c>
    </row>
    <row r="552">
      <c r="A552" t="inlineStr">
        <is>
          <t>Basic Attacks Per Second</t>
        </is>
      </c>
      <c r="B552">
        <f>MAX(0,B550-B551)</f>
        <v/>
      </c>
    </row>
    <row r="553">
      <c r="A553" t="inlineStr">
        <is>
          <t>Meteor Proc — combined trigger cast rate</t>
        </is>
      </c>
      <c r="B553">
        <f>IF(AND(Inputs!$B$38&lt;&gt;"pvp",Inputs!$B$43&gt;0),SUMPRODUCT((Skills!V2:V28=TRUE)*(C518:C544=TRUE)*R518:R544*Skills!W2:W28)/Inputs!$B$43,SUMPRODUCT((Skills!V2:V28=TRUE)*(C518:C544=TRUE)*Q518:Q544*Skills!W2:W28))+B552</f>
        <v/>
      </c>
    </row>
    <row r="554">
      <c r="A554" t="inlineStr">
        <is>
          <t>Buff-Casting Startup Delay (s, fixed-duration only)</t>
        </is>
      </c>
      <c r="B554">
        <f>IF(AND(Inputs!$B$38&lt;&gt;"pvp",Inputs!$B$43&gt;0),SUMPRODUCT((Skills!T2:T28&gt;0)*(Skills!F2:F28=TRUE)*(C518:C544=TRUE))/B550,0)</f>
        <v/>
      </c>
    </row>
    <row r="555">
      <c r="A555" t="inlineStr">
        <is>
          <t>Boss-Only Total DPS (this block's swept value)</t>
        </is>
      </c>
      <c r="B555">
        <f>SUM(S518:S544)</f>
        <v/>
      </c>
    </row>
    <row r="556">
      <c r="A556" t="inlineStr">
        <is>
          <t>Normal-Only Total DPS (this block's swept value)</t>
        </is>
      </c>
      <c r="B556">
        <f>SUM(U518:U544)</f>
        <v/>
      </c>
    </row>
    <row r="557">
      <c r="A557" s="5" t="inlineStr">
        <is>
          <t>TOTAL DPS</t>
        </is>
      </c>
      <c r="B557" s="5">
        <f>SUM(O518:O544)</f>
        <v/>
      </c>
    </row>
    <row r="560">
      <c r="A560" s="5" t="inlineStr">
        <is>
          <t>Stat: DEF_PEN % (diminishing returns, factor 100)</t>
        </is>
      </c>
    </row>
    <row r="561">
      <c r="A561" s="9" t="inlineStr">
        <is>
          <t>Key</t>
        </is>
      </c>
      <c r="B561" s="9" t="inlineStr">
        <is>
          <t>Name</t>
        </is>
      </c>
      <c r="C561" s="9" t="inlineStr">
        <is>
          <t>Unlocked</t>
        </is>
      </c>
      <c r="D561" s="9" t="inlineStr">
        <is>
          <t>InputLevel</t>
        </is>
      </c>
      <c r="E561" s="9" t="inlineStr">
        <is>
          <t>Factor</t>
        </is>
      </c>
      <c r="F561" s="9" t="inlineStr">
        <is>
          <t>CoefficientPercent</t>
        </is>
      </c>
      <c r="G561" s="9" t="inlineStr">
        <is>
          <t>EffectiveHits</t>
        </is>
      </c>
      <c r="H561" s="9" t="inlineStr">
        <is>
          <t>ProcProbability</t>
        </is>
      </c>
      <c r="I561" s="9" t="inlineStr">
        <is>
          <t>MapleHeroMultiplier</t>
        </is>
      </c>
      <c r="J561" s="9" t="inlineStr">
        <is>
          <t>BaseDamage</t>
        </is>
      </c>
      <c r="K561" s="9" t="inlineStr">
        <is>
          <t>BaseHitDamage</t>
        </is>
      </c>
      <c r="L561" s="9" t="inlineStr">
        <is>
          <t>NonCritAvg</t>
        </is>
      </c>
      <c r="M561" s="9" t="inlineStr">
        <is>
          <t>CritAvg</t>
        </is>
      </c>
      <c r="N561" s="9" t="inlineStr">
        <is>
          <t>ExpectedDamage(perHit)</t>
        </is>
      </c>
      <c r="O561" s="9" t="inlineStr">
        <is>
          <t>DPS</t>
        </is>
      </c>
      <c r="P561" s="9" t="inlineStr">
        <is>
          <t>% of Total</t>
        </is>
      </c>
      <c r="R561" t="inlineStr">
        <is>
          <t>helpers</t>
        </is>
      </c>
    </row>
    <row r="562">
      <c r="A562">
        <f>Skills!A2</f>
        <v/>
      </c>
      <c r="B562">
        <f>Skills!B2</f>
        <v/>
      </c>
      <c r="C562">
        <f>TRUE</f>
        <v/>
      </c>
      <c r="D562" t="inlineStr"/>
      <c r="E562" t="inlineStr"/>
      <c r="F562">
        <f>T564+Skills!O2</f>
        <v/>
      </c>
      <c r="G562">
        <f>Calc!G2</f>
        <v/>
      </c>
      <c r="H562">
        <f>Calc!H2</f>
        <v/>
      </c>
      <c r="I562">
        <f>IF(Skills!X2&lt;&gt;"",1+(Skills!X2/10)*(Z563/1000)/100,1)</f>
        <v/>
      </c>
      <c r="J562">
        <f>((Inputs!$B$6*(1+Inputs!$B$7/100))+(((Inputs!$B$12*(1+Inputs!$B$13/100))-(Inputs!$B$12*(1+Inputs!$B$13/100)))+0.25*(Inputs!$B$14-Inputs!$B$14))*(1+Inputs!$B$7/100))*(F562/100)</f>
        <v/>
      </c>
      <c r="K562">
        <f>J562*(1+((Inputs!$B$12*(1+Inputs!$B$13/100))*0.01+Inputs!$B$14*0.0025)/100)*(1+Inputs!$B$15/100)*(1+Inputs!$B$16/100)*(5000/(6000+Inputs!$B$42*(1-((1-(1-Inputs!$B$19/100)*(1-1/100))*100)/100)))*(1+Inputs!$B$24/100)*(1+F583/100)*(1+IF(Inputs!$B$3&gt;=120,F586,0)/100)^5*(1+(IF(Skills!A2="BASIC_ATTACK",Inputs!$B$17,Inputs!$B$18+IF(Inputs!$B$3&gt;=125,F587*5,0)))/100)*(B590*B591*B592*I562)</f>
        <v/>
      </c>
      <c r="L562">
        <f>K562*(MIN(Inputs!$B$22+(F582-Calc!F22),Inputs!$B$23)/100+Inputs!$B$23/100)/2</f>
        <v/>
      </c>
      <c r="M562">
        <f>L562*(1+(Inputs!$B$10+(F581-Calc!F21))/100)</f>
        <v/>
      </c>
      <c r="N562">
        <f>L562*(1-MIN(Inputs!$B$9+(F580-Calc!F20),100)/100)+M562*(MIN(Inputs!$B$9+(F580-Calc!F20),100)/100)</f>
        <v/>
      </c>
      <c r="O562">
        <f>(1-Summary!$B$56)*S562+Summary!$B$56*U562</f>
        <v/>
      </c>
      <c r="P562">
        <f>IF(B601=0,0,O562/B601)</f>
        <v/>
      </c>
      <c r="Q562">
        <f>IFERROR(1/IF(Inputs!$B$38="pvp",15,MAX(0.1,Skills!E2-IF(Skills!F2=TRUE,Inputs!$B$32,0))),0)</f>
        <v/>
      </c>
      <c r="R562" t="n">
        <v>0</v>
      </c>
      <c r="S562">
        <f>(Skills!G2*N562*B596)*IF(Inputs!$B$38="pvp",1,1+(Inputs!$B$20+Skills!P2)/100)</f>
        <v/>
      </c>
      <c r="T562">
        <f>MAX(0,(Inputs!$B$3-100)*3)+Inputs!$B$28+Inputs!$B$29</f>
        <v/>
      </c>
      <c r="U562">
        <f>(Skills!G2*N562*B596)*IF(Inputs!$B$38="pvp",1,(1+(Inputs!$B$21+Skills!Q2)/100)*(MIN((6+Inputs!$B$33+IF(Inputs!$B$3&gt;=136,1,0)),Inputs!$B$37)))</f>
        <v/>
      </c>
      <c r="Z562">
        <f>MAX(0,(Inputs!$B$3-100)*3)+Inputs!$B$28+Inputs!$B$29</f>
        <v/>
      </c>
    </row>
    <row r="563">
      <c r="A563">
        <f>Skills!A3</f>
        <v/>
      </c>
      <c r="B563">
        <f>Skills!B3</f>
        <v/>
      </c>
      <c r="C563">
        <f>TRUE</f>
        <v/>
      </c>
      <c r="D563">
        <f>IF(Skills!C3=1,60+Inputs!$B$25+Inputs!$B$29,IF(Skills!C3=2,90+Inputs!$B$26+Inputs!$B$29,IF(Skills!C3=3,120+Inputs!$B$27+Inputs!$B$29,MAX(0,(Inputs!$B$3-100)*3)+Inputs!$B$28+Inputs!$B$29)))</f>
        <v/>
      </c>
      <c r="E563">
        <f>INDEX(FactorTable!$B$2:$Y$301, MATCH(ROUND(MIN(300,MAX(1,D563)),0), FactorTable!$A$2:$A$301,0), Skills!M3+1)</f>
        <v/>
      </c>
      <c r="F563">
        <f>IF(Skills!N3=TRUE,(Skills!L3/10)*(E563/1000),Skills!L3/10)+Skills!O3</f>
        <v/>
      </c>
      <c r="G563">
        <f>Calc!G3</f>
        <v/>
      </c>
      <c r="H563">
        <f>Calc!H3</f>
        <v/>
      </c>
      <c r="I563">
        <f>IF(Skills!X3&lt;&gt;"",1+(Skills!X3/10)*(Z563/1000)/100,1)</f>
        <v/>
      </c>
      <c r="J563">
        <f>((Inputs!$B$6*(1+Inputs!$B$7/100))+(((Inputs!$B$12*(1+Inputs!$B$13/100))-(Inputs!$B$12*(1+Inputs!$B$13/100)))+0.25*(Inputs!$B$14-Inputs!$B$14))*(1+Inputs!$B$7/100))*(F563/100)</f>
        <v/>
      </c>
      <c r="K563">
        <f>J563*(1+((Inputs!$B$12*(1+Inputs!$B$13/100))*0.01+Inputs!$B$14*0.0025)/100)*(1+Inputs!$B$15/100)*(1+Inputs!$B$16/100)*(5000/(6000+Inputs!$B$42*(1-((1-(1-Inputs!$B$19/100)*(1-1/100))*100)/100)))*(1+Inputs!$B$24/100)*(1+F583/100)*(1+IF(Inputs!$B$3&gt;=120,F586,0)/100)^5*(1+(IF(Skills!A3="BASIC_ATTACK",Inputs!$B$17,Inputs!$B$18+IF(Inputs!$B$3&gt;=125,F587*5,0)))/100)*(B590*B591*B592*I563)</f>
        <v/>
      </c>
      <c r="L563">
        <f>K563*(MIN(Inputs!$B$22+(F582-Calc!F22),Inputs!$B$23)/100+Inputs!$B$23/100)/2</f>
        <v/>
      </c>
      <c r="M563">
        <f>L563*(1+(Inputs!$B$10+(F581-Calc!F21))/100)</f>
        <v/>
      </c>
      <c r="N563">
        <f>L563*(1-MIN(Inputs!$B$9+(F580-Calc!F20),100)/100)+M563*(MIN(Inputs!$B$9+(F580-Calc!F20),100)/100)</f>
        <v/>
      </c>
      <c r="O563">
        <f>(1-Summary!$B$56)*S563+Summary!$B$56*U563</f>
        <v/>
      </c>
      <c r="P563">
        <f>IF(B601=0,0,O563/B601)</f>
        <v/>
      </c>
      <c r="Q563">
        <f>IFERROR(1/IF(Inputs!$B$38="pvp",15,MAX(0.1,Skills!E3-IF(Skills!F3=TRUE,Inputs!$B$32,0))),0)</f>
        <v/>
      </c>
      <c r="R563">
        <f>IF(AND(Inputs!$B$38&lt;&gt;"pvp",Inputs!$B$43&gt;0),IF(MAX(0,Inputs!$B$43-B598)&lt;=0,0,(INT(MAX(0,Inputs!$B$43-B598)/IF(Inputs!$B$38="pvp",15,MAX(0.1,Skills!E3-IF(Skills!F3=TRUE,Inputs!$B$32,0))))+1)),0)</f>
        <v/>
      </c>
      <c r="S563">
        <f>IF(C563,(H563*N563*IF(AND(Inputs!$B$38&lt;&gt;"pvp",Inputs!$B$43&gt;0),((Skills!G3*((R563-1)*IF(Skills!H3&gt;0,Skills!I3/Skills!H3,1)+IF(Skills!H3&gt;0,MIN(Skills!I3,MAX(0,MAX(0,Inputs!$B$43-B598)-((R563-1)*IF(Inputs!$B$38="pvp",15,MAX(0.1,Skills!E3-IF(Skills!F3=TRUE,Inputs!$B$32,0))))))/Skills!H3,1)))/Inputs!$B$43),G563*Q563))*IF(Inputs!$B$38="pvp",1,1+(Inputs!$B$20+Skills!P3)/100),0)</f>
        <v/>
      </c>
      <c r="T563">
        <f>INDEX(FactorTable!$B$2:$Y$301, MATCH(ROUND(MIN(300,MAX(1,T562)),0), FactorTable!$A$2:$A$301,0), 22)</f>
        <v/>
      </c>
      <c r="U563">
        <f>IF(C563,(H563*N563*IF(AND(Inputs!$B$38&lt;&gt;"pvp",Inputs!$B$43&gt;0),((Skills!G3*((R563-1)*IF(Skills!H3&gt;0,Skills!I3/Skills!H3,1)+IF(Skills!H3&gt;0,MIN(Skills!I3,MAX(0,MAX(0,Inputs!$B$43-B598)-((R563-1)*IF(Inputs!$B$38="pvp",15,MAX(0.1,Skills!E3-IF(Skills!F3=TRUE,Inputs!$B$32,0))))))/Skills!H3,1)))/Inputs!$B$43),G563*Q563))*IF(Inputs!$B$38="pvp",1,(1+(Inputs!$B$21+Skills!Q3)/100)*(MIN(Skills!R3,Inputs!$B$37))),0)</f>
        <v/>
      </c>
      <c r="Z563">
        <f>INDEX(FactorTable!$B$2:$Y$301, MATCH(ROUND(MIN(300,MAX(1,Z562)),0), FactorTable!$A$2:$A$301,0), 24)</f>
        <v/>
      </c>
    </row>
    <row r="564">
      <c r="A564">
        <f>Skills!A4</f>
        <v/>
      </c>
      <c r="B564">
        <f>Skills!B4</f>
        <v/>
      </c>
      <c r="C564">
        <f>TRUE</f>
        <v/>
      </c>
      <c r="D564">
        <f>IF(Skills!C4=1,60+Inputs!$B$25+Inputs!$B$29,IF(Skills!C4=2,90+Inputs!$B$26+Inputs!$B$29,IF(Skills!C4=3,120+Inputs!$B$27+Inputs!$B$29,MAX(0,(Inputs!$B$3-100)*3)+Inputs!$B$28+Inputs!$B$29)))</f>
        <v/>
      </c>
      <c r="E564">
        <f>INDEX(FactorTable!$B$2:$Y$301, MATCH(ROUND(MIN(300,MAX(1,D564)),0), FactorTable!$A$2:$A$301,0), Skills!M4+1)</f>
        <v/>
      </c>
      <c r="F564">
        <f>IF(Skills!N4=TRUE,(Skills!L4/10)*(E564/1000),Skills!L4/10)+Skills!O4</f>
        <v/>
      </c>
      <c r="G564">
        <f>Calc!G4</f>
        <v/>
      </c>
      <c r="H564">
        <f>Calc!H4</f>
        <v/>
      </c>
      <c r="I564">
        <f>IF(Skills!X4&lt;&gt;"",1+(Skills!X4/10)*(Z563/1000)/100,1)</f>
        <v/>
      </c>
      <c r="J564">
        <f>((Inputs!$B$6*(1+Inputs!$B$7/100))+(((Inputs!$B$12*(1+Inputs!$B$13/100))-(Inputs!$B$12*(1+Inputs!$B$13/100)))+0.25*(Inputs!$B$14-Inputs!$B$14))*(1+Inputs!$B$7/100))*(F564/100)</f>
        <v/>
      </c>
      <c r="K564">
        <f>J564*(1+((Inputs!$B$12*(1+Inputs!$B$13/100))*0.01+Inputs!$B$14*0.0025)/100)*(1+Inputs!$B$15/100)*(1+Inputs!$B$16/100)*(5000/(6000+Inputs!$B$42*(1-((1-(1-Inputs!$B$19/100)*(1-1/100))*100)/100)))*(1+Inputs!$B$24/100)*(1+F583/100)*(1+IF(Inputs!$B$3&gt;=120,F586,0)/100)^5*(1+(IF(Skills!A4="BASIC_ATTACK",Inputs!$B$17,Inputs!$B$18+IF(Inputs!$B$3&gt;=125,F587*5,0)))/100)*(B590*B591*B592*I564)</f>
        <v/>
      </c>
      <c r="L564">
        <f>K564*(MIN(Inputs!$B$22+(F582-Calc!F22),Inputs!$B$23)/100+Inputs!$B$23/100)/2</f>
        <v/>
      </c>
      <c r="M564">
        <f>L564*(1+(Inputs!$B$10+(F581-Calc!F21))/100)</f>
        <v/>
      </c>
      <c r="N564">
        <f>L564*(1-MIN(Inputs!$B$9+(F580-Calc!F20),100)/100)+M564*(MIN(Inputs!$B$9+(F580-Calc!F20),100)/100)</f>
        <v/>
      </c>
      <c r="O564">
        <f>(1-Summary!$B$56)*S564+Summary!$B$56*U564</f>
        <v/>
      </c>
      <c r="P564">
        <f>IF(B601=0,0,O564/B601)</f>
        <v/>
      </c>
      <c r="Q564">
        <f>IFERROR(1/IF(Inputs!$B$38="pvp",15,MAX(0.1,Skills!E4-IF(Skills!F4=TRUE,Inputs!$B$32,0))),0)</f>
        <v/>
      </c>
      <c r="R564">
        <f>IF(AND(Inputs!$B$38&lt;&gt;"pvp",Inputs!$B$43&gt;0),IF(MAX(0,Inputs!$B$43-B598)&lt;=0,0,(INT(MAX(0,Inputs!$B$43-B598)/IF(Inputs!$B$38="pvp",15,MAX(0.1,Skills!E4-IF(Skills!F4=TRUE,Inputs!$B$32,0))))+1)),0)</f>
        <v/>
      </c>
      <c r="S564">
        <f>IF(C564,(H564*N564*IF(AND(Inputs!$B$38&lt;&gt;"pvp",Inputs!$B$43&gt;0),((Skills!G4*((R564-1)*IF(Skills!H4&gt;0,Skills!I4/Skills!H4,1)+IF(Skills!H4&gt;0,MIN(Skills!I4,MAX(0,MAX(0,Inputs!$B$43-B598)-((R564-1)*IF(Inputs!$B$38="pvp",15,MAX(0.1,Skills!E4-IF(Skills!F4=TRUE,Inputs!$B$32,0))))))/Skills!H4,1)))/Inputs!$B$43),G564*Q564))*IF(Inputs!$B$38="pvp",1,1+(Inputs!$B$20+Skills!P4)/100),0)</f>
        <v/>
      </c>
      <c r="T564">
        <f>290*T563/1000</f>
        <v/>
      </c>
      <c r="U564">
        <f>IF(C564,(H564*N564*IF(AND(Inputs!$B$38&lt;&gt;"pvp",Inputs!$B$43&gt;0),((Skills!G4*((R564-1)*IF(Skills!H4&gt;0,Skills!I4/Skills!H4,1)+IF(Skills!H4&gt;0,MIN(Skills!I4,MAX(0,MAX(0,Inputs!$B$43-B598)-((R564-1)*IF(Inputs!$B$38="pvp",15,MAX(0.1,Skills!E4-IF(Skills!F4=TRUE,Inputs!$B$32,0))))))/Skills!H4,1)))/Inputs!$B$43),G564*Q564))*IF(Inputs!$B$38="pvp",1,(1+(Inputs!$B$21+Skills!Q4)/100)*(MIN(Skills!R4,Inputs!$B$37))),0)</f>
        <v/>
      </c>
    </row>
    <row r="565">
      <c r="A565">
        <f>Skills!A5</f>
        <v/>
      </c>
      <c r="B565">
        <f>Skills!B5</f>
        <v/>
      </c>
      <c r="C565">
        <f>TRUE</f>
        <v/>
      </c>
      <c r="D565">
        <f>IF(Skills!C5=1,60+Inputs!$B$25+Inputs!$B$29,IF(Skills!C5=2,90+Inputs!$B$26+Inputs!$B$29,IF(Skills!C5=3,120+Inputs!$B$27+Inputs!$B$29,MAX(0,(Inputs!$B$3-100)*3)+Inputs!$B$28+Inputs!$B$29)))</f>
        <v/>
      </c>
      <c r="E565">
        <f>INDEX(FactorTable!$B$2:$Y$301, MATCH(ROUND(MIN(300,MAX(1,D565)),0), FactorTable!$A$2:$A$301,0), Skills!M5+1)</f>
        <v/>
      </c>
      <c r="F565">
        <f>IF(Skills!N5=TRUE,(Skills!L5/10)*(E565/1000),Skills!L5/10)+Skills!O5</f>
        <v/>
      </c>
      <c r="G565">
        <f>Calc!G5</f>
        <v/>
      </c>
      <c r="H565">
        <f>Calc!H5</f>
        <v/>
      </c>
      <c r="I565">
        <f>IF(Skills!X5&lt;&gt;"",1+(Skills!X5/10)*(Z563/1000)/100,1)</f>
        <v/>
      </c>
      <c r="J565">
        <f>((Inputs!$B$6*(1+Inputs!$B$7/100))+(((Inputs!$B$12*(1+Inputs!$B$13/100))-(Inputs!$B$12*(1+Inputs!$B$13/100)))+0.25*(Inputs!$B$14-Inputs!$B$14))*(1+Inputs!$B$7/100))*(F565/100)</f>
        <v/>
      </c>
      <c r="K565">
        <f>J565*(1+((Inputs!$B$12*(1+Inputs!$B$13/100))*0.01+Inputs!$B$14*0.0025)/100)*(1+Inputs!$B$15/100)*(1+Inputs!$B$16/100)*(5000/(6000+Inputs!$B$42*(1-((1-(1-Inputs!$B$19/100)*(1-1/100))*100)/100)))*(1+Inputs!$B$24/100)*(1+F583/100)*(1+IF(Inputs!$B$3&gt;=120,F586,0)/100)^5*(1+(IF(Skills!A5="BASIC_ATTACK",Inputs!$B$17,Inputs!$B$18+IF(Inputs!$B$3&gt;=125,F587*5,0)))/100)*(B590*B591*B592*I565)</f>
        <v/>
      </c>
      <c r="L565">
        <f>K565*(MIN(Inputs!$B$22+(F582-Calc!F22),Inputs!$B$23)/100+Inputs!$B$23/100)/2</f>
        <v/>
      </c>
      <c r="M565">
        <f>L565*(1+(Inputs!$B$10+(F581-Calc!F21))/100)</f>
        <v/>
      </c>
      <c r="N565">
        <f>L565*(1-MIN(Inputs!$B$9+(F580-Calc!F20),100)/100)+M565*(MIN(Inputs!$B$9+(F580-Calc!F20),100)/100)</f>
        <v/>
      </c>
      <c r="O565">
        <f>(1-Summary!$B$56)*S565+Summary!$B$56*U565</f>
        <v/>
      </c>
      <c r="P565">
        <f>IF(B601=0,0,O565/B601)</f>
        <v/>
      </c>
      <c r="Q565">
        <f>IFERROR(1/IF(Inputs!$B$38="pvp",15,MAX(0.1,Skills!E5-IF(Skills!F5=TRUE,Inputs!$B$32,0))),0)</f>
        <v/>
      </c>
      <c r="R565">
        <f>IF(AND(Inputs!$B$38&lt;&gt;"pvp",Inputs!$B$43&gt;0),IF(MAX(0,Inputs!$B$43-B598)&lt;=0,0,(INT(MAX(0,Inputs!$B$43-B598)/IF(Inputs!$B$38="pvp",15,MAX(0.1,Skills!E5-IF(Skills!F5=TRUE,Inputs!$B$32,0))))+1)),0)</f>
        <v/>
      </c>
      <c r="S565">
        <f>IF(C565,(H565*N565*IF(AND(Inputs!$B$38&lt;&gt;"pvp",Inputs!$B$43&gt;0),((Skills!G5*((R565-1)*IF(Skills!H5&gt;0,Skills!I5/Skills!H5,1)+IF(Skills!H5&gt;0,MIN(Skills!I5,MAX(0,MAX(0,Inputs!$B$43-B598)-((R565-1)*IF(Inputs!$B$38="pvp",15,MAX(0.1,Skills!E5-IF(Skills!F5=TRUE,Inputs!$B$32,0))))))/Skills!H5,1)))/Inputs!$B$43),G565*Q565))*IF(Inputs!$B$38="pvp",1,1+(Inputs!$B$20+Skills!P5)/100),0)</f>
        <v/>
      </c>
      <c r="U565">
        <f>IF(C565,(H565*N565*IF(AND(Inputs!$B$38&lt;&gt;"pvp",Inputs!$B$43&gt;0),((Skills!G5*((R565-1)*IF(Skills!H5&gt;0,Skills!I5/Skills!H5,1)+IF(Skills!H5&gt;0,MIN(Skills!I5,MAX(0,MAX(0,Inputs!$B$43-B598)-((R565-1)*IF(Inputs!$B$38="pvp",15,MAX(0.1,Skills!E5-IF(Skills!F5=TRUE,Inputs!$B$32,0))))))/Skills!H5,1)))/Inputs!$B$43),G565*Q565))*IF(Inputs!$B$38="pvp",1,(1+(Inputs!$B$21+Skills!Q5)/100)*(MIN(Skills!R5,Inputs!$B$37))),0)</f>
        <v/>
      </c>
    </row>
    <row r="566">
      <c r="A566">
        <f>Skills!A6</f>
        <v/>
      </c>
      <c r="B566">
        <f>Skills!B6</f>
        <v/>
      </c>
      <c r="C566">
        <f>TRUE</f>
        <v/>
      </c>
      <c r="D566">
        <f>IF(Skills!C6=1,60+Inputs!$B$25+Inputs!$B$29,IF(Skills!C6=2,90+Inputs!$B$26+Inputs!$B$29,IF(Skills!C6=3,120+Inputs!$B$27+Inputs!$B$29,MAX(0,(Inputs!$B$3-100)*3)+Inputs!$B$28+Inputs!$B$29)))</f>
        <v/>
      </c>
      <c r="E566">
        <f>INDEX(FactorTable!$B$2:$Y$301, MATCH(ROUND(MIN(300,MAX(1,D566)),0), FactorTable!$A$2:$A$301,0), Skills!M6+1)</f>
        <v/>
      </c>
      <c r="F566">
        <f>IF(Skills!N6=TRUE,(Skills!L6/10)*(E566/1000),Skills!L6/10)+Skills!O6</f>
        <v/>
      </c>
      <c r="G566">
        <f>Calc!G6</f>
        <v/>
      </c>
      <c r="H566">
        <f>Calc!H6</f>
        <v/>
      </c>
      <c r="I566">
        <f>IF(Skills!X6&lt;&gt;"",1+(Skills!X6/10)*(Z563/1000)/100,1)</f>
        <v/>
      </c>
      <c r="J566" t="inlineStr"/>
      <c r="K566" t="inlineStr"/>
      <c r="L566" t="inlineStr"/>
      <c r="M566" t="inlineStr"/>
      <c r="N566" t="inlineStr"/>
      <c r="O566">
        <f>(1-Summary!$B$56)*S566+Summary!$B$56*U566</f>
        <v/>
      </c>
      <c r="P566">
        <f>IF(B601=0,0,O566/B601)</f>
        <v/>
      </c>
      <c r="Q566">
        <f>IFERROR(1/IF(Inputs!$B$38="pvp",15,MAX(0.1,Skills!E6-IF(Skills!F6=TRUE,Inputs!$B$32,0))),0)</f>
        <v/>
      </c>
      <c r="R566">
        <f>IF(AND(Inputs!$B$38&lt;&gt;"pvp",Inputs!$B$43&gt;0),IF(Inputs!$B$43&lt;=0,0,(INT(Inputs!$B$43/IF(Inputs!$B$38="pvp",15,MAX(0.1,Skills!E6-IF(Skills!F6=TRUE,Inputs!$B$32,0))))+1)),0)</f>
        <v/>
      </c>
      <c r="S566" t="n">
        <v>0</v>
      </c>
      <c r="U566" t="n">
        <v>0</v>
      </c>
    </row>
    <row r="567">
      <c r="A567">
        <f>Skills!A7</f>
        <v/>
      </c>
      <c r="B567">
        <f>Skills!B7</f>
        <v/>
      </c>
      <c r="C567">
        <f>TRUE</f>
        <v/>
      </c>
      <c r="D567">
        <f>IF(Skills!C7=1,60+Inputs!$B$25+Inputs!$B$29,IF(Skills!C7=2,90+Inputs!$B$26+Inputs!$B$29,IF(Skills!C7=3,120+Inputs!$B$27+Inputs!$B$29,MAX(0,(Inputs!$B$3-100)*3)+Inputs!$B$28+Inputs!$B$29)))</f>
        <v/>
      </c>
      <c r="E567">
        <f>INDEX(FactorTable!$B$2:$Y$301, MATCH(ROUND(MIN(300,MAX(1,D567)),0), FactorTable!$A$2:$A$301,0), Skills!M7+1)</f>
        <v/>
      </c>
      <c r="F567">
        <f>IF(Skills!N7=TRUE,(Skills!L7/10)*(E567/1000),Skills!L7/10)+Skills!O7</f>
        <v/>
      </c>
      <c r="G567">
        <f>Calc!G7</f>
        <v/>
      </c>
      <c r="H567">
        <f>Calc!H7</f>
        <v/>
      </c>
      <c r="I567">
        <f>IF(Skills!X7&lt;&gt;"",1+(Skills!X7/10)*(Z563/1000)/100,1)</f>
        <v/>
      </c>
      <c r="J567">
        <f>((Inputs!$B$6*(1+Inputs!$B$7/100))+(((Inputs!$B$12*(1+Inputs!$B$13/100))-(Inputs!$B$12*(1+Inputs!$B$13/100)))+0.25*(Inputs!$B$14-Inputs!$B$14))*(1+Inputs!$B$7/100))*(F567/100)</f>
        <v/>
      </c>
      <c r="K567">
        <f>J567*(1+((Inputs!$B$12*(1+Inputs!$B$13/100))*0.01+Inputs!$B$14*0.0025)/100)*(1+Inputs!$B$15/100)*(1+Inputs!$B$16/100)*(5000/(6000+Inputs!$B$42*(1-((1-(1-Inputs!$B$19/100)*(1-1/100))*100)/100)))*(1+Inputs!$B$24/100)*(1+F583/100)*(1+IF(Inputs!$B$3&gt;=120,F586,0)/100)^5*(1+(IF(Skills!A7="BASIC_ATTACK",Inputs!$B$17,Inputs!$B$18+IF(Inputs!$B$3&gt;=125,F587*5,0)))/100)*(B590*B591*B592*I567)</f>
        <v/>
      </c>
      <c r="L567">
        <f>K567*(MIN(Inputs!$B$22+(F582-Calc!F22),Inputs!$B$23)/100+Inputs!$B$23/100)/2</f>
        <v/>
      </c>
      <c r="M567">
        <f>L567*(1+(Inputs!$B$10+(F581-Calc!F21))/100)</f>
        <v/>
      </c>
      <c r="N567">
        <f>L567*(1-MIN(Inputs!$B$9+(F580-Calc!F20),100)/100)+M567*(MIN(Inputs!$B$9+(F580-Calc!F20),100)/100)</f>
        <v/>
      </c>
      <c r="O567">
        <f>(1-Summary!$B$56)*S567+Summary!$B$56*U567</f>
        <v/>
      </c>
      <c r="P567">
        <f>IF(B601=0,0,O567/B601)</f>
        <v/>
      </c>
      <c r="Q567">
        <f>IFERROR(1/IF(Inputs!$B$38="pvp",15,MAX(0.1,Skills!E7-IF(Skills!F7=TRUE,Inputs!$B$32,0))),0)</f>
        <v/>
      </c>
      <c r="R567">
        <f>IF(AND(Inputs!$B$38&lt;&gt;"pvp",Inputs!$B$43&gt;0),IF(MAX(0,Inputs!$B$43-B598)&lt;=0,0,(INT(MAX(0,Inputs!$B$43-B598)/IF(Inputs!$B$38="pvp",15,MAX(0.1,Skills!E7-IF(Skills!F7=TRUE,Inputs!$B$32,0))))+1)),0)</f>
        <v/>
      </c>
      <c r="S567">
        <f>IF(C567,(H567*N567*IF(AND(Inputs!$B$38&lt;&gt;"pvp",Inputs!$B$43&gt;0),((Skills!G7*((R567-1)*IF(Skills!H7&gt;0,Skills!I7/Skills!H7,1)+IF(Skills!H7&gt;0,MIN(Skills!I7,MAX(0,MAX(0,Inputs!$B$43-B598)-((R567-1)*IF(Inputs!$B$38="pvp",15,MAX(0.1,Skills!E7-IF(Skills!F7=TRUE,Inputs!$B$32,0))))))/Skills!H7,1)))/Inputs!$B$43),G567*Q567))*IF(Inputs!$B$38="pvp",1,1+(Inputs!$B$20+Skills!P7)/100),0)</f>
        <v/>
      </c>
      <c r="U567">
        <f>IF(C567,(H567*N567*IF(AND(Inputs!$B$38&lt;&gt;"pvp",Inputs!$B$43&gt;0),((Skills!G7*((R567-1)*IF(Skills!H7&gt;0,Skills!I7/Skills!H7,1)+IF(Skills!H7&gt;0,MIN(Skills!I7,MAX(0,MAX(0,Inputs!$B$43-B598)-((R567-1)*IF(Inputs!$B$38="pvp",15,MAX(0.1,Skills!E7-IF(Skills!F7=TRUE,Inputs!$B$32,0))))))/Skills!H7,1)))/Inputs!$B$43),G567*Q567))*IF(Inputs!$B$38="pvp",1,(1+(Inputs!$B$21+Skills!Q7)/100)*(MIN(Skills!R7,Inputs!$B$37))),0)</f>
        <v/>
      </c>
    </row>
    <row r="568">
      <c r="A568">
        <f>Skills!A8</f>
        <v/>
      </c>
      <c r="B568">
        <f>Skills!B8</f>
        <v/>
      </c>
      <c r="C568">
        <f>TRUE</f>
        <v/>
      </c>
      <c r="D568">
        <f>IF(Skills!C8=1,60+Inputs!$B$25+Inputs!$B$29,IF(Skills!C8=2,90+Inputs!$B$26+Inputs!$B$29,IF(Skills!C8=3,120+Inputs!$B$27+Inputs!$B$29,MAX(0,(Inputs!$B$3-100)*3)+Inputs!$B$28+Inputs!$B$29)))</f>
        <v/>
      </c>
      <c r="E568">
        <f>INDEX(FactorTable!$B$2:$Y$301, MATCH(ROUND(MIN(300,MAX(1,D568)),0), FactorTable!$A$2:$A$301,0), Skills!M8+1)</f>
        <v/>
      </c>
      <c r="F568">
        <f>IF(Skills!N8=TRUE,(Skills!L8/10)*(E568/1000),Skills!L8/10)+Skills!O8</f>
        <v/>
      </c>
      <c r="G568">
        <f>Calc!G8</f>
        <v/>
      </c>
      <c r="H568">
        <f>Calc!H8</f>
        <v/>
      </c>
      <c r="I568">
        <f>IF(Skills!X8&lt;&gt;"",1+(Skills!X8/10)*(Z563/1000)/100,1)</f>
        <v/>
      </c>
      <c r="J568">
        <f>((Inputs!$B$6*(1+Inputs!$B$7/100))+(((Inputs!$B$12*(1+Inputs!$B$13/100))-(Inputs!$B$12*(1+Inputs!$B$13/100)))+0.25*(Inputs!$B$14-Inputs!$B$14))*(1+Inputs!$B$7/100))*(F568/100)</f>
        <v/>
      </c>
      <c r="K568">
        <f>J568*(1+((Inputs!$B$12*(1+Inputs!$B$13/100))*0.01+Inputs!$B$14*0.0025)/100)*(1+Inputs!$B$15/100)*(1+Inputs!$B$16/100)*(5000/(6000+Inputs!$B$42*(1-((1-(1-Inputs!$B$19/100)*(1-1/100))*100)/100)))*(1+Inputs!$B$24/100)*(1+F583/100)*(1+IF(Inputs!$B$3&gt;=120,F586,0)/100)^5*(1+(IF(Skills!A8="BASIC_ATTACK",Inputs!$B$17,Inputs!$B$18+IF(Inputs!$B$3&gt;=125,F587*5,0)))/100)*(B590*B591*B592*I568)</f>
        <v/>
      </c>
      <c r="L568">
        <f>K568*(MIN(Inputs!$B$22+(F582-Calc!F22),Inputs!$B$23)/100+Inputs!$B$23/100)/2</f>
        <v/>
      </c>
      <c r="M568">
        <f>L568*(1+(Inputs!$B$10+(F581-Calc!F21))/100)</f>
        <v/>
      </c>
      <c r="N568">
        <f>L568*(1-MIN(Inputs!$B$9+(F580-Calc!F20),100)/100)+M568*(MIN(Inputs!$B$9+(F580-Calc!F20),100)/100)</f>
        <v/>
      </c>
      <c r="O568">
        <f>(1-Summary!$B$56)*S568+Summary!$B$56*U568</f>
        <v/>
      </c>
      <c r="P568">
        <f>IF(B601=0,0,O568/B601)</f>
        <v/>
      </c>
      <c r="Q568">
        <f>IFERROR(1/IF(Inputs!$B$38="pvp",15,MAX(0.1,Skills!E8-IF(Skills!F8=TRUE,Inputs!$B$32,0))),0)</f>
        <v/>
      </c>
      <c r="R568">
        <f>IF(AND(Inputs!$B$38&lt;&gt;"pvp",Inputs!$B$43&gt;0),IF(MAX(0,Inputs!$B$43-B598)&lt;=0,0,(INT(MAX(0,Inputs!$B$43-B598)/IF(Inputs!$B$38="pvp",15,MAX(0.1,Skills!E8-IF(Skills!F8=TRUE,Inputs!$B$32,0))))+1)),0)</f>
        <v/>
      </c>
      <c r="S568">
        <f>IF(C568,(H568*N568*IF(AND(Inputs!$B$38&lt;&gt;"pvp",Inputs!$B$43&gt;0),((Skills!G8*((R568-1)*IF(Skills!H8&gt;0,Skills!I8/Skills!H8,1)+IF(Skills!H8&gt;0,MIN(Skills!I8,MAX(0,MAX(0,Inputs!$B$43-B598)-((R568-1)*IF(Inputs!$B$38="pvp",15,MAX(0.1,Skills!E8-IF(Skills!F8=TRUE,Inputs!$B$32,0))))))/Skills!H8,1)))/Inputs!$B$43),G568*Q568))*IF(Inputs!$B$38="pvp",1,1+(Inputs!$B$20+Skills!P8)/100),0)</f>
        <v/>
      </c>
      <c r="U568">
        <f>IF(C568,(H568*N568*IF(AND(Inputs!$B$38&lt;&gt;"pvp",Inputs!$B$43&gt;0),((Skills!G8*((R568-1)*IF(Skills!H8&gt;0,Skills!I8/Skills!H8,1)+IF(Skills!H8&gt;0,MIN(Skills!I8,MAX(0,MAX(0,Inputs!$B$43-B598)-((R568-1)*IF(Inputs!$B$38="pvp",15,MAX(0.1,Skills!E8-IF(Skills!F8=TRUE,Inputs!$B$32,0))))))/Skills!H8,1)))/Inputs!$B$43),G568*Q568))*IF(Inputs!$B$38="pvp",1,(1+(Inputs!$B$21+Skills!Q8)/100)*(MIN(Skills!R8,Inputs!$B$37))),0)</f>
        <v/>
      </c>
    </row>
    <row r="569">
      <c r="A569">
        <f>Skills!A9</f>
        <v/>
      </c>
      <c r="B569">
        <f>Skills!B9</f>
        <v/>
      </c>
      <c r="C569">
        <f>Inputs!$B$3&gt;=103</f>
        <v/>
      </c>
      <c r="D569">
        <f>IF(Skills!C9=1,60+Inputs!$B$25+Inputs!$B$29,IF(Skills!C9=2,90+Inputs!$B$26+Inputs!$B$29,IF(Skills!C9=3,120+Inputs!$B$27+Inputs!$B$29,MAX(0,(Inputs!$B$3-100)*3)+Inputs!$B$28+Inputs!$B$29)))</f>
        <v/>
      </c>
      <c r="E569">
        <f>INDEX(FactorTable!$B$2:$Y$301, MATCH(ROUND(MIN(300,MAX(1,D569)),0), FactorTable!$A$2:$A$301,0), Skills!M9+1)</f>
        <v/>
      </c>
      <c r="F569">
        <f>IF(Skills!N9=TRUE,(Skills!L9/10)*(E569/1000),Skills!L9/10)+Skills!O9</f>
        <v/>
      </c>
      <c r="G569">
        <f>Calc!G9</f>
        <v/>
      </c>
      <c r="H569">
        <f>Calc!H9</f>
        <v/>
      </c>
      <c r="I569">
        <f>IF(Skills!X9&lt;&gt;"",1+(Skills!X9/10)*(Z563/1000)/100,1)</f>
        <v/>
      </c>
      <c r="J569">
        <f>((Inputs!$B$6*(1+Inputs!$B$7/100))+(((Inputs!$B$12*(1+Inputs!$B$13/100))-(Inputs!$B$12*(1+Inputs!$B$13/100)))+0.25*(Inputs!$B$14-Inputs!$B$14))*(1+Inputs!$B$7/100))*(F569/100)</f>
        <v/>
      </c>
      <c r="K569">
        <f>J569*(1+((Inputs!$B$12*(1+Inputs!$B$13/100))*0.01+Inputs!$B$14*0.0025)/100)*(1+Inputs!$B$15/100)*(1+Inputs!$B$16/100)*(5000/(6000+Inputs!$B$42*(1-((1-(1-Inputs!$B$19/100)*(1-1/100))*100)/100)))*(1+Inputs!$B$24/100)*(1+F583/100)*(1+IF(Inputs!$B$3&gt;=120,F586,0)/100)^5*(1+(IF(Skills!A9="BASIC_ATTACK",Inputs!$B$17,Inputs!$B$18+IF(Inputs!$B$3&gt;=125,F587*5,0)))/100)*(B590*B591*B592*I569)</f>
        <v/>
      </c>
      <c r="L569">
        <f>K569*(MIN(Inputs!$B$22+(F582-Calc!F22),Inputs!$B$23)/100+Inputs!$B$23/100)/2</f>
        <v/>
      </c>
      <c r="M569">
        <f>L569*(1+(Inputs!$B$10+(F581-Calc!F21))/100)</f>
        <v/>
      </c>
      <c r="N569">
        <f>L569*(1-MIN(Inputs!$B$9+(F580-Calc!F20),100)/100)+M569*(MIN(Inputs!$B$9+(F580-Calc!F20),100)/100)</f>
        <v/>
      </c>
      <c r="O569">
        <f>(1-Summary!$B$56)*S569+Summary!$B$56*U569</f>
        <v/>
      </c>
      <c r="P569">
        <f>IF(B601=0,0,O569/B601)</f>
        <v/>
      </c>
      <c r="Q569">
        <f>IFERROR(1/IF(Inputs!$B$38="pvp",15,MAX(0.1,Skills!E9-IF(Skills!F7=TRUE,Inputs!$B$32,0))),0)</f>
        <v/>
      </c>
      <c r="R569">
        <f>IF(AND(Inputs!$B$38&lt;&gt;"pvp",Inputs!$B$43&gt;0),IF(MAX(0,Inputs!$B$43-B598)&lt;=0,0,(INT(MAX(0,Inputs!$B$43-B598)/IF(Inputs!$B$38="pvp",15,MAX(0.1,Skills!E9-IF(Skills!F7=TRUE,Inputs!$B$32,0))))+1)),0)</f>
        <v/>
      </c>
      <c r="S569">
        <f>IF(C569,(H569*N569*IF(AND(Inputs!$B$38&lt;&gt;"pvp",Inputs!$B$43&gt;0),((Skills!G9*((R569-1)*IF(Skills!H9&gt;0,Skills!I9/Skills!H9,1)+IF(Skills!H9&gt;0,MIN(Skills!I9,MAX(0,MAX(0,Inputs!$B$43-B598)-((R569-1)*IF(Inputs!$B$38="pvp",15,MAX(0.1,Skills!E9-IF(Skills!F7=TRUE,Inputs!$B$32,0))))))/Skills!H9,1)))/Inputs!$B$43),G569*Q569))*IF(Inputs!$B$38="pvp",1,1+(Inputs!$B$20+Skills!P9)/100),0)</f>
        <v/>
      </c>
      <c r="U569">
        <f>IF(C569,(H569*N569*IF(AND(Inputs!$B$38&lt;&gt;"pvp",Inputs!$B$43&gt;0),((Skills!G9*((R569-1)*IF(Skills!H9&gt;0,Skills!I9/Skills!H9,1)+IF(Skills!H9&gt;0,MIN(Skills!I9,MAX(0,MAX(0,Inputs!$B$43-B598)-((R569-1)*IF(Inputs!$B$38="pvp",15,MAX(0.1,Skills!E9-IF(Skills!F7=TRUE,Inputs!$B$32,0))))))/Skills!H9,1)))/Inputs!$B$43),G569*Q569))*IF(Inputs!$B$38="pvp",1,(1+(Inputs!$B$21+Skills!Q9)/100)*(MIN(Skills!R9,Inputs!$B$37))),0)</f>
        <v/>
      </c>
    </row>
    <row r="570">
      <c r="A570">
        <f>Skills!A10</f>
        <v/>
      </c>
      <c r="B570">
        <f>Skills!B10</f>
        <v/>
      </c>
      <c r="C570">
        <f>TRUE</f>
        <v/>
      </c>
      <c r="D570">
        <f>IF(Skills!C10=1,60+Inputs!$B$25+Inputs!$B$29,IF(Skills!C10=2,90+Inputs!$B$26+Inputs!$B$29,IF(Skills!C10=3,120+Inputs!$B$27+Inputs!$B$29,MAX(0,(Inputs!$B$3-100)*3)+Inputs!$B$28+Inputs!$B$29)))</f>
        <v/>
      </c>
      <c r="E570">
        <f>INDEX(FactorTable!$B$2:$Y$301, MATCH(ROUND(MIN(300,MAX(1,D570)),0), FactorTable!$A$2:$A$301,0), Skills!M10+1)</f>
        <v/>
      </c>
      <c r="F570">
        <f>IF(Skills!N10=TRUE,(Skills!L10/10)*(E570/1000),Skills!L10/10)+Skills!O10</f>
        <v/>
      </c>
      <c r="G570">
        <f>Calc!G10</f>
        <v/>
      </c>
      <c r="H570">
        <f>Calc!H10</f>
        <v/>
      </c>
      <c r="I570">
        <f>IF(Skills!X10&lt;&gt;"",1+(Skills!X10/10)*(Z563/1000)/100,1)</f>
        <v/>
      </c>
      <c r="J570">
        <f>((Inputs!$B$6*(1+Inputs!$B$7/100))+(((Inputs!$B$12*(1+Inputs!$B$13/100))-(Inputs!$B$12*(1+Inputs!$B$13/100)))+0.25*(Inputs!$B$14-Inputs!$B$14))*(1+Inputs!$B$7/100))*(F570/100)</f>
        <v/>
      </c>
      <c r="K570">
        <f>J570*(1+((Inputs!$B$12*(1+Inputs!$B$13/100))*0.01+Inputs!$B$14*0.0025)/100)*(1+Inputs!$B$15/100)*(1+Inputs!$B$16/100)*(5000/(6000+Inputs!$B$42*(1-((1-(1-Inputs!$B$19/100)*(1-1/100))*100)/100)))*(1+Inputs!$B$24/100)*(1+F583/100)*(1+IF(Inputs!$B$3&gt;=120,F586,0)/100)^5*(1+(IF(Skills!A10="BASIC_ATTACK",Inputs!$B$17,Inputs!$B$18+IF(Inputs!$B$3&gt;=125,F587*5,0)))/100)*(B590*B591*B592*I570)</f>
        <v/>
      </c>
      <c r="L570">
        <f>K570*(MIN(Inputs!$B$22+(F582-Calc!F22),Inputs!$B$23)/100+Inputs!$B$23/100)/2</f>
        <v/>
      </c>
      <c r="M570">
        <f>L570*(1+(Inputs!$B$10+(F581-Calc!F21))/100)</f>
        <v/>
      </c>
      <c r="N570">
        <f>L570*(1-MIN(Inputs!$B$9+(F580-Calc!F20),100)/100)+M570*(MIN(Inputs!$B$9+(F580-Calc!F20),100)/100)</f>
        <v/>
      </c>
      <c r="O570">
        <f>(1-Summary!$B$56)*S570+Summary!$B$56*U570</f>
        <v/>
      </c>
      <c r="P570">
        <f>IF(B601=0,0,O570/B601)</f>
        <v/>
      </c>
      <c r="Q570">
        <f>IFERROR(1/IF(Inputs!$B$38="pvp",15,MAX(0.1,Skills!E10-IF(Skills!F10=TRUE,Inputs!$B$32,0))),0)</f>
        <v/>
      </c>
      <c r="R570">
        <f>IF(AND(Inputs!$B$38&lt;&gt;"pvp",Inputs!$B$43&gt;0),IF(MAX(0,Inputs!$B$43-B598)&lt;=0,0,(INT(MAX(0,Inputs!$B$43-B598)/IF(Inputs!$B$38="pvp",15,MAX(0.1,Skills!E10-IF(Skills!F10=TRUE,Inputs!$B$32,0))))+1)),0)</f>
        <v/>
      </c>
      <c r="S570">
        <f>IF(C570,(H570*N570*IF(AND(Inputs!$B$38&lt;&gt;"pvp",Inputs!$B$43&gt;0),((Skills!G10*((R570-1)*IF(Skills!H10&gt;0,Skills!I10/Skills!H10,1)+IF(Skills!H10&gt;0,MIN(Skills!I10,MAX(0,MAX(0,Inputs!$B$43-B598)-((R570-1)*IF(Inputs!$B$38="pvp",15,MAX(0.1,Skills!E10-IF(Skills!F10=TRUE,Inputs!$B$32,0))))))/Skills!H10,1)))/Inputs!$B$43),G570*Q570))*IF(Inputs!$B$38="pvp",1,1+(Inputs!$B$20+Skills!P10)/100),0)</f>
        <v/>
      </c>
      <c r="U570">
        <f>IF(C570,(H570*N570*IF(AND(Inputs!$B$38&lt;&gt;"pvp",Inputs!$B$43&gt;0),((Skills!G10*((R570-1)*IF(Skills!H10&gt;0,Skills!I10/Skills!H10,1)+IF(Skills!H10&gt;0,MIN(Skills!I10,MAX(0,MAX(0,Inputs!$B$43-B598)-((R570-1)*IF(Inputs!$B$38="pvp",15,MAX(0.1,Skills!E10-IF(Skills!F10=TRUE,Inputs!$B$32,0))))))/Skills!H10,1)))/Inputs!$B$43),G570*Q570))*IF(Inputs!$B$38="pvp",1,(1+(Inputs!$B$21+Skills!Q10)/100)*(MIN(Skills!R10,Inputs!$B$37))),0)</f>
        <v/>
      </c>
    </row>
    <row r="571">
      <c r="A571">
        <f>Skills!A11</f>
        <v/>
      </c>
      <c r="B571">
        <f>Skills!B11</f>
        <v/>
      </c>
      <c r="C571">
        <f>TRUE</f>
        <v/>
      </c>
      <c r="D571">
        <f>IF(Skills!C11=1,60+Inputs!$B$25+Inputs!$B$29,IF(Skills!C11=2,90+Inputs!$B$26+Inputs!$B$29,IF(Skills!C11=3,120+Inputs!$B$27+Inputs!$B$29,MAX(0,(Inputs!$B$3-100)*3)+Inputs!$B$28+Inputs!$B$29)))</f>
        <v/>
      </c>
      <c r="E571">
        <f>INDEX(FactorTable!$B$2:$Y$301, MATCH(ROUND(MIN(300,MAX(1,D571)),0), FactorTable!$A$2:$A$301,0), Skills!M11+1)</f>
        <v/>
      </c>
      <c r="F571">
        <f>IF(Skills!N11=TRUE,(Skills!L11/10)*(E571/1000),Skills!L11/10)+Skills!O11</f>
        <v/>
      </c>
      <c r="G571">
        <f>Calc!G11</f>
        <v/>
      </c>
      <c r="H571">
        <f>Calc!H11</f>
        <v/>
      </c>
      <c r="I571">
        <f>IF(Skills!X11&lt;&gt;"",1+(Skills!X11/10)*(Z563/1000)/100,1)</f>
        <v/>
      </c>
      <c r="J571" t="inlineStr"/>
      <c r="K571" t="inlineStr"/>
      <c r="L571" t="inlineStr"/>
      <c r="M571" t="inlineStr"/>
      <c r="N571" t="inlineStr"/>
      <c r="O571">
        <f>(1-Summary!$B$56)*S571+Summary!$B$56*U571</f>
        <v/>
      </c>
      <c r="P571">
        <f>IF(B601=0,0,O571/B601)</f>
        <v/>
      </c>
      <c r="Q571">
        <f>IFERROR(1/IF(Inputs!$B$38="pvp",15,MAX(0.1,Skills!E11-IF(Skills!F11=TRUE,Inputs!$B$32,0))),0)</f>
        <v/>
      </c>
      <c r="R571" t="n">
        <v>0</v>
      </c>
      <c r="S571" t="n">
        <v>0</v>
      </c>
      <c r="U571" t="n">
        <v>0</v>
      </c>
    </row>
    <row r="572">
      <c r="A572">
        <f>Skills!A12</f>
        <v/>
      </c>
      <c r="B572">
        <f>Skills!B12</f>
        <v/>
      </c>
      <c r="C572">
        <f>TRUE</f>
        <v/>
      </c>
      <c r="D572">
        <f>IF(Skills!C12=1,60+Inputs!$B$25+Inputs!$B$29,IF(Skills!C12=2,90+Inputs!$B$26+Inputs!$B$29,IF(Skills!C12=3,120+Inputs!$B$27+Inputs!$B$29,MAX(0,(Inputs!$B$3-100)*3)+Inputs!$B$28+Inputs!$B$29)))</f>
        <v/>
      </c>
      <c r="E572">
        <f>INDEX(FactorTable!$B$2:$Y$301, MATCH(ROUND(MIN(300,MAX(1,D572)),0), FactorTable!$A$2:$A$301,0), Skills!M12+1)</f>
        <v/>
      </c>
      <c r="F572">
        <f>IF(Skills!N12=TRUE,(Skills!L12/10)*(E572/1000),Skills!L12/10)+Skills!O12</f>
        <v/>
      </c>
      <c r="G572">
        <f>Calc!G12</f>
        <v/>
      </c>
      <c r="H572">
        <f>Calc!H12</f>
        <v/>
      </c>
      <c r="I572">
        <f>IF(Skills!X12&lt;&gt;"",1+(Skills!X12/10)*(Z563/1000)/100,1)</f>
        <v/>
      </c>
      <c r="J572" t="inlineStr"/>
      <c r="K572" t="inlineStr"/>
      <c r="L572" t="inlineStr"/>
      <c r="M572" t="inlineStr"/>
      <c r="N572" t="inlineStr"/>
      <c r="O572">
        <f>(1-Summary!$B$56)*S572+Summary!$B$56*U572</f>
        <v/>
      </c>
      <c r="P572">
        <f>IF(B601=0,0,O572/B601)</f>
        <v/>
      </c>
      <c r="Q572">
        <f>IFERROR(1/IF(Inputs!$B$38="pvp",15,MAX(0.1,Skills!E12-IF(Skills!F12=TRUE,Inputs!$B$32,0))),0)</f>
        <v/>
      </c>
      <c r="R572" t="n">
        <v>0</v>
      </c>
      <c r="S572" t="n">
        <v>0</v>
      </c>
      <c r="U572" t="n">
        <v>0</v>
      </c>
    </row>
    <row r="573">
      <c r="A573">
        <f>Skills!A13</f>
        <v/>
      </c>
      <c r="B573">
        <f>Skills!B13</f>
        <v/>
      </c>
      <c r="C573">
        <f>Inputs!$B$3&gt;=105</f>
        <v/>
      </c>
      <c r="D573">
        <f>IF(Skills!C13=1,60+Inputs!$B$25+Inputs!$B$29,IF(Skills!C13=2,90+Inputs!$B$26+Inputs!$B$29,IF(Skills!C13=3,120+Inputs!$B$27+Inputs!$B$29,MAX(0,(Inputs!$B$3-100)*3)+Inputs!$B$28+Inputs!$B$29)))</f>
        <v/>
      </c>
      <c r="E573">
        <f>INDEX(FactorTable!$B$2:$Y$301, MATCH(ROUND(MIN(300,MAX(1,D573)),0), FactorTable!$A$2:$A$301,0), Skills!M13+1)</f>
        <v/>
      </c>
      <c r="F573">
        <f>IF(Skills!N13=TRUE,(Skills!L13/10)*(E573/1000),Skills!L13/10)+Skills!O13</f>
        <v/>
      </c>
      <c r="G573">
        <f>Calc!G13</f>
        <v/>
      </c>
      <c r="H573">
        <f>Calc!H13</f>
        <v/>
      </c>
      <c r="I573">
        <f>IF(Skills!X13&lt;&gt;"",1+(Skills!X13/10)*(Z563/1000)/100,1)</f>
        <v/>
      </c>
      <c r="J573">
        <f>((Inputs!$B$6*(1+Inputs!$B$7/100))+(((Inputs!$B$12*(1+Inputs!$B$13/100))-(Inputs!$B$12*(1+Inputs!$B$13/100)))+0.25*(Inputs!$B$14-Inputs!$B$14))*(1+Inputs!$B$7/100))*(F573/100)</f>
        <v/>
      </c>
      <c r="K573">
        <f>J573*(1+((Inputs!$B$12*(1+Inputs!$B$13/100))*0.01+Inputs!$B$14*0.0025)/100)*(1+Inputs!$B$15/100)*(1+Inputs!$B$16/100)*(5000/(6000+Inputs!$B$42*(1-((1-(1-Inputs!$B$19/100)*(1-1/100))*100)/100)))*(1+Inputs!$B$24/100)*(1+F583/100)*(1+IF(Inputs!$B$3&gt;=120,F586,0)/100)^5*(1+(IF(Skills!A13="BASIC_ATTACK",Inputs!$B$17,Inputs!$B$18+IF(Inputs!$B$3&gt;=125,F587*5,0)))/100)*(B590*B591*B592*I573)</f>
        <v/>
      </c>
      <c r="L573">
        <f>K573*(MIN(Inputs!$B$22+(F582-Calc!F22),Inputs!$B$23)/100+Inputs!$B$23/100)/2</f>
        <v/>
      </c>
      <c r="M573">
        <f>L573*(1+(Inputs!$B$10+(F581-Calc!F21))/100)</f>
        <v/>
      </c>
      <c r="N573">
        <f>L573*(1-MIN(Inputs!$B$9+(F580-Calc!F20),100)/100)+M573*(MIN(Inputs!$B$9+(F580-Calc!F20),100)/100)</f>
        <v/>
      </c>
      <c r="O573">
        <f>(1-Summary!$B$56)*S573+Summary!$B$56*U573</f>
        <v/>
      </c>
      <c r="P573">
        <f>IF(B601=0,0,O573/B601)</f>
        <v/>
      </c>
      <c r="Q573">
        <f>IFERROR(1/IF(Inputs!$B$38="pvp",15,MAX(0.1,Skills!E13-IF(Skills!F13=TRUE,Inputs!$B$32,0))),0)</f>
        <v/>
      </c>
      <c r="R573">
        <f>IF(AND(Inputs!$B$38&lt;&gt;"pvp",Inputs!$B$43&gt;0),IF(MAX(0,Inputs!$B$43-B598)&lt;=0,0,(INT(MAX(0,Inputs!$B$43-B598)/IF(Inputs!$B$38="pvp",15,MAX(0.1,Skills!E13-IF(Skills!F13=TRUE,Inputs!$B$32,0))))+1)),0)</f>
        <v/>
      </c>
      <c r="S573">
        <f>IF(C573,(H573*N573*IF(AND(Inputs!$B$38&lt;&gt;"pvp",Inputs!$B$43&gt;0),((Skills!G13*((R573-1)*IF(Skills!H13&gt;0,Skills!I13/Skills!H13,1)+IF(Skills!H13&gt;0,MIN(Skills!I13,MAX(0,MAX(0,Inputs!$B$43-B598)-((R573-1)*IF(Inputs!$B$38="pvp",15,MAX(0.1,Skills!E13-IF(Skills!F13=TRUE,Inputs!$B$32,0))))))/Skills!H13,1)))/Inputs!$B$43),G573*Q573))*IF(Inputs!$B$38="pvp",1,1+(Inputs!$B$20+Skills!P13)/100),0)</f>
        <v/>
      </c>
      <c r="U573">
        <f>IF(C573,(H573*N573*IF(AND(Inputs!$B$38&lt;&gt;"pvp",Inputs!$B$43&gt;0),((Skills!G13*((R573-1)*IF(Skills!H13&gt;0,Skills!I13/Skills!H13,1)+IF(Skills!H13&gt;0,MIN(Skills!I13,MAX(0,MAX(0,Inputs!$B$43-B598)-((R573-1)*IF(Inputs!$B$38="pvp",15,MAX(0.1,Skills!E13-IF(Skills!F13=TRUE,Inputs!$B$32,0))))))/Skills!H13,1)))/Inputs!$B$43),G573*Q573))*IF(Inputs!$B$38="pvp",1,(1+(Inputs!$B$21+Skills!Q13)/100)*(MIN(Skills!R13,Inputs!$B$37))),0)</f>
        <v/>
      </c>
    </row>
    <row r="574">
      <c r="A574">
        <f>Skills!A14</f>
        <v/>
      </c>
      <c r="B574">
        <f>Skills!B14</f>
        <v/>
      </c>
      <c r="C574">
        <f>Inputs!$B$3&gt;=113</f>
        <v/>
      </c>
      <c r="D574">
        <f>IF(Skills!C14=1,60+Inputs!$B$25+Inputs!$B$29,IF(Skills!C14=2,90+Inputs!$B$26+Inputs!$B$29,IF(Skills!C14=3,120+Inputs!$B$27+Inputs!$B$29,MAX(0,(Inputs!$B$3-100)*3)+Inputs!$B$28+Inputs!$B$29)))</f>
        <v/>
      </c>
      <c r="E574">
        <f>INDEX(FactorTable!$B$2:$Y$301, MATCH(ROUND(MIN(300,MAX(1,D574)),0), FactorTable!$A$2:$A$301,0), Skills!M14+1)</f>
        <v/>
      </c>
      <c r="F574">
        <f>IF(Skills!N14=TRUE,(Skills!L14/10)*(E574/1000),Skills!L14/10)+Skills!O14</f>
        <v/>
      </c>
      <c r="G574">
        <f>Calc!G14</f>
        <v/>
      </c>
      <c r="H574">
        <f>Calc!H14</f>
        <v/>
      </c>
      <c r="I574">
        <f>IF(Skills!X14&lt;&gt;"",1+(Skills!X14/10)*(Z563/1000)/100,1)</f>
        <v/>
      </c>
      <c r="J574">
        <f>((Inputs!$B$6*(1+Inputs!$B$7/100))+(((Inputs!$B$12*(1+Inputs!$B$13/100))-(Inputs!$B$12*(1+Inputs!$B$13/100)))+0.25*(Inputs!$B$14-Inputs!$B$14))*(1+Inputs!$B$7/100))*(F574/100)</f>
        <v/>
      </c>
      <c r="K574">
        <f>J574*(1+((Inputs!$B$12*(1+Inputs!$B$13/100))*0.01+Inputs!$B$14*0.0025)/100)*(1+Inputs!$B$15/100)*(1+Inputs!$B$16/100)*(5000/(6000+Inputs!$B$42*(1-((1-(1-Inputs!$B$19/100)*(1-1/100))*100)/100)))*(1+Inputs!$B$24/100)*(1+F583/100)*(1+IF(Inputs!$B$3&gt;=120,F586,0)/100)^5*(1+(IF(Skills!A14="BASIC_ATTACK",Inputs!$B$17,Inputs!$B$18+IF(Inputs!$B$3&gt;=125,F587*5,0)))/100)*(B590*B591*B592*I574)</f>
        <v/>
      </c>
      <c r="L574">
        <f>K574*(MIN(Inputs!$B$22+(F582-Calc!F22),Inputs!$B$23)/100+Inputs!$B$23/100)/2</f>
        <v/>
      </c>
      <c r="M574">
        <f>L574*(1+(Inputs!$B$10+(F581-Calc!F21))/100)</f>
        <v/>
      </c>
      <c r="N574">
        <f>L574*(1-MIN(Inputs!$B$9+(F580-Calc!F20),100)/100)+M574*(MIN(Inputs!$B$9+(F580-Calc!F20),100)/100)</f>
        <v/>
      </c>
      <c r="O574">
        <f>(1-Summary!$B$56)*S574+Summary!$B$56*U574</f>
        <v/>
      </c>
      <c r="P574">
        <f>IF(B601=0,0,O574/B601)</f>
        <v/>
      </c>
      <c r="Q574">
        <f>IFERROR(1/IF(Inputs!$B$38="pvp",15,MAX(0.1,Skills!E14-IF(Skills!F14=TRUE,Inputs!$B$32,0))),0)</f>
        <v/>
      </c>
      <c r="R574" t="n">
        <v>0</v>
      </c>
      <c r="S574">
        <f>IF(C574,((H574*B597)/(1+Skills!H14*H574*B597)*N574)*IF(Inputs!$B$38="pvp",1,1+(Inputs!$B$20+Skills!P14)/100),0)</f>
        <v/>
      </c>
      <c r="U574">
        <f>IF(C574,((H574*B597)/(1+Skills!H14*H574*B597)*N574)*IF(Inputs!$B$38="pvp",1,(1+(Inputs!$B$21+Skills!Q14)/100)*(MIN(Skills!R14,Inputs!$B$37))),0)</f>
        <v/>
      </c>
    </row>
    <row r="575">
      <c r="A575">
        <f>Skills!A15</f>
        <v/>
      </c>
      <c r="B575">
        <f>Skills!B15</f>
        <v/>
      </c>
      <c r="C575">
        <f>Inputs!$B$3&gt;=107</f>
        <v/>
      </c>
      <c r="D575">
        <f>IF(Skills!C15=1,60+Inputs!$B$25+Inputs!$B$29,IF(Skills!C15=2,90+Inputs!$B$26+Inputs!$B$29,IF(Skills!C15=3,120+Inputs!$B$27+Inputs!$B$29,MAX(0,(Inputs!$B$3-100)*3)+Inputs!$B$28+Inputs!$B$29)))</f>
        <v/>
      </c>
      <c r="E575">
        <f>INDEX(FactorTable!$B$2:$Y$301, MATCH(ROUND(MIN(300,MAX(1,D575)),0), FactorTable!$A$2:$A$301,0), Skills!M15+1)</f>
        <v/>
      </c>
      <c r="F575">
        <f>IF(Skills!N15=TRUE,(Skills!L15/10)*(E575/1000),Skills!L15/10)+Skills!O15</f>
        <v/>
      </c>
      <c r="G575">
        <f>Calc!G15</f>
        <v/>
      </c>
      <c r="H575">
        <f>Calc!H15</f>
        <v/>
      </c>
      <c r="I575">
        <f>IF(Skills!X15&lt;&gt;"",1+(Skills!X15/10)*(Z563/1000)/100,1)</f>
        <v/>
      </c>
      <c r="J575">
        <f>((Inputs!$B$6*(1+Inputs!$B$7/100))+(((Inputs!$B$12*(1+Inputs!$B$13/100))-(Inputs!$B$12*(1+Inputs!$B$13/100)))+0.25*(Inputs!$B$14-Inputs!$B$14))*(1+Inputs!$B$7/100))*(F575/100)</f>
        <v/>
      </c>
      <c r="K575">
        <f>J575*(1+((Inputs!$B$12*(1+Inputs!$B$13/100))*0.01+Inputs!$B$14*0.0025)/100)*(1+Inputs!$B$15/100)*(1+Inputs!$B$16/100)*(5000/(6000+Inputs!$B$42*(1-((1-(1-Inputs!$B$19/100)*(1-1/100))*100)/100)))*(1+Inputs!$B$24/100)*(1+F583/100)*(1+IF(Inputs!$B$3&gt;=120,F586,0)/100)^5*(1+(IF(Skills!A15="BASIC_ATTACK",Inputs!$B$17,Inputs!$B$18+IF(Inputs!$B$3&gt;=125,F587*5,0)))/100)*(B590*B591*B592*I575)</f>
        <v/>
      </c>
      <c r="L575">
        <f>K575*(MIN(Inputs!$B$22+(F582-Calc!F22),Inputs!$B$23)/100+Inputs!$B$23/100)/2</f>
        <v/>
      </c>
      <c r="M575">
        <f>L575*(1+(Inputs!$B$10+(F581-Calc!F21))/100)</f>
        <v/>
      </c>
      <c r="N575">
        <f>L575*(1-MIN(Inputs!$B$9+(F580-Calc!F20),100)/100)+M575*(MIN(Inputs!$B$9+(F580-Calc!F20),100)/100)</f>
        <v/>
      </c>
      <c r="O575">
        <f>(1-Summary!$B$56)*S575+Summary!$B$56*U575</f>
        <v/>
      </c>
      <c r="P575">
        <f>IF(B601=0,0,O575/B601)</f>
        <v/>
      </c>
      <c r="Q575">
        <f>IFERROR(1/IF(Inputs!$B$38="pvp",15,MAX(0.1,Skills!E15-IF(Skills!F15=TRUE,Inputs!$B$32,0))),0)</f>
        <v/>
      </c>
      <c r="R575">
        <f>IF(AND(Inputs!$B$38&lt;&gt;"pvp",Inputs!$B$43&gt;0),IF(MAX(0,Inputs!$B$43-B598)&lt;=0,0,(INT(MAX(0,Inputs!$B$43-B598)/IF(Inputs!$B$38="pvp",15,MAX(0.1,Skills!E15-IF(Skills!F15=TRUE,Inputs!$B$32,0))))+1)),0)</f>
        <v/>
      </c>
      <c r="S575">
        <f>IF(C575,(H575*N575*IF(AND(Inputs!$B$38&lt;&gt;"pvp",Inputs!$B$43&gt;0),((Skills!G15*((R575-1)*IF(Skills!H15&gt;0,Skills!I15/Skills!H15,1)+IF(Skills!H15&gt;0,MIN(Skills!I15,MAX(0,MAX(0,Inputs!$B$43-B598)-((R575-1)*IF(Inputs!$B$38="pvp",15,MAX(0.1,Skills!E15-IF(Skills!F15=TRUE,Inputs!$B$32,0))))))/Skills!H15,1)))/Inputs!$B$43),G575*Q575))*IF(Inputs!$B$38="pvp",1,1+(Inputs!$B$20+Skills!P15)/100),0)</f>
        <v/>
      </c>
      <c r="U575">
        <f>IF(C575,(H575*N575*IF(AND(Inputs!$B$38&lt;&gt;"pvp",Inputs!$B$43&gt;0),((Skills!G15*((R575-1)*IF(Skills!H15&gt;0,Skills!I15/Skills!H15,1)+IF(Skills!H15&gt;0,MIN(Skills!I15,MAX(0,MAX(0,Inputs!$B$43-B598)-((R575-1)*IF(Inputs!$B$38="pvp",15,MAX(0.1,Skills!E15-IF(Skills!F15=TRUE,Inputs!$B$32,0))))))/Skills!H15,1)))/Inputs!$B$43),G575*Q575))*IF(Inputs!$B$38="pvp",1,(1+(Inputs!$B$21+Skills!Q15)/100)*(MIN(Skills!R15,Inputs!$B$37))),0)</f>
        <v/>
      </c>
    </row>
    <row r="576">
      <c r="A576">
        <f>Skills!A16</f>
        <v/>
      </c>
      <c r="B576">
        <f>Skills!B16</f>
        <v/>
      </c>
      <c r="C576">
        <f>Inputs!$B$3&gt;=107</f>
        <v/>
      </c>
      <c r="D576">
        <f>IF(Skills!C16=1,60+Inputs!$B$25+Inputs!$B$29,IF(Skills!C16=2,90+Inputs!$B$26+Inputs!$B$29,IF(Skills!C16=3,120+Inputs!$B$27+Inputs!$B$29,MAX(0,(Inputs!$B$3-100)*3)+Inputs!$B$28+Inputs!$B$29)))</f>
        <v/>
      </c>
      <c r="E576">
        <f>INDEX(FactorTable!$B$2:$Y$301, MATCH(ROUND(MIN(300,MAX(1,D576)),0), FactorTable!$A$2:$A$301,0), Skills!M16+1)</f>
        <v/>
      </c>
      <c r="F576">
        <f>IF(Skills!N16=TRUE,(Skills!L16/10)*(E576/1000),Skills!L16/10)+Skills!O16</f>
        <v/>
      </c>
      <c r="G576">
        <f>Calc!G16</f>
        <v/>
      </c>
      <c r="H576">
        <f>Calc!H16</f>
        <v/>
      </c>
      <c r="I576">
        <f>IF(Skills!X16&lt;&gt;"",1+(Skills!X16/10)*(Z563/1000)/100,1)</f>
        <v/>
      </c>
      <c r="J576">
        <f>((Inputs!$B$6*(1+Inputs!$B$7/100))+(((Inputs!$B$12*(1+Inputs!$B$13/100))-(Inputs!$B$12*(1+Inputs!$B$13/100)))+0.25*(Inputs!$B$14-Inputs!$B$14))*(1+Inputs!$B$7/100))*(F576/100)</f>
        <v/>
      </c>
      <c r="K576">
        <f>J576*(1+((Inputs!$B$12*(1+Inputs!$B$13/100))*0.01+Inputs!$B$14*0.0025)/100)*(1+Inputs!$B$15/100)*(1+Inputs!$B$16/100)*(5000/(6000+Inputs!$B$42*(1-((1-(1-Inputs!$B$19/100)*(1-1/100))*100)/100)))*(1+Inputs!$B$24/100)*(1+F583/100)*(1+IF(Inputs!$B$3&gt;=120,F586,0)/100)^5*(1+(IF(Skills!A16="BASIC_ATTACK",Inputs!$B$17,Inputs!$B$18+IF(Inputs!$B$3&gt;=125,F587*5,0)))/100)*(B590*B591*B592*I576)</f>
        <v/>
      </c>
      <c r="L576">
        <f>K576*(MIN(Inputs!$B$22+(F582-Calc!F22),Inputs!$B$23)/100+Inputs!$B$23/100)/2</f>
        <v/>
      </c>
      <c r="M576">
        <f>L576*(1+(Inputs!$B$10+(F581-Calc!F21))/100)</f>
        <v/>
      </c>
      <c r="N576">
        <f>L576*(1-MIN(Inputs!$B$9+(F580-Calc!F20),100)/100)+M576*(MIN(Inputs!$B$9+(F580-Calc!F20),100)/100)</f>
        <v/>
      </c>
      <c r="O576">
        <f>(1-Summary!$B$56)*S576+Summary!$B$56*U576</f>
        <v/>
      </c>
      <c r="P576">
        <f>IF(B601=0,0,O576/B601)</f>
        <v/>
      </c>
      <c r="Q576">
        <f>IFERROR(1/IF(Inputs!$B$38="pvp",15,MAX(0.1,Skills!E16-IF(Skills!F16=TRUE,Inputs!$B$32,0))),0)</f>
        <v/>
      </c>
      <c r="R576">
        <f>IF(AND(Inputs!$B$38&lt;&gt;"pvp",Inputs!$B$43&gt;0),IF(MAX(0,Inputs!$B$43-B598)&lt;=0,0,(INT(MAX(0,Inputs!$B$43-B598)/IF(Inputs!$B$38="pvp",15,MAX(0.1,Skills!E16-IF(Skills!F16=TRUE,Inputs!$B$32,0))))+1)),0)</f>
        <v/>
      </c>
      <c r="S576">
        <f>IF(C576,(H576*N576*IF(AND(Inputs!$B$38&lt;&gt;"pvp",Inputs!$B$43&gt;0),((Skills!G16*((R576-1)*IF(Skills!H16&gt;0,Skills!I16/Skills!H16,1)+IF(Skills!H16&gt;0,MIN(Skills!I16,MAX(0,MAX(0,Inputs!$B$43-B598)-((R576-1)*IF(Inputs!$B$38="pvp",15,MAX(0.1,Skills!E16-IF(Skills!F16=TRUE,Inputs!$B$32,0))))))/Skills!H16,1)))/Inputs!$B$43),G576*Q576)*(1+IF(Inputs!$B$3&gt;=126,0.05*(B596+Q573+(H574*B597)/(1+Skills!H14*H574*B597)+Q584),0)*Skills!E15))*IF(Inputs!$B$38="pvp",1,1+(Inputs!$B$20+Skills!P16)/100),0)</f>
        <v/>
      </c>
      <c r="U576">
        <f>IF(C576,(H576*N576*IF(AND(Inputs!$B$38&lt;&gt;"pvp",Inputs!$B$43&gt;0),((Skills!G16*((R576-1)*IF(Skills!H16&gt;0,Skills!I16/Skills!H16,1)+IF(Skills!H16&gt;0,MIN(Skills!I16,MAX(0,MAX(0,Inputs!$B$43-B598)-((R576-1)*IF(Inputs!$B$38="pvp",15,MAX(0.1,Skills!E16-IF(Skills!F16=TRUE,Inputs!$B$32,0))))))/Skills!H16,1)))/Inputs!$B$43),G576*Q576)*(1+IF(Inputs!$B$3&gt;=126,0.05*(B596+Q573+(H574*B597)/(1+Skills!H14*H574*B597)+Q584),0)*Skills!E15))*IF(Inputs!$B$38="pvp",1,(1+(Inputs!$B$21+Skills!Q16)/100)*(MIN(Skills!R16,Inputs!$B$37))),0)</f>
        <v/>
      </c>
    </row>
    <row r="577">
      <c r="A577">
        <f>Skills!A17</f>
        <v/>
      </c>
      <c r="B577">
        <f>Skills!B17</f>
        <v/>
      </c>
      <c r="C577">
        <f>TRUE</f>
        <v/>
      </c>
      <c r="D577">
        <f>IF(Skills!C17=1,60+Inputs!$B$25+Inputs!$B$29,IF(Skills!C17=2,90+Inputs!$B$26+Inputs!$B$29,IF(Skills!C17=3,120+Inputs!$B$27+Inputs!$B$29,MAX(0,(Inputs!$B$3-100)*3)+Inputs!$B$28+Inputs!$B$29)))</f>
        <v/>
      </c>
      <c r="E577">
        <f>INDEX(FactorTable!$B$2:$Y$301, MATCH(ROUND(MIN(300,MAX(1,D577)),0), FactorTable!$A$2:$A$301,0), Skills!M17+1)</f>
        <v/>
      </c>
      <c r="F577">
        <f>IF(Skills!N17=TRUE,(Skills!L17/10)*(E577/1000),Skills!L17/10)+Skills!O17</f>
        <v/>
      </c>
      <c r="G577">
        <f>Calc!G17</f>
        <v/>
      </c>
      <c r="H577">
        <f>Calc!H17</f>
        <v/>
      </c>
      <c r="I577">
        <f>IF(Skills!X17&lt;&gt;"",1+(Skills!X17/10)*(Z563/1000)/100,1)</f>
        <v/>
      </c>
      <c r="J577" t="inlineStr"/>
      <c r="K577" t="inlineStr"/>
      <c r="L577" t="inlineStr"/>
      <c r="M577" t="inlineStr"/>
      <c r="N577" t="inlineStr"/>
      <c r="O577">
        <f>(1-Summary!$B$56)*S577+Summary!$B$56*U577</f>
        <v/>
      </c>
      <c r="P577">
        <f>IF(B601=0,0,O577/B601)</f>
        <v/>
      </c>
      <c r="Q577">
        <f>IFERROR(1/IF(Inputs!$B$38="pvp",15,MAX(0.1,Skills!E17-IF(Skills!F17=TRUE,Inputs!$B$32,0))),0)</f>
        <v/>
      </c>
      <c r="R577">
        <f>IF(AND(Inputs!$B$38&lt;&gt;"pvp",Inputs!$B$43&gt;0),IF(Inputs!$B$43&lt;=0,0,(INT(Inputs!$B$43/IF(Inputs!$B$38="pvp",15,MAX(0.1,Skills!E17-IF(Skills!F17=TRUE,Inputs!$B$32,0))))+1)),0)</f>
        <v/>
      </c>
      <c r="S577" t="n">
        <v>0</v>
      </c>
      <c r="U577" t="n">
        <v>0</v>
      </c>
    </row>
    <row r="578">
      <c r="A578">
        <f>Skills!A18</f>
        <v/>
      </c>
      <c r="B578">
        <f>Skills!B18</f>
        <v/>
      </c>
      <c r="C578">
        <f>TRUE</f>
        <v/>
      </c>
      <c r="D578">
        <f>IF(Skills!C18=1,60+Inputs!$B$25+Inputs!$B$29,IF(Skills!C18=2,90+Inputs!$B$26+Inputs!$B$29,IF(Skills!C18=3,120+Inputs!$B$27+Inputs!$B$29,MAX(0,(Inputs!$B$3-100)*3)+Inputs!$B$28+Inputs!$B$29)))</f>
        <v/>
      </c>
      <c r="E578">
        <f>INDEX(FactorTable!$B$2:$Y$301, MATCH(ROUND(MIN(300,MAX(1,D578)),0), FactorTable!$A$2:$A$301,0), Skills!M18+1)</f>
        <v/>
      </c>
      <c r="F578">
        <f>IF(Skills!N18=TRUE,(Skills!L18/10)*(E578/1000),Skills!L18/10)+Skills!O18</f>
        <v/>
      </c>
      <c r="G578">
        <f>Calc!G18</f>
        <v/>
      </c>
      <c r="H578">
        <f>Calc!H18</f>
        <v/>
      </c>
      <c r="I578">
        <f>IF(Skills!X18&lt;&gt;"",1+(Skills!X18/10)*(Z563/1000)/100,1)</f>
        <v/>
      </c>
      <c r="J578" t="inlineStr"/>
      <c r="K578" t="inlineStr"/>
      <c r="L578" t="inlineStr"/>
      <c r="M578" t="inlineStr"/>
      <c r="N578" t="inlineStr"/>
      <c r="O578">
        <f>(1-Summary!$B$56)*S578+Summary!$B$56*U578</f>
        <v/>
      </c>
      <c r="P578">
        <f>IF(B601=0,0,O578/B601)</f>
        <v/>
      </c>
      <c r="Q578">
        <f>IFERROR(1/IF(Inputs!$B$38="pvp",15,MAX(0.1,Skills!E18-IF(Skills!F18=TRUE,Inputs!$B$32,0))),0)</f>
        <v/>
      </c>
      <c r="R578">
        <f>IF(AND(Inputs!$B$38&lt;&gt;"pvp",Inputs!$B$43&gt;0),IF(Inputs!$B$43&lt;=0,0,(INT(Inputs!$B$43/IF(Inputs!$B$38="pvp",15,MAX(0.1,Skills!E18-IF(Skills!F18=TRUE,Inputs!$B$32,0))))+1)),0)</f>
        <v/>
      </c>
      <c r="S578" t="n">
        <v>0</v>
      </c>
      <c r="U578" t="n">
        <v>0</v>
      </c>
    </row>
    <row r="579">
      <c r="A579">
        <f>Skills!A19</f>
        <v/>
      </c>
      <c r="B579">
        <f>Skills!B19</f>
        <v/>
      </c>
      <c r="C579">
        <f>Inputs!$B$3&gt;=110</f>
        <v/>
      </c>
      <c r="D579">
        <f>IF(Skills!C19=1,60+Inputs!$B$25+Inputs!$B$29,IF(Skills!C19=2,90+Inputs!$B$26+Inputs!$B$29,IF(Skills!C19=3,120+Inputs!$B$27+Inputs!$B$29,MAX(0,(Inputs!$B$3-100)*3)+Inputs!$B$28+Inputs!$B$29)))</f>
        <v/>
      </c>
      <c r="E579">
        <f>INDEX(FactorTable!$B$2:$Y$301, MATCH(ROUND(MIN(300,MAX(1,D579)),0), FactorTable!$A$2:$A$301,0), Skills!M19+1)</f>
        <v/>
      </c>
      <c r="F579">
        <f>IF(Skills!N19=TRUE,(Skills!L19/10)*(E579/1000),Skills!L19/10)+Skills!O19</f>
        <v/>
      </c>
      <c r="G579">
        <f>Calc!G19</f>
        <v/>
      </c>
      <c r="H579">
        <f>Calc!H19</f>
        <v/>
      </c>
      <c r="I579">
        <f>IF(Skills!X19&lt;&gt;"",1+(Skills!X19/10)*(Z563/1000)/100,1)</f>
        <v/>
      </c>
      <c r="J579" t="inlineStr"/>
      <c r="K579" t="inlineStr"/>
      <c r="L579" t="inlineStr"/>
      <c r="M579" t="inlineStr"/>
      <c r="N579" t="inlineStr"/>
      <c r="O579">
        <f>(1-Summary!$B$56)*S579+Summary!$B$56*U579</f>
        <v/>
      </c>
      <c r="P579">
        <f>IF(B601=0,0,O579/B601)</f>
        <v/>
      </c>
      <c r="Q579">
        <f>IFERROR(1/IF(Inputs!$B$38="pvp",15,MAX(0.1,Skills!E19-IF(Skills!F19=TRUE,Inputs!$B$32,0))),0)</f>
        <v/>
      </c>
      <c r="R579">
        <f>IF(AND(Inputs!$B$38&lt;&gt;"pvp",Inputs!$B$43&gt;0),IF(Inputs!$B$43&lt;=0,0,(INT(Inputs!$B$43/IF(Inputs!$B$38="pvp",15,MAX(0.1,Skills!E19-IF(Skills!F19=TRUE,Inputs!$B$32,0))))+1)),0)</f>
        <v/>
      </c>
      <c r="S579" t="n">
        <v>0</v>
      </c>
      <c r="U579" t="n">
        <v>0</v>
      </c>
    </row>
    <row r="580">
      <c r="A580">
        <f>Skills!A20</f>
        <v/>
      </c>
      <c r="B580">
        <f>Skills!B20</f>
        <v/>
      </c>
      <c r="C580">
        <f>TRUE</f>
        <v/>
      </c>
      <c r="D580">
        <f>IF(Skills!C20=1,60+Inputs!$B$25+Inputs!$B$29,IF(Skills!C20=2,90+Inputs!$B$26+Inputs!$B$29,IF(Skills!C20=3,120+Inputs!$B$27+Inputs!$B$29,MAX(0,(Inputs!$B$3-100)*3)+Inputs!$B$28+Inputs!$B$29)))</f>
        <v/>
      </c>
      <c r="E580">
        <f>INDEX(FactorTable!$B$2:$Y$301, MATCH(ROUND(MIN(300,MAX(1,D580)),0), FactorTable!$A$2:$A$301,0), Skills!M20+1)</f>
        <v/>
      </c>
      <c r="F580">
        <f>IF(Skills!N20=TRUE,(Skills!L20/10)*(E580/1000),Skills!L20/10)+Skills!O20</f>
        <v/>
      </c>
      <c r="G580">
        <f>Calc!G20</f>
        <v/>
      </c>
      <c r="H580">
        <f>Calc!H20</f>
        <v/>
      </c>
      <c r="I580">
        <f>IF(Skills!X20&lt;&gt;"",1+(Skills!X20/10)*(Z563/1000)/100,1)</f>
        <v/>
      </c>
      <c r="J580" t="inlineStr"/>
      <c r="K580" t="inlineStr"/>
      <c r="L580" t="inlineStr"/>
      <c r="M580" t="inlineStr"/>
      <c r="N580" t="inlineStr"/>
      <c r="O580">
        <f>(1-Summary!$B$56)*S580+Summary!$B$56*U580</f>
        <v/>
      </c>
      <c r="P580">
        <f>IF(B601=0,0,O580/B601)</f>
        <v/>
      </c>
      <c r="Q580">
        <f>IFERROR(1/IF(Inputs!$B$38="pvp",15,MAX(0.1,Skills!E20-IF(Skills!F20=TRUE,Inputs!$B$32,0))),0)</f>
        <v/>
      </c>
      <c r="R580" t="n">
        <v>0</v>
      </c>
      <c r="S580" t="n">
        <v>0</v>
      </c>
      <c r="U580" t="n">
        <v>0</v>
      </c>
    </row>
    <row r="581">
      <c r="A581">
        <f>Skills!A21</f>
        <v/>
      </c>
      <c r="B581">
        <f>Skills!B21</f>
        <v/>
      </c>
      <c r="C581">
        <f>TRUE</f>
        <v/>
      </c>
      <c r="D581">
        <f>IF(Skills!C21=1,60+Inputs!$B$25+Inputs!$B$29,IF(Skills!C21=2,90+Inputs!$B$26+Inputs!$B$29,IF(Skills!C21=3,120+Inputs!$B$27+Inputs!$B$29,MAX(0,(Inputs!$B$3-100)*3)+Inputs!$B$28+Inputs!$B$29)))</f>
        <v/>
      </c>
      <c r="E581">
        <f>INDEX(FactorTable!$B$2:$Y$301, MATCH(ROUND(MIN(300,MAX(1,D581)),0), FactorTable!$A$2:$A$301,0), Skills!M21+1)</f>
        <v/>
      </c>
      <c r="F581">
        <f>IF(Skills!N21=TRUE,(Skills!L21/10)*(E581/1000),Skills!L21/10)+Skills!O21</f>
        <v/>
      </c>
      <c r="G581">
        <f>Calc!G21</f>
        <v/>
      </c>
      <c r="H581">
        <f>Calc!H21</f>
        <v/>
      </c>
      <c r="I581">
        <f>IF(Skills!X21&lt;&gt;"",1+(Skills!X21/10)*(Z563/1000)/100,1)</f>
        <v/>
      </c>
      <c r="J581" t="inlineStr"/>
      <c r="K581" t="inlineStr"/>
      <c r="L581" t="inlineStr"/>
      <c r="M581" t="inlineStr"/>
      <c r="N581" t="inlineStr"/>
      <c r="O581">
        <f>(1-Summary!$B$56)*S581+Summary!$B$56*U581</f>
        <v/>
      </c>
      <c r="P581">
        <f>IF(B601=0,0,O581/B601)</f>
        <v/>
      </c>
      <c r="Q581">
        <f>IFERROR(1/IF(Inputs!$B$38="pvp",15,MAX(0.1,Skills!E21-IF(Skills!F21=TRUE,Inputs!$B$32,0))),0)</f>
        <v/>
      </c>
      <c r="R581" t="n">
        <v>0</v>
      </c>
      <c r="S581" t="n">
        <v>0</v>
      </c>
      <c r="U581" t="n">
        <v>0</v>
      </c>
    </row>
    <row r="582">
      <c r="A582">
        <f>Skills!A22</f>
        <v/>
      </c>
      <c r="B582">
        <f>Skills!B22</f>
        <v/>
      </c>
      <c r="C582">
        <f>TRUE</f>
        <v/>
      </c>
      <c r="D582">
        <f>IF(Skills!C22=1,60+Inputs!$B$25+Inputs!$B$29,IF(Skills!C22=2,90+Inputs!$B$26+Inputs!$B$29,IF(Skills!C22=3,120+Inputs!$B$27+Inputs!$B$29,MAX(0,(Inputs!$B$3-100)*3)+Inputs!$B$28+Inputs!$B$29)))</f>
        <v/>
      </c>
      <c r="E582">
        <f>INDEX(FactorTable!$B$2:$Y$301, MATCH(ROUND(MIN(300,MAX(1,D582)),0), FactorTable!$A$2:$A$301,0), Skills!M22+1)</f>
        <v/>
      </c>
      <c r="F582">
        <f>IF(Skills!N22=TRUE,(Skills!L22/10)*(E582/1000),Skills!L22/10)+Skills!O22</f>
        <v/>
      </c>
      <c r="G582">
        <f>Calc!G22</f>
        <v/>
      </c>
      <c r="H582">
        <f>Calc!H22</f>
        <v/>
      </c>
      <c r="I582">
        <f>IF(Skills!X22&lt;&gt;"",1+(Skills!X22/10)*(Z563/1000)/100,1)</f>
        <v/>
      </c>
      <c r="J582" t="inlineStr"/>
      <c r="K582" t="inlineStr"/>
      <c r="L582" t="inlineStr"/>
      <c r="M582" t="inlineStr"/>
      <c r="N582" t="inlineStr"/>
      <c r="O582">
        <f>(1-Summary!$B$56)*S582+Summary!$B$56*U582</f>
        <v/>
      </c>
      <c r="P582">
        <f>IF(B601=0,0,O582/B601)</f>
        <v/>
      </c>
      <c r="Q582">
        <f>IFERROR(1/IF(Inputs!$B$38="pvp",15,MAX(0.1,Skills!E22-IF(Skills!F22=TRUE,Inputs!$B$32,0))),0)</f>
        <v/>
      </c>
      <c r="R582" t="n">
        <v>0</v>
      </c>
      <c r="S582" t="n">
        <v>0</v>
      </c>
      <c r="U582" t="n">
        <v>0</v>
      </c>
    </row>
    <row r="583">
      <c r="A583">
        <f>Skills!A23</f>
        <v/>
      </c>
      <c r="B583">
        <f>Skills!B23</f>
        <v/>
      </c>
      <c r="C583">
        <f>TRUE</f>
        <v/>
      </c>
      <c r="D583">
        <f>IF(Skills!C23=1,60+Inputs!$B$25+Inputs!$B$29,IF(Skills!C23=2,90+Inputs!$B$26+Inputs!$B$29,IF(Skills!C23=3,120+Inputs!$B$27+Inputs!$B$29,MAX(0,(Inputs!$B$3-100)*3)+Inputs!$B$28+Inputs!$B$29)))</f>
        <v/>
      </c>
      <c r="E583">
        <f>INDEX(FactorTable!$B$2:$Y$301, MATCH(ROUND(MIN(300,MAX(1,D583)),0), FactorTable!$A$2:$A$301,0), Skills!M23+1)</f>
        <v/>
      </c>
      <c r="F583">
        <f>IF(Skills!N23=TRUE,(Skills!L23/10)*(E583/1000),Skills!L23/10)+Skills!O23</f>
        <v/>
      </c>
      <c r="G583">
        <f>Calc!G23</f>
        <v/>
      </c>
      <c r="H583">
        <f>Calc!H23</f>
        <v/>
      </c>
      <c r="I583">
        <f>IF(Skills!X23&lt;&gt;"",1+(Skills!X23/10)*(Z563/1000)/100,1)</f>
        <v/>
      </c>
      <c r="J583" t="inlineStr"/>
      <c r="K583" t="inlineStr"/>
      <c r="L583" t="inlineStr"/>
      <c r="M583" t="inlineStr"/>
      <c r="N583" t="inlineStr"/>
      <c r="O583">
        <f>(1-Summary!$B$56)*S583+Summary!$B$56*U583</f>
        <v/>
      </c>
      <c r="P583">
        <f>IF(B601=0,0,O583/B601)</f>
        <v/>
      </c>
      <c r="Q583">
        <f>IFERROR(1/IF(Inputs!$B$38="pvp",15,MAX(0.1,Skills!E23-IF(Skills!F23=TRUE,Inputs!$B$32,0))),0)</f>
        <v/>
      </c>
      <c r="R583" t="n">
        <v>0</v>
      </c>
      <c r="S583" t="n">
        <v>0</v>
      </c>
      <c r="U583" t="n">
        <v>0</v>
      </c>
    </row>
    <row r="584">
      <c r="A584">
        <f>Skills!A24</f>
        <v/>
      </c>
      <c r="B584">
        <f>Skills!B24</f>
        <v/>
      </c>
      <c r="C584">
        <f>Inputs!$B$3&gt;=115</f>
        <v/>
      </c>
      <c r="D584">
        <f>IF(Skills!C24=1,60+Inputs!$B$25+Inputs!$B$29,IF(Skills!C24=2,90+Inputs!$B$26+Inputs!$B$29,IF(Skills!C24=3,120+Inputs!$B$27+Inputs!$B$29,MAX(0,(Inputs!$B$3-100)*3)+Inputs!$B$28+Inputs!$B$29)))</f>
        <v/>
      </c>
      <c r="E584">
        <f>INDEX(FactorTable!$B$2:$Y$301, MATCH(ROUND(MIN(300,MAX(1,D584)),0), FactorTable!$A$2:$A$301,0), Skills!M24+1)</f>
        <v/>
      </c>
      <c r="F584">
        <f>IF(Skills!N24=TRUE,(Skills!L24/10)*(E584/1000),Skills!L24/10)+Skills!O24</f>
        <v/>
      </c>
      <c r="G584">
        <f>Calc!G24</f>
        <v/>
      </c>
      <c r="H584">
        <f>Calc!H24</f>
        <v/>
      </c>
      <c r="I584">
        <f>IF(Skills!X24&lt;&gt;"",1+(Skills!X24/10)*(Z563/1000)/100,1)</f>
        <v/>
      </c>
      <c r="J584">
        <f>((Inputs!$B$6*(1+Inputs!$B$7/100))+(((Inputs!$B$12*(1+Inputs!$B$13/100))-(Inputs!$B$12*(1+Inputs!$B$13/100)))+0.25*(Inputs!$B$14-Inputs!$B$14))*(1+Inputs!$B$7/100))*(F584/100)</f>
        <v/>
      </c>
      <c r="K584">
        <f>J584*(1+((Inputs!$B$12*(1+Inputs!$B$13/100))*0.01+Inputs!$B$14*0.0025)/100)*(1+Inputs!$B$15/100)*(1+Inputs!$B$16/100)*(5000/(6000+Inputs!$B$42*(1-((1-(1-Inputs!$B$19/100)*(1-1/100))*100)/100)))*(1+Inputs!$B$24/100)*(1+F583/100)*(1+IF(Inputs!$B$3&gt;=120,F586,0)/100)^5*(1+(IF(Skills!A24="BASIC_ATTACK",Inputs!$B$17,Inputs!$B$18+IF(Inputs!$B$3&gt;=125,F587*5,0)))/100)*(B590*B591*B592*I584)</f>
        <v/>
      </c>
      <c r="L584">
        <f>K584*(MIN(Inputs!$B$22+(F582-Calc!F22),Inputs!$B$23)/100+Inputs!$B$23/100)/2</f>
        <v/>
      </c>
      <c r="M584">
        <f>L584*(1+(Inputs!$B$10+(F581-Calc!F21))/100)</f>
        <v/>
      </c>
      <c r="N584">
        <f>L584*(1-MIN(Inputs!$B$9+(F580-Calc!F20),100)/100)+M584*(MIN(Inputs!$B$9+(F580-Calc!F20),100)/100)</f>
        <v/>
      </c>
      <c r="O584">
        <f>(1-Summary!$B$56)*S584+Summary!$B$56*U584</f>
        <v/>
      </c>
      <c r="P584">
        <f>IF(B601=0,0,O584/B601)</f>
        <v/>
      </c>
      <c r="Q584">
        <f>IFERROR(1/IF(Inputs!$B$38="pvp",15,MAX(0.1,Skills!E24-IF(Skills!F24=TRUE,Inputs!$B$32,0))),0)</f>
        <v/>
      </c>
      <c r="R584">
        <f>IF(AND(Inputs!$B$38&lt;&gt;"pvp",Inputs!$B$43&gt;0),IF(MAX(0,Inputs!$B$43-B598)&lt;=0,0,(INT(MAX(0,Inputs!$B$43-B598)/IF(Inputs!$B$38="pvp",15,MAX(0.1,Skills!E24-IF(Skills!F24=TRUE,Inputs!$B$32,0))))+1)),0)</f>
        <v/>
      </c>
      <c r="S584">
        <f>IF(C584,(H584*N584*IF(AND(Inputs!$B$38&lt;&gt;"pvp",Inputs!$B$43&gt;0),((Skills!G24*((R584-1)*IF(Skills!H24&gt;0,Skills!I24/Skills!H24,1)+IF(Skills!H24&gt;0,MIN(Skills!I24,MAX(0,MAX(0,Inputs!$B$43-B598)-((R584-1)*IF(Inputs!$B$38="pvp",15,MAX(0.1,Skills!E24-IF(Skills!F24=TRUE,Inputs!$B$32,0))))))/Skills!H24,1)))/Inputs!$B$43),G584*Q584)*(1+IF(Inputs!$B$3&gt;=130,0.2*(Skills!I16/Skills!E15+IF(Inputs!$B$3&gt;=126,0.05*(B596+Q573+(H574*B597)/(1+Skills!H14*H574*B597)+Q584),0)*Skills!I16),0)))*IF(Inputs!$B$38="pvp",1,1+(Inputs!$B$20+Skills!P24)/100),0)</f>
        <v/>
      </c>
      <c r="U584">
        <f>IF(C584,(H584*N584*IF(AND(Inputs!$B$38&lt;&gt;"pvp",Inputs!$B$43&gt;0),((Skills!G24*((R584-1)*IF(Skills!H24&gt;0,Skills!I24/Skills!H24,1)+IF(Skills!H24&gt;0,MIN(Skills!I24,MAX(0,MAX(0,Inputs!$B$43-B598)-((R584-1)*IF(Inputs!$B$38="pvp",15,MAX(0.1,Skills!E24-IF(Skills!F24=TRUE,Inputs!$B$32,0))))))/Skills!H24,1)))/Inputs!$B$43),G584*Q584)*(1+IF(Inputs!$B$3&gt;=130,0.2*(Skills!I16/Skills!E15+IF(Inputs!$B$3&gt;=126,0.05*(B596+Q573+(H574*B597)/(1+Skills!H14*H574*B597)+Q584),0)*Skills!I16),0)))*IF(Inputs!$B$38="pvp",1,(1+(Inputs!$B$21+Skills!Q24)/100)*(MIN(Skills!R24,Inputs!$B$37))),0)</f>
        <v/>
      </c>
    </row>
    <row r="585">
      <c r="A585">
        <f>Skills!A25</f>
        <v/>
      </c>
      <c r="B585">
        <f>Skills!B25</f>
        <v/>
      </c>
      <c r="C585">
        <f>Inputs!$B$3&gt;=117</f>
        <v/>
      </c>
      <c r="D585">
        <f>IF(Skills!C25=1,60+Inputs!$B$25+Inputs!$B$29,IF(Skills!C25=2,90+Inputs!$B$26+Inputs!$B$29,IF(Skills!C25=3,120+Inputs!$B$27+Inputs!$B$29,MAX(0,(Inputs!$B$3-100)*3)+Inputs!$B$28+Inputs!$B$29)))</f>
        <v/>
      </c>
      <c r="E585">
        <f>INDEX(FactorTable!$B$2:$Y$301, MATCH(ROUND(MIN(300,MAX(1,D585)),0), FactorTable!$A$2:$A$301,0), Skills!M25+1)</f>
        <v/>
      </c>
      <c r="F585">
        <f>IF(Skills!N25=TRUE,(Skills!L25/10)*(E585/1000),Skills!L25/10)+Skills!O25</f>
        <v/>
      </c>
      <c r="G585">
        <f>Calc!G25</f>
        <v/>
      </c>
      <c r="H585">
        <f>Calc!H25</f>
        <v/>
      </c>
      <c r="I585">
        <f>IF(Skills!X25&lt;&gt;"",1+(Skills!X25/10)*(Z563/1000)/100,1)</f>
        <v/>
      </c>
      <c r="J585" t="inlineStr"/>
      <c r="K585" t="inlineStr"/>
      <c r="L585" t="inlineStr"/>
      <c r="M585" t="inlineStr"/>
      <c r="N585" t="inlineStr"/>
      <c r="O585">
        <f>(1-Summary!$B$56)*S585+Summary!$B$56*U585</f>
        <v/>
      </c>
      <c r="P585">
        <f>IF(B601=0,0,O585/B601)</f>
        <v/>
      </c>
      <c r="Q585">
        <f>IFERROR(1/IF(Inputs!$B$38="pvp",15,MAX(0.1,Skills!E25-IF(Skills!F25=TRUE,Inputs!$B$32,0))),0)</f>
        <v/>
      </c>
      <c r="R585" t="n">
        <v>0</v>
      </c>
      <c r="S585" t="n">
        <v>0</v>
      </c>
      <c r="U585" t="n">
        <v>0</v>
      </c>
    </row>
    <row r="586">
      <c r="A586">
        <f>Skills!A26</f>
        <v/>
      </c>
      <c r="B586">
        <f>Skills!B26</f>
        <v/>
      </c>
      <c r="C586">
        <f>Inputs!$B$3&gt;=120</f>
        <v/>
      </c>
      <c r="D586">
        <f>IF(Skills!C26=1,60+Inputs!$B$25+Inputs!$B$29,IF(Skills!C26=2,90+Inputs!$B$26+Inputs!$B$29,IF(Skills!C26=3,120+Inputs!$B$27+Inputs!$B$29,MAX(0,(Inputs!$B$3-100)*3)+Inputs!$B$28+Inputs!$B$29)))</f>
        <v/>
      </c>
      <c r="E586">
        <f>INDEX(FactorTable!$B$2:$Y$301, MATCH(ROUND(MIN(300,MAX(1,D586)),0), FactorTable!$A$2:$A$301,0), Skills!M26+1)</f>
        <v/>
      </c>
      <c r="F586">
        <f>IF(Skills!N26=TRUE,(Skills!L26/10)*(E586/1000),Skills!L26/10)+Skills!O26</f>
        <v/>
      </c>
      <c r="G586">
        <f>Calc!G26</f>
        <v/>
      </c>
      <c r="H586">
        <f>Calc!H26</f>
        <v/>
      </c>
      <c r="I586">
        <f>IF(Skills!X26&lt;&gt;"",1+(Skills!X26/10)*(Z563/1000)/100,1)</f>
        <v/>
      </c>
      <c r="J586" t="inlineStr"/>
      <c r="K586" t="inlineStr"/>
      <c r="L586" t="inlineStr"/>
      <c r="M586" t="inlineStr"/>
      <c r="N586" t="inlineStr"/>
      <c r="O586">
        <f>(1-Summary!$B$56)*S586+Summary!$B$56*U586</f>
        <v/>
      </c>
      <c r="P586">
        <f>IF(B601=0,0,O586/B601)</f>
        <v/>
      </c>
      <c r="Q586">
        <f>IFERROR(1/IF(Inputs!$B$38="pvp",15,MAX(0.1,Skills!E26-IF(Skills!F26=TRUE,Inputs!$B$32,0))),0)</f>
        <v/>
      </c>
      <c r="R586" t="n">
        <v>0</v>
      </c>
      <c r="S586" t="n">
        <v>0</v>
      </c>
      <c r="U586" t="n">
        <v>0</v>
      </c>
    </row>
    <row r="587">
      <c r="A587">
        <f>Skills!A27</f>
        <v/>
      </c>
      <c r="B587">
        <f>Skills!B27</f>
        <v/>
      </c>
      <c r="C587">
        <f>Inputs!$B$3&gt;=125</f>
        <v/>
      </c>
      <c r="D587">
        <f>IF(Skills!C27=1,60+Inputs!$B$25+Inputs!$B$29,IF(Skills!C27=2,90+Inputs!$B$26+Inputs!$B$29,IF(Skills!C27=3,120+Inputs!$B$27+Inputs!$B$29,MAX(0,(Inputs!$B$3-100)*3)+Inputs!$B$28+Inputs!$B$29)))</f>
        <v/>
      </c>
      <c r="E587">
        <f>INDEX(FactorTable!$B$2:$Y$301, MATCH(ROUND(MIN(300,MAX(1,D587)),0), FactorTable!$A$2:$A$301,0), Skills!M27+1)</f>
        <v/>
      </c>
      <c r="F587">
        <f>IF(Skills!N27=TRUE,(Skills!L27/10)*(E587/1000),Skills!L27/10)+Skills!O27</f>
        <v/>
      </c>
      <c r="G587">
        <f>Calc!G27</f>
        <v/>
      </c>
      <c r="H587">
        <f>Calc!H27</f>
        <v/>
      </c>
      <c r="I587">
        <f>IF(Skills!X27&lt;&gt;"",1+(Skills!X27/10)*(Z563/1000)/100,1)</f>
        <v/>
      </c>
      <c r="J587" t="inlineStr"/>
      <c r="K587" t="inlineStr"/>
      <c r="L587" t="inlineStr"/>
      <c r="M587" t="inlineStr"/>
      <c r="N587" t="inlineStr"/>
      <c r="O587">
        <f>(1-Summary!$B$56)*S587+Summary!$B$56*U587</f>
        <v/>
      </c>
      <c r="P587">
        <f>IF(B601=0,0,O587/B601)</f>
        <v/>
      </c>
      <c r="Q587">
        <f>IFERROR(1/IF(Inputs!$B$38="pvp",15,MAX(0.1,Skills!E27-IF(Skills!F27=TRUE,Inputs!$B$32,0))),0)</f>
        <v/>
      </c>
      <c r="R587" t="n">
        <v>0</v>
      </c>
      <c r="S587" t="n">
        <v>0</v>
      </c>
      <c r="U587" t="n">
        <v>0</v>
      </c>
    </row>
    <row r="588">
      <c r="A588">
        <f>Skills!A28</f>
        <v/>
      </c>
      <c r="B588">
        <f>Skills!B28</f>
        <v/>
      </c>
      <c r="C588">
        <f>Inputs!$B$3&gt;=118</f>
        <v/>
      </c>
      <c r="D588">
        <f>IF(Skills!C28=1,60+Inputs!$B$25+Inputs!$B$29,IF(Skills!C28=2,90+Inputs!$B$26+Inputs!$B$29,IF(Skills!C28=3,120+Inputs!$B$27+Inputs!$B$29,MAX(0,(Inputs!$B$3-100)*3)+Inputs!$B$28+Inputs!$B$29)))</f>
        <v/>
      </c>
      <c r="E588">
        <f>INDEX(FactorTable!$B$2:$Y$301, MATCH(ROUND(MIN(300,MAX(1,D588)),0), FactorTable!$A$2:$A$301,0), Skills!M28+1)</f>
        <v/>
      </c>
      <c r="F588">
        <f>IF(Skills!N28=TRUE,(Skills!L28/10)*(E588/1000),Skills!L28/10)+Skills!O28</f>
        <v/>
      </c>
      <c r="G588">
        <f>Calc!G28</f>
        <v/>
      </c>
      <c r="H588">
        <f>Calc!H28</f>
        <v/>
      </c>
      <c r="I588">
        <f>IF(Skills!X28&lt;&gt;"",1+(Skills!X28/10)*(Z563/1000)/100,1)</f>
        <v/>
      </c>
      <c r="J588">
        <f>((Inputs!$B$6*(1+Inputs!$B$7/100))+(((Inputs!$B$12*(1+Inputs!$B$13/100))-(Inputs!$B$12*(1+Inputs!$B$13/100)))+0.25*(Inputs!$B$14-Inputs!$B$14))*(1+Inputs!$B$7/100))*(F588/100)</f>
        <v/>
      </c>
      <c r="K588">
        <f>J588*(1+((Inputs!$B$12*(1+Inputs!$B$13/100))*0.01+Inputs!$B$14*0.0025)/100)*(1+Inputs!$B$15/100)*(1+Inputs!$B$16/100)*(5000/(6000+Inputs!$B$42*(1-((1-(1-Inputs!$B$19/100)*(1-1/100))*100)/100)))*(1+Inputs!$B$24/100)*(1+F583/100)*(1+IF(Inputs!$B$3&gt;=120,F586,0)/100)^5*(1+(IF(Skills!A28="BASIC_ATTACK",Inputs!$B$17,Inputs!$B$18+IF(Inputs!$B$3&gt;=125,F587*5,0)))/100)*(B590*B591*B592*I588)</f>
        <v/>
      </c>
      <c r="L588">
        <f>K588*(MIN(Inputs!$B$22+(F582-Calc!F22),Inputs!$B$23)/100+Inputs!$B$23/100)/2</f>
        <v/>
      </c>
      <c r="M588">
        <f>L588*(1+(Inputs!$B$10+(F581-Calc!F21))/100)</f>
        <v/>
      </c>
      <c r="N588">
        <f>L588*(1-MIN(Inputs!$B$9+(F580-Calc!F20),100)/100)+M588*(MIN(Inputs!$B$9+(F580-Calc!F20),100)/100)</f>
        <v/>
      </c>
      <c r="O588">
        <f>(1-Summary!$B$56)*S588+Summary!$B$56*U588</f>
        <v/>
      </c>
      <c r="P588">
        <f>IF(B601=0,0,O588/B601)</f>
        <v/>
      </c>
      <c r="Q588">
        <f>IFERROR(1/IF(Inputs!$B$38="pvp",15,MAX(0.1,Skills!E28-IF(Skills!F28=TRUE,Inputs!$B$32,0))),0)</f>
        <v/>
      </c>
      <c r="R588">
        <f>IF(AND(Inputs!$B$38&lt;&gt;"pvp",Inputs!$B$43&gt;0),IF(MAX(0,Inputs!$B$43-B598)&lt;=0,0,(INT(MAX(0,Inputs!$B$43-B598)/IF(Inputs!$B$38="pvp",15,MAX(0.1,Skills!E28-IF(Skills!F28=TRUE,Inputs!$B$32,0))))+1)),0)</f>
        <v/>
      </c>
      <c r="S588">
        <f>IF(C588,(H588*N588*IF(AND(Inputs!$B$38&lt;&gt;"pvp",Inputs!$B$43&gt;0),((Skills!G28*((R588-1)*IF(Skills!H28&gt;0,Skills!I28/Skills!H28,1)+IF(Skills!H28&gt;0,MIN(Skills!I28,MAX(0,MAX(0,Inputs!$B$43-B598)-((R588-1)*IF(Inputs!$B$38="pvp",15,MAX(0.1,Skills!E28-IF(Skills!F28=TRUE,Inputs!$B$32,0))))))/Skills!H28,1)))/Inputs!$B$43),G588*Q588))*IF(Inputs!$B$38="pvp",1,1+(Inputs!$B$20+Skills!P28)/100),0)</f>
        <v/>
      </c>
      <c r="U588">
        <f>IF(C588,(H588*N588*IF(AND(Inputs!$B$38&lt;&gt;"pvp",Inputs!$B$43&gt;0),((Skills!G28*((R588-1)*IF(Skills!H28&gt;0,Skills!I28/Skills!H28,1)+IF(Skills!H28&gt;0,MIN(Skills!I28,MAX(0,MAX(0,Inputs!$B$43-B598)-((R588-1)*IF(Inputs!$B$38="pvp",15,MAX(0.1,Skills!E28-IF(Skills!F28=TRUE,Inputs!$B$32,0))))))/Skills!H28,1)))/Inputs!$B$43),G588*Q588))*IF(Inputs!$B$38="pvp",1,(1+(Inputs!$B$21+Skills!Q28)/100)*(MIN(Skills!R28,Inputs!$B$37))),0)</f>
        <v/>
      </c>
    </row>
    <row r="590">
      <c r="A590" t="inlineStr">
        <is>
          <t>Burning Magic Multiplier</t>
        </is>
      </c>
      <c r="B590">
        <f>1+(F571*Skills!Z11)/100</f>
        <v/>
      </c>
    </row>
    <row r="591">
      <c r="A591" t="inlineStr">
        <is>
          <t>Elemental Decrease Multiplier (always-on)</t>
        </is>
      </c>
      <c r="B591">
        <f>1+F572/100</f>
        <v/>
      </c>
    </row>
    <row r="592">
      <c r="A592" t="inlineStr">
        <is>
          <t>Average Buff Multiplier (Magic Guard + Meditation, summed; then Infinity)</t>
        </is>
      </c>
      <c r="B592">
        <f>(1+(F566*IF(AND(Inputs!$B$38&lt;&gt;"pvp",Inputs!$B$43&gt;0),(((R566-1)*(Skills!T6*(1+(Inputs!$B$34+IF(Inputs!$B$3&gt;=117,F585,0))/100))+MIN((Skills!T6*(1+(Inputs!$B$34+IF(Inputs!$B$3&gt;=117,F585,0))/100)),MAX(0,Inputs!$B$43-((R566-1)*Skills!E6))))/Inputs!$B$43),IF(Inputs!$B$38="pvp",MIN((Skills!T6*(1+(Inputs!$B$34+IF(Inputs!$B$3&gt;=117,F585,0))/100)),15)/15,(Skills!T6*(1+(Inputs!$B$34+IF(Inputs!$B$3&gt;=117,F585,0))/100))/Skills!E6))+F577*IF(AND(Inputs!$B$38&lt;&gt;"pvp",Inputs!$B$43&gt;0),(((R577-1)*(Skills!T17*(1+(Inputs!$B$34+IF(Inputs!$B$3&gt;=117,F585,0))/100))+MIN((Skills!T17*(1+(Inputs!$B$34+IF(Inputs!$B$3&gt;=117,F585,0))/100)),MAX(0,Inputs!$B$43-((R577-1)*Skills!E17))))/Inputs!$B$43),IF(Inputs!$B$38="pvp",MIN((Skills!T17*(1+(Inputs!$B$34+IF(Inputs!$B$3&gt;=117,F585,0))/100)),15)/15,(Skills!T17*(1+(Inputs!$B$34+IF(Inputs!$B$3&gt;=117,F585,0))/100))/Skills!E17)))/100)*IF(C579=TRUE,(1+F579*IF(AND(Inputs!$B$38&lt;&gt;"pvp",Inputs!$B$43&gt;0),(((R579-1)*(Skills!T19*(1+(Inputs!$B$34+IF(Inputs!$B$3&gt;=117,F585,0))/100))+MIN((Skills!T19*(1+(Inputs!$B$34+IF(Inputs!$B$3&gt;=117,F585,0))/100)),MAX(0,Inputs!$B$43-((R579-1)*Skills!E19))))/Inputs!$B$43),IF(Inputs!$B$38="pvp",MIN((Skills!T19*(1+(Inputs!$B$34+IF(Inputs!$B$3&gt;=117,F585,0))/100)),15)/15,(Skills!T19*(1+(Inputs!$B$34+IF(Inputs!$B$3&gt;=117,F585,0))/100))/Skills!E19))/100),1)</f>
        <v/>
      </c>
    </row>
    <row r="593">
      <c r="A593" t="inlineStr">
        <is>
          <t>Attack Speed Buff Bonus % (Nimble Feet, averaged)</t>
        </is>
      </c>
      <c r="B593">
        <f>F578*IF(AND(Inputs!$B$38&lt;&gt;"pvp",Inputs!$B$43&gt;0),(((R578-1)*(Skills!T18*(1+(Inputs!$B$34+IF(Inputs!$B$3&gt;=117,F585,0))/100))+MIN((Skills!T18*(1+(Inputs!$B$34+IF(Inputs!$B$3&gt;=117,F585,0))/100)),MAX(0,Inputs!$B$43-((R578-1)*Skills!E18))))/Inputs!$B$43),IF(Inputs!$B$38="pvp",MIN((Skills!T18*(1+(Inputs!$B$34+IF(Inputs!$B$3&gt;=117,F585,0))/100)),15)/15,(Skills!T18*(1+(Inputs!$B$34+IF(Inputs!$B$3&gt;=117,F585,0))/100))/Skills!E18))</f>
        <v/>
      </c>
    </row>
    <row r="594">
      <c r="A594" t="inlineStr">
        <is>
          <t>Actions Per Second</t>
        </is>
      </c>
      <c r="B594">
        <f>1+MIN(150,150*(1-(1-Inputs!$B$11/150)*(1-B593/150)))/100</f>
        <v/>
      </c>
    </row>
    <row r="595">
      <c r="A595" t="inlineStr">
        <is>
          <t>Skill + Buff Cast Rate</t>
        </is>
      </c>
      <c r="B595">
        <f>IF(AND(Inputs!$B$38&lt;&gt;"pvp",Inputs!$B$43&gt;0),SUMPRODUCT((Skills!F2:F28=TRUE)*(C562:C588=TRUE)*R562:R588)/Inputs!$B$43,SUMPRODUCT((Skills!F2:F28=TRUE)*(C562:C588=TRUE)*Q562:Q588))</f>
        <v/>
      </c>
    </row>
    <row r="596">
      <c r="A596" t="inlineStr">
        <is>
          <t>Basic Attacks Per Second</t>
        </is>
      </c>
      <c r="B596">
        <f>MAX(0,B594-B595)</f>
        <v/>
      </c>
    </row>
    <row r="597">
      <c r="A597" t="inlineStr">
        <is>
          <t>Meteor Proc — combined trigger cast rate</t>
        </is>
      </c>
      <c r="B597">
        <f>IF(AND(Inputs!$B$38&lt;&gt;"pvp",Inputs!$B$43&gt;0),SUMPRODUCT((Skills!V2:V28=TRUE)*(C562:C588=TRUE)*R562:R588*Skills!W2:W28)/Inputs!$B$43,SUMPRODUCT((Skills!V2:V28=TRUE)*(C562:C588=TRUE)*Q562:Q588*Skills!W2:W28))+B596</f>
        <v/>
      </c>
    </row>
    <row r="598">
      <c r="A598" t="inlineStr">
        <is>
          <t>Buff-Casting Startup Delay (s, fixed-duration only)</t>
        </is>
      </c>
      <c r="B598">
        <f>IF(AND(Inputs!$B$38&lt;&gt;"pvp",Inputs!$B$43&gt;0),SUMPRODUCT((Skills!T2:T28&gt;0)*(Skills!F2:F28=TRUE)*(C562:C588=TRUE))/B594,0)</f>
        <v/>
      </c>
    </row>
    <row r="599">
      <c r="A599" t="inlineStr">
        <is>
          <t>Boss-Only Total DPS (this block's swept value)</t>
        </is>
      </c>
      <c r="B599">
        <f>SUM(S562:S588)</f>
        <v/>
      </c>
    </row>
    <row r="600">
      <c r="A600" t="inlineStr">
        <is>
          <t>Normal-Only Total DPS (this block's swept value)</t>
        </is>
      </c>
      <c r="B600">
        <f>SUM(U562:U588)</f>
        <v/>
      </c>
    </row>
    <row r="601">
      <c r="A601" s="5" t="inlineStr">
        <is>
          <t>TOTAL DPS</t>
        </is>
      </c>
      <c r="B601" s="5">
        <f>SUM(O562:O588)</f>
        <v/>
      </c>
    </row>
    <row r="604">
      <c r="A604" s="5" t="inlineStr">
        <is>
          <t>Stat: BASIC_ATTACK_DAMAGE %</t>
        </is>
      </c>
    </row>
    <row r="605">
      <c r="A605" s="9" t="inlineStr">
        <is>
          <t>Key</t>
        </is>
      </c>
      <c r="B605" s="9" t="inlineStr">
        <is>
          <t>Name</t>
        </is>
      </c>
      <c r="C605" s="9" t="inlineStr">
        <is>
          <t>Unlocked</t>
        </is>
      </c>
      <c r="D605" s="9" t="inlineStr">
        <is>
          <t>InputLevel</t>
        </is>
      </c>
      <c r="E605" s="9" t="inlineStr">
        <is>
          <t>Factor</t>
        </is>
      </c>
      <c r="F605" s="9" t="inlineStr">
        <is>
          <t>CoefficientPercent</t>
        </is>
      </c>
      <c r="G605" s="9" t="inlineStr">
        <is>
          <t>EffectiveHits</t>
        </is>
      </c>
      <c r="H605" s="9" t="inlineStr">
        <is>
          <t>ProcProbability</t>
        </is>
      </c>
      <c r="I605" s="9" t="inlineStr">
        <is>
          <t>MapleHeroMultiplier</t>
        </is>
      </c>
      <c r="J605" s="9" t="inlineStr">
        <is>
          <t>BaseDamage</t>
        </is>
      </c>
      <c r="K605" s="9" t="inlineStr">
        <is>
          <t>BaseHitDamage</t>
        </is>
      </c>
      <c r="L605" s="9" t="inlineStr">
        <is>
          <t>NonCritAvg</t>
        </is>
      </c>
      <c r="M605" s="9" t="inlineStr">
        <is>
          <t>CritAvg</t>
        </is>
      </c>
      <c r="N605" s="9" t="inlineStr">
        <is>
          <t>ExpectedDamage(perHit)</t>
        </is>
      </c>
      <c r="O605" s="9" t="inlineStr">
        <is>
          <t>DPS</t>
        </is>
      </c>
      <c r="P605" s="9" t="inlineStr">
        <is>
          <t>% of Total</t>
        </is>
      </c>
      <c r="R605" t="inlineStr">
        <is>
          <t>helpers</t>
        </is>
      </c>
    </row>
    <row r="606">
      <c r="A606">
        <f>Skills!A2</f>
        <v/>
      </c>
      <c r="B606">
        <f>Skills!B2</f>
        <v/>
      </c>
      <c r="C606">
        <f>TRUE</f>
        <v/>
      </c>
      <c r="D606" t="inlineStr"/>
      <c r="E606" t="inlineStr"/>
      <c r="F606">
        <f>T608+Skills!O2</f>
        <v/>
      </c>
      <c r="G606">
        <f>Calc!G2</f>
        <v/>
      </c>
      <c r="H606">
        <f>Calc!H2</f>
        <v/>
      </c>
      <c r="I606">
        <f>IF(Skills!X2&lt;&gt;"",1+(Skills!X2/10)*(Z607/1000)/100,1)</f>
        <v/>
      </c>
      <c r="J606">
        <f>((Inputs!$B$6*(1+Inputs!$B$7/100))+(((Inputs!$B$12*(1+Inputs!$B$13/100))-(Inputs!$B$12*(1+Inputs!$B$13/100)))+0.25*(Inputs!$B$14-Inputs!$B$14))*(1+Inputs!$B$7/100))*(F606/100)</f>
        <v/>
      </c>
      <c r="K606">
        <f>J606*(1+((Inputs!$B$12*(1+Inputs!$B$13/100))*0.01+Inputs!$B$14*0.0025)/100)*(1+Inputs!$B$15/100)*(1+Inputs!$B$16/100)*(5000/(6000+Inputs!$B$42*(1-Inputs!$B$19/100)))*(1+Inputs!$B$24/100)*(1+F627/100)*(1+IF(Inputs!$B$3&gt;=120,F630,0)/100)^5*(1+(IF(Skills!A2="BASIC_ATTACK",(Inputs!$B$17+1),Inputs!$B$18+IF(Inputs!$B$3&gt;=125,F631*5,0)))/100)*(B634*B635*B636*I606)</f>
        <v/>
      </c>
      <c r="L606">
        <f>K606*(MIN(Inputs!$B$22+(F626-Calc!F22),Inputs!$B$23)/100+Inputs!$B$23/100)/2</f>
        <v/>
      </c>
      <c r="M606">
        <f>L606*(1+(Inputs!$B$10+(F625-Calc!F21))/100)</f>
        <v/>
      </c>
      <c r="N606">
        <f>L606*(1-MIN(Inputs!$B$9+(F624-Calc!F20),100)/100)+M606*(MIN(Inputs!$B$9+(F624-Calc!F20),100)/100)</f>
        <v/>
      </c>
      <c r="O606">
        <f>(1-Summary!$B$56)*S606+Summary!$B$56*U606</f>
        <v/>
      </c>
      <c r="P606">
        <f>IF(B645=0,0,O606/B645)</f>
        <v/>
      </c>
      <c r="Q606">
        <f>IFERROR(1/IF(Inputs!$B$38="pvp",15,MAX(0.1,Skills!E2-IF(Skills!F2=TRUE,Inputs!$B$32,0))),0)</f>
        <v/>
      </c>
      <c r="R606" t="n">
        <v>0</v>
      </c>
      <c r="S606">
        <f>(Skills!G2*N606*B640)*IF(Inputs!$B$38="pvp",1,1+(Inputs!$B$20+Skills!P2)/100)</f>
        <v/>
      </c>
      <c r="T606">
        <f>MAX(0,(Inputs!$B$3-100)*3)+Inputs!$B$28+Inputs!$B$29</f>
        <v/>
      </c>
      <c r="U606">
        <f>(Skills!G2*N606*B640)*IF(Inputs!$B$38="pvp",1,(1+(Inputs!$B$21+Skills!Q2)/100)*(MIN((6+Inputs!$B$33+IF(Inputs!$B$3&gt;=136,1,0)),Inputs!$B$37)))</f>
        <v/>
      </c>
      <c r="Z606">
        <f>MAX(0,(Inputs!$B$3-100)*3)+Inputs!$B$28+Inputs!$B$29</f>
        <v/>
      </c>
    </row>
    <row r="607">
      <c r="A607">
        <f>Skills!A3</f>
        <v/>
      </c>
      <c r="B607">
        <f>Skills!B3</f>
        <v/>
      </c>
      <c r="C607">
        <f>TRUE</f>
        <v/>
      </c>
      <c r="D607">
        <f>IF(Skills!C3=1,60+Inputs!$B$25+Inputs!$B$29,IF(Skills!C3=2,90+Inputs!$B$26+Inputs!$B$29,IF(Skills!C3=3,120+Inputs!$B$27+Inputs!$B$29,MAX(0,(Inputs!$B$3-100)*3)+Inputs!$B$28+Inputs!$B$29)))</f>
        <v/>
      </c>
      <c r="E607">
        <f>INDEX(FactorTable!$B$2:$Y$301, MATCH(ROUND(MIN(300,MAX(1,D607)),0), FactorTable!$A$2:$A$301,0), Skills!M3+1)</f>
        <v/>
      </c>
      <c r="F607">
        <f>IF(Skills!N3=TRUE,(Skills!L3/10)*(E607/1000),Skills!L3/10)+Skills!O3</f>
        <v/>
      </c>
      <c r="G607">
        <f>Calc!G3</f>
        <v/>
      </c>
      <c r="H607">
        <f>Calc!H3</f>
        <v/>
      </c>
      <c r="I607">
        <f>IF(Skills!X3&lt;&gt;"",1+(Skills!X3/10)*(Z607/1000)/100,1)</f>
        <v/>
      </c>
      <c r="J607">
        <f>((Inputs!$B$6*(1+Inputs!$B$7/100))+(((Inputs!$B$12*(1+Inputs!$B$13/100))-(Inputs!$B$12*(1+Inputs!$B$13/100)))+0.25*(Inputs!$B$14-Inputs!$B$14))*(1+Inputs!$B$7/100))*(F607/100)</f>
        <v/>
      </c>
      <c r="K607">
        <f>J607*(1+((Inputs!$B$12*(1+Inputs!$B$13/100))*0.01+Inputs!$B$14*0.0025)/100)*(1+Inputs!$B$15/100)*(1+Inputs!$B$16/100)*(5000/(6000+Inputs!$B$42*(1-Inputs!$B$19/100)))*(1+Inputs!$B$24/100)*(1+F627/100)*(1+IF(Inputs!$B$3&gt;=120,F630,0)/100)^5*(1+(IF(Skills!A3="BASIC_ATTACK",(Inputs!$B$17+1),Inputs!$B$18+IF(Inputs!$B$3&gt;=125,F631*5,0)))/100)*(B634*B635*B636*I607)</f>
        <v/>
      </c>
      <c r="L607">
        <f>K607*(MIN(Inputs!$B$22+(F626-Calc!F22),Inputs!$B$23)/100+Inputs!$B$23/100)/2</f>
        <v/>
      </c>
      <c r="M607">
        <f>L607*(1+(Inputs!$B$10+(F625-Calc!F21))/100)</f>
        <v/>
      </c>
      <c r="N607">
        <f>L607*(1-MIN(Inputs!$B$9+(F624-Calc!F20),100)/100)+M607*(MIN(Inputs!$B$9+(F624-Calc!F20),100)/100)</f>
        <v/>
      </c>
      <c r="O607">
        <f>(1-Summary!$B$56)*S607+Summary!$B$56*U607</f>
        <v/>
      </c>
      <c r="P607">
        <f>IF(B645=0,0,O607/B645)</f>
        <v/>
      </c>
      <c r="Q607">
        <f>IFERROR(1/IF(Inputs!$B$38="pvp",15,MAX(0.1,Skills!E3-IF(Skills!F3=TRUE,Inputs!$B$32,0))),0)</f>
        <v/>
      </c>
      <c r="R607">
        <f>IF(AND(Inputs!$B$38&lt;&gt;"pvp",Inputs!$B$43&gt;0),IF(MAX(0,Inputs!$B$43-B642)&lt;=0,0,(INT(MAX(0,Inputs!$B$43-B642)/IF(Inputs!$B$38="pvp",15,MAX(0.1,Skills!E3-IF(Skills!F3=TRUE,Inputs!$B$32,0))))+1)),0)</f>
        <v/>
      </c>
      <c r="S607">
        <f>IF(C607,(H607*N607*IF(AND(Inputs!$B$38&lt;&gt;"pvp",Inputs!$B$43&gt;0),((Skills!G3*((R607-1)*IF(Skills!H3&gt;0,Skills!I3/Skills!H3,1)+IF(Skills!H3&gt;0,MIN(Skills!I3,MAX(0,MAX(0,Inputs!$B$43-B642)-((R607-1)*IF(Inputs!$B$38="pvp",15,MAX(0.1,Skills!E3-IF(Skills!F3=TRUE,Inputs!$B$32,0))))))/Skills!H3,1)))/Inputs!$B$43),G607*Q607))*IF(Inputs!$B$38="pvp",1,1+(Inputs!$B$20+Skills!P3)/100),0)</f>
        <v/>
      </c>
      <c r="T607">
        <f>INDEX(FactorTable!$B$2:$Y$301, MATCH(ROUND(MIN(300,MAX(1,T606)),0), FactorTable!$A$2:$A$301,0), 22)</f>
        <v/>
      </c>
      <c r="U607">
        <f>IF(C607,(H607*N607*IF(AND(Inputs!$B$38&lt;&gt;"pvp",Inputs!$B$43&gt;0),((Skills!G3*((R607-1)*IF(Skills!H3&gt;0,Skills!I3/Skills!H3,1)+IF(Skills!H3&gt;0,MIN(Skills!I3,MAX(0,MAX(0,Inputs!$B$43-B642)-((R607-1)*IF(Inputs!$B$38="pvp",15,MAX(0.1,Skills!E3-IF(Skills!F3=TRUE,Inputs!$B$32,0))))))/Skills!H3,1)))/Inputs!$B$43),G607*Q607))*IF(Inputs!$B$38="pvp",1,(1+(Inputs!$B$21+Skills!Q3)/100)*(MIN(Skills!R3,Inputs!$B$37))),0)</f>
        <v/>
      </c>
      <c r="Z607">
        <f>INDEX(FactorTable!$B$2:$Y$301, MATCH(ROUND(MIN(300,MAX(1,Z606)),0), FactorTable!$A$2:$A$301,0), 24)</f>
        <v/>
      </c>
    </row>
    <row r="608">
      <c r="A608">
        <f>Skills!A4</f>
        <v/>
      </c>
      <c r="B608">
        <f>Skills!B4</f>
        <v/>
      </c>
      <c r="C608">
        <f>TRUE</f>
        <v/>
      </c>
      <c r="D608">
        <f>IF(Skills!C4=1,60+Inputs!$B$25+Inputs!$B$29,IF(Skills!C4=2,90+Inputs!$B$26+Inputs!$B$29,IF(Skills!C4=3,120+Inputs!$B$27+Inputs!$B$29,MAX(0,(Inputs!$B$3-100)*3)+Inputs!$B$28+Inputs!$B$29)))</f>
        <v/>
      </c>
      <c r="E608">
        <f>INDEX(FactorTable!$B$2:$Y$301, MATCH(ROUND(MIN(300,MAX(1,D608)),0), FactorTable!$A$2:$A$301,0), Skills!M4+1)</f>
        <v/>
      </c>
      <c r="F608">
        <f>IF(Skills!N4=TRUE,(Skills!L4/10)*(E608/1000),Skills!L4/10)+Skills!O4</f>
        <v/>
      </c>
      <c r="G608">
        <f>Calc!G4</f>
        <v/>
      </c>
      <c r="H608">
        <f>Calc!H4</f>
        <v/>
      </c>
      <c r="I608">
        <f>IF(Skills!X4&lt;&gt;"",1+(Skills!X4/10)*(Z607/1000)/100,1)</f>
        <v/>
      </c>
      <c r="J608">
        <f>((Inputs!$B$6*(1+Inputs!$B$7/100))+(((Inputs!$B$12*(1+Inputs!$B$13/100))-(Inputs!$B$12*(1+Inputs!$B$13/100)))+0.25*(Inputs!$B$14-Inputs!$B$14))*(1+Inputs!$B$7/100))*(F608/100)</f>
        <v/>
      </c>
      <c r="K608">
        <f>J608*(1+((Inputs!$B$12*(1+Inputs!$B$13/100))*0.01+Inputs!$B$14*0.0025)/100)*(1+Inputs!$B$15/100)*(1+Inputs!$B$16/100)*(5000/(6000+Inputs!$B$42*(1-Inputs!$B$19/100)))*(1+Inputs!$B$24/100)*(1+F627/100)*(1+IF(Inputs!$B$3&gt;=120,F630,0)/100)^5*(1+(IF(Skills!A4="BASIC_ATTACK",(Inputs!$B$17+1),Inputs!$B$18+IF(Inputs!$B$3&gt;=125,F631*5,0)))/100)*(B634*B635*B636*I608)</f>
        <v/>
      </c>
      <c r="L608">
        <f>K608*(MIN(Inputs!$B$22+(F626-Calc!F22),Inputs!$B$23)/100+Inputs!$B$23/100)/2</f>
        <v/>
      </c>
      <c r="M608">
        <f>L608*(1+(Inputs!$B$10+(F625-Calc!F21))/100)</f>
        <v/>
      </c>
      <c r="N608">
        <f>L608*(1-MIN(Inputs!$B$9+(F624-Calc!F20),100)/100)+M608*(MIN(Inputs!$B$9+(F624-Calc!F20),100)/100)</f>
        <v/>
      </c>
      <c r="O608">
        <f>(1-Summary!$B$56)*S608+Summary!$B$56*U608</f>
        <v/>
      </c>
      <c r="P608">
        <f>IF(B645=0,0,O608/B645)</f>
        <v/>
      </c>
      <c r="Q608">
        <f>IFERROR(1/IF(Inputs!$B$38="pvp",15,MAX(0.1,Skills!E4-IF(Skills!F4=TRUE,Inputs!$B$32,0))),0)</f>
        <v/>
      </c>
      <c r="R608">
        <f>IF(AND(Inputs!$B$38&lt;&gt;"pvp",Inputs!$B$43&gt;0),IF(MAX(0,Inputs!$B$43-B642)&lt;=0,0,(INT(MAX(0,Inputs!$B$43-B642)/IF(Inputs!$B$38="pvp",15,MAX(0.1,Skills!E4-IF(Skills!F4=TRUE,Inputs!$B$32,0))))+1)),0)</f>
        <v/>
      </c>
      <c r="S608">
        <f>IF(C608,(H608*N608*IF(AND(Inputs!$B$38&lt;&gt;"pvp",Inputs!$B$43&gt;0),((Skills!G4*((R608-1)*IF(Skills!H4&gt;0,Skills!I4/Skills!H4,1)+IF(Skills!H4&gt;0,MIN(Skills!I4,MAX(0,MAX(0,Inputs!$B$43-B642)-((R608-1)*IF(Inputs!$B$38="pvp",15,MAX(0.1,Skills!E4-IF(Skills!F4=TRUE,Inputs!$B$32,0))))))/Skills!H4,1)))/Inputs!$B$43),G608*Q608))*IF(Inputs!$B$38="pvp",1,1+(Inputs!$B$20+Skills!P4)/100),0)</f>
        <v/>
      </c>
      <c r="T608">
        <f>290*T607/1000</f>
        <v/>
      </c>
      <c r="U608">
        <f>IF(C608,(H608*N608*IF(AND(Inputs!$B$38&lt;&gt;"pvp",Inputs!$B$43&gt;0),((Skills!G4*((R608-1)*IF(Skills!H4&gt;0,Skills!I4/Skills!H4,1)+IF(Skills!H4&gt;0,MIN(Skills!I4,MAX(0,MAX(0,Inputs!$B$43-B642)-((R608-1)*IF(Inputs!$B$38="pvp",15,MAX(0.1,Skills!E4-IF(Skills!F4=TRUE,Inputs!$B$32,0))))))/Skills!H4,1)))/Inputs!$B$43),G608*Q608))*IF(Inputs!$B$38="pvp",1,(1+(Inputs!$B$21+Skills!Q4)/100)*(MIN(Skills!R4,Inputs!$B$37))),0)</f>
        <v/>
      </c>
    </row>
    <row r="609">
      <c r="A609">
        <f>Skills!A5</f>
        <v/>
      </c>
      <c r="B609">
        <f>Skills!B5</f>
        <v/>
      </c>
      <c r="C609">
        <f>TRUE</f>
        <v/>
      </c>
      <c r="D609">
        <f>IF(Skills!C5=1,60+Inputs!$B$25+Inputs!$B$29,IF(Skills!C5=2,90+Inputs!$B$26+Inputs!$B$29,IF(Skills!C5=3,120+Inputs!$B$27+Inputs!$B$29,MAX(0,(Inputs!$B$3-100)*3)+Inputs!$B$28+Inputs!$B$29)))</f>
        <v/>
      </c>
      <c r="E609">
        <f>INDEX(FactorTable!$B$2:$Y$301, MATCH(ROUND(MIN(300,MAX(1,D609)),0), FactorTable!$A$2:$A$301,0), Skills!M5+1)</f>
        <v/>
      </c>
      <c r="F609">
        <f>IF(Skills!N5=TRUE,(Skills!L5/10)*(E609/1000),Skills!L5/10)+Skills!O5</f>
        <v/>
      </c>
      <c r="G609">
        <f>Calc!G5</f>
        <v/>
      </c>
      <c r="H609">
        <f>Calc!H5</f>
        <v/>
      </c>
      <c r="I609">
        <f>IF(Skills!X5&lt;&gt;"",1+(Skills!X5/10)*(Z607/1000)/100,1)</f>
        <v/>
      </c>
      <c r="J609">
        <f>((Inputs!$B$6*(1+Inputs!$B$7/100))+(((Inputs!$B$12*(1+Inputs!$B$13/100))-(Inputs!$B$12*(1+Inputs!$B$13/100)))+0.25*(Inputs!$B$14-Inputs!$B$14))*(1+Inputs!$B$7/100))*(F609/100)</f>
        <v/>
      </c>
      <c r="K609">
        <f>J609*(1+((Inputs!$B$12*(1+Inputs!$B$13/100))*0.01+Inputs!$B$14*0.0025)/100)*(1+Inputs!$B$15/100)*(1+Inputs!$B$16/100)*(5000/(6000+Inputs!$B$42*(1-Inputs!$B$19/100)))*(1+Inputs!$B$24/100)*(1+F627/100)*(1+IF(Inputs!$B$3&gt;=120,F630,0)/100)^5*(1+(IF(Skills!A5="BASIC_ATTACK",(Inputs!$B$17+1),Inputs!$B$18+IF(Inputs!$B$3&gt;=125,F631*5,0)))/100)*(B634*B635*B636*I609)</f>
        <v/>
      </c>
      <c r="L609">
        <f>K609*(MIN(Inputs!$B$22+(F626-Calc!F22),Inputs!$B$23)/100+Inputs!$B$23/100)/2</f>
        <v/>
      </c>
      <c r="M609">
        <f>L609*(1+(Inputs!$B$10+(F625-Calc!F21))/100)</f>
        <v/>
      </c>
      <c r="N609">
        <f>L609*(1-MIN(Inputs!$B$9+(F624-Calc!F20),100)/100)+M609*(MIN(Inputs!$B$9+(F624-Calc!F20),100)/100)</f>
        <v/>
      </c>
      <c r="O609">
        <f>(1-Summary!$B$56)*S609+Summary!$B$56*U609</f>
        <v/>
      </c>
      <c r="P609">
        <f>IF(B645=0,0,O609/B645)</f>
        <v/>
      </c>
      <c r="Q609">
        <f>IFERROR(1/IF(Inputs!$B$38="pvp",15,MAX(0.1,Skills!E5-IF(Skills!F5=TRUE,Inputs!$B$32,0))),0)</f>
        <v/>
      </c>
      <c r="R609">
        <f>IF(AND(Inputs!$B$38&lt;&gt;"pvp",Inputs!$B$43&gt;0),IF(MAX(0,Inputs!$B$43-B642)&lt;=0,0,(INT(MAX(0,Inputs!$B$43-B642)/IF(Inputs!$B$38="pvp",15,MAX(0.1,Skills!E5-IF(Skills!F5=TRUE,Inputs!$B$32,0))))+1)),0)</f>
        <v/>
      </c>
      <c r="S609">
        <f>IF(C609,(H609*N609*IF(AND(Inputs!$B$38&lt;&gt;"pvp",Inputs!$B$43&gt;0),((Skills!G5*((R609-1)*IF(Skills!H5&gt;0,Skills!I5/Skills!H5,1)+IF(Skills!H5&gt;0,MIN(Skills!I5,MAX(0,MAX(0,Inputs!$B$43-B642)-((R609-1)*IF(Inputs!$B$38="pvp",15,MAX(0.1,Skills!E5-IF(Skills!F5=TRUE,Inputs!$B$32,0))))))/Skills!H5,1)))/Inputs!$B$43),G609*Q609))*IF(Inputs!$B$38="pvp",1,1+(Inputs!$B$20+Skills!P5)/100),0)</f>
        <v/>
      </c>
      <c r="U609">
        <f>IF(C609,(H609*N609*IF(AND(Inputs!$B$38&lt;&gt;"pvp",Inputs!$B$43&gt;0),((Skills!G5*((R609-1)*IF(Skills!H5&gt;0,Skills!I5/Skills!H5,1)+IF(Skills!H5&gt;0,MIN(Skills!I5,MAX(0,MAX(0,Inputs!$B$43-B642)-((R609-1)*IF(Inputs!$B$38="pvp",15,MAX(0.1,Skills!E5-IF(Skills!F5=TRUE,Inputs!$B$32,0))))))/Skills!H5,1)))/Inputs!$B$43),G609*Q609))*IF(Inputs!$B$38="pvp",1,(1+(Inputs!$B$21+Skills!Q5)/100)*(MIN(Skills!R5,Inputs!$B$37))),0)</f>
        <v/>
      </c>
    </row>
    <row r="610">
      <c r="A610">
        <f>Skills!A6</f>
        <v/>
      </c>
      <c r="B610">
        <f>Skills!B6</f>
        <v/>
      </c>
      <c r="C610">
        <f>TRUE</f>
        <v/>
      </c>
      <c r="D610">
        <f>IF(Skills!C6=1,60+Inputs!$B$25+Inputs!$B$29,IF(Skills!C6=2,90+Inputs!$B$26+Inputs!$B$29,IF(Skills!C6=3,120+Inputs!$B$27+Inputs!$B$29,MAX(0,(Inputs!$B$3-100)*3)+Inputs!$B$28+Inputs!$B$29)))</f>
        <v/>
      </c>
      <c r="E610">
        <f>INDEX(FactorTable!$B$2:$Y$301, MATCH(ROUND(MIN(300,MAX(1,D610)),0), FactorTable!$A$2:$A$301,0), Skills!M6+1)</f>
        <v/>
      </c>
      <c r="F610">
        <f>IF(Skills!N6=TRUE,(Skills!L6/10)*(E610/1000),Skills!L6/10)+Skills!O6</f>
        <v/>
      </c>
      <c r="G610">
        <f>Calc!G6</f>
        <v/>
      </c>
      <c r="H610">
        <f>Calc!H6</f>
        <v/>
      </c>
      <c r="I610">
        <f>IF(Skills!X6&lt;&gt;"",1+(Skills!X6/10)*(Z607/1000)/100,1)</f>
        <v/>
      </c>
      <c r="J610" t="inlineStr"/>
      <c r="K610" t="inlineStr"/>
      <c r="L610" t="inlineStr"/>
      <c r="M610" t="inlineStr"/>
      <c r="N610" t="inlineStr"/>
      <c r="O610">
        <f>(1-Summary!$B$56)*S610+Summary!$B$56*U610</f>
        <v/>
      </c>
      <c r="P610">
        <f>IF(B645=0,0,O610/B645)</f>
        <v/>
      </c>
      <c r="Q610">
        <f>IFERROR(1/IF(Inputs!$B$38="pvp",15,MAX(0.1,Skills!E6-IF(Skills!F6=TRUE,Inputs!$B$32,0))),0)</f>
        <v/>
      </c>
      <c r="R610">
        <f>IF(AND(Inputs!$B$38&lt;&gt;"pvp",Inputs!$B$43&gt;0),IF(Inputs!$B$43&lt;=0,0,(INT(Inputs!$B$43/IF(Inputs!$B$38="pvp",15,MAX(0.1,Skills!E6-IF(Skills!F6=TRUE,Inputs!$B$32,0))))+1)),0)</f>
        <v/>
      </c>
      <c r="S610" t="n">
        <v>0</v>
      </c>
      <c r="U610" t="n">
        <v>0</v>
      </c>
    </row>
    <row r="611">
      <c r="A611">
        <f>Skills!A7</f>
        <v/>
      </c>
      <c r="B611">
        <f>Skills!B7</f>
        <v/>
      </c>
      <c r="C611">
        <f>TRUE</f>
        <v/>
      </c>
      <c r="D611">
        <f>IF(Skills!C7=1,60+Inputs!$B$25+Inputs!$B$29,IF(Skills!C7=2,90+Inputs!$B$26+Inputs!$B$29,IF(Skills!C7=3,120+Inputs!$B$27+Inputs!$B$29,MAX(0,(Inputs!$B$3-100)*3)+Inputs!$B$28+Inputs!$B$29)))</f>
        <v/>
      </c>
      <c r="E611">
        <f>INDEX(FactorTable!$B$2:$Y$301, MATCH(ROUND(MIN(300,MAX(1,D611)),0), FactorTable!$A$2:$A$301,0), Skills!M7+1)</f>
        <v/>
      </c>
      <c r="F611">
        <f>IF(Skills!N7=TRUE,(Skills!L7/10)*(E611/1000),Skills!L7/10)+Skills!O7</f>
        <v/>
      </c>
      <c r="G611">
        <f>Calc!G7</f>
        <v/>
      </c>
      <c r="H611">
        <f>Calc!H7</f>
        <v/>
      </c>
      <c r="I611">
        <f>IF(Skills!X7&lt;&gt;"",1+(Skills!X7/10)*(Z607/1000)/100,1)</f>
        <v/>
      </c>
      <c r="J611">
        <f>((Inputs!$B$6*(1+Inputs!$B$7/100))+(((Inputs!$B$12*(1+Inputs!$B$13/100))-(Inputs!$B$12*(1+Inputs!$B$13/100)))+0.25*(Inputs!$B$14-Inputs!$B$14))*(1+Inputs!$B$7/100))*(F611/100)</f>
        <v/>
      </c>
      <c r="K611">
        <f>J611*(1+((Inputs!$B$12*(1+Inputs!$B$13/100))*0.01+Inputs!$B$14*0.0025)/100)*(1+Inputs!$B$15/100)*(1+Inputs!$B$16/100)*(5000/(6000+Inputs!$B$42*(1-Inputs!$B$19/100)))*(1+Inputs!$B$24/100)*(1+F627/100)*(1+IF(Inputs!$B$3&gt;=120,F630,0)/100)^5*(1+(IF(Skills!A7="BASIC_ATTACK",(Inputs!$B$17+1),Inputs!$B$18+IF(Inputs!$B$3&gt;=125,F631*5,0)))/100)*(B634*B635*B636*I611)</f>
        <v/>
      </c>
      <c r="L611">
        <f>K611*(MIN(Inputs!$B$22+(F626-Calc!F22),Inputs!$B$23)/100+Inputs!$B$23/100)/2</f>
        <v/>
      </c>
      <c r="M611">
        <f>L611*(1+(Inputs!$B$10+(F625-Calc!F21))/100)</f>
        <v/>
      </c>
      <c r="N611">
        <f>L611*(1-MIN(Inputs!$B$9+(F624-Calc!F20),100)/100)+M611*(MIN(Inputs!$B$9+(F624-Calc!F20),100)/100)</f>
        <v/>
      </c>
      <c r="O611">
        <f>(1-Summary!$B$56)*S611+Summary!$B$56*U611</f>
        <v/>
      </c>
      <c r="P611">
        <f>IF(B645=0,0,O611/B645)</f>
        <v/>
      </c>
      <c r="Q611">
        <f>IFERROR(1/IF(Inputs!$B$38="pvp",15,MAX(0.1,Skills!E7-IF(Skills!F7=TRUE,Inputs!$B$32,0))),0)</f>
        <v/>
      </c>
      <c r="R611">
        <f>IF(AND(Inputs!$B$38&lt;&gt;"pvp",Inputs!$B$43&gt;0),IF(MAX(0,Inputs!$B$43-B642)&lt;=0,0,(INT(MAX(0,Inputs!$B$43-B642)/IF(Inputs!$B$38="pvp",15,MAX(0.1,Skills!E7-IF(Skills!F7=TRUE,Inputs!$B$32,0))))+1)),0)</f>
        <v/>
      </c>
      <c r="S611">
        <f>IF(C611,(H611*N611*IF(AND(Inputs!$B$38&lt;&gt;"pvp",Inputs!$B$43&gt;0),((Skills!G7*((R611-1)*IF(Skills!H7&gt;0,Skills!I7/Skills!H7,1)+IF(Skills!H7&gt;0,MIN(Skills!I7,MAX(0,MAX(0,Inputs!$B$43-B642)-((R611-1)*IF(Inputs!$B$38="pvp",15,MAX(0.1,Skills!E7-IF(Skills!F7=TRUE,Inputs!$B$32,0))))))/Skills!H7,1)))/Inputs!$B$43),G611*Q611))*IF(Inputs!$B$38="pvp",1,1+(Inputs!$B$20+Skills!P7)/100),0)</f>
        <v/>
      </c>
      <c r="U611">
        <f>IF(C611,(H611*N611*IF(AND(Inputs!$B$38&lt;&gt;"pvp",Inputs!$B$43&gt;0),((Skills!G7*((R611-1)*IF(Skills!H7&gt;0,Skills!I7/Skills!H7,1)+IF(Skills!H7&gt;0,MIN(Skills!I7,MAX(0,MAX(0,Inputs!$B$43-B642)-((R611-1)*IF(Inputs!$B$38="pvp",15,MAX(0.1,Skills!E7-IF(Skills!F7=TRUE,Inputs!$B$32,0))))))/Skills!H7,1)))/Inputs!$B$43),G611*Q611))*IF(Inputs!$B$38="pvp",1,(1+(Inputs!$B$21+Skills!Q7)/100)*(MIN(Skills!R7,Inputs!$B$37))),0)</f>
        <v/>
      </c>
    </row>
    <row r="612">
      <c r="A612">
        <f>Skills!A8</f>
        <v/>
      </c>
      <c r="B612">
        <f>Skills!B8</f>
        <v/>
      </c>
      <c r="C612">
        <f>TRUE</f>
        <v/>
      </c>
      <c r="D612">
        <f>IF(Skills!C8=1,60+Inputs!$B$25+Inputs!$B$29,IF(Skills!C8=2,90+Inputs!$B$26+Inputs!$B$29,IF(Skills!C8=3,120+Inputs!$B$27+Inputs!$B$29,MAX(0,(Inputs!$B$3-100)*3)+Inputs!$B$28+Inputs!$B$29)))</f>
        <v/>
      </c>
      <c r="E612">
        <f>INDEX(FactorTable!$B$2:$Y$301, MATCH(ROUND(MIN(300,MAX(1,D612)),0), FactorTable!$A$2:$A$301,0), Skills!M8+1)</f>
        <v/>
      </c>
      <c r="F612">
        <f>IF(Skills!N8=TRUE,(Skills!L8/10)*(E612/1000),Skills!L8/10)+Skills!O8</f>
        <v/>
      </c>
      <c r="G612">
        <f>Calc!G8</f>
        <v/>
      </c>
      <c r="H612">
        <f>Calc!H8</f>
        <v/>
      </c>
      <c r="I612">
        <f>IF(Skills!X8&lt;&gt;"",1+(Skills!X8/10)*(Z607/1000)/100,1)</f>
        <v/>
      </c>
      <c r="J612">
        <f>((Inputs!$B$6*(1+Inputs!$B$7/100))+(((Inputs!$B$12*(1+Inputs!$B$13/100))-(Inputs!$B$12*(1+Inputs!$B$13/100)))+0.25*(Inputs!$B$14-Inputs!$B$14))*(1+Inputs!$B$7/100))*(F612/100)</f>
        <v/>
      </c>
      <c r="K612">
        <f>J612*(1+((Inputs!$B$12*(1+Inputs!$B$13/100))*0.01+Inputs!$B$14*0.0025)/100)*(1+Inputs!$B$15/100)*(1+Inputs!$B$16/100)*(5000/(6000+Inputs!$B$42*(1-Inputs!$B$19/100)))*(1+Inputs!$B$24/100)*(1+F627/100)*(1+IF(Inputs!$B$3&gt;=120,F630,0)/100)^5*(1+(IF(Skills!A8="BASIC_ATTACK",(Inputs!$B$17+1),Inputs!$B$18+IF(Inputs!$B$3&gt;=125,F631*5,0)))/100)*(B634*B635*B636*I612)</f>
        <v/>
      </c>
      <c r="L612">
        <f>K612*(MIN(Inputs!$B$22+(F626-Calc!F22),Inputs!$B$23)/100+Inputs!$B$23/100)/2</f>
        <v/>
      </c>
      <c r="M612">
        <f>L612*(1+(Inputs!$B$10+(F625-Calc!F21))/100)</f>
        <v/>
      </c>
      <c r="N612">
        <f>L612*(1-MIN(Inputs!$B$9+(F624-Calc!F20),100)/100)+M612*(MIN(Inputs!$B$9+(F624-Calc!F20),100)/100)</f>
        <v/>
      </c>
      <c r="O612">
        <f>(1-Summary!$B$56)*S612+Summary!$B$56*U612</f>
        <v/>
      </c>
      <c r="P612">
        <f>IF(B645=0,0,O612/B645)</f>
        <v/>
      </c>
      <c r="Q612">
        <f>IFERROR(1/IF(Inputs!$B$38="pvp",15,MAX(0.1,Skills!E8-IF(Skills!F8=TRUE,Inputs!$B$32,0))),0)</f>
        <v/>
      </c>
      <c r="R612">
        <f>IF(AND(Inputs!$B$38&lt;&gt;"pvp",Inputs!$B$43&gt;0),IF(MAX(0,Inputs!$B$43-B642)&lt;=0,0,(INT(MAX(0,Inputs!$B$43-B642)/IF(Inputs!$B$38="pvp",15,MAX(0.1,Skills!E8-IF(Skills!F8=TRUE,Inputs!$B$32,0))))+1)),0)</f>
        <v/>
      </c>
      <c r="S612">
        <f>IF(C612,(H612*N612*IF(AND(Inputs!$B$38&lt;&gt;"pvp",Inputs!$B$43&gt;0),((Skills!G8*((R612-1)*IF(Skills!H8&gt;0,Skills!I8/Skills!H8,1)+IF(Skills!H8&gt;0,MIN(Skills!I8,MAX(0,MAX(0,Inputs!$B$43-B642)-((R612-1)*IF(Inputs!$B$38="pvp",15,MAX(0.1,Skills!E8-IF(Skills!F8=TRUE,Inputs!$B$32,0))))))/Skills!H8,1)))/Inputs!$B$43),G612*Q612))*IF(Inputs!$B$38="pvp",1,1+(Inputs!$B$20+Skills!P8)/100),0)</f>
        <v/>
      </c>
      <c r="U612">
        <f>IF(C612,(H612*N612*IF(AND(Inputs!$B$38&lt;&gt;"pvp",Inputs!$B$43&gt;0),((Skills!G8*((R612-1)*IF(Skills!H8&gt;0,Skills!I8/Skills!H8,1)+IF(Skills!H8&gt;0,MIN(Skills!I8,MAX(0,MAX(0,Inputs!$B$43-B642)-((R612-1)*IF(Inputs!$B$38="pvp",15,MAX(0.1,Skills!E8-IF(Skills!F8=TRUE,Inputs!$B$32,0))))))/Skills!H8,1)))/Inputs!$B$43),G612*Q612))*IF(Inputs!$B$38="pvp",1,(1+(Inputs!$B$21+Skills!Q8)/100)*(MIN(Skills!R8,Inputs!$B$37))),0)</f>
        <v/>
      </c>
    </row>
    <row r="613">
      <c r="A613">
        <f>Skills!A9</f>
        <v/>
      </c>
      <c r="B613">
        <f>Skills!B9</f>
        <v/>
      </c>
      <c r="C613">
        <f>Inputs!$B$3&gt;=103</f>
        <v/>
      </c>
      <c r="D613">
        <f>IF(Skills!C9=1,60+Inputs!$B$25+Inputs!$B$29,IF(Skills!C9=2,90+Inputs!$B$26+Inputs!$B$29,IF(Skills!C9=3,120+Inputs!$B$27+Inputs!$B$29,MAX(0,(Inputs!$B$3-100)*3)+Inputs!$B$28+Inputs!$B$29)))</f>
        <v/>
      </c>
      <c r="E613">
        <f>INDEX(FactorTable!$B$2:$Y$301, MATCH(ROUND(MIN(300,MAX(1,D613)),0), FactorTable!$A$2:$A$301,0), Skills!M9+1)</f>
        <v/>
      </c>
      <c r="F613">
        <f>IF(Skills!N9=TRUE,(Skills!L9/10)*(E613/1000),Skills!L9/10)+Skills!O9</f>
        <v/>
      </c>
      <c r="G613">
        <f>Calc!G9</f>
        <v/>
      </c>
      <c r="H613">
        <f>Calc!H9</f>
        <v/>
      </c>
      <c r="I613">
        <f>IF(Skills!X9&lt;&gt;"",1+(Skills!X9/10)*(Z607/1000)/100,1)</f>
        <v/>
      </c>
      <c r="J613">
        <f>((Inputs!$B$6*(1+Inputs!$B$7/100))+(((Inputs!$B$12*(1+Inputs!$B$13/100))-(Inputs!$B$12*(1+Inputs!$B$13/100)))+0.25*(Inputs!$B$14-Inputs!$B$14))*(1+Inputs!$B$7/100))*(F613/100)</f>
        <v/>
      </c>
      <c r="K613">
        <f>J613*(1+((Inputs!$B$12*(1+Inputs!$B$13/100))*0.01+Inputs!$B$14*0.0025)/100)*(1+Inputs!$B$15/100)*(1+Inputs!$B$16/100)*(5000/(6000+Inputs!$B$42*(1-Inputs!$B$19/100)))*(1+Inputs!$B$24/100)*(1+F627/100)*(1+IF(Inputs!$B$3&gt;=120,F630,0)/100)^5*(1+(IF(Skills!A9="BASIC_ATTACK",(Inputs!$B$17+1),Inputs!$B$18+IF(Inputs!$B$3&gt;=125,F631*5,0)))/100)*(B634*B635*B636*I613)</f>
        <v/>
      </c>
      <c r="L613">
        <f>K613*(MIN(Inputs!$B$22+(F626-Calc!F22),Inputs!$B$23)/100+Inputs!$B$23/100)/2</f>
        <v/>
      </c>
      <c r="M613">
        <f>L613*(1+(Inputs!$B$10+(F625-Calc!F21))/100)</f>
        <v/>
      </c>
      <c r="N613">
        <f>L613*(1-MIN(Inputs!$B$9+(F624-Calc!F20),100)/100)+M613*(MIN(Inputs!$B$9+(F624-Calc!F20),100)/100)</f>
        <v/>
      </c>
      <c r="O613">
        <f>(1-Summary!$B$56)*S613+Summary!$B$56*U613</f>
        <v/>
      </c>
      <c r="P613">
        <f>IF(B645=0,0,O613/B645)</f>
        <v/>
      </c>
      <c r="Q613">
        <f>IFERROR(1/IF(Inputs!$B$38="pvp",15,MAX(0.1,Skills!E9-IF(Skills!F7=TRUE,Inputs!$B$32,0))),0)</f>
        <v/>
      </c>
      <c r="R613">
        <f>IF(AND(Inputs!$B$38&lt;&gt;"pvp",Inputs!$B$43&gt;0),IF(MAX(0,Inputs!$B$43-B642)&lt;=0,0,(INT(MAX(0,Inputs!$B$43-B642)/IF(Inputs!$B$38="pvp",15,MAX(0.1,Skills!E9-IF(Skills!F7=TRUE,Inputs!$B$32,0))))+1)),0)</f>
        <v/>
      </c>
      <c r="S613">
        <f>IF(C613,(H613*N613*IF(AND(Inputs!$B$38&lt;&gt;"pvp",Inputs!$B$43&gt;0),((Skills!G9*((R613-1)*IF(Skills!H9&gt;0,Skills!I9/Skills!H9,1)+IF(Skills!H9&gt;0,MIN(Skills!I9,MAX(0,MAX(0,Inputs!$B$43-B642)-((R613-1)*IF(Inputs!$B$38="pvp",15,MAX(0.1,Skills!E9-IF(Skills!F7=TRUE,Inputs!$B$32,0))))))/Skills!H9,1)))/Inputs!$B$43),G613*Q613))*IF(Inputs!$B$38="pvp",1,1+(Inputs!$B$20+Skills!P9)/100),0)</f>
        <v/>
      </c>
      <c r="U613">
        <f>IF(C613,(H613*N613*IF(AND(Inputs!$B$38&lt;&gt;"pvp",Inputs!$B$43&gt;0),((Skills!G9*((R613-1)*IF(Skills!H9&gt;0,Skills!I9/Skills!H9,1)+IF(Skills!H9&gt;0,MIN(Skills!I9,MAX(0,MAX(0,Inputs!$B$43-B642)-((R613-1)*IF(Inputs!$B$38="pvp",15,MAX(0.1,Skills!E9-IF(Skills!F7=TRUE,Inputs!$B$32,0))))))/Skills!H9,1)))/Inputs!$B$43),G613*Q613))*IF(Inputs!$B$38="pvp",1,(1+(Inputs!$B$21+Skills!Q9)/100)*(MIN(Skills!R9,Inputs!$B$37))),0)</f>
        <v/>
      </c>
    </row>
    <row r="614">
      <c r="A614">
        <f>Skills!A10</f>
        <v/>
      </c>
      <c r="B614">
        <f>Skills!B10</f>
        <v/>
      </c>
      <c r="C614">
        <f>TRUE</f>
        <v/>
      </c>
      <c r="D614">
        <f>IF(Skills!C10=1,60+Inputs!$B$25+Inputs!$B$29,IF(Skills!C10=2,90+Inputs!$B$26+Inputs!$B$29,IF(Skills!C10=3,120+Inputs!$B$27+Inputs!$B$29,MAX(0,(Inputs!$B$3-100)*3)+Inputs!$B$28+Inputs!$B$29)))</f>
        <v/>
      </c>
      <c r="E614">
        <f>INDEX(FactorTable!$B$2:$Y$301, MATCH(ROUND(MIN(300,MAX(1,D614)),0), FactorTable!$A$2:$A$301,0), Skills!M10+1)</f>
        <v/>
      </c>
      <c r="F614">
        <f>IF(Skills!N10=TRUE,(Skills!L10/10)*(E614/1000),Skills!L10/10)+Skills!O10</f>
        <v/>
      </c>
      <c r="G614">
        <f>Calc!G10</f>
        <v/>
      </c>
      <c r="H614">
        <f>Calc!H10</f>
        <v/>
      </c>
      <c r="I614">
        <f>IF(Skills!X10&lt;&gt;"",1+(Skills!X10/10)*(Z607/1000)/100,1)</f>
        <v/>
      </c>
      <c r="J614">
        <f>((Inputs!$B$6*(1+Inputs!$B$7/100))+(((Inputs!$B$12*(1+Inputs!$B$13/100))-(Inputs!$B$12*(1+Inputs!$B$13/100)))+0.25*(Inputs!$B$14-Inputs!$B$14))*(1+Inputs!$B$7/100))*(F614/100)</f>
        <v/>
      </c>
      <c r="K614">
        <f>J614*(1+((Inputs!$B$12*(1+Inputs!$B$13/100))*0.01+Inputs!$B$14*0.0025)/100)*(1+Inputs!$B$15/100)*(1+Inputs!$B$16/100)*(5000/(6000+Inputs!$B$42*(1-Inputs!$B$19/100)))*(1+Inputs!$B$24/100)*(1+F627/100)*(1+IF(Inputs!$B$3&gt;=120,F630,0)/100)^5*(1+(IF(Skills!A10="BASIC_ATTACK",(Inputs!$B$17+1),Inputs!$B$18+IF(Inputs!$B$3&gt;=125,F631*5,0)))/100)*(B634*B635*B636*I614)</f>
        <v/>
      </c>
      <c r="L614">
        <f>K614*(MIN(Inputs!$B$22+(F626-Calc!F22),Inputs!$B$23)/100+Inputs!$B$23/100)/2</f>
        <v/>
      </c>
      <c r="M614">
        <f>L614*(1+(Inputs!$B$10+(F625-Calc!F21))/100)</f>
        <v/>
      </c>
      <c r="N614">
        <f>L614*(1-MIN(Inputs!$B$9+(F624-Calc!F20),100)/100)+M614*(MIN(Inputs!$B$9+(F624-Calc!F20),100)/100)</f>
        <v/>
      </c>
      <c r="O614">
        <f>(1-Summary!$B$56)*S614+Summary!$B$56*U614</f>
        <v/>
      </c>
      <c r="P614">
        <f>IF(B645=0,0,O614/B645)</f>
        <v/>
      </c>
      <c r="Q614">
        <f>IFERROR(1/IF(Inputs!$B$38="pvp",15,MAX(0.1,Skills!E10-IF(Skills!F10=TRUE,Inputs!$B$32,0))),0)</f>
        <v/>
      </c>
      <c r="R614">
        <f>IF(AND(Inputs!$B$38&lt;&gt;"pvp",Inputs!$B$43&gt;0),IF(MAX(0,Inputs!$B$43-B642)&lt;=0,0,(INT(MAX(0,Inputs!$B$43-B642)/IF(Inputs!$B$38="pvp",15,MAX(0.1,Skills!E10-IF(Skills!F10=TRUE,Inputs!$B$32,0))))+1)),0)</f>
        <v/>
      </c>
      <c r="S614">
        <f>IF(C614,(H614*N614*IF(AND(Inputs!$B$38&lt;&gt;"pvp",Inputs!$B$43&gt;0),((Skills!G10*((R614-1)*IF(Skills!H10&gt;0,Skills!I10/Skills!H10,1)+IF(Skills!H10&gt;0,MIN(Skills!I10,MAX(0,MAX(0,Inputs!$B$43-B642)-((R614-1)*IF(Inputs!$B$38="pvp",15,MAX(0.1,Skills!E10-IF(Skills!F10=TRUE,Inputs!$B$32,0))))))/Skills!H10,1)))/Inputs!$B$43),G614*Q614))*IF(Inputs!$B$38="pvp",1,1+(Inputs!$B$20+Skills!P10)/100),0)</f>
        <v/>
      </c>
      <c r="U614">
        <f>IF(C614,(H614*N614*IF(AND(Inputs!$B$38&lt;&gt;"pvp",Inputs!$B$43&gt;0),((Skills!G10*((R614-1)*IF(Skills!H10&gt;0,Skills!I10/Skills!H10,1)+IF(Skills!H10&gt;0,MIN(Skills!I10,MAX(0,MAX(0,Inputs!$B$43-B642)-((R614-1)*IF(Inputs!$B$38="pvp",15,MAX(0.1,Skills!E10-IF(Skills!F10=TRUE,Inputs!$B$32,0))))))/Skills!H10,1)))/Inputs!$B$43),G614*Q614))*IF(Inputs!$B$38="pvp",1,(1+(Inputs!$B$21+Skills!Q10)/100)*(MIN(Skills!R10,Inputs!$B$37))),0)</f>
        <v/>
      </c>
    </row>
    <row r="615">
      <c r="A615">
        <f>Skills!A11</f>
        <v/>
      </c>
      <c r="B615">
        <f>Skills!B11</f>
        <v/>
      </c>
      <c r="C615">
        <f>TRUE</f>
        <v/>
      </c>
      <c r="D615">
        <f>IF(Skills!C11=1,60+Inputs!$B$25+Inputs!$B$29,IF(Skills!C11=2,90+Inputs!$B$26+Inputs!$B$29,IF(Skills!C11=3,120+Inputs!$B$27+Inputs!$B$29,MAX(0,(Inputs!$B$3-100)*3)+Inputs!$B$28+Inputs!$B$29)))</f>
        <v/>
      </c>
      <c r="E615">
        <f>INDEX(FactorTable!$B$2:$Y$301, MATCH(ROUND(MIN(300,MAX(1,D615)),0), FactorTable!$A$2:$A$301,0), Skills!M11+1)</f>
        <v/>
      </c>
      <c r="F615">
        <f>IF(Skills!N11=TRUE,(Skills!L11/10)*(E615/1000),Skills!L11/10)+Skills!O11</f>
        <v/>
      </c>
      <c r="G615">
        <f>Calc!G11</f>
        <v/>
      </c>
      <c r="H615">
        <f>Calc!H11</f>
        <v/>
      </c>
      <c r="I615">
        <f>IF(Skills!X11&lt;&gt;"",1+(Skills!X11/10)*(Z607/1000)/100,1)</f>
        <v/>
      </c>
      <c r="J615" t="inlineStr"/>
      <c r="K615" t="inlineStr"/>
      <c r="L615" t="inlineStr"/>
      <c r="M615" t="inlineStr"/>
      <c r="N615" t="inlineStr"/>
      <c r="O615">
        <f>(1-Summary!$B$56)*S615+Summary!$B$56*U615</f>
        <v/>
      </c>
      <c r="P615">
        <f>IF(B645=0,0,O615/B645)</f>
        <v/>
      </c>
      <c r="Q615">
        <f>IFERROR(1/IF(Inputs!$B$38="pvp",15,MAX(0.1,Skills!E11-IF(Skills!F11=TRUE,Inputs!$B$32,0))),0)</f>
        <v/>
      </c>
      <c r="R615" t="n">
        <v>0</v>
      </c>
      <c r="S615" t="n">
        <v>0</v>
      </c>
      <c r="U615" t="n">
        <v>0</v>
      </c>
    </row>
    <row r="616">
      <c r="A616">
        <f>Skills!A12</f>
        <v/>
      </c>
      <c r="B616">
        <f>Skills!B12</f>
        <v/>
      </c>
      <c r="C616">
        <f>TRUE</f>
        <v/>
      </c>
      <c r="D616">
        <f>IF(Skills!C12=1,60+Inputs!$B$25+Inputs!$B$29,IF(Skills!C12=2,90+Inputs!$B$26+Inputs!$B$29,IF(Skills!C12=3,120+Inputs!$B$27+Inputs!$B$29,MAX(0,(Inputs!$B$3-100)*3)+Inputs!$B$28+Inputs!$B$29)))</f>
        <v/>
      </c>
      <c r="E616">
        <f>INDEX(FactorTable!$B$2:$Y$301, MATCH(ROUND(MIN(300,MAX(1,D616)),0), FactorTable!$A$2:$A$301,0), Skills!M12+1)</f>
        <v/>
      </c>
      <c r="F616">
        <f>IF(Skills!N12=TRUE,(Skills!L12/10)*(E616/1000),Skills!L12/10)+Skills!O12</f>
        <v/>
      </c>
      <c r="G616">
        <f>Calc!G12</f>
        <v/>
      </c>
      <c r="H616">
        <f>Calc!H12</f>
        <v/>
      </c>
      <c r="I616">
        <f>IF(Skills!X12&lt;&gt;"",1+(Skills!X12/10)*(Z607/1000)/100,1)</f>
        <v/>
      </c>
      <c r="J616" t="inlineStr"/>
      <c r="K616" t="inlineStr"/>
      <c r="L616" t="inlineStr"/>
      <c r="M616" t="inlineStr"/>
      <c r="N616" t="inlineStr"/>
      <c r="O616">
        <f>(1-Summary!$B$56)*S616+Summary!$B$56*U616</f>
        <v/>
      </c>
      <c r="P616">
        <f>IF(B645=0,0,O616/B645)</f>
        <v/>
      </c>
      <c r="Q616">
        <f>IFERROR(1/IF(Inputs!$B$38="pvp",15,MAX(0.1,Skills!E12-IF(Skills!F12=TRUE,Inputs!$B$32,0))),0)</f>
        <v/>
      </c>
      <c r="R616" t="n">
        <v>0</v>
      </c>
      <c r="S616" t="n">
        <v>0</v>
      </c>
      <c r="U616" t="n">
        <v>0</v>
      </c>
    </row>
    <row r="617">
      <c r="A617">
        <f>Skills!A13</f>
        <v/>
      </c>
      <c r="B617">
        <f>Skills!B13</f>
        <v/>
      </c>
      <c r="C617">
        <f>Inputs!$B$3&gt;=105</f>
        <v/>
      </c>
      <c r="D617">
        <f>IF(Skills!C13=1,60+Inputs!$B$25+Inputs!$B$29,IF(Skills!C13=2,90+Inputs!$B$26+Inputs!$B$29,IF(Skills!C13=3,120+Inputs!$B$27+Inputs!$B$29,MAX(0,(Inputs!$B$3-100)*3)+Inputs!$B$28+Inputs!$B$29)))</f>
        <v/>
      </c>
      <c r="E617">
        <f>INDEX(FactorTable!$B$2:$Y$301, MATCH(ROUND(MIN(300,MAX(1,D617)),0), FactorTable!$A$2:$A$301,0), Skills!M13+1)</f>
        <v/>
      </c>
      <c r="F617">
        <f>IF(Skills!N13=TRUE,(Skills!L13/10)*(E617/1000),Skills!L13/10)+Skills!O13</f>
        <v/>
      </c>
      <c r="G617">
        <f>Calc!G13</f>
        <v/>
      </c>
      <c r="H617">
        <f>Calc!H13</f>
        <v/>
      </c>
      <c r="I617">
        <f>IF(Skills!X13&lt;&gt;"",1+(Skills!X13/10)*(Z607/1000)/100,1)</f>
        <v/>
      </c>
      <c r="J617">
        <f>((Inputs!$B$6*(1+Inputs!$B$7/100))+(((Inputs!$B$12*(1+Inputs!$B$13/100))-(Inputs!$B$12*(1+Inputs!$B$13/100)))+0.25*(Inputs!$B$14-Inputs!$B$14))*(1+Inputs!$B$7/100))*(F617/100)</f>
        <v/>
      </c>
      <c r="K617">
        <f>J617*(1+((Inputs!$B$12*(1+Inputs!$B$13/100))*0.01+Inputs!$B$14*0.0025)/100)*(1+Inputs!$B$15/100)*(1+Inputs!$B$16/100)*(5000/(6000+Inputs!$B$42*(1-Inputs!$B$19/100)))*(1+Inputs!$B$24/100)*(1+F627/100)*(1+IF(Inputs!$B$3&gt;=120,F630,0)/100)^5*(1+(IF(Skills!A13="BASIC_ATTACK",(Inputs!$B$17+1),Inputs!$B$18+IF(Inputs!$B$3&gt;=125,F631*5,0)))/100)*(B634*B635*B636*I617)</f>
        <v/>
      </c>
      <c r="L617">
        <f>K617*(MIN(Inputs!$B$22+(F626-Calc!F22),Inputs!$B$23)/100+Inputs!$B$23/100)/2</f>
        <v/>
      </c>
      <c r="M617">
        <f>L617*(1+(Inputs!$B$10+(F625-Calc!F21))/100)</f>
        <v/>
      </c>
      <c r="N617">
        <f>L617*(1-MIN(Inputs!$B$9+(F624-Calc!F20),100)/100)+M617*(MIN(Inputs!$B$9+(F624-Calc!F20),100)/100)</f>
        <v/>
      </c>
      <c r="O617">
        <f>(1-Summary!$B$56)*S617+Summary!$B$56*U617</f>
        <v/>
      </c>
      <c r="P617">
        <f>IF(B645=0,0,O617/B645)</f>
        <v/>
      </c>
      <c r="Q617">
        <f>IFERROR(1/IF(Inputs!$B$38="pvp",15,MAX(0.1,Skills!E13-IF(Skills!F13=TRUE,Inputs!$B$32,0))),0)</f>
        <v/>
      </c>
      <c r="R617">
        <f>IF(AND(Inputs!$B$38&lt;&gt;"pvp",Inputs!$B$43&gt;0),IF(MAX(0,Inputs!$B$43-B642)&lt;=0,0,(INT(MAX(0,Inputs!$B$43-B642)/IF(Inputs!$B$38="pvp",15,MAX(0.1,Skills!E13-IF(Skills!F13=TRUE,Inputs!$B$32,0))))+1)),0)</f>
        <v/>
      </c>
      <c r="S617">
        <f>IF(C617,(H617*N617*IF(AND(Inputs!$B$38&lt;&gt;"pvp",Inputs!$B$43&gt;0),((Skills!G13*((R617-1)*IF(Skills!H13&gt;0,Skills!I13/Skills!H13,1)+IF(Skills!H13&gt;0,MIN(Skills!I13,MAX(0,MAX(0,Inputs!$B$43-B642)-((R617-1)*IF(Inputs!$B$38="pvp",15,MAX(0.1,Skills!E13-IF(Skills!F13=TRUE,Inputs!$B$32,0))))))/Skills!H13,1)))/Inputs!$B$43),G617*Q617))*IF(Inputs!$B$38="pvp",1,1+(Inputs!$B$20+Skills!P13)/100),0)</f>
        <v/>
      </c>
      <c r="U617">
        <f>IF(C617,(H617*N617*IF(AND(Inputs!$B$38&lt;&gt;"pvp",Inputs!$B$43&gt;0),((Skills!G13*((R617-1)*IF(Skills!H13&gt;0,Skills!I13/Skills!H13,1)+IF(Skills!H13&gt;0,MIN(Skills!I13,MAX(0,MAX(0,Inputs!$B$43-B642)-((R617-1)*IF(Inputs!$B$38="pvp",15,MAX(0.1,Skills!E13-IF(Skills!F13=TRUE,Inputs!$B$32,0))))))/Skills!H13,1)))/Inputs!$B$43),G617*Q617))*IF(Inputs!$B$38="pvp",1,(1+(Inputs!$B$21+Skills!Q13)/100)*(MIN(Skills!R13,Inputs!$B$37))),0)</f>
        <v/>
      </c>
    </row>
    <row r="618">
      <c r="A618">
        <f>Skills!A14</f>
        <v/>
      </c>
      <c r="B618">
        <f>Skills!B14</f>
        <v/>
      </c>
      <c r="C618">
        <f>Inputs!$B$3&gt;=113</f>
        <v/>
      </c>
      <c r="D618">
        <f>IF(Skills!C14=1,60+Inputs!$B$25+Inputs!$B$29,IF(Skills!C14=2,90+Inputs!$B$26+Inputs!$B$29,IF(Skills!C14=3,120+Inputs!$B$27+Inputs!$B$29,MAX(0,(Inputs!$B$3-100)*3)+Inputs!$B$28+Inputs!$B$29)))</f>
        <v/>
      </c>
      <c r="E618">
        <f>INDEX(FactorTable!$B$2:$Y$301, MATCH(ROUND(MIN(300,MAX(1,D618)),0), FactorTable!$A$2:$A$301,0), Skills!M14+1)</f>
        <v/>
      </c>
      <c r="F618">
        <f>IF(Skills!N14=TRUE,(Skills!L14/10)*(E618/1000),Skills!L14/10)+Skills!O14</f>
        <v/>
      </c>
      <c r="G618">
        <f>Calc!G14</f>
        <v/>
      </c>
      <c r="H618">
        <f>Calc!H14</f>
        <v/>
      </c>
      <c r="I618">
        <f>IF(Skills!X14&lt;&gt;"",1+(Skills!X14/10)*(Z607/1000)/100,1)</f>
        <v/>
      </c>
      <c r="J618">
        <f>((Inputs!$B$6*(1+Inputs!$B$7/100))+(((Inputs!$B$12*(1+Inputs!$B$13/100))-(Inputs!$B$12*(1+Inputs!$B$13/100)))+0.25*(Inputs!$B$14-Inputs!$B$14))*(1+Inputs!$B$7/100))*(F618/100)</f>
        <v/>
      </c>
      <c r="K618">
        <f>J618*(1+((Inputs!$B$12*(1+Inputs!$B$13/100))*0.01+Inputs!$B$14*0.0025)/100)*(1+Inputs!$B$15/100)*(1+Inputs!$B$16/100)*(5000/(6000+Inputs!$B$42*(1-Inputs!$B$19/100)))*(1+Inputs!$B$24/100)*(1+F627/100)*(1+IF(Inputs!$B$3&gt;=120,F630,0)/100)^5*(1+(IF(Skills!A14="BASIC_ATTACK",(Inputs!$B$17+1),Inputs!$B$18+IF(Inputs!$B$3&gt;=125,F631*5,0)))/100)*(B634*B635*B636*I618)</f>
        <v/>
      </c>
      <c r="L618">
        <f>K618*(MIN(Inputs!$B$22+(F626-Calc!F22),Inputs!$B$23)/100+Inputs!$B$23/100)/2</f>
        <v/>
      </c>
      <c r="M618">
        <f>L618*(1+(Inputs!$B$10+(F625-Calc!F21))/100)</f>
        <v/>
      </c>
      <c r="N618">
        <f>L618*(1-MIN(Inputs!$B$9+(F624-Calc!F20),100)/100)+M618*(MIN(Inputs!$B$9+(F624-Calc!F20),100)/100)</f>
        <v/>
      </c>
      <c r="O618">
        <f>(1-Summary!$B$56)*S618+Summary!$B$56*U618</f>
        <v/>
      </c>
      <c r="P618">
        <f>IF(B645=0,0,O618/B645)</f>
        <v/>
      </c>
      <c r="Q618">
        <f>IFERROR(1/IF(Inputs!$B$38="pvp",15,MAX(0.1,Skills!E14-IF(Skills!F14=TRUE,Inputs!$B$32,0))),0)</f>
        <v/>
      </c>
      <c r="R618" t="n">
        <v>0</v>
      </c>
      <c r="S618">
        <f>IF(C618,((H618*B641)/(1+Skills!H14*H618*B641)*N618)*IF(Inputs!$B$38="pvp",1,1+(Inputs!$B$20+Skills!P14)/100),0)</f>
        <v/>
      </c>
      <c r="U618">
        <f>IF(C618,((H618*B641)/(1+Skills!H14*H618*B641)*N618)*IF(Inputs!$B$38="pvp",1,(1+(Inputs!$B$21+Skills!Q14)/100)*(MIN(Skills!R14,Inputs!$B$37))),0)</f>
        <v/>
      </c>
    </row>
    <row r="619">
      <c r="A619">
        <f>Skills!A15</f>
        <v/>
      </c>
      <c r="B619">
        <f>Skills!B15</f>
        <v/>
      </c>
      <c r="C619">
        <f>Inputs!$B$3&gt;=107</f>
        <v/>
      </c>
      <c r="D619">
        <f>IF(Skills!C15=1,60+Inputs!$B$25+Inputs!$B$29,IF(Skills!C15=2,90+Inputs!$B$26+Inputs!$B$29,IF(Skills!C15=3,120+Inputs!$B$27+Inputs!$B$29,MAX(0,(Inputs!$B$3-100)*3)+Inputs!$B$28+Inputs!$B$29)))</f>
        <v/>
      </c>
      <c r="E619">
        <f>INDEX(FactorTable!$B$2:$Y$301, MATCH(ROUND(MIN(300,MAX(1,D619)),0), FactorTable!$A$2:$A$301,0), Skills!M15+1)</f>
        <v/>
      </c>
      <c r="F619">
        <f>IF(Skills!N15=TRUE,(Skills!L15/10)*(E619/1000),Skills!L15/10)+Skills!O15</f>
        <v/>
      </c>
      <c r="G619">
        <f>Calc!G15</f>
        <v/>
      </c>
      <c r="H619">
        <f>Calc!H15</f>
        <v/>
      </c>
      <c r="I619">
        <f>IF(Skills!X15&lt;&gt;"",1+(Skills!X15/10)*(Z607/1000)/100,1)</f>
        <v/>
      </c>
      <c r="J619">
        <f>((Inputs!$B$6*(1+Inputs!$B$7/100))+(((Inputs!$B$12*(1+Inputs!$B$13/100))-(Inputs!$B$12*(1+Inputs!$B$13/100)))+0.25*(Inputs!$B$14-Inputs!$B$14))*(1+Inputs!$B$7/100))*(F619/100)</f>
        <v/>
      </c>
      <c r="K619">
        <f>J619*(1+((Inputs!$B$12*(1+Inputs!$B$13/100))*0.01+Inputs!$B$14*0.0025)/100)*(1+Inputs!$B$15/100)*(1+Inputs!$B$16/100)*(5000/(6000+Inputs!$B$42*(1-Inputs!$B$19/100)))*(1+Inputs!$B$24/100)*(1+F627/100)*(1+IF(Inputs!$B$3&gt;=120,F630,0)/100)^5*(1+(IF(Skills!A15="BASIC_ATTACK",(Inputs!$B$17+1),Inputs!$B$18+IF(Inputs!$B$3&gt;=125,F631*5,0)))/100)*(B634*B635*B636*I619)</f>
        <v/>
      </c>
      <c r="L619">
        <f>K619*(MIN(Inputs!$B$22+(F626-Calc!F22),Inputs!$B$23)/100+Inputs!$B$23/100)/2</f>
        <v/>
      </c>
      <c r="M619">
        <f>L619*(1+(Inputs!$B$10+(F625-Calc!F21))/100)</f>
        <v/>
      </c>
      <c r="N619">
        <f>L619*(1-MIN(Inputs!$B$9+(F624-Calc!F20),100)/100)+M619*(MIN(Inputs!$B$9+(F624-Calc!F20),100)/100)</f>
        <v/>
      </c>
      <c r="O619">
        <f>(1-Summary!$B$56)*S619+Summary!$B$56*U619</f>
        <v/>
      </c>
      <c r="P619">
        <f>IF(B645=0,0,O619/B645)</f>
        <v/>
      </c>
      <c r="Q619">
        <f>IFERROR(1/IF(Inputs!$B$38="pvp",15,MAX(0.1,Skills!E15-IF(Skills!F15=TRUE,Inputs!$B$32,0))),0)</f>
        <v/>
      </c>
      <c r="R619">
        <f>IF(AND(Inputs!$B$38&lt;&gt;"pvp",Inputs!$B$43&gt;0),IF(MAX(0,Inputs!$B$43-B642)&lt;=0,0,(INT(MAX(0,Inputs!$B$43-B642)/IF(Inputs!$B$38="pvp",15,MAX(0.1,Skills!E15-IF(Skills!F15=TRUE,Inputs!$B$32,0))))+1)),0)</f>
        <v/>
      </c>
      <c r="S619">
        <f>IF(C619,(H619*N619*IF(AND(Inputs!$B$38&lt;&gt;"pvp",Inputs!$B$43&gt;0),((Skills!G15*((R619-1)*IF(Skills!H15&gt;0,Skills!I15/Skills!H15,1)+IF(Skills!H15&gt;0,MIN(Skills!I15,MAX(0,MAX(0,Inputs!$B$43-B642)-((R619-1)*IF(Inputs!$B$38="pvp",15,MAX(0.1,Skills!E15-IF(Skills!F15=TRUE,Inputs!$B$32,0))))))/Skills!H15,1)))/Inputs!$B$43),G619*Q619))*IF(Inputs!$B$38="pvp",1,1+(Inputs!$B$20+Skills!P15)/100),0)</f>
        <v/>
      </c>
      <c r="U619">
        <f>IF(C619,(H619*N619*IF(AND(Inputs!$B$38&lt;&gt;"pvp",Inputs!$B$43&gt;0),((Skills!G15*((R619-1)*IF(Skills!H15&gt;0,Skills!I15/Skills!H15,1)+IF(Skills!H15&gt;0,MIN(Skills!I15,MAX(0,MAX(0,Inputs!$B$43-B642)-((R619-1)*IF(Inputs!$B$38="pvp",15,MAX(0.1,Skills!E15-IF(Skills!F15=TRUE,Inputs!$B$32,0))))))/Skills!H15,1)))/Inputs!$B$43),G619*Q619))*IF(Inputs!$B$38="pvp",1,(1+(Inputs!$B$21+Skills!Q15)/100)*(MIN(Skills!R15,Inputs!$B$37))),0)</f>
        <v/>
      </c>
    </row>
    <row r="620">
      <c r="A620">
        <f>Skills!A16</f>
        <v/>
      </c>
      <c r="B620">
        <f>Skills!B16</f>
        <v/>
      </c>
      <c r="C620">
        <f>Inputs!$B$3&gt;=107</f>
        <v/>
      </c>
      <c r="D620">
        <f>IF(Skills!C16=1,60+Inputs!$B$25+Inputs!$B$29,IF(Skills!C16=2,90+Inputs!$B$26+Inputs!$B$29,IF(Skills!C16=3,120+Inputs!$B$27+Inputs!$B$29,MAX(0,(Inputs!$B$3-100)*3)+Inputs!$B$28+Inputs!$B$29)))</f>
        <v/>
      </c>
      <c r="E620">
        <f>INDEX(FactorTable!$B$2:$Y$301, MATCH(ROUND(MIN(300,MAX(1,D620)),0), FactorTable!$A$2:$A$301,0), Skills!M16+1)</f>
        <v/>
      </c>
      <c r="F620">
        <f>IF(Skills!N16=TRUE,(Skills!L16/10)*(E620/1000),Skills!L16/10)+Skills!O16</f>
        <v/>
      </c>
      <c r="G620">
        <f>Calc!G16</f>
        <v/>
      </c>
      <c r="H620">
        <f>Calc!H16</f>
        <v/>
      </c>
      <c r="I620">
        <f>IF(Skills!X16&lt;&gt;"",1+(Skills!X16/10)*(Z607/1000)/100,1)</f>
        <v/>
      </c>
      <c r="J620">
        <f>((Inputs!$B$6*(1+Inputs!$B$7/100))+(((Inputs!$B$12*(1+Inputs!$B$13/100))-(Inputs!$B$12*(1+Inputs!$B$13/100)))+0.25*(Inputs!$B$14-Inputs!$B$14))*(1+Inputs!$B$7/100))*(F620/100)</f>
        <v/>
      </c>
      <c r="K620">
        <f>J620*(1+((Inputs!$B$12*(1+Inputs!$B$13/100))*0.01+Inputs!$B$14*0.0025)/100)*(1+Inputs!$B$15/100)*(1+Inputs!$B$16/100)*(5000/(6000+Inputs!$B$42*(1-Inputs!$B$19/100)))*(1+Inputs!$B$24/100)*(1+F627/100)*(1+IF(Inputs!$B$3&gt;=120,F630,0)/100)^5*(1+(IF(Skills!A16="BASIC_ATTACK",(Inputs!$B$17+1),Inputs!$B$18+IF(Inputs!$B$3&gt;=125,F631*5,0)))/100)*(B634*B635*B636*I620)</f>
        <v/>
      </c>
      <c r="L620">
        <f>K620*(MIN(Inputs!$B$22+(F626-Calc!F22),Inputs!$B$23)/100+Inputs!$B$23/100)/2</f>
        <v/>
      </c>
      <c r="M620">
        <f>L620*(1+(Inputs!$B$10+(F625-Calc!F21))/100)</f>
        <v/>
      </c>
      <c r="N620">
        <f>L620*(1-MIN(Inputs!$B$9+(F624-Calc!F20),100)/100)+M620*(MIN(Inputs!$B$9+(F624-Calc!F20),100)/100)</f>
        <v/>
      </c>
      <c r="O620">
        <f>(1-Summary!$B$56)*S620+Summary!$B$56*U620</f>
        <v/>
      </c>
      <c r="P620">
        <f>IF(B645=0,0,O620/B645)</f>
        <v/>
      </c>
      <c r="Q620">
        <f>IFERROR(1/IF(Inputs!$B$38="pvp",15,MAX(0.1,Skills!E16-IF(Skills!F16=TRUE,Inputs!$B$32,0))),0)</f>
        <v/>
      </c>
      <c r="R620">
        <f>IF(AND(Inputs!$B$38&lt;&gt;"pvp",Inputs!$B$43&gt;0),IF(MAX(0,Inputs!$B$43-B642)&lt;=0,0,(INT(MAX(0,Inputs!$B$43-B642)/IF(Inputs!$B$38="pvp",15,MAX(0.1,Skills!E16-IF(Skills!F16=TRUE,Inputs!$B$32,0))))+1)),0)</f>
        <v/>
      </c>
      <c r="S620">
        <f>IF(C620,(H620*N620*IF(AND(Inputs!$B$38&lt;&gt;"pvp",Inputs!$B$43&gt;0),((Skills!G16*((R620-1)*IF(Skills!H16&gt;0,Skills!I16/Skills!H16,1)+IF(Skills!H16&gt;0,MIN(Skills!I16,MAX(0,MAX(0,Inputs!$B$43-B642)-((R620-1)*IF(Inputs!$B$38="pvp",15,MAX(0.1,Skills!E16-IF(Skills!F16=TRUE,Inputs!$B$32,0))))))/Skills!H16,1)))/Inputs!$B$43),G620*Q620)*(1+IF(Inputs!$B$3&gt;=126,0.05*(B640+Q617+(H618*B641)/(1+Skills!H14*H618*B641)+Q628),0)*Skills!E15))*IF(Inputs!$B$38="pvp",1,1+(Inputs!$B$20+Skills!P16)/100),0)</f>
        <v/>
      </c>
      <c r="U620">
        <f>IF(C620,(H620*N620*IF(AND(Inputs!$B$38&lt;&gt;"pvp",Inputs!$B$43&gt;0),((Skills!G16*((R620-1)*IF(Skills!H16&gt;0,Skills!I16/Skills!H16,1)+IF(Skills!H16&gt;0,MIN(Skills!I16,MAX(0,MAX(0,Inputs!$B$43-B642)-((R620-1)*IF(Inputs!$B$38="pvp",15,MAX(0.1,Skills!E16-IF(Skills!F16=TRUE,Inputs!$B$32,0))))))/Skills!H16,1)))/Inputs!$B$43),G620*Q620)*(1+IF(Inputs!$B$3&gt;=126,0.05*(B640+Q617+(H618*B641)/(1+Skills!H14*H618*B641)+Q628),0)*Skills!E15))*IF(Inputs!$B$38="pvp",1,(1+(Inputs!$B$21+Skills!Q16)/100)*(MIN(Skills!R16,Inputs!$B$37))),0)</f>
        <v/>
      </c>
    </row>
    <row r="621">
      <c r="A621">
        <f>Skills!A17</f>
        <v/>
      </c>
      <c r="B621">
        <f>Skills!B17</f>
        <v/>
      </c>
      <c r="C621">
        <f>TRUE</f>
        <v/>
      </c>
      <c r="D621">
        <f>IF(Skills!C17=1,60+Inputs!$B$25+Inputs!$B$29,IF(Skills!C17=2,90+Inputs!$B$26+Inputs!$B$29,IF(Skills!C17=3,120+Inputs!$B$27+Inputs!$B$29,MAX(0,(Inputs!$B$3-100)*3)+Inputs!$B$28+Inputs!$B$29)))</f>
        <v/>
      </c>
      <c r="E621">
        <f>INDEX(FactorTable!$B$2:$Y$301, MATCH(ROUND(MIN(300,MAX(1,D621)),0), FactorTable!$A$2:$A$301,0), Skills!M17+1)</f>
        <v/>
      </c>
      <c r="F621">
        <f>IF(Skills!N17=TRUE,(Skills!L17/10)*(E621/1000),Skills!L17/10)+Skills!O17</f>
        <v/>
      </c>
      <c r="G621">
        <f>Calc!G17</f>
        <v/>
      </c>
      <c r="H621">
        <f>Calc!H17</f>
        <v/>
      </c>
      <c r="I621">
        <f>IF(Skills!X17&lt;&gt;"",1+(Skills!X17/10)*(Z607/1000)/100,1)</f>
        <v/>
      </c>
      <c r="J621" t="inlineStr"/>
      <c r="K621" t="inlineStr"/>
      <c r="L621" t="inlineStr"/>
      <c r="M621" t="inlineStr"/>
      <c r="N621" t="inlineStr"/>
      <c r="O621">
        <f>(1-Summary!$B$56)*S621+Summary!$B$56*U621</f>
        <v/>
      </c>
      <c r="P621">
        <f>IF(B645=0,0,O621/B645)</f>
        <v/>
      </c>
      <c r="Q621">
        <f>IFERROR(1/IF(Inputs!$B$38="pvp",15,MAX(0.1,Skills!E17-IF(Skills!F17=TRUE,Inputs!$B$32,0))),0)</f>
        <v/>
      </c>
      <c r="R621">
        <f>IF(AND(Inputs!$B$38&lt;&gt;"pvp",Inputs!$B$43&gt;0),IF(Inputs!$B$43&lt;=0,0,(INT(Inputs!$B$43/IF(Inputs!$B$38="pvp",15,MAX(0.1,Skills!E17-IF(Skills!F17=TRUE,Inputs!$B$32,0))))+1)),0)</f>
        <v/>
      </c>
      <c r="S621" t="n">
        <v>0</v>
      </c>
      <c r="U621" t="n">
        <v>0</v>
      </c>
    </row>
    <row r="622">
      <c r="A622">
        <f>Skills!A18</f>
        <v/>
      </c>
      <c r="B622">
        <f>Skills!B18</f>
        <v/>
      </c>
      <c r="C622">
        <f>TRUE</f>
        <v/>
      </c>
      <c r="D622">
        <f>IF(Skills!C18=1,60+Inputs!$B$25+Inputs!$B$29,IF(Skills!C18=2,90+Inputs!$B$26+Inputs!$B$29,IF(Skills!C18=3,120+Inputs!$B$27+Inputs!$B$29,MAX(0,(Inputs!$B$3-100)*3)+Inputs!$B$28+Inputs!$B$29)))</f>
        <v/>
      </c>
      <c r="E622">
        <f>INDEX(FactorTable!$B$2:$Y$301, MATCH(ROUND(MIN(300,MAX(1,D622)),0), FactorTable!$A$2:$A$301,0), Skills!M18+1)</f>
        <v/>
      </c>
      <c r="F622">
        <f>IF(Skills!N18=TRUE,(Skills!L18/10)*(E622/1000),Skills!L18/10)+Skills!O18</f>
        <v/>
      </c>
      <c r="G622">
        <f>Calc!G18</f>
        <v/>
      </c>
      <c r="H622">
        <f>Calc!H18</f>
        <v/>
      </c>
      <c r="I622">
        <f>IF(Skills!X18&lt;&gt;"",1+(Skills!X18/10)*(Z607/1000)/100,1)</f>
        <v/>
      </c>
      <c r="J622" t="inlineStr"/>
      <c r="K622" t="inlineStr"/>
      <c r="L622" t="inlineStr"/>
      <c r="M622" t="inlineStr"/>
      <c r="N622" t="inlineStr"/>
      <c r="O622">
        <f>(1-Summary!$B$56)*S622+Summary!$B$56*U622</f>
        <v/>
      </c>
      <c r="P622">
        <f>IF(B645=0,0,O622/B645)</f>
        <v/>
      </c>
      <c r="Q622">
        <f>IFERROR(1/IF(Inputs!$B$38="pvp",15,MAX(0.1,Skills!E18-IF(Skills!F18=TRUE,Inputs!$B$32,0))),0)</f>
        <v/>
      </c>
      <c r="R622">
        <f>IF(AND(Inputs!$B$38&lt;&gt;"pvp",Inputs!$B$43&gt;0),IF(Inputs!$B$43&lt;=0,0,(INT(Inputs!$B$43/IF(Inputs!$B$38="pvp",15,MAX(0.1,Skills!E18-IF(Skills!F18=TRUE,Inputs!$B$32,0))))+1)),0)</f>
        <v/>
      </c>
      <c r="S622" t="n">
        <v>0</v>
      </c>
      <c r="U622" t="n">
        <v>0</v>
      </c>
    </row>
    <row r="623">
      <c r="A623">
        <f>Skills!A19</f>
        <v/>
      </c>
      <c r="B623">
        <f>Skills!B19</f>
        <v/>
      </c>
      <c r="C623">
        <f>Inputs!$B$3&gt;=110</f>
        <v/>
      </c>
      <c r="D623">
        <f>IF(Skills!C19=1,60+Inputs!$B$25+Inputs!$B$29,IF(Skills!C19=2,90+Inputs!$B$26+Inputs!$B$29,IF(Skills!C19=3,120+Inputs!$B$27+Inputs!$B$29,MAX(0,(Inputs!$B$3-100)*3)+Inputs!$B$28+Inputs!$B$29)))</f>
        <v/>
      </c>
      <c r="E623">
        <f>INDEX(FactorTable!$B$2:$Y$301, MATCH(ROUND(MIN(300,MAX(1,D623)),0), FactorTable!$A$2:$A$301,0), Skills!M19+1)</f>
        <v/>
      </c>
      <c r="F623">
        <f>IF(Skills!N19=TRUE,(Skills!L19/10)*(E623/1000),Skills!L19/10)+Skills!O19</f>
        <v/>
      </c>
      <c r="G623">
        <f>Calc!G19</f>
        <v/>
      </c>
      <c r="H623">
        <f>Calc!H19</f>
        <v/>
      </c>
      <c r="I623">
        <f>IF(Skills!X19&lt;&gt;"",1+(Skills!X19/10)*(Z607/1000)/100,1)</f>
        <v/>
      </c>
      <c r="J623" t="inlineStr"/>
      <c r="K623" t="inlineStr"/>
      <c r="L623" t="inlineStr"/>
      <c r="M623" t="inlineStr"/>
      <c r="N623" t="inlineStr"/>
      <c r="O623">
        <f>(1-Summary!$B$56)*S623+Summary!$B$56*U623</f>
        <v/>
      </c>
      <c r="P623">
        <f>IF(B645=0,0,O623/B645)</f>
        <v/>
      </c>
      <c r="Q623">
        <f>IFERROR(1/IF(Inputs!$B$38="pvp",15,MAX(0.1,Skills!E19-IF(Skills!F19=TRUE,Inputs!$B$32,0))),0)</f>
        <v/>
      </c>
      <c r="R623">
        <f>IF(AND(Inputs!$B$38&lt;&gt;"pvp",Inputs!$B$43&gt;0),IF(Inputs!$B$43&lt;=0,0,(INT(Inputs!$B$43/IF(Inputs!$B$38="pvp",15,MAX(0.1,Skills!E19-IF(Skills!F19=TRUE,Inputs!$B$32,0))))+1)),0)</f>
        <v/>
      </c>
      <c r="S623" t="n">
        <v>0</v>
      </c>
      <c r="U623" t="n">
        <v>0</v>
      </c>
    </row>
    <row r="624">
      <c r="A624">
        <f>Skills!A20</f>
        <v/>
      </c>
      <c r="B624">
        <f>Skills!B20</f>
        <v/>
      </c>
      <c r="C624">
        <f>TRUE</f>
        <v/>
      </c>
      <c r="D624">
        <f>IF(Skills!C20=1,60+Inputs!$B$25+Inputs!$B$29,IF(Skills!C20=2,90+Inputs!$B$26+Inputs!$B$29,IF(Skills!C20=3,120+Inputs!$B$27+Inputs!$B$29,MAX(0,(Inputs!$B$3-100)*3)+Inputs!$B$28+Inputs!$B$29)))</f>
        <v/>
      </c>
      <c r="E624">
        <f>INDEX(FactorTable!$B$2:$Y$301, MATCH(ROUND(MIN(300,MAX(1,D624)),0), FactorTable!$A$2:$A$301,0), Skills!M20+1)</f>
        <v/>
      </c>
      <c r="F624">
        <f>IF(Skills!N20=TRUE,(Skills!L20/10)*(E624/1000),Skills!L20/10)+Skills!O20</f>
        <v/>
      </c>
      <c r="G624">
        <f>Calc!G20</f>
        <v/>
      </c>
      <c r="H624">
        <f>Calc!H20</f>
        <v/>
      </c>
      <c r="I624">
        <f>IF(Skills!X20&lt;&gt;"",1+(Skills!X20/10)*(Z607/1000)/100,1)</f>
        <v/>
      </c>
      <c r="J624" t="inlineStr"/>
      <c r="K624" t="inlineStr"/>
      <c r="L624" t="inlineStr"/>
      <c r="M624" t="inlineStr"/>
      <c r="N624" t="inlineStr"/>
      <c r="O624">
        <f>(1-Summary!$B$56)*S624+Summary!$B$56*U624</f>
        <v/>
      </c>
      <c r="P624">
        <f>IF(B645=0,0,O624/B645)</f>
        <v/>
      </c>
      <c r="Q624">
        <f>IFERROR(1/IF(Inputs!$B$38="pvp",15,MAX(0.1,Skills!E20-IF(Skills!F20=TRUE,Inputs!$B$32,0))),0)</f>
        <v/>
      </c>
      <c r="R624" t="n">
        <v>0</v>
      </c>
      <c r="S624" t="n">
        <v>0</v>
      </c>
      <c r="U624" t="n">
        <v>0</v>
      </c>
    </row>
    <row r="625">
      <c r="A625">
        <f>Skills!A21</f>
        <v/>
      </c>
      <c r="B625">
        <f>Skills!B21</f>
        <v/>
      </c>
      <c r="C625">
        <f>TRUE</f>
        <v/>
      </c>
      <c r="D625">
        <f>IF(Skills!C21=1,60+Inputs!$B$25+Inputs!$B$29,IF(Skills!C21=2,90+Inputs!$B$26+Inputs!$B$29,IF(Skills!C21=3,120+Inputs!$B$27+Inputs!$B$29,MAX(0,(Inputs!$B$3-100)*3)+Inputs!$B$28+Inputs!$B$29)))</f>
        <v/>
      </c>
      <c r="E625">
        <f>INDEX(FactorTable!$B$2:$Y$301, MATCH(ROUND(MIN(300,MAX(1,D625)),0), FactorTable!$A$2:$A$301,0), Skills!M21+1)</f>
        <v/>
      </c>
      <c r="F625">
        <f>IF(Skills!N21=TRUE,(Skills!L21/10)*(E625/1000),Skills!L21/10)+Skills!O21</f>
        <v/>
      </c>
      <c r="G625">
        <f>Calc!G21</f>
        <v/>
      </c>
      <c r="H625">
        <f>Calc!H21</f>
        <v/>
      </c>
      <c r="I625">
        <f>IF(Skills!X21&lt;&gt;"",1+(Skills!X21/10)*(Z607/1000)/100,1)</f>
        <v/>
      </c>
      <c r="J625" t="inlineStr"/>
      <c r="K625" t="inlineStr"/>
      <c r="L625" t="inlineStr"/>
      <c r="M625" t="inlineStr"/>
      <c r="N625" t="inlineStr"/>
      <c r="O625">
        <f>(1-Summary!$B$56)*S625+Summary!$B$56*U625</f>
        <v/>
      </c>
      <c r="P625">
        <f>IF(B645=0,0,O625/B645)</f>
        <v/>
      </c>
      <c r="Q625">
        <f>IFERROR(1/IF(Inputs!$B$38="pvp",15,MAX(0.1,Skills!E21-IF(Skills!F21=TRUE,Inputs!$B$32,0))),0)</f>
        <v/>
      </c>
      <c r="R625" t="n">
        <v>0</v>
      </c>
      <c r="S625" t="n">
        <v>0</v>
      </c>
      <c r="U625" t="n">
        <v>0</v>
      </c>
    </row>
    <row r="626">
      <c r="A626">
        <f>Skills!A22</f>
        <v/>
      </c>
      <c r="B626">
        <f>Skills!B22</f>
        <v/>
      </c>
      <c r="C626">
        <f>TRUE</f>
        <v/>
      </c>
      <c r="D626">
        <f>IF(Skills!C22=1,60+Inputs!$B$25+Inputs!$B$29,IF(Skills!C22=2,90+Inputs!$B$26+Inputs!$B$29,IF(Skills!C22=3,120+Inputs!$B$27+Inputs!$B$29,MAX(0,(Inputs!$B$3-100)*3)+Inputs!$B$28+Inputs!$B$29)))</f>
        <v/>
      </c>
      <c r="E626">
        <f>INDEX(FactorTable!$B$2:$Y$301, MATCH(ROUND(MIN(300,MAX(1,D626)),0), FactorTable!$A$2:$A$301,0), Skills!M22+1)</f>
        <v/>
      </c>
      <c r="F626">
        <f>IF(Skills!N22=TRUE,(Skills!L22/10)*(E626/1000),Skills!L22/10)+Skills!O22</f>
        <v/>
      </c>
      <c r="G626">
        <f>Calc!G22</f>
        <v/>
      </c>
      <c r="H626">
        <f>Calc!H22</f>
        <v/>
      </c>
      <c r="I626">
        <f>IF(Skills!X22&lt;&gt;"",1+(Skills!X22/10)*(Z607/1000)/100,1)</f>
        <v/>
      </c>
      <c r="J626" t="inlineStr"/>
      <c r="K626" t="inlineStr"/>
      <c r="L626" t="inlineStr"/>
      <c r="M626" t="inlineStr"/>
      <c r="N626" t="inlineStr"/>
      <c r="O626">
        <f>(1-Summary!$B$56)*S626+Summary!$B$56*U626</f>
        <v/>
      </c>
      <c r="P626">
        <f>IF(B645=0,0,O626/B645)</f>
        <v/>
      </c>
      <c r="Q626">
        <f>IFERROR(1/IF(Inputs!$B$38="pvp",15,MAX(0.1,Skills!E22-IF(Skills!F22=TRUE,Inputs!$B$32,0))),0)</f>
        <v/>
      </c>
      <c r="R626" t="n">
        <v>0</v>
      </c>
      <c r="S626" t="n">
        <v>0</v>
      </c>
      <c r="U626" t="n">
        <v>0</v>
      </c>
    </row>
    <row r="627">
      <c r="A627">
        <f>Skills!A23</f>
        <v/>
      </c>
      <c r="B627">
        <f>Skills!B23</f>
        <v/>
      </c>
      <c r="C627">
        <f>TRUE</f>
        <v/>
      </c>
      <c r="D627">
        <f>IF(Skills!C23=1,60+Inputs!$B$25+Inputs!$B$29,IF(Skills!C23=2,90+Inputs!$B$26+Inputs!$B$29,IF(Skills!C23=3,120+Inputs!$B$27+Inputs!$B$29,MAX(0,(Inputs!$B$3-100)*3)+Inputs!$B$28+Inputs!$B$29)))</f>
        <v/>
      </c>
      <c r="E627">
        <f>INDEX(FactorTable!$B$2:$Y$301, MATCH(ROUND(MIN(300,MAX(1,D627)),0), FactorTable!$A$2:$A$301,0), Skills!M23+1)</f>
        <v/>
      </c>
      <c r="F627">
        <f>IF(Skills!N23=TRUE,(Skills!L23/10)*(E627/1000),Skills!L23/10)+Skills!O23</f>
        <v/>
      </c>
      <c r="G627">
        <f>Calc!G23</f>
        <v/>
      </c>
      <c r="H627">
        <f>Calc!H23</f>
        <v/>
      </c>
      <c r="I627">
        <f>IF(Skills!X23&lt;&gt;"",1+(Skills!X23/10)*(Z607/1000)/100,1)</f>
        <v/>
      </c>
      <c r="J627" t="inlineStr"/>
      <c r="K627" t="inlineStr"/>
      <c r="L627" t="inlineStr"/>
      <c r="M627" t="inlineStr"/>
      <c r="N627" t="inlineStr"/>
      <c r="O627">
        <f>(1-Summary!$B$56)*S627+Summary!$B$56*U627</f>
        <v/>
      </c>
      <c r="P627">
        <f>IF(B645=0,0,O627/B645)</f>
        <v/>
      </c>
      <c r="Q627">
        <f>IFERROR(1/IF(Inputs!$B$38="pvp",15,MAX(0.1,Skills!E23-IF(Skills!F23=TRUE,Inputs!$B$32,0))),0)</f>
        <v/>
      </c>
      <c r="R627" t="n">
        <v>0</v>
      </c>
      <c r="S627" t="n">
        <v>0</v>
      </c>
      <c r="U627" t="n">
        <v>0</v>
      </c>
    </row>
    <row r="628">
      <c r="A628">
        <f>Skills!A24</f>
        <v/>
      </c>
      <c r="B628">
        <f>Skills!B24</f>
        <v/>
      </c>
      <c r="C628">
        <f>Inputs!$B$3&gt;=115</f>
        <v/>
      </c>
      <c r="D628">
        <f>IF(Skills!C24=1,60+Inputs!$B$25+Inputs!$B$29,IF(Skills!C24=2,90+Inputs!$B$26+Inputs!$B$29,IF(Skills!C24=3,120+Inputs!$B$27+Inputs!$B$29,MAX(0,(Inputs!$B$3-100)*3)+Inputs!$B$28+Inputs!$B$29)))</f>
        <v/>
      </c>
      <c r="E628">
        <f>INDEX(FactorTable!$B$2:$Y$301, MATCH(ROUND(MIN(300,MAX(1,D628)),0), FactorTable!$A$2:$A$301,0), Skills!M24+1)</f>
        <v/>
      </c>
      <c r="F628">
        <f>IF(Skills!N24=TRUE,(Skills!L24/10)*(E628/1000),Skills!L24/10)+Skills!O24</f>
        <v/>
      </c>
      <c r="G628">
        <f>Calc!G24</f>
        <v/>
      </c>
      <c r="H628">
        <f>Calc!H24</f>
        <v/>
      </c>
      <c r="I628">
        <f>IF(Skills!X24&lt;&gt;"",1+(Skills!X24/10)*(Z607/1000)/100,1)</f>
        <v/>
      </c>
      <c r="J628">
        <f>((Inputs!$B$6*(1+Inputs!$B$7/100))+(((Inputs!$B$12*(1+Inputs!$B$13/100))-(Inputs!$B$12*(1+Inputs!$B$13/100)))+0.25*(Inputs!$B$14-Inputs!$B$14))*(1+Inputs!$B$7/100))*(F628/100)</f>
        <v/>
      </c>
      <c r="K628">
        <f>J628*(1+((Inputs!$B$12*(1+Inputs!$B$13/100))*0.01+Inputs!$B$14*0.0025)/100)*(1+Inputs!$B$15/100)*(1+Inputs!$B$16/100)*(5000/(6000+Inputs!$B$42*(1-Inputs!$B$19/100)))*(1+Inputs!$B$24/100)*(1+F627/100)*(1+IF(Inputs!$B$3&gt;=120,F630,0)/100)^5*(1+(IF(Skills!A24="BASIC_ATTACK",(Inputs!$B$17+1),Inputs!$B$18+IF(Inputs!$B$3&gt;=125,F631*5,0)))/100)*(B634*B635*B636*I628)</f>
        <v/>
      </c>
      <c r="L628">
        <f>K628*(MIN(Inputs!$B$22+(F626-Calc!F22),Inputs!$B$23)/100+Inputs!$B$23/100)/2</f>
        <v/>
      </c>
      <c r="M628">
        <f>L628*(1+(Inputs!$B$10+(F625-Calc!F21))/100)</f>
        <v/>
      </c>
      <c r="N628">
        <f>L628*(1-MIN(Inputs!$B$9+(F624-Calc!F20),100)/100)+M628*(MIN(Inputs!$B$9+(F624-Calc!F20),100)/100)</f>
        <v/>
      </c>
      <c r="O628">
        <f>(1-Summary!$B$56)*S628+Summary!$B$56*U628</f>
        <v/>
      </c>
      <c r="P628">
        <f>IF(B645=0,0,O628/B645)</f>
        <v/>
      </c>
      <c r="Q628">
        <f>IFERROR(1/IF(Inputs!$B$38="pvp",15,MAX(0.1,Skills!E24-IF(Skills!F24=TRUE,Inputs!$B$32,0))),0)</f>
        <v/>
      </c>
      <c r="R628">
        <f>IF(AND(Inputs!$B$38&lt;&gt;"pvp",Inputs!$B$43&gt;0),IF(MAX(0,Inputs!$B$43-B642)&lt;=0,0,(INT(MAX(0,Inputs!$B$43-B642)/IF(Inputs!$B$38="pvp",15,MAX(0.1,Skills!E24-IF(Skills!F24=TRUE,Inputs!$B$32,0))))+1)),0)</f>
        <v/>
      </c>
      <c r="S628">
        <f>IF(C628,(H628*N628*IF(AND(Inputs!$B$38&lt;&gt;"pvp",Inputs!$B$43&gt;0),((Skills!G24*((R628-1)*IF(Skills!H24&gt;0,Skills!I24/Skills!H24,1)+IF(Skills!H24&gt;0,MIN(Skills!I24,MAX(0,MAX(0,Inputs!$B$43-B642)-((R628-1)*IF(Inputs!$B$38="pvp",15,MAX(0.1,Skills!E24-IF(Skills!F24=TRUE,Inputs!$B$32,0))))))/Skills!H24,1)))/Inputs!$B$43),G628*Q628)*(1+IF(Inputs!$B$3&gt;=130,0.2*(Skills!I16/Skills!E15+IF(Inputs!$B$3&gt;=126,0.05*(B640+Q617+(H618*B641)/(1+Skills!H14*H618*B641)+Q628),0)*Skills!I16),0)))*IF(Inputs!$B$38="pvp",1,1+(Inputs!$B$20+Skills!P24)/100),0)</f>
        <v/>
      </c>
      <c r="U628">
        <f>IF(C628,(H628*N628*IF(AND(Inputs!$B$38&lt;&gt;"pvp",Inputs!$B$43&gt;0),((Skills!G24*((R628-1)*IF(Skills!H24&gt;0,Skills!I24/Skills!H24,1)+IF(Skills!H24&gt;0,MIN(Skills!I24,MAX(0,MAX(0,Inputs!$B$43-B642)-((R628-1)*IF(Inputs!$B$38="pvp",15,MAX(0.1,Skills!E24-IF(Skills!F24=TRUE,Inputs!$B$32,0))))))/Skills!H24,1)))/Inputs!$B$43),G628*Q628)*(1+IF(Inputs!$B$3&gt;=130,0.2*(Skills!I16/Skills!E15+IF(Inputs!$B$3&gt;=126,0.05*(B640+Q617+(H618*B641)/(1+Skills!H14*H618*B641)+Q628),0)*Skills!I16),0)))*IF(Inputs!$B$38="pvp",1,(1+(Inputs!$B$21+Skills!Q24)/100)*(MIN(Skills!R24,Inputs!$B$37))),0)</f>
        <v/>
      </c>
    </row>
    <row r="629">
      <c r="A629">
        <f>Skills!A25</f>
        <v/>
      </c>
      <c r="B629">
        <f>Skills!B25</f>
        <v/>
      </c>
      <c r="C629">
        <f>Inputs!$B$3&gt;=117</f>
        <v/>
      </c>
      <c r="D629">
        <f>IF(Skills!C25=1,60+Inputs!$B$25+Inputs!$B$29,IF(Skills!C25=2,90+Inputs!$B$26+Inputs!$B$29,IF(Skills!C25=3,120+Inputs!$B$27+Inputs!$B$29,MAX(0,(Inputs!$B$3-100)*3)+Inputs!$B$28+Inputs!$B$29)))</f>
        <v/>
      </c>
      <c r="E629">
        <f>INDEX(FactorTable!$B$2:$Y$301, MATCH(ROUND(MIN(300,MAX(1,D629)),0), FactorTable!$A$2:$A$301,0), Skills!M25+1)</f>
        <v/>
      </c>
      <c r="F629">
        <f>IF(Skills!N25=TRUE,(Skills!L25/10)*(E629/1000),Skills!L25/10)+Skills!O25</f>
        <v/>
      </c>
      <c r="G629">
        <f>Calc!G25</f>
        <v/>
      </c>
      <c r="H629">
        <f>Calc!H25</f>
        <v/>
      </c>
      <c r="I629">
        <f>IF(Skills!X25&lt;&gt;"",1+(Skills!X25/10)*(Z607/1000)/100,1)</f>
        <v/>
      </c>
      <c r="J629" t="inlineStr"/>
      <c r="K629" t="inlineStr"/>
      <c r="L629" t="inlineStr"/>
      <c r="M629" t="inlineStr"/>
      <c r="N629" t="inlineStr"/>
      <c r="O629">
        <f>(1-Summary!$B$56)*S629+Summary!$B$56*U629</f>
        <v/>
      </c>
      <c r="P629">
        <f>IF(B645=0,0,O629/B645)</f>
        <v/>
      </c>
      <c r="Q629">
        <f>IFERROR(1/IF(Inputs!$B$38="pvp",15,MAX(0.1,Skills!E25-IF(Skills!F25=TRUE,Inputs!$B$32,0))),0)</f>
        <v/>
      </c>
      <c r="R629" t="n">
        <v>0</v>
      </c>
      <c r="S629" t="n">
        <v>0</v>
      </c>
      <c r="U629" t="n">
        <v>0</v>
      </c>
    </row>
    <row r="630">
      <c r="A630">
        <f>Skills!A26</f>
        <v/>
      </c>
      <c r="B630">
        <f>Skills!B26</f>
        <v/>
      </c>
      <c r="C630">
        <f>Inputs!$B$3&gt;=120</f>
        <v/>
      </c>
      <c r="D630">
        <f>IF(Skills!C26=1,60+Inputs!$B$25+Inputs!$B$29,IF(Skills!C26=2,90+Inputs!$B$26+Inputs!$B$29,IF(Skills!C26=3,120+Inputs!$B$27+Inputs!$B$29,MAX(0,(Inputs!$B$3-100)*3)+Inputs!$B$28+Inputs!$B$29)))</f>
        <v/>
      </c>
      <c r="E630">
        <f>INDEX(FactorTable!$B$2:$Y$301, MATCH(ROUND(MIN(300,MAX(1,D630)),0), FactorTable!$A$2:$A$301,0), Skills!M26+1)</f>
        <v/>
      </c>
      <c r="F630">
        <f>IF(Skills!N26=TRUE,(Skills!L26/10)*(E630/1000),Skills!L26/10)+Skills!O26</f>
        <v/>
      </c>
      <c r="G630">
        <f>Calc!G26</f>
        <v/>
      </c>
      <c r="H630">
        <f>Calc!H26</f>
        <v/>
      </c>
      <c r="I630">
        <f>IF(Skills!X26&lt;&gt;"",1+(Skills!X26/10)*(Z607/1000)/100,1)</f>
        <v/>
      </c>
      <c r="J630" t="inlineStr"/>
      <c r="K630" t="inlineStr"/>
      <c r="L630" t="inlineStr"/>
      <c r="M630" t="inlineStr"/>
      <c r="N630" t="inlineStr"/>
      <c r="O630">
        <f>(1-Summary!$B$56)*S630+Summary!$B$56*U630</f>
        <v/>
      </c>
      <c r="P630">
        <f>IF(B645=0,0,O630/B645)</f>
        <v/>
      </c>
      <c r="Q630">
        <f>IFERROR(1/IF(Inputs!$B$38="pvp",15,MAX(0.1,Skills!E26-IF(Skills!F26=TRUE,Inputs!$B$32,0))),0)</f>
        <v/>
      </c>
      <c r="R630" t="n">
        <v>0</v>
      </c>
      <c r="S630" t="n">
        <v>0</v>
      </c>
      <c r="U630" t="n">
        <v>0</v>
      </c>
    </row>
    <row r="631">
      <c r="A631">
        <f>Skills!A27</f>
        <v/>
      </c>
      <c r="B631">
        <f>Skills!B27</f>
        <v/>
      </c>
      <c r="C631">
        <f>Inputs!$B$3&gt;=125</f>
        <v/>
      </c>
      <c r="D631">
        <f>IF(Skills!C27=1,60+Inputs!$B$25+Inputs!$B$29,IF(Skills!C27=2,90+Inputs!$B$26+Inputs!$B$29,IF(Skills!C27=3,120+Inputs!$B$27+Inputs!$B$29,MAX(0,(Inputs!$B$3-100)*3)+Inputs!$B$28+Inputs!$B$29)))</f>
        <v/>
      </c>
      <c r="E631">
        <f>INDEX(FactorTable!$B$2:$Y$301, MATCH(ROUND(MIN(300,MAX(1,D631)),0), FactorTable!$A$2:$A$301,0), Skills!M27+1)</f>
        <v/>
      </c>
      <c r="F631">
        <f>IF(Skills!N27=TRUE,(Skills!L27/10)*(E631/1000),Skills!L27/10)+Skills!O27</f>
        <v/>
      </c>
      <c r="G631">
        <f>Calc!G27</f>
        <v/>
      </c>
      <c r="H631">
        <f>Calc!H27</f>
        <v/>
      </c>
      <c r="I631">
        <f>IF(Skills!X27&lt;&gt;"",1+(Skills!X27/10)*(Z607/1000)/100,1)</f>
        <v/>
      </c>
      <c r="J631" t="inlineStr"/>
      <c r="K631" t="inlineStr"/>
      <c r="L631" t="inlineStr"/>
      <c r="M631" t="inlineStr"/>
      <c r="N631" t="inlineStr"/>
      <c r="O631">
        <f>(1-Summary!$B$56)*S631+Summary!$B$56*U631</f>
        <v/>
      </c>
      <c r="P631">
        <f>IF(B645=0,0,O631/B645)</f>
        <v/>
      </c>
      <c r="Q631">
        <f>IFERROR(1/IF(Inputs!$B$38="pvp",15,MAX(0.1,Skills!E27-IF(Skills!F27=TRUE,Inputs!$B$32,0))),0)</f>
        <v/>
      </c>
      <c r="R631" t="n">
        <v>0</v>
      </c>
      <c r="S631" t="n">
        <v>0</v>
      </c>
      <c r="U631" t="n">
        <v>0</v>
      </c>
    </row>
    <row r="632">
      <c r="A632">
        <f>Skills!A28</f>
        <v/>
      </c>
      <c r="B632">
        <f>Skills!B28</f>
        <v/>
      </c>
      <c r="C632">
        <f>Inputs!$B$3&gt;=118</f>
        <v/>
      </c>
      <c r="D632">
        <f>IF(Skills!C28=1,60+Inputs!$B$25+Inputs!$B$29,IF(Skills!C28=2,90+Inputs!$B$26+Inputs!$B$29,IF(Skills!C28=3,120+Inputs!$B$27+Inputs!$B$29,MAX(0,(Inputs!$B$3-100)*3)+Inputs!$B$28+Inputs!$B$29)))</f>
        <v/>
      </c>
      <c r="E632">
        <f>INDEX(FactorTable!$B$2:$Y$301, MATCH(ROUND(MIN(300,MAX(1,D632)),0), FactorTable!$A$2:$A$301,0), Skills!M28+1)</f>
        <v/>
      </c>
      <c r="F632">
        <f>IF(Skills!N28=TRUE,(Skills!L28/10)*(E632/1000),Skills!L28/10)+Skills!O28</f>
        <v/>
      </c>
      <c r="G632">
        <f>Calc!G28</f>
        <v/>
      </c>
      <c r="H632">
        <f>Calc!H28</f>
        <v/>
      </c>
      <c r="I632">
        <f>IF(Skills!X28&lt;&gt;"",1+(Skills!X28/10)*(Z607/1000)/100,1)</f>
        <v/>
      </c>
      <c r="J632">
        <f>((Inputs!$B$6*(1+Inputs!$B$7/100))+(((Inputs!$B$12*(1+Inputs!$B$13/100))-(Inputs!$B$12*(1+Inputs!$B$13/100)))+0.25*(Inputs!$B$14-Inputs!$B$14))*(1+Inputs!$B$7/100))*(F632/100)</f>
        <v/>
      </c>
      <c r="K632">
        <f>J632*(1+((Inputs!$B$12*(1+Inputs!$B$13/100))*0.01+Inputs!$B$14*0.0025)/100)*(1+Inputs!$B$15/100)*(1+Inputs!$B$16/100)*(5000/(6000+Inputs!$B$42*(1-Inputs!$B$19/100)))*(1+Inputs!$B$24/100)*(1+F627/100)*(1+IF(Inputs!$B$3&gt;=120,F630,0)/100)^5*(1+(IF(Skills!A28="BASIC_ATTACK",(Inputs!$B$17+1),Inputs!$B$18+IF(Inputs!$B$3&gt;=125,F631*5,0)))/100)*(B634*B635*B636*I632)</f>
        <v/>
      </c>
      <c r="L632">
        <f>K632*(MIN(Inputs!$B$22+(F626-Calc!F22),Inputs!$B$23)/100+Inputs!$B$23/100)/2</f>
        <v/>
      </c>
      <c r="M632">
        <f>L632*(1+(Inputs!$B$10+(F625-Calc!F21))/100)</f>
        <v/>
      </c>
      <c r="N632">
        <f>L632*(1-MIN(Inputs!$B$9+(F624-Calc!F20),100)/100)+M632*(MIN(Inputs!$B$9+(F624-Calc!F20),100)/100)</f>
        <v/>
      </c>
      <c r="O632">
        <f>(1-Summary!$B$56)*S632+Summary!$B$56*U632</f>
        <v/>
      </c>
      <c r="P632">
        <f>IF(B645=0,0,O632/B645)</f>
        <v/>
      </c>
      <c r="Q632">
        <f>IFERROR(1/IF(Inputs!$B$38="pvp",15,MAX(0.1,Skills!E28-IF(Skills!F28=TRUE,Inputs!$B$32,0))),0)</f>
        <v/>
      </c>
      <c r="R632">
        <f>IF(AND(Inputs!$B$38&lt;&gt;"pvp",Inputs!$B$43&gt;0),IF(MAX(0,Inputs!$B$43-B642)&lt;=0,0,(INT(MAX(0,Inputs!$B$43-B642)/IF(Inputs!$B$38="pvp",15,MAX(0.1,Skills!E28-IF(Skills!F28=TRUE,Inputs!$B$32,0))))+1)),0)</f>
        <v/>
      </c>
      <c r="S632">
        <f>IF(C632,(H632*N632*IF(AND(Inputs!$B$38&lt;&gt;"pvp",Inputs!$B$43&gt;0),((Skills!G28*((R632-1)*IF(Skills!H28&gt;0,Skills!I28/Skills!H28,1)+IF(Skills!H28&gt;0,MIN(Skills!I28,MAX(0,MAX(0,Inputs!$B$43-B642)-((R632-1)*IF(Inputs!$B$38="pvp",15,MAX(0.1,Skills!E28-IF(Skills!F28=TRUE,Inputs!$B$32,0))))))/Skills!H28,1)))/Inputs!$B$43),G632*Q632))*IF(Inputs!$B$38="pvp",1,1+(Inputs!$B$20+Skills!P28)/100),0)</f>
        <v/>
      </c>
      <c r="U632">
        <f>IF(C632,(H632*N632*IF(AND(Inputs!$B$38&lt;&gt;"pvp",Inputs!$B$43&gt;0),((Skills!G28*((R632-1)*IF(Skills!H28&gt;0,Skills!I28/Skills!H28,1)+IF(Skills!H28&gt;0,MIN(Skills!I28,MAX(0,MAX(0,Inputs!$B$43-B642)-((R632-1)*IF(Inputs!$B$38="pvp",15,MAX(0.1,Skills!E28-IF(Skills!F28=TRUE,Inputs!$B$32,0))))))/Skills!H28,1)))/Inputs!$B$43),G632*Q632))*IF(Inputs!$B$38="pvp",1,(1+(Inputs!$B$21+Skills!Q28)/100)*(MIN(Skills!R28,Inputs!$B$37))),0)</f>
        <v/>
      </c>
    </row>
    <row r="634">
      <c r="A634" t="inlineStr">
        <is>
          <t>Burning Magic Multiplier</t>
        </is>
      </c>
      <c r="B634">
        <f>1+(F615*Skills!Z11)/100</f>
        <v/>
      </c>
    </row>
    <row r="635">
      <c r="A635" t="inlineStr">
        <is>
          <t>Elemental Decrease Multiplier (always-on)</t>
        </is>
      </c>
      <c r="B635">
        <f>1+F616/100</f>
        <v/>
      </c>
    </row>
    <row r="636">
      <c r="A636" t="inlineStr">
        <is>
          <t>Average Buff Multiplier (Magic Guard + Meditation, summed; then Infinity)</t>
        </is>
      </c>
      <c r="B636">
        <f>(1+(F610*IF(AND(Inputs!$B$38&lt;&gt;"pvp",Inputs!$B$43&gt;0),(((R610-1)*(Skills!T6*(1+(Inputs!$B$34+IF(Inputs!$B$3&gt;=117,F629,0))/100))+MIN((Skills!T6*(1+(Inputs!$B$34+IF(Inputs!$B$3&gt;=117,F629,0))/100)),MAX(0,Inputs!$B$43-((R610-1)*Skills!E6))))/Inputs!$B$43),IF(Inputs!$B$38="pvp",MIN((Skills!T6*(1+(Inputs!$B$34+IF(Inputs!$B$3&gt;=117,F629,0))/100)),15)/15,(Skills!T6*(1+(Inputs!$B$34+IF(Inputs!$B$3&gt;=117,F629,0))/100))/Skills!E6))+F621*IF(AND(Inputs!$B$38&lt;&gt;"pvp",Inputs!$B$43&gt;0),(((R621-1)*(Skills!T17*(1+(Inputs!$B$34+IF(Inputs!$B$3&gt;=117,F629,0))/100))+MIN((Skills!T17*(1+(Inputs!$B$34+IF(Inputs!$B$3&gt;=117,F629,0))/100)),MAX(0,Inputs!$B$43-((R621-1)*Skills!E17))))/Inputs!$B$43),IF(Inputs!$B$38="pvp",MIN((Skills!T17*(1+(Inputs!$B$34+IF(Inputs!$B$3&gt;=117,F629,0))/100)),15)/15,(Skills!T17*(1+(Inputs!$B$34+IF(Inputs!$B$3&gt;=117,F629,0))/100))/Skills!E17)))/100)*IF(C623=TRUE,(1+F623*IF(AND(Inputs!$B$38&lt;&gt;"pvp",Inputs!$B$43&gt;0),(((R623-1)*(Skills!T19*(1+(Inputs!$B$34+IF(Inputs!$B$3&gt;=117,F629,0))/100))+MIN((Skills!T19*(1+(Inputs!$B$34+IF(Inputs!$B$3&gt;=117,F629,0))/100)),MAX(0,Inputs!$B$43-((R623-1)*Skills!E19))))/Inputs!$B$43),IF(Inputs!$B$38="pvp",MIN((Skills!T19*(1+(Inputs!$B$34+IF(Inputs!$B$3&gt;=117,F629,0))/100)),15)/15,(Skills!T19*(1+(Inputs!$B$34+IF(Inputs!$B$3&gt;=117,F629,0))/100))/Skills!E19))/100),1)</f>
        <v/>
      </c>
    </row>
    <row r="637">
      <c r="A637" t="inlineStr">
        <is>
          <t>Attack Speed Buff Bonus % (Nimble Feet, averaged)</t>
        </is>
      </c>
      <c r="B637">
        <f>F622*IF(AND(Inputs!$B$38&lt;&gt;"pvp",Inputs!$B$43&gt;0),(((R622-1)*(Skills!T18*(1+(Inputs!$B$34+IF(Inputs!$B$3&gt;=117,F629,0))/100))+MIN((Skills!T18*(1+(Inputs!$B$34+IF(Inputs!$B$3&gt;=117,F629,0))/100)),MAX(0,Inputs!$B$43-((R622-1)*Skills!E18))))/Inputs!$B$43),IF(Inputs!$B$38="pvp",MIN((Skills!T18*(1+(Inputs!$B$34+IF(Inputs!$B$3&gt;=117,F629,0))/100)),15)/15,(Skills!T18*(1+(Inputs!$B$34+IF(Inputs!$B$3&gt;=117,F629,0))/100))/Skills!E18))</f>
        <v/>
      </c>
    </row>
    <row r="638">
      <c r="A638" t="inlineStr">
        <is>
          <t>Actions Per Second</t>
        </is>
      </c>
      <c r="B638">
        <f>1+MIN(150,150*(1-(1-Inputs!$B$11/150)*(1-B637/150)))/100</f>
        <v/>
      </c>
    </row>
    <row r="639">
      <c r="A639" t="inlineStr">
        <is>
          <t>Skill + Buff Cast Rate</t>
        </is>
      </c>
      <c r="B639">
        <f>IF(AND(Inputs!$B$38&lt;&gt;"pvp",Inputs!$B$43&gt;0),SUMPRODUCT((Skills!F2:F28=TRUE)*(C606:C632=TRUE)*R606:R632)/Inputs!$B$43,SUMPRODUCT((Skills!F2:F28=TRUE)*(C606:C632=TRUE)*Q606:Q632))</f>
        <v/>
      </c>
    </row>
    <row r="640">
      <c r="A640" t="inlineStr">
        <is>
          <t>Basic Attacks Per Second</t>
        </is>
      </c>
      <c r="B640">
        <f>MAX(0,B638-B639)</f>
        <v/>
      </c>
    </row>
    <row r="641">
      <c r="A641" t="inlineStr">
        <is>
          <t>Meteor Proc — combined trigger cast rate</t>
        </is>
      </c>
      <c r="B641">
        <f>IF(AND(Inputs!$B$38&lt;&gt;"pvp",Inputs!$B$43&gt;0),SUMPRODUCT((Skills!V2:V28=TRUE)*(C606:C632=TRUE)*R606:R632*Skills!W2:W28)/Inputs!$B$43,SUMPRODUCT((Skills!V2:V28=TRUE)*(C606:C632=TRUE)*Q606:Q632*Skills!W2:W28))+B640</f>
        <v/>
      </c>
    </row>
    <row r="642">
      <c r="A642" t="inlineStr">
        <is>
          <t>Buff-Casting Startup Delay (s, fixed-duration only)</t>
        </is>
      </c>
      <c r="B642">
        <f>IF(AND(Inputs!$B$38&lt;&gt;"pvp",Inputs!$B$43&gt;0),SUMPRODUCT((Skills!T2:T28&gt;0)*(Skills!F2:F28=TRUE)*(C606:C632=TRUE))/B638,0)</f>
        <v/>
      </c>
    </row>
    <row r="643">
      <c r="A643" t="inlineStr">
        <is>
          <t>Boss-Only Total DPS (this block's swept value)</t>
        </is>
      </c>
      <c r="B643">
        <f>SUM(S606:S632)</f>
        <v/>
      </c>
    </row>
    <row r="644">
      <c r="A644" t="inlineStr">
        <is>
          <t>Normal-Only Total DPS (this block's swept value)</t>
        </is>
      </c>
      <c r="B644">
        <f>SUM(U606:U632)</f>
        <v/>
      </c>
    </row>
    <row r="645">
      <c r="A645" s="5" t="inlineStr">
        <is>
          <t>TOTAL DPS</t>
        </is>
      </c>
      <c r="B645" s="5">
        <f>SUM(O606:O632)</f>
        <v/>
      </c>
    </row>
    <row r="648">
      <c r="A648" s="5" t="inlineStr">
        <is>
          <t>Stat: SKILL_DAMAGE %</t>
        </is>
      </c>
    </row>
    <row r="649">
      <c r="A649" s="9" t="inlineStr">
        <is>
          <t>Key</t>
        </is>
      </c>
      <c r="B649" s="9" t="inlineStr">
        <is>
          <t>Name</t>
        </is>
      </c>
      <c r="C649" s="9" t="inlineStr">
        <is>
          <t>Unlocked</t>
        </is>
      </c>
      <c r="D649" s="9" t="inlineStr">
        <is>
          <t>InputLevel</t>
        </is>
      </c>
      <c r="E649" s="9" t="inlineStr">
        <is>
          <t>Factor</t>
        </is>
      </c>
      <c r="F649" s="9" t="inlineStr">
        <is>
          <t>CoefficientPercent</t>
        </is>
      </c>
      <c r="G649" s="9" t="inlineStr">
        <is>
          <t>EffectiveHits</t>
        </is>
      </c>
      <c r="H649" s="9" t="inlineStr">
        <is>
          <t>ProcProbability</t>
        </is>
      </c>
      <c r="I649" s="9" t="inlineStr">
        <is>
          <t>MapleHeroMultiplier</t>
        </is>
      </c>
      <c r="J649" s="9" t="inlineStr">
        <is>
          <t>BaseDamage</t>
        </is>
      </c>
      <c r="K649" s="9" t="inlineStr">
        <is>
          <t>BaseHitDamage</t>
        </is>
      </c>
      <c r="L649" s="9" t="inlineStr">
        <is>
          <t>NonCritAvg</t>
        </is>
      </c>
      <c r="M649" s="9" t="inlineStr">
        <is>
          <t>CritAvg</t>
        </is>
      </c>
      <c r="N649" s="9" t="inlineStr">
        <is>
          <t>ExpectedDamage(perHit)</t>
        </is>
      </c>
      <c r="O649" s="9" t="inlineStr">
        <is>
          <t>DPS</t>
        </is>
      </c>
      <c r="P649" s="9" t="inlineStr">
        <is>
          <t>% of Total</t>
        </is>
      </c>
      <c r="R649" t="inlineStr">
        <is>
          <t>helpers</t>
        </is>
      </c>
    </row>
    <row r="650">
      <c r="A650">
        <f>Skills!A2</f>
        <v/>
      </c>
      <c r="B650">
        <f>Skills!B2</f>
        <v/>
      </c>
      <c r="C650">
        <f>TRUE</f>
        <v/>
      </c>
      <c r="D650" t="inlineStr"/>
      <c r="E650" t="inlineStr"/>
      <c r="F650">
        <f>T652+Skills!O2</f>
        <v/>
      </c>
      <c r="G650">
        <f>Calc!G2</f>
        <v/>
      </c>
      <c r="H650">
        <f>Calc!H2</f>
        <v/>
      </c>
      <c r="I650">
        <f>IF(Skills!X2&lt;&gt;"",1+(Skills!X2/10)*(Z651/1000)/100,1)</f>
        <v/>
      </c>
      <c r="J650">
        <f>((Inputs!$B$6*(1+Inputs!$B$7/100))+(((Inputs!$B$12*(1+Inputs!$B$13/100))-(Inputs!$B$12*(1+Inputs!$B$13/100)))+0.25*(Inputs!$B$14-Inputs!$B$14))*(1+Inputs!$B$7/100))*(F650/100)</f>
        <v/>
      </c>
      <c r="K650">
        <f>J650*(1+((Inputs!$B$12*(1+Inputs!$B$13/100))*0.01+Inputs!$B$14*0.0025)/100)*(1+Inputs!$B$15/100)*(1+Inputs!$B$16/100)*(5000/(6000+Inputs!$B$42*(1-Inputs!$B$19/100)))*(1+Inputs!$B$24/100)*(1+F671/100)*(1+IF(Inputs!$B$3&gt;=120,F674,0)/100)^5*(1+(IF(Skills!A2="BASIC_ATTACK",Inputs!$B$17,(Inputs!$B$18+1)+IF(Inputs!$B$3&gt;=125,F675*5,0)))/100)*(B678*B679*B680*I650)</f>
        <v/>
      </c>
      <c r="L650">
        <f>K650*(MIN(Inputs!$B$22+(F670-Calc!F22),Inputs!$B$23)/100+Inputs!$B$23/100)/2</f>
        <v/>
      </c>
      <c r="M650">
        <f>L650*(1+(Inputs!$B$10+(F669-Calc!F21))/100)</f>
        <v/>
      </c>
      <c r="N650">
        <f>L650*(1-MIN(Inputs!$B$9+(F668-Calc!F20),100)/100)+M650*(MIN(Inputs!$B$9+(F668-Calc!F20),100)/100)</f>
        <v/>
      </c>
      <c r="O650">
        <f>(1-Summary!$B$56)*S650+Summary!$B$56*U650</f>
        <v/>
      </c>
      <c r="P650">
        <f>IF(B689=0,0,O650/B689)</f>
        <v/>
      </c>
      <c r="Q650">
        <f>IFERROR(1/IF(Inputs!$B$38="pvp",15,MAX(0.1,Skills!E2-IF(Skills!F2=TRUE,Inputs!$B$32,0))),0)</f>
        <v/>
      </c>
      <c r="R650" t="n">
        <v>0</v>
      </c>
      <c r="S650">
        <f>(Skills!G2*N650*B684)*IF(Inputs!$B$38="pvp",1,1+(Inputs!$B$20+Skills!P2)/100)</f>
        <v/>
      </c>
      <c r="T650">
        <f>MAX(0,(Inputs!$B$3-100)*3)+Inputs!$B$28+Inputs!$B$29</f>
        <v/>
      </c>
      <c r="U650">
        <f>(Skills!G2*N650*B684)*IF(Inputs!$B$38="pvp",1,(1+(Inputs!$B$21+Skills!Q2)/100)*(MIN((6+Inputs!$B$33+IF(Inputs!$B$3&gt;=136,1,0)),Inputs!$B$37)))</f>
        <v/>
      </c>
      <c r="Z650">
        <f>MAX(0,(Inputs!$B$3-100)*3)+Inputs!$B$28+Inputs!$B$29</f>
        <v/>
      </c>
    </row>
    <row r="651">
      <c r="A651">
        <f>Skills!A3</f>
        <v/>
      </c>
      <c r="B651">
        <f>Skills!B3</f>
        <v/>
      </c>
      <c r="C651">
        <f>TRUE</f>
        <v/>
      </c>
      <c r="D651">
        <f>IF(Skills!C3=1,60+Inputs!$B$25+Inputs!$B$29,IF(Skills!C3=2,90+Inputs!$B$26+Inputs!$B$29,IF(Skills!C3=3,120+Inputs!$B$27+Inputs!$B$29,MAX(0,(Inputs!$B$3-100)*3)+Inputs!$B$28+Inputs!$B$29)))</f>
        <v/>
      </c>
      <c r="E651">
        <f>INDEX(FactorTable!$B$2:$Y$301, MATCH(ROUND(MIN(300,MAX(1,D651)),0), FactorTable!$A$2:$A$301,0), Skills!M3+1)</f>
        <v/>
      </c>
      <c r="F651">
        <f>IF(Skills!N3=TRUE,(Skills!L3/10)*(E651/1000),Skills!L3/10)+Skills!O3</f>
        <v/>
      </c>
      <c r="G651">
        <f>Calc!G3</f>
        <v/>
      </c>
      <c r="H651">
        <f>Calc!H3</f>
        <v/>
      </c>
      <c r="I651">
        <f>IF(Skills!X3&lt;&gt;"",1+(Skills!X3/10)*(Z651/1000)/100,1)</f>
        <v/>
      </c>
      <c r="J651">
        <f>((Inputs!$B$6*(1+Inputs!$B$7/100))+(((Inputs!$B$12*(1+Inputs!$B$13/100))-(Inputs!$B$12*(1+Inputs!$B$13/100)))+0.25*(Inputs!$B$14-Inputs!$B$14))*(1+Inputs!$B$7/100))*(F651/100)</f>
        <v/>
      </c>
      <c r="K651">
        <f>J651*(1+((Inputs!$B$12*(1+Inputs!$B$13/100))*0.01+Inputs!$B$14*0.0025)/100)*(1+Inputs!$B$15/100)*(1+Inputs!$B$16/100)*(5000/(6000+Inputs!$B$42*(1-Inputs!$B$19/100)))*(1+Inputs!$B$24/100)*(1+F671/100)*(1+IF(Inputs!$B$3&gt;=120,F674,0)/100)^5*(1+(IF(Skills!A3="BASIC_ATTACK",Inputs!$B$17,(Inputs!$B$18+1)+IF(Inputs!$B$3&gt;=125,F675*5,0)))/100)*(B678*B679*B680*I651)</f>
        <v/>
      </c>
      <c r="L651">
        <f>K651*(MIN(Inputs!$B$22+(F670-Calc!F22),Inputs!$B$23)/100+Inputs!$B$23/100)/2</f>
        <v/>
      </c>
      <c r="M651">
        <f>L651*(1+(Inputs!$B$10+(F669-Calc!F21))/100)</f>
        <v/>
      </c>
      <c r="N651">
        <f>L651*(1-MIN(Inputs!$B$9+(F668-Calc!F20),100)/100)+M651*(MIN(Inputs!$B$9+(F668-Calc!F20),100)/100)</f>
        <v/>
      </c>
      <c r="O651">
        <f>(1-Summary!$B$56)*S651+Summary!$B$56*U651</f>
        <v/>
      </c>
      <c r="P651">
        <f>IF(B689=0,0,O651/B689)</f>
        <v/>
      </c>
      <c r="Q651">
        <f>IFERROR(1/IF(Inputs!$B$38="pvp",15,MAX(0.1,Skills!E3-IF(Skills!F3=TRUE,Inputs!$B$32,0))),0)</f>
        <v/>
      </c>
      <c r="R651">
        <f>IF(AND(Inputs!$B$38&lt;&gt;"pvp",Inputs!$B$43&gt;0),IF(MAX(0,Inputs!$B$43-B686)&lt;=0,0,(INT(MAX(0,Inputs!$B$43-B686)/IF(Inputs!$B$38="pvp",15,MAX(0.1,Skills!E3-IF(Skills!F3=TRUE,Inputs!$B$32,0))))+1)),0)</f>
        <v/>
      </c>
      <c r="S651">
        <f>IF(C651,(H651*N651*IF(AND(Inputs!$B$38&lt;&gt;"pvp",Inputs!$B$43&gt;0),((Skills!G3*((R651-1)*IF(Skills!H3&gt;0,Skills!I3/Skills!H3,1)+IF(Skills!H3&gt;0,MIN(Skills!I3,MAX(0,MAX(0,Inputs!$B$43-B686)-((R651-1)*IF(Inputs!$B$38="pvp",15,MAX(0.1,Skills!E3-IF(Skills!F3=TRUE,Inputs!$B$32,0))))))/Skills!H3,1)))/Inputs!$B$43),G651*Q651))*IF(Inputs!$B$38="pvp",1,1+(Inputs!$B$20+Skills!P3)/100),0)</f>
        <v/>
      </c>
      <c r="T651">
        <f>INDEX(FactorTable!$B$2:$Y$301, MATCH(ROUND(MIN(300,MAX(1,T650)),0), FactorTable!$A$2:$A$301,0), 22)</f>
        <v/>
      </c>
      <c r="U651">
        <f>IF(C651,(H651*N651*IF(AND(Inputs!$B$38&lt;&gt;"pvp",Inputs!$B$43&gt;0),((Skills!G3*((R651-1)*IF(Skills!H3&gt;0,Skills!I3/Skills!H3,1)+IF(Skills!H3&gt;0,MIN(Skills!I3,MAX(0,MAX(0,Inputs!$B$43-B686)-((R651-1)*IF(Inputs!$B$38="pvp",15,MAX(0.1,Skills!E3-IF(Skills!F3=TRUE,Inputs!$B$32,0))))))/Skills!H3,1)))/Inputs!$B$43),G651*Q651))*IF(Inputs!$B$38="pvp",1,(1+(Inputs!$B$21+Skills!Q3)/100)*(MIN(Skills!R3,Inputs!$B$37))),0)</f>
        <v/>
      </c>
      <c r="Z651">
        <f>INDEX(FactorTable!$B$2:$Y$301, MATCH(ROUND(MIN(300,MAX(1,Z650)),0), FactorTable!$A$2:$A$301,0), 24)</f>
        <v/>
      </c>
    </row>
    <row r="652">
      <c r="A652">
        <f>Skills!A4</f>
        <v/>
      </c>
      <c r="B652">
        <f>Skills!B4</f>
        <v/>
      </c>
      <c r="C652">
        <f>TRUE</f>
        <v/>
      </c>
      <c r="D652">
        <f>IF(Skills!C4=1,60+Inputs!$B$25+Inputs!$B$29,IF(Skills!C4=2,90+Inputs!$B$26+Inputs!$B$29,IF(Skills!C4=3,120+Inputs!$B$27+Inputs!$B$29,MAX(0,(Inputs!$B$3-100)*3)+Inputs!$B$28+Inputs!$B$29)))</f>
        <v/>
      </c>
      <c r="E652">
        <f>INDEX(FactorTable!$B$2:$Y$301, MATCH(ROUND(MIN(300,MAX(1,D652)),0), FactorTable!$A$2:$A$301,0), Skills!M4+1)</f>
        <v/>
      </c>
      <c r="F652">
        <f>IF(Skills!N4=TRUE,(Skills!L4/10)*(E652/1000),Skills!L4/10)+Skills!O4</f>
        <v/>
      </c>
      <c r="G652">
        <f>Calc!G4</f>
        <v/>
      </c>
      <c r="H652">
        <f>Calc!H4</f>
        <v/>
      </c>
      <c r="I652">
        <f>IF(Skills!X4&lt;&gt;"",1+(Skills!X4/10)*(Z651/1000)/100,1)</f>
        <v/>
      </c>
      <c r="J652">
        <f>((Inputs!$B$6*(1+Inputs!$B$7/100))+(((Inputs!$B$12*(1+Inputs!$B$13/100))-(Inputs!$B$12*(1+Inputs!$B$13/100)))+0.25*(Inputs!$B$14-Inputs!$B$14))*(1+Inputs!$B$7/100))*(F652/100)</f>
        <v/>
      </c>
      <c r="K652">
        <f>J652*(1+((Inputs!$B$12*(1+Inputs!$B$13/100))*0.01+Inputs!$B$14*0.0025)/100)*(1+Inputs!$B$15/100)*(1+Inputs!$B$16/100)*(5000/(6000+Inputs!$B$42*(1-Inputs!$B$19/100)))*(1+Inputs!$B$24/100)*(1+F671/100)*(1+IF(Inputs!$B$3&gt;=120,F674,0)/100)^5*(1+(IF(Skills!A4="BASIC_ATTACK",Inputs!$B$17,(Inputs!$B$18+1)+IF(Inputs!$B$3&gt;=125,F675*5,0)))/100)*(B678*B679*B680*I652)</f>
        <v/>
      </c>
      <c r="L652">
        <f>K652*(MIN(Inputs!$B$22+(F670-Calc!F22),Inputs!$B$23)/100+Inputs!$B$23/100)/2</f>
        <v/>
      </c>
      <c r="M652">
        <f>L652*(1+(Inputs!$B$10+(F669-Calc!F21))/100)</f>
        <v/>
      </c>
      <c r="N652">
        <f>L652*(1-MIN(Inputs!$B$9+(F668-Calc!F20),100)/100)+M652*(MIN(Inputs!$B$9+(F668-Calc!F20),100)/100)</f>
        <v/>
      </c>
      <c r="O652">
        <f>(1-Summary!$B$56)*S652+Summary!$B$56*U652</f>
        <v/>
      </c>
      <c r="P652">
        <f>IF(B689=0,0,O652/B689)</f>
        <v/>
      </c>
      <c r="Q652">
        <f>IFERROR(1/IF(Inputs!$B$38="pvp",15,MAX(0.1,Skills!E4-IF(Skills!F4=TRUE,Inputs!$B$32,0))),0)</f>
        <v/>
      </c>
      <c r="R652">
        <f>IF(AND(Inputs!$B$38&lt;&gt;"pvp",Inputs!$B$43&gt;0),IF(MAX(0,Inputs!$B$43-B686)&lt;=0,0,(INT(MAX(0,Inputs!$B$43-B686)/IF(Inputs!$B$38="pvp",15,MAX(0.1,Skills!E4-IF(Skills!F4=TRUE,Inputs!$B$32,0))))+1)),0)</f>
        <v/>
      </c>
      <c r="S652">
        <f>IF(C652,(H652*N652*IF(AND(Inputs!$B$38&lt;&gt;"pvp",Inputs!$B$43&gt;0),((Skills!G4*((R652-1)*IF(Skills!H4&gt;0,Skills!I4/Skills!H4,1)+IF(Skills!H4&gt;0,MIN(Skills!I4,MAX(0,MAX(0,Inputs!$B$43-B686)-((R652-1)*IF(Inputs!$B$38="pvp",15,MAX(0.1,Skills!E4-IF(Skills!F4=TRUE,Inputs!$B$32,0))))))/Skills!H4,1)))/Inputs!$B$43),G652*Q652))*IF(Inputs!$B$38="pvp",1,1+(Inputs!$B$20+Skills!P4)/100),0)</f>
        <v/>
      </c>
      <c r="T652">
        <f>290*T651/1000</f>
        <v/>
      </c>
      <c r="U652">
        <f>IF(C652,(H652*N652*IF(AND(Inputs!$B$38&lt;&gt;"pvp",Inputs!$B$43&gt;0),((Skills!G4*((R652-1)*IF(Skills!H4&gt;0,Skills!I4/Skills!H4,1)+IF(Skills!H4&gt;0,MIN(Skills!I4,MAX(0,MAX(0,Inputs!$B$43-B686)-((R652-1)*IF(Inputs!$B$38="pvp",15,MAX(0.1,Skills!E4-IF(Skills!F4=TRUE,Inputs!$B$32,0))))))/Skills!H4,1)))/Inputs!$B$43),G652*Q652))*IF(Inputs!$B$38="pvp",1,(1+(Inputs!$B$21+Skills!Q4)/100)*(MIN(Skills!R4,Inputs!$B$37))),0)</f>
        <v/>
      </c>
    </row>
    <row r="653">
      <c r="A653">
        <f>Skills!A5</f>
        <v/>
      </c>
      <c r="B653">
        <f>Skills!B5</f>
        <v/>
      </c>
      <c r="C653">
        <f>TRUE</f>
        <v/>
      </c>
      <c r="D653">
        <f>IF(Skills!C5=1,60+Inputs!$B$25+Inputs!$B$29,IF(Skills!C5=2,90+Inputs!$B$26+Inputs!$B$29,IF(Skills!C5=3,120+Inputs!$B$27+Inputs!$B$29,MAX(0,(Inputs!$B$3-100)*3)+Inputs!$B$28+Inputs!$B$29)))</f>
        <v/>
      </c>
      <c r="E653">
        <f>INDEX(FactorTable!$B$2:$Y$301, MATCH(ROUND(MIN(300,MAX(1,D653)),0), FactorTable!$A$2:$A$301,0), Skills!M5+1)</f>
        <v/>
      </c>
      <c r="F653">
        <f>IF(Skills!N5=TRUE,(Skills!L5/10)*(E653/1000),Skills!L5/10)+Skills!O5</f>
        <v/>
      </c>
      <c r="G653">
        <f>Calc!G5</f>
        <v/>
      </c>
      <c r="H653">
        <f>Calc!H5</f>
        <v/>
      </c>
      <c r="I653">
        <f>IF(Skills!X5&lt;&gt;"",1+(Skills!X5/10)*(Z651/1000)/100,1)</f>
        <v/>
      </c>
      <c r="J653">
        <f>((Inputs!$B$6*(1+Inputs!$B$7/100))+(((Inputs!$B$12*(1+Inputs!$B$13/100))-(Inputs!$B$12*(1+Inputs!$B$13/100)))+0.25*(Inputs!$B$14-Inputs!$B$14))*(1+Inputs!$B$7/100))*(F653/100)</f>
        <v/>
      </c>
      <c r="K653">
        <f>J653*(1+((Inputs!$B$12*(1+Inputs!$B$13/100))*0.01+Inputs!$B$14*0.0025)/100)*(1+Inputs!$B$15/100)*(1+Inputs!$B$16/100)*(5000/(6000+Inputs!$B$42*(1-Inputs!$B$19/100)))*(1+Inputs!$B$24/100)*(1+F671/100)*(1+IF(Inputs!$B$3&gt;=120,F674,0)/100)^5*(1+(IF(Skills!A5="BASIC_ATTACK",Inputs!$B$17,(Inputs!$B$18+1)+IF(Inputs!$B$3&gt;=125,F675*5,0)))/100)*(B678*B679*B680*I653)</f>
        <v/>
      </c>
      <c r="L653">
        <f>K653*(MIN(Inputs!$B$22+(F670-Calc!F22),Inputs!$B$23)/100+Inputs!$B$23/100)/2</f>
        <v/>
      </c>
      <c r="M653">
        <f>L653*(1+(Inputs!$B$10+(F669-Calc!F21))/100)</f>
        <v/>
      </c>
      <c r="N653">
        <f>L653*(1-MIN(Inputs!$B$9+(F668-Calc!F20),100)/100)+M653*(MIN(Inputs!$B$9+(F668-Calc!F20),100)/100)</f>
        <v/>
      </c>
      <c r="O653">
        <f>(1-Summary!$B$56)*S653+Summary!$B$56*U653</f>
        <v/>
      </c>
      <c r="P653">
        <f>IF(B689=0,0,O653/B689)</f>
        <v/>
      </c>
      <c r="Q653">
        <f>IFERROR(1/IF(Inputs!$B$38="pvp",15,MAX(0.1,Skills!E5-IF(Skills!F5=TRUE,Inputs!$B$32,0))),0)</f>
        <v/>
      </c>
      <c r="R653">
        <f>IF(AND(Inputs!$B$38&lt;&gt;"pvp",Inputs!$B$43&gt;0),IF(MAX(0,Inputs!$B$43-B686)&lt;=0,0,(INT(MAX(0,Inputs!$B$43-B686)/IF(Inputs!$B$38="pvp",15,MAX(0.1,Skills!E5-IF(Skills!F5=TRUE,Inputs!$B$32,0))))+1)),0)</f>
        <v/>
      </c>
      <c r="S653">
        <f>IF(C653,(H653*N653*IF(AND(Inputs!$B$38&lt;&gt;"pvp",Inputs!$B$43&gt;0),((Skills!G5*((R653-1)*IF(Skills!H5&gt;0,Skills!I5/Skills!H5,1)+IF(Skills!H5&gt;0,MIN(Skills!I5,MAX(0,MAX(0,Inputs!$B$43-B686)-((R653-1)*IF(Inputs!$B$38="pvp",15,MAX(0.1,Skills!E5-IF(Skills!F5=TRUE,Inputs!$B$32,0))))))/Skills!H5,1)))/Inputs!$B$43),G653*Q653))*IF(Inputs!$B$38="pvp",1,1+(Inputs!$B$20+Skills!P5)/100),0)</f>
        <v/>
      </c>
      <c r="U653">
        <f>IF(C653,(H653*N653*IF(AND(Inputs!$B$38&lt;&gt;"pvp",Inputs!$B$43&gt;0),((Skills!G5*((R653-1)*IF(Skills!H5&gt;0,Skills!I5/Skills!H5,1)+IF(Skills!H5&gt;0,MIN(Skills!I5,MAX(0,MAX(0,Inputs!$B$43-B686)-((R653-1)*IF(Inputs!$B$38="pvp",15,MAX(0.1,Skills!E5-IF(Skills!F5=TRUE,Inputs!$B$32,0))))))/Skills!H5,1)))/Inputs!$B$43),G653*Q653))*IF(Inputs!$B$38="pvp",1,(1+(Inputs!$B$21+Skills!Q5)/100)*(MIN(Skills!R5,Inputs!$B$37))),0)</f>
        <v/>
      </c>
    </row>
    <row r="654">
      <c r="A654">
        <f>Skills!A6</f>
        <v/>
      </c>
      <c r="B654">
        <f>Skills!B6</f>
        <v/>
      </c>
      <c r="C654">
        <f>TRUE</f>
        <v/>
      </c>
      <c r="D654">
        <f>IF(Skills!C6=1,60+Inputs!$B$25+Inputs!$B$29,IF(Skills!C6=2,90+Inputs!$B$26+Inputs!$B$29,IF(Skills!C6=3,120+Inputs!$B$27+Inputs!$B$29,MAX(0,(Inputs!$B$3-100)*3)+Inputs!$B$28+Inputs!$B$29)))</f>
        <v/>
      </c>
      <c r="E654">
        <f>INDEX(FactorTable!$B$2:$Y$301, MATCH(ROUND(MIN(300,MAX(1,D654)),0), FactorTable!$A$2:$A$301,0), Skills!M6+1)</f>
        <v/>
      </c>
      <c r="F654">
        <f>IF(Skills!N6=TRUE,(Skills!L6/10)*(E654/1000),Skills!L6/10)+Skills!O6</f>
        <v/>
      </c>
      <c r="G654">
        <f>Calc!G6</f>
        <v/>
      </c>
      <c r="H654">
        <f>Calc!H6</f>
        <v/>
      </c>
      <c r="I654">
        <f>IF(Skills!X6&lt;&gt;"",1+(Skills!X6/10)*(Z651/1000)/100,1)</f>
        <v/>
      </c>
      <c r="J654" t="inlineStr"/>
      <c r="K654" t="inlineStr"/>
      <c r="L654" t="inlineStr"/>
      <c r="M654" t="inlineStr"/>
      <c r="N654" t="inlineStr"/>
      <c r="O654">
        <f>(1-Summary!$B$56)*S654+Summary!$B$56*U654</f>
        <v/>
      </c>
      <c r="P654">
        <f>IF(B689=0,0,O654/B689)</f>
        <v/>
      </c>
      <c r="Q654">
        <f>IFERROR(1/IF(Inputs!$B$38="pvp",15,MAX(0.1,Skills!E6-IF(Skills!F6=TRUE,Inputs!$B$32,0))),0)</f>
        <v/>
      </c>
      <c r="R654">
        <f>IF(AND(Inputs!$B$38&lt;&gt;"pvp",Inputs!$B$43&gt;0),IF(Inputs!$B$43&lt;=0,0,(INT(Inputs!$B$43/IF(Inputs!$B$38="pvp",15,MAX(0.1,Skills!E6-IF(Skills!F6=TRUE,Inputs!$B$32,0))))+1)),0)</f>
        <v/>
      </c>
      <c r="S654" t="n">
        <v>0</v>
      </c>
      <c r="U654" t="n">
        <v>0</v>
      </c>
    </row>
    <row r="655">
      <c r="A655">
        <f>Skills!A7</f>
        <v/>
      </c>
      <c r="B655">
        <f>Skills!B7</f>
        <v/>
      </c>
      <c r="C655">
        <f>TRUE</f>
        <v/>
      </c>
      <c r="D655">
        <f>IF(Skills!C7=1,60+Inputs!$B$25+Inputs!$B$29,IF(Skills!C7=2,90+Inputs!$B$26+Inputs!$B$29,IF(Skills!C7=3,120+Inputs!$B$27+Inputs!$B$29,MAX(0,(Inputs!$B$3-100)*3)+Inputs!$B$28+Inputs!$B$29)))</f>
        <v/>
      </c>
      <c r="E655">
        <f>INDEX(FactorTable!$B$2:$Y$301, MATCH(ROUND(MIN(300,MAX(1,D655)),0), FactorTable!$A$2:$A$301,0), Skills!M7+1)</f>
        <v/>
      </c>
      <c r="F655">
        <f>IF(Skills!N7=TRUE,(Skills!L7/10)*(E655/1000),Skills!L7/10)+Skills!O7</f>
        <v/>
      </c>
      <c r="G655">
        <f>Calc!G7</f>
        <v/>
      </c>
      <c r="H655">
        <f>Calc!H7</f>
        <v/>
      </c>
      <c r="I655">
        <f>IF(Skills!X7&lt;&gt;"",1+(Skills!X7/10)*(Z651/1000)/100,1)</f>
        <v/>
      </c>
      <c r="J655">
        <f>((Inputs!$B$6*(1+Inputs!$B$7/100))+(((Inputs!$B$12*(1+Inputs!$B$13/100))-(Inputs!$B$12*(1+Inputs!$B$13/100)))+0.25*(Inputs!$B$14-Inputs!$B$14))*(1+Inputs!$B$7/100))*(F655/100)</f>
        <v/>
      </c>
      <c r="K655">
        <f>J655*(1+((Inputs!$B$12*(1+Inputs!$B$13/100))*0.01+Inputs!$B$14*0.0025)/100)*(1+Inputs!$B$15/100)*(1+Inputs!$B$16/100)*(5000/(6000+Inputs!$B$42*(1-Inputs!$B$19/100)))*(1+Inputs!$B$24/100)*(1+F671/100)*(1+IF(Inputs!$B$3&gt;=120,F674,0)/100)^5*(1+(IF(Skills!A7="BASIC_ATTACK",Inputs!$B$17,(Inputs!$B$18+1)+IF(Inputs!$B$3&gt;=125,F675*5,0)))/100)*(B678*B679*B680*I655)</f>
        <v/>
      </c>
      <c r="L655">
        <f>K655*(MIN(Inputs!$B$22+(F670-Calc!F22),Inputs!$B$23)/100+Inputs!$B$23/100)/2</f>
        <v/>
      </c>
      <c r="M655">
        <f>L655*(1+(Inputs!$B$10+(F669-Calc!F21))/100)</f>
        <v/>
      </c>
      <c r="N655">
        <f>L655*(1-MIN(Inputs!$B$9+(F668-Calc!F20),100)/100)+M655*(MIN(Inputs!$B$9+(F668-Calc!F20),100)/100)</f>
        <v/>
      </c>
      <c r="O655">
        <f>(1-Summary!$B$56)*S655+Summary!$B$56*U655</f>
        <v/>
      </c>
      <c r="P655">
        <f>IF(B689=0,0,O655/B689)</f>
        <v/>
      </c>
      <c r="Q655">
        <f>IFERROR(1/IF(Inputs!$B$38="pvp",15,MAX(0.1,Skills!E7-IF(Skills!F7=TRUE,Inputs!$B$32,0))),0)</f>
        <v/>
      </c>
      <c r="R655">
        <f>IF(AND(Inputs!$B$38&lt;&gt;"pvp",Inputs!$B$43&gt;0),IF(MAX(0,Inputs!$B$43-B686)&lt;=0,0,(INT(MAX(0,Inputs!$B$43-B686)/IF(Inputs!$B$38="pvp",15,MAX(0.1,Skills!E7-IF(Skills!F7=TRUE,Inputs!$B$32,0))))+1)),0)</f>
        <v/>
      </c>
      <c r="S655">
        <f>IF(C655,(H655*N655*IF(AND(Inputs!$B$38&lt;&gt;"pvp",Inputs!$B$43&gt;0),((Skills!G7*((R655-1)*IF(Skills!H7&gt;0,Skills!I7/Skills!H7,1)+IF(Skills!H7&gt;0,MIN(Skills!I7,MAX(0,MAX(0,Inputs!$B$43-B686)-((R655-1)*IF(Inputs!$B$38="pvp",15,MAX(0.1,Skills!E7-IF(Skills!F7=TRUE,Inputs!$B$32,0))))))/Skills!H7,1)))/Inputs!$B$43),G655*Q655))*IF(Inputs!$B$38="pvp",1,1+(Inputs!$B$20+Skills!P7)/100),0)</f>
        <v/>
      </c>
      <c r="U655">
        <f>IF(C655,(H655*N655*IF(AND(Inputs!$B$38&lt;&gt;"pvp",Inputs!$B$43&gt;0),((Skills!G7*((R655-1)*IF(Skills!H7&gt;0,Skills!I7/Skills!H7,1)+IF(Skills!H7&gt;0,MIN(Skills!I7,MAX(0,MAX(0,Inputs!$B$43-B686)-((R655-1)*IF(Inputs!$B$38="pvp",15,MAX(0.1,Skills!E7-IF(Skills!F7=TRUE,Inputs!$B$32,0))))))/Skills!H7,1)))/Inputs!$B$43),G655*Q655))*IF(Inputs!$B$38="pvp",1,(1+(Inputs!$B$21+Skills!Q7)/100)*(MIN(Skills!R7,Inputs!$B$37))),0)</f>
        <v/>
      </c>
    </row>
    <row r="656">
      <c r="A656">
        <f>Skills!A8</f>
        <v/>
      </c>
      <c r="B656">
        <f>Skills!B8</f>
        <v/>
      </c>
      <c r="C656">
        <f>TRUE</f>
        <v/>
      </c>
      <c r="D656">
        <f>IF(Skills!C8=1,60+Inputs!$B$25+Inputs!$B$29,IF(Skills!C8=2,90+Inputs!$B$26+Inputs!$B$29,IF(Skills!C8=3,120+Inputs!$B$27+Inputs!$B$29,MAX(0,(Inputs!$B$3-100)*3)+Inputs!$B$28+Inputs!$B$29)))</f>
        <v/>
      </c>
      <c r="E656">
        <f>INDEX(FactorTable!$B$2:$Y$301, MATCH(ROUND(MIN(300,MAX(1,D656)),0), FactorTable!$A$2:$A$301,0), Skills!M8+1)</f>
        <v/>
      </c>
      <c r="F656">
        <f>IF(Skills!N8=TRUE,(Skills!L8/10)*(E656/1000),Skills!L8/10)+Skills!O8</f>
        <v/>
      </c>
      <c r="G656">
        <f>Calc!G8</f>
        <v/>
      </c>
      <c r="H656">
        <f>Calc!H8</f>
        <v/>
      </c>
      <c r="I656">
        <f>IF(Skills!X8&lt;&gt;"",1+(Skills!X8/10)*(Z651/1000)/100,1)</f>
        <v/>
      </c>
      <c r="J656">
        <f>((Inputs!$B$6*(1+Inputs!$B$7/100))+(((Inputs!$B$12*(1+Inputs!$B$13/100))-(Inputs!$B$12*(1+Inputs!$B$13/100)))+0.25*(Inputs!$B$14-Inputs!$B$14))*(1+Inputs!$B$7/100))*(F656/100)</f>
        <v/>
      </c>
      <c r="K656">
        <f>J656*(1+((Inputs!$B$12*(1+Inputs!$B$13/100))*0.01+Inputs!$B$14*0.0025)/100)*(1+Inputs!$B$15/100)*(1+Inputs!$B$16/100)*(5000/(6000+Inputs!$B$42*(1-Inputs!$B$19/100)))*(1+Inputs!$B$24/100)*(1+F671/100)*(1+IF(Inputs!$B$3&gt;=120,F674,0)/100)^5*(1+(IF(Skills!A8="BASIC_ATTACK",Inputs!$B$17,(Inputs!$B$18+1)+IF(Inputs!$B$3&gt;=125,F675*5,0)))/100)*(B678*B679*B680*I656)</f>
        <v/>
      </c>
      <c r="L656">
        <f>K656*(MIN(Inputs!$B$22+(F670-Calc!F22),Inputs!$B$23)/100+Inputs!$B$23/100)/2</f>
        <v/>
      </c>
      <c r="M656">
        <f>L656*(1+(Inputs!$B$10+(F669-Calc!F21))/100)</f>
        <v/>
      </c>
      <c r="N656">
        <f>L656*(1-MIN(Inputs!$B$9+(F668-Calc!F20),100)/100)+M656*(MIN(Inputs!$B$9+(F668-Calc!F20),100)/100)</f>
        <v/>
      </c>
      <c r="O656">
        <f>(1-Summary!$B$56)*S656+Summary!$B$56*U656</f>
        <v/>
      </c>
      <c r="P656">
        <f>IF(B689=0,0,O656/B689)</f>
        <v/>
      </c>
      <c r="Q656">
        <f>IFERROR(1/IF(Inputs!$B$38="pvp",15,MAX(0.1,Skills!E8-IF(Skills!F8=TRUE,Inputs!$B$32,0))),0)</f>
        <v/>
      </c>
      <c r="R656">
        <f>IF(AND(Inputs!$B$38&lt;&gt;"pvp",Inputs!$B$43&gt;0),IF(MAX(0,Inputs!$B$43-B686)&lt;=0,0,(INT(MAX(0,Inputs!$B$43-B686)/IF(Inputs!$B$38="pvp",15,MAX(0.1,Skills!E8-IF(Skills!F8=TRUE,Inputs!$B$32,0))))+1)),0)</f>
        <v/>
      </c>
      <c r="S656">
        <f>IF(C656,(H656*N656*IF(AND(Inputs!$B$38&lt;&gt;"pvp",Inputs!$B$43&gt;0),((Skills!G8*((R656-1)*IF(Skills!H8&gt;0,Skills!I8/Skills!H8,1)+IF(Skills!H8&gt;0,MIN(Skills!I8,MAX(0,MAX(0,Inputs!$B$43-B686)-((R656-1)*IF(Inputs!$B$38="pvp",15,MAX(0.1,Skills!E8-IF(Skills!F8=TRUE,Inputs!$B$32,0))))))/Skills!H8,1)))/Inputs!$B$43),G656*Q656))*IF(Inputs!$B$38="pvp",1,1+(Inputs!$B$20+Skills!P8)/100),0)</f>
        <v/>
      </c>
      <c r="U656">
        <f>IF(C656,(H656*N656*IF(AND(Inputs!$B$38&lt;&gt;"pvp",Inputs!$B$43&gt;0),((Skills!G8*((R656-1)*IF(Skills!H8&gt;0,Skills!I8/Skills!H8,1)+IF(Skills!H8&gt;0,MIN(Skills!I8,MAX(0,MAX(0,Inputs!$B$43-B686)-((R656-1)*IF(Inputs!$B$38="pvp",15,MAX(0.1,Skills!E8-IF(Skills!F8=TRUE,Inputs!$B$32,0))))))/Skills!H8,1)))/Inputs!$B$43),G656*Q656))*IF(Inputs!$B$38="pvp",1,(1+(Inputs!$B$21+Skills!Q8)/100)*(MIN(Skills!R8,Inputs!$B$37))),0)</f>
        <v/>
      </c>
    </row>
    <row r="657">
      <c r="A657">
        <f>Skills!A9</f>
        <v/>
      </c>
      <c r="B657">
        <f>Skills!B9</f>
        <v/>
      </c>
      <c r="C657">
        <f>Inputs!$B$3&gt;=103</f>
        <v/>
      </c>
      <c r="D657">
        <f>IF(Skills!C9=1,60+Inputs!$B$25+Inputs!$B$29,IF(Skills!C9=2,90+Inputs!$B$26+Inputs!$B$29,IF(Skills!C9=3,120+Inputs!$B$27+Inputs!$B$29,MAX(0,(Inputs!$B$3-100)*3)+Inputs!$B$28+Inputs!$B$29)))</f>
        <v/>
      </c>
      <c r="E657">
        <f>INDEX(FactorTable!$B$2:$Y$301, MATCH(ROUND(MIN(300,MAX(1,D657)),0), FactorTable!$A$2:$A$301,0), Skills!M9+1)</f>
        <v/>
      </c>
      <c r="F657">
        <f>IF(Skills!N9=TRUE,(Skills!L9/10)*(E657/1000),Skills!L9/10)+Skills!O9</f>
        <v/>
      </c>
      <c r="G657">
        <f>Calc!G9</f>
        <v/>
      </c>
      <c r="H657">
        <f>Calc!H9</f>
        <v/>
      </c>
      <c r="I657">
        <f>IF(Skills!X9&lt;&gt;"",1+(Skills!X9/10)*(Z651/1000)/100,1)</f>
        <v/>
      </c>
      <c r="J657">
        <f>((Inputs!$B$6*(1+Inputs!$B$7/100))+(((Inputs!$B$12*(1+Inputs!$B$13/100))-(Inputs!$B$12*(1+Inputs!$B$13/100)))+0.25*(Inputs!$B$14-Inputs!$B$14))*(1+Inputs!$B$7/100))*(F657/100)</f>
        <v/>
      </c>
      <c r="K657">
        <f>J657*(1+((Inputs!$B$12*(1+Inputs!$B$13/100))*0.01+Inputs!$B$14*0.0025)/100)*(1+Inputs!$B$15/100)*(1+Inputs!$B$16/100)*(5000/(6000+Inputs!$B$42*(1-Inputs!$B$19/100)))*(1+Inputs!$B$24/100)*(1+F671/100)*(1+IF(Inputs!$B$3&gt;=120,F674,0)/100)^5*(1+(IF(Skills!A9="BASIC_ATTACK",Inputs!$B$17,(Inputs!$B$18+1)+IF(Inputs!$B$3&gt;=125,F675*5,0)))/100)*(B678*B679*B680*I657)</f>
        <v/>
      </c>
      <c r="L657">
        <f>K657*(MIN(Inputs!$B$22+(F670-Calc!F22),Inputs!$B$23)/100+Inputs!$B$23/100)/2</f>
        <v/>
      </c>
      <c r="M657">
        <f>L657*(1+(Inputs!$B$10+(F669-Calc!F21))/100)</f>
        <v/>
      </c>
      <c r="N657">
        <f>L657*(1-MIN(Inputs!$B$9+(F668-Calc!F20),100)/100)+M657*(MIN(Inputs!$B$9+(F668-Calc!F20),100)/100)</f>
        <v/>
      </c>
      <c r="O657">
        <f>(1-Summary!$B$56)*S657+Summary!$B$56*U657</f>
        <v/>
      </c>
      <c r="P657">
        <f>IF(B689=0,0,O657/B689)</f>
        <v/>
      </c>
      <c r="Q657">
        <f>IFERROR(1/IF(Inputs!$B$38="pvp",15,MAX(0.1,Skills!E9-IF(Skills!F7=TRUE,Inputs!$B$32,0))),0)</f>
        <v/>
      </c>
      <c r="R657">
        <f>IF(AND(Inputs!$B$38&lt;&gt;"pvp",Inputs!$B$43&gt;0),IF(MAX(0,Inputs!$B$43-B686)&lt;=0,0,(INT(MAX(0,Inputs!$B$43-B686)/IF(Inputs!$B$38="pvp",15,MAX(0.1,Skills!E9-IF(Skills!F7=TRUE,Inputs!$B$32,0))))+1)),0)</f>
        <v/>
      </c>
      <c r="S657">
        <f>IF(C657,(H657*N657*IF(AND(Inputs!$B$38&lt;&gt;"pvp",Inputs!$B$43&gt;0),((Skills!G9*((R657-1)*IF(Skills!H9&gt;0,Skills!I9/Skills!H9,1)+IF(Skills!H9&gt;0,MIN(Skills!I9,MAX(0,MAX(0,Inputs!$B$43-B686)-((R657-1)*IF(Inputs!$B$38="pvp",15,MAX(0.1,Skills!E9-IF(Skills!F7=TRUE,Inputs!$B$32,0))))))/Skills!H9,1)))/Inputs!$B$43),G657*Q657))*IF(Inputs!$B$38="pvp",1,1+(Inputs!$B$20+Skills!P9)/100),0)</f>
        <v/>
      </c>
      <c r="U657">
        <f>IF(C657,(H657*N657*IF(AND(Inputs!$B$38&lt;&gt;"pvp",Inputs!$B$43&gt;0),((Skills!G9*((R657-1)*IF(Skills!H9&gt;0,Skills!I9/Skills!H9,1)+IF(Skills!H9&gt;0,MIN(Skills!I9,MAX(0,MAX(0,Inputs!$B$43-B686)-((R657-1)*IF(Inputs!$B$38="pvp",15,MAX(0.1,Skills!E9-IF(Skills!F7=TRUE,Inputs!$B$32,0))))))/Skills!H9,1)))/Inputs!$B$43),G657*Q657))*IF(Inputs!$B$38="pvp",1,(1+(Inputs!$B$21+Skills!Q9)/100)*(MIN(Skills!R9,Inputs!$B$37))),0)</f>
        <v/>
      </c>
    </row>
    <row r="658">
      <c r="A658">
        <f>Skills!A10</f>
        <v/>
      </c>
      <c r="B658">
        <f>Skills!B10</f>
        <v/>
      </c>
      <c r="C658">
        <f>TRUE</f>
        <v/>
      </c>
      <c r="D658">
        <f>IF(Skills!C10=1,60+Inputs!$B$25+Inputs!$B$29,IF(Skills!C10=2,90+Inputs!$B$26+Inputs!$B$29,IF(Skills!C10=3,120+Inputs!$B$27+Inputs!$B$29,MAX(0,(Inputs!$B$3-100)*3)+Inputs!$B$28+Inputs!$B$29)))</f>
        <v/>
      </c>
      <c r="E658">
        <f>INDEX(FactorTable!$B$2:$Y$301, MATCH(ROUND(MIN(300,MAX(1,D658)),0), FactorTable!$A$2:$A$301,0), Skills!M10+1)</f>
        <v/>
      </c>
      <c r="F658">
        <f>IF(Skills!N10=TRUE,(Skills!L10/10)*(E658/1000),Skills!L10/10)+Skills!O10</f>
        <v/>
      </c>
      <c r="G658">
        <f>Calc!G10</f>
        <v/>
      </c>
      <c r="H658">
        <f>Calc!H10</f>
        <v/>
      </c>
      <c r="I658">
        <f>IF(Skills!X10&lt;&gt;"",1+(Skills!X10/10)*(Z651/1000)/100,1)</f>
        <v/>
      </c>
      <c r="J658">
        <f>((Inputs!$B$6*(1+Inputs!$B$7/100))+(((Inputs!$B$12*(1+Inputs!$B$13/100))-(Inputs!$B$12*(1+Inputs!$B$13/100)))+0.25*(Inputs!$B$14-Inputs!$B$14))*(1+Inputs!$B$7/100))*(F658/100)</f>
        <v/>
      </c>
      <c r="K658">
        <f>J658*(1+((Inputs!$B$12*(1+Inputs!$B$13/100))*0.01+Inputs!$B$14*0.0025)/100)*(1+Inputs!$B$15/100)*(1+Inputs!$B$16/100)*(5000/(6000+Inputs!$B$42*(1-Inputs!$B$19/100)))*(1+Inputs!$B$24/100)*(1+F671/100)*(1+IF(Inputs!$B$3&gt;=120,F674,0)/100)^5*(1+(IF(Skills!A10="BASIC_ATTACK",Inputs!$B$17,(Inputs!$B$18+1)+IF(Inputs!$B$3&gt;=125,F675*5,0)))/100)*(B678*B679*B680*I658)</f>
        <v/>
      </c>
      <c r="L658">
        <f>K658*(MIN(Inputs!$B$22+(F670-Calc!F22),Inputs!$B$23)/100+Inputs!$B$23/100)/2</f>
        <v/>
      </c>
      <c r="M658">
        <f>L658*(1+(Inputs!$B$10+(F669-Calc!F21))/100)</f>
        <v/>
      </c>
      <c r="N658">
        <f>L658*(1-MIN(Inputs!$B$9+(F668-Calc!F20),100)/100)+M658*(MIN(Inputs!$B$9+(F668-Calc!F20),100)/100)</f>
        <v/>
      </c>
      <c r="O658">
        <f>(1-Summary!$B$56)*S658+Summary!$B$56*U658</f>
        <v/>
      </c>
      <c r="P658">
        <f>IF(B689=0,0,O658/B689)</f>
        <v/>
      </c>
      <c r="Q658">
        <f>IFERROR(1/IF(Inputs!$B$38="pvp",15,MAX(0.1,Skills!E10-IF(Skills!F10=TRUE,Inputs!$B$32,0))),0)</f>
        <v/>
      </c>
      <c r="R658">
        <f>IF(AND(Inputs!$B$38&lt;&gt;"pvp",Inputs!$B$43&gt;0),IF(MAX(0,Inputs!$B$43-B686)&lt;=0,0,(INT(MAX(0,Inputs!$B$43-B686)/IF(Inputs!$B$38="pvp",15,MAX(0.1,Skills!E10-IF(Skills!F10=TRUE,Inputs!$B$32,0))))+1)),0)</f>
        <v/>
      </c>
      <c r="S658">
        <f>IF(C658,(H658*N658*IF(AND(Inputs!$B$38&lt;&gt;"pvp",Inputs!$B$43&gt;0),((Skills!G10*((R658-1)*IF(Skills!H10&gt;0,Skills!I10/Skills!H10,1)+IF(Skills!H10&gt;0,MIN(Skills!I10,MAX(0,MAX(0,Inputs!$B$43-B686)-((R658-1)*IF(Inputs!$B$38="pvp",15,MAX(0.1,Skills!E10-IF(Skills!F10=TRUE,Inputs!$B$32,0))))))/Skills!H10,1)))/Inputs!$B$43),G658*Q658))*IF(Inputs!$B$38="pvp",1,1+(Inputs!$B$20+Skills!P10)/100),0)</f>
        <v/>
      </c>
      <c r="U658">
        <f>IF(C658,(H658*N658*IF(AND(Inputs!$B$38&lt;&gt;"pvp",Inputs!$B$43&gt;0),((Skills!G10*((R658-1)*IF(Skills!H10&gt;0,Skills!I10/Skills!H10,1)+IF(Skills!H10&gt;0,MIN(Skills!I10,MAX(0,MAX(0,Inputs!$B$43-B686)-((R658-1)*IF(Inputs!$B$38="pvp",15,MAX(0.1,Skills!E10-IF(Skills!F10=TRUE,Inputs!$B$32,0))))))/Skills!H10,1)))/Inputs!$B$43),G658*Q658))*IF(Inputs!$B$38="pvp",1,(1+(Inputs!$B$21+Skills!Q10)/100)*(MIN(Skills!R10,Inputs!$B$37))),0)</f>
        <v/>
      </c>
    </row>
    <row r="659">
      <c r="A659">
        <f>Skills!A11</f>
        <v/>
      </c>
      <c r="B659">
        <f>Skills!B11</f>
        <v/>
      </c>
      <c r="C659">
        <f>TRUE</f>
        <v/>
      </c>
      <c r="D659">
        <f>IF(Skills!C11=1,60+Inputs!$B$25+Inputs!$B$29,IF(Skills!C11=2,90+Inputs!$B$26+Inputs!$B$29,IF(Skills!C11=3,120+Inputs!$B$27+Inputs!$B$29,MAX(0,(Inputs!$B$3-100)*3)+Inputs!$B$28+Inputs!$B$29)))</f>
        <v/>
      </c>
      <c r="E659">
        <f>INDEX(FactorTable!$B$2:$Y$301, MATCH(ROUND(MIN(300,MAX(1,D659)),0), FactorTable!$A$2:$A$301,0), Skills!M11+1)</f>
        <v/>
      </c>
      <c r="F659">
        <f>IF(Skills!N11=TRUE,(Skills!L11/10)*(E659/1000),Skills!L11/10)+Skills!O11</f>
        <v/>
      </c>
      <c r="G659">
        <f>Calc!G11</f>
        <v/>
      </c>
      <c r="H659">
        <f>Calc!H11</f>
        <v/>
      </c>
      <c r="I659">
        <f>IF(Skills!X11&lt;&gt;"",1+(Skills!X11/10)*(Z651/1000)/100,1)</f>
        <v/>
      </c>
      <c r="J659" t="inlineStr"/>
      <c r="K659" t="inlineStr"/>
      <c r="L659" t="inlineStr"/>
      <c r="M659" t="inlineStr"/>
      <c r="N659" t="inlineStr"/>
      <c r="O659">
        <f>(1-Summary!$B$56)*S659+Summary!$B$56*U659</f>
        <v/>
      </c>
      <c r="P659">
        <f>IF(B689=0,0,O659/B689)</f>
        <v/>
      </c>
      <c r="Q659">
        <f>IFERROR(1/IF(Inputs!$B$38="pvp",15,MAX(0.1,Skills!E11-IF(Skills!F11=TRUE,Inputs!$B$32,0))),0)</f>
        <v/>
      </c>
      <c r="R659" t="n">
        <v>0</v>
      </c>
      <c r="S659" t="n">
        <v>0</v>
      </c>
      <c r="U659" t="n">
        <v>0</v>
      </c>
    </row>
    <row r="660">
      <c r="A660">
        <f>Skills!A12</f>
        <v/>
      </c>
      <c r="B660">
        <f>Skills!B12</f>
        <v/>
      </c>
      <c r="C660">
        <f>TRUE</f>
        <v/>
      </c>
      <c r="D660">
        <f>IF(Skills!C12=1,60+Inputs!$B$25+Inputs!$B$29,IF(Skills!C12=2,90+Inputs!$B$26+Inputs!$B$29,IF(Skills!C12=3,120+Inputs!$B$27+Inputs!$B$29,MAX(0,(Inputs!$B$3-100)*3)+Inputs!$B$28+Inputs!$B$29)))</f>
        <v/>
      </c>
      <c r="E660">
        <f>INDEX(FactorTable!$B$2:$Y$301, MATCH(ROUND(MIN(300,MAX(1,D660)),0), FactorTable!$A$2:$A$301,0), Skills!M12+1)</f>
        <v/>
      </c>
      <c r="F660">
        <f>IF(Skills!N12=TRUE,(Skills!L12/10)*(E660/1000),Skills!L12/10)+Skills!O12</f>
        <v/>
      </c>
      <c r="G660">
        <f>Calc!G12</f>
        <v/>
      </c>
      <c r="H660">
        <f>Calc!H12</f>
        <v/>
      </c>
      <c r="I660">
        <f>IF(Skills!X12&lt;&gt;"",1+(Skills!X12/10)*(Z651/1000)/100,1)</f>
        <v/>
      </c>
      <c r="J660" t="inlineStr"/>
      <c r="K660" t="inlineStr"/>
      <c r="L660" t="inlineStr"/>
      <c r="M660" t="inlineStr"/>
      <c r="N660" t="inlineStr"/>
      <c r="O660">
        <f>(1-Summary!$B$56)*S660+Summary!$B$56*U660</f>
        <v/>
      </c>
      <c r="P660">
        <f>IF(B689=0,0,O660/B689)</f>
        <v/>
      </c>
      <c r="Q660">
        <f>IFERROR(1/IF(Inputs!$B$38="pvp",15,MAX(0.1,Skills!E12-IF(Skills!F12=TRUE,Inputs!$B$32,0))),0)</f>
        <v/>
      </c>
      <c r="R660" t="n">
        <v>0</v>
      </c>
      <c r="S660" t="n">
        <v>0</v>
      </c>
      <c r="U660" t="n">
        <v>0</v>
      </c>
    </row>
    <row r="661">
      <c r="A661">
        <f>Skills!A13</f>
        <v/>
      </c>
      <c r="B661">
        <f>Skills!B13</f>
        <v/>
      </c>
      <c r="C661">
        <f>Inputs!$B$3&gt;=105</f>
        <v/>
      </c>
      <c r="D661">
        <f>IF(Skills!C13=1,60+Inputs!$B$25+Inputs!$B$29,IF(Skills!C13=2,90+Inputs!$B$26+Inputs!$B$29,IF(Skills!C13=3,120+Inputs!$B$27+Inputs!$B$29,MAX(0,(Inputs!$B$3-100)*3)+Inputs!$B$28+Inputs!$B$29)))</f>
        <v/>
      </c>
      <c r="E661">
        <f>INDEX(FactorTable!$B$2:$Y$301, MATCH(ROUND(MIN(300,MAX(1,D661)),0), FactorTable!$A$2:$A$301,0), Skills!M13+1)</f>
        <v/>
      </c>
      <c r="F661">
        <f>IF(Skills!N13=TRUE,(Skills!L13/10)*(E661/1000),Skills!L13/10)+Skills!O13</f>
        <v/>
      </c>
      <c r="G661">
        <f>Calc!G13</f>
        <v/>
      </c>
      <c r="H661">
        <f>Calc!H13</f>
        <v/>
      </c>
      <c r="I661">
        <f>IF(Skills!X13&lt;&gt;"",1+(Skills!X13/10)*(Z651/1000)/100,1)</f>
        <v/>
      </c>
      <c r="J661">
        <f>((Inputs!$B$6*(1+Inputs!$B$7/100))+(((Inputs!$B$12*(1+Inputs!$B$13/100))-(Inputs!$B$12*(1+Inputs!$B$13/100)))+0.25*(Inputs!$B$14-Inputs!$B$14))*(1+Inputs!$B$7/100))*(F661/100)</f>
        <v/>
      </c>
      <c r="K661">
        <f>J661*(1+((Inputs!$B$12*(1+Inputs!$B$13/100))*0.01+Inputs!$B$14*0.0025)/100)*(1+Inputs!$B$15/100)*(1+Inputs!$B$16/100)*(5000/(6000+Inputs!$B$42*(1-Inputs!$B$19/100)))*(1+Inputs!$B$24/100)*(1+F671/100)*(1+IF(Inputs!$B$3&gt;=120,F674,0)/100)^5*(1+(IF(Skills!A13="BASIC_ATTACK",Inputs!$B$17,(Inputs!$B$18+1)+IF(Inputs!$B$3&gt;=125,F675*5,0)))/100)*(B678*B679*B680*I661)</f>
        <v/>
      </c>
      <c r="L661">
        <f>K661*(MIN(Inputs!$B$22+(F670-Calc!F22),Inputs!$B$23)/100+Inputs!$B$23/100)/2</f>
        <v/>
      </c>
      <c r="M661">
        <f>L661*(1+(Inputs!$B$10+(F669-Calc!F21))/100)</f>
        <v/>
      </c>
      <c r="N661">
        <f>L661*(1-MIN(Inputs!$B$9+(F668-Calc!F20),100)/100)+M661*(MIN(Inputs!$B$9+(F668-Calc!F20),100)/100)</f>
        <v/>
      </c>
      <c r="O661">
        <f>(1-Summary!$B$56)*S661+Summary!$B$56*U661</f>
        <v/>
      </c>
      <c r="P661">
        <f>IF(B689=0,0,O661/B689)</f>
        <v/>
      </c>
      <c r="Q661">
        <f>IFERROR(1/IF(Inputs!$B$38="pvp",15,MAX(0.1,Skills!E13-IF(Skills!F13=TRUE,Inputs!$B$32,0))),0)</f>
        <v/>
      </c>
      <c r="R661">
        <f>IF(AND(Inputs!$B$38&lt;&gt;"pvp",Inputs!$B$43&gt;0),IF(MAX(0,Inputs!$B$43-B686)&lt;=0,0,(INT(MAX(0,Inputs!$B$43-B686)/IF(Inputs!$B$38="pvp",15,MAX(0.1,Skills!E13-IF(Skills!F13=TRUE,Inputs!$B$32,0))))+1)),0)</f>
        <v/>
      </c>
      <c r="S661">
        <f>IF(C661,(H661*N661*IF(AND(Inputs!$B$38&lt;&gt;"pvp",Inputs!$B$43&gt;0),((Skills!G13*((R661-1)*IF(Skills!H13&gt;0,Skills!I13/Skills!H13,1)+IF(Skills!H13&gt;0,MIN(Skills!I13,MAX(0,MAX(0,Inputs!$B$43-B686)-((R661-1)*IF(Inputs!$B$38="pvp",15,MAX(0.1,Skills!E13-IF(Skills!F13=TRUE,Inputs!$B$32,0))))))/Skills!H13,1)))/Inputs!$B$43),G661*Q661))*IF(Inputs!$B$38="pvp",1,1+(Inputs!$B$20+Skills!P13)/100),0)</f>
        <v/>
      </c>
      <c r="U661">
        <f>IF(C661,(H661*N661*IF(AND(Inputs!$B$38&lt;&gt;"pvp",Inputs!$B$43&gt;0),((Skills!G13*((R661-1)*IF(Skills!H13&gt;0,Skills!I13/Skills!H13,1)+IF(Skills!H13&gt;0,MIN(Skills!I13,MAX(0,MAX(0,Inputs!$B$43-B686)-((R661-1)*IF(Inputs!$B$38="pvp",15,MAX(0.1,Skills!E13-IF(Skills!F13=TRUE,Inputs!$B$32,0))))))/Skills!H13,1)))/Inputs!$B$43),G661*Q661))*IF(Inputs!$B$38="pvp",1,(1+(Inputs!$B$21+Skills!Q13)/100)*(MIN(Skills!R13,Inputs!$B$37))),0)</f>
        <v/>
      </c>
    </row>
    <row r="662">
      <c r="A662">
        <f>Skills!A14</f>
        <v/>
      </c>
      <c r="B662">
        <f>Skills!B14</f>
        <v/>
      </c>
      <c r="C662">
        <f>Inputs!$B$3&gt;=113</f>
        <v/>
      </c>
      <c r="D662">
        <f>IF(Skills!C14=1,60+Inputs!$B$25+Inputs!$B$29,IF(Skills!C14=2,90+Inputs!$B$26+Inputs!$B$29,IF(Skills!C14=3,120+Inputs!$B$27+Inputs!$B$29,MAX(0,(Inputs!$B$3-100)*3)+Inputs!$B$28+Inputs!$B$29)))</f>
        <v/>
      </c>
      <c r="E662">
        <f>INDEX(FactorTable!$B$2:$Y$301, MATCH(ROUND(MIN(300,MAX(1,D662)),0), FactorTable!$A$2:$A$301,0), Skills!M14+1)</f>
        <v/>
      </c>
      <c r="F662">
        <f>IF(Skills!N14=TRUE,(Skills!L14/10)*(E662/1000),Skills!L14/10)+Skills!O14</f>
        <v/>
      </c>
      <c r="G662">
        <f>Calc!G14</f>
        <v/>
      </c>
      <c r="H662">
        <f>Calc!H14</f>
        <v/>
      </c>
      <c r="I662">
        <f>IF(Skills!X14&lt;&gt;"",1+(Skills!X14/10)*(Z651/1000)/100,1)</f>
        <v/>
      </c>
      <c r="J662">
        <f>((Inputs!$B$6*(1+Inputs!$B$7/100))+(((Inputs!$B$12*(1+Inputs!$B$13/100))-(Inputs!$B$12*(1+Inputs!$B$13/100)))+0.25*(Inputs!$B$14-Inputs!$B$14))*(1+Inputs!$B$7/100))*(F662/100)</f>
        <v/>
      </c>
      <c r="K662">
        <f>J662*(1+((Inputs!$B$12*(1+Inputs!$B$13/100))*0.01+Inputs!$B$14*0.0025)/100)*(1+Inputs!$B$15/100)*(1+Inputs!$B$16/100)*(5000/(6000+Inputs!$B$42*(1-Inputs!$B$19/100)))*(1+Inputs!$B$24/100)*(1+F671/100)*(1+IF(Inputs!$B$3&gt;=120,F674,0)/100)^5*(1+(IF(Skills!A14="BASIC_ATTACK",Inputs!$B$17,(Inputs!$B$18+1)+IF(Inputs!$B$3&gt;=125,F675*5,0)))/100)*(B678*B679*B680*I662)</f>
        <v/>
      </c>
      <c r="L662">
        <f>K662*(MIN(Inputs!$B$22+(F670-Calc!F22),Inputs!$B$23)/100+Inputs!$B$23/100)/2</f>
        <v/>
      </c>
      <c r="M662">
        <f>L662*(1+(Inputs!$B$10+(F669-Calc!F21))/100)</f>
        <v/>
      </c>
      <c r="N662">
        <f>L662*(1-MIN(Inputs!$B$9+(F668-Calc!F20),100)/100)+M662*(MIN(Inputs!$B$9+(F668-Calc!F20),100)/100)</f>
        <v/>
      </c>
      <c r="O662">
        <f>(1-Summary!$B$56)*S662+Summary!$B$56*U662</f>
        <v/>
      </c>
      <c r="P662">
        <f>IF(B689=0,0,O662/B689)</f>
        <v/>
      </c>
      <c r="Q662">
        <f>IFERROR(1/IF(Inputs!$B$38="pvp",15,MAX(0.1,Skills!E14-IF(Skills!F14=TRUE,Inputs!$B$32,0))),0)</f>
        <v/>
      </c>
      <c r="R662" t="n">
        <v>0</v>
      </c>
      <c r="S662">
        <f>IF(C662,((H662*B685)/(1+Skills!H14*H662*B685)*N662)*IF(Inputs!$B$38="pvp",1,1+(Inputs!$B$20+Skills!P14)/100),0)</f>
        <v/>
      </c>
      <c r="U662">
        <f>IF(C662,((H662*B685)/(1+Skills!H14*H662*B685)*N662)*IF(Inputs!$B$38="pvp",1,(1+(Inputs!$B$21+Skills!Q14)/100)*(MIN(Skills!R14,Inputs!$B$37))),0)</f>
        <v/>
      </c>
    </row>
    <row r="663">
      <c r="A663">
        <f>Skills!A15</f>
        <v/>
      </c>
      <c r="B663">
        <f>Skills!B15</f>
        <v/>
      </c>
      <c r="C663">
        <f>Inputs!$B$3&gt;=107</f>
        <v/>
      </c>
      <c r="D663">
        <f>IF(Skills!C15=1,60+Inputs!$B$25+Inputs!$B$29,IF(Skills!C15=2,90+Inputs!$B$26+Inputs!$B$29,IF(Skills!C15=3,120+Inputs!$B$27+Inputs!$B$29,MAX(0,(Inputs!$B$3-100)*3)+Inputs!$B$28+Inputs!$B$29)))</f>
        <v/>
      </c>
      <c r="E663">
        <f>INDEX(FactorTable!$B$2:$Y$301, MATCH(ROUND(MIN(300,MAX(1,D663)),0), FactorTable!$A$2:$A$301,0), Skills!M15+1)</f>
        <v/>
      </c>
      <c r="F663">
        <f>IF(Skills!N15=TRUE,(Skills!L15/10)*(E663/1000),Skills!L15/10)+Skills!O15</f>
        <v/>
      </c>
      <c r="G663">
        <f>Calc!G15</f>
        <v/>
      </c>
      <c r="H663">
        <f>Calc!H15</f>
        <v/>
      </c>
      <c r="I663">
        <f>IF(Skills!X15&lt;&gt;"",1+(Skills!X15/10)*(Z651/1000)/100,1)</f>
        <v/>
      </c>
      <c r="J663">
        <f>((Inputs!$B$6*(1+Inputs!$B$7/100))+(((Inputs!$B$12*(1+Inputs!$B$13/100))-(Inputs!$B$12*(1+Inputs!$B$13/100)))+0.25*(Inputs!$B$14-Inputs!$B$14))*(1+Inputs!$B$7/100))*(F663/100)</f>
        <v/>
      </c>
      <c r="K663">
        <f>J663*(1+((Inputs!$B$12*(1+Inputs!$B$13/100))*0.01+Inputs!$B$14*0.0025)/100)*(1+Inputs!$B$15/100)*(1+Inputs!$B$16/100)*(5000/(6000+Inputs!$B$42*(1-Inputs!$B$19/100)))*(1+Inputs!$B$24/100)*(1+F671/100)*(1+IF(Inputs!$B$3&gt;=120,F674,0)/100)^5*(1+(IF(Skills!A15="BASIC_ATTACK",Inputs!$B$17,(Inputs!$B$18+1)+IF(Inputs!$B$3&gt;=125,F675*5,0)))/100)*(B678*B679*B680*I663)</f>
        <v/>
      </c>
      <c r="L663">
        <f>K663*(MIN(Inputs!$B$22+(F670-Calc!F22),Inputs!$B$23)/100+Inputs!$B$23/100)/2</f>
        <v/>
      </c>
      <c r="M663">
        <f>L663*(1+(Inputs!$B$10+(F669-Calc!F21))/100)</f>
        <v/>
      </c>
      <c r="N663">
        <f>L663*(1-MIN(Inputs!$B$9+(F668-Calc!F20),100)/100)+M663*(MIN(Inputs!$B$9+(F668-Calc!F20),100)/100)</f>
        <v/>
      </c>
      <c r="O663">
        <f>(1-Summary!$B$56)*S663+Summary!$B$56*U663</f>
        <v/>
      </c>
      <c r="P663">
        <f>IF(B689=0,0,O663/B689)</f>
        <v/>
      </c>
      <c r="Q663">
        <f>IFERROR(1/IF(Inputs!$B$38="pvp",15,MAX(0.1,Skills!E15-IF(Skills!F15=TRUE,Inputs!$B$32,0))),0)</f>
        <v/>
      </c>
      <c r="R663">
        <f>IF(AND(Inputs!$B$38&lt;&gt;"pvp",Inputs!$B$43&gt;0),IF(MAX(0,Inputs!$B$43-B686)&lt;=0,0,(INT(MAX(0,Inputs!$B$43-B686)/IF(Inputs!$B$38="pvp",15,MAX(0.1,Skills!E15-IF(Skills!F15=TRUE,Inputs!$B$32,0))))+1)),0)</f>
        <v/>
      </c>
      <c r="S663">
        <f>IF(C663,(H663*N663*IF(AND(Inputs!$B$38&lt;&gt;"pvp",Inputs!$B$43&gt;0),((Skills!G15*((R663-1)*IF(Skills!H15&gt;0,Skills!I15/Skills!H15,1)+IF(Skills!H15&gt;0,MIN(Skills!I15,MAX(0,MAX(0,Inputs!$B$43-B686)-((R663-1)*IF(Inputs!$B$38="pvp",15,MAX(0.1,Skills!E15-IF(Skills!F15=TRUE,Inputs!$B$32,0))))))/Skills!H15,1)))/Inputs!$B$43),G663*Q663))*IF(Inputs!$B$38="pvp",1,1+(Inputs!$B$20+Skills!P15)/100),0)</f>
        <v/>
      </c>
      <c r="U663">
        <f>IF(C663,(H663*N663*IF(AND(Inputs!$B$38&lt;&gt;"pvp",Inputs!$B$43&gt;0),((Skills!G15*((R663-1)*IF(Skills!H15&gt;0,Skills!I15/Skills!H15,1)+IF(Skills!H15&gt;0,MIN(Skills!I15,MAX(0,MAX(0,Inputs!$B$43-B686)-((R663-1)*IF(Inputs!$B$38="pvp",15,MAX(0.1,Skills!E15-IF(Skills!F15=TRUE,Inputs!$B$32,0))))))/Skills!H15,1)))/Inputs!$B$43),G663*Q663))*IF(Inputs!$B$38="pvp",1,(1+(Inputs!$B$21+Skills!Q15)/100)*(MIN(Skills!R15,Inputs!$B$37))),0)</f>
        <v/>
      </c>
    </row>
    <row r="664">
      <c r="A664">
        <f>Skills!A16</f>
        <v/>
      </c>
      <c r="B664">
        <f>Skills!B16</f>
        <v/>
      </c>
      <c r="C664">
        <f>Inputs!$B$3&gt;=107</f>
        <v/>
      </c>
      <c r="D664">
        <f>IF(Skills!C16=1,60+Inputs!$B$25+Inputs!$B$29,IF(Skills!C16=2,90+Inputs!$B$26+Inputs!$B$29,IF(Skills!C16=3,120+Inputs!$B$27+Inputs!$B$29,MAX(0,(Inputs!$B$3-100)*3)+Inputs!$B$28+Inputs!$B$29)))</f>
        <v/>
      </c>
      <c r="E664">
        <f>INDEX(FactorTable!$B$2:$Y$301, MATCH(ROUND(MIN(300,MAX(1,D664)),0), FactorTable!$A$2:$A$301,0), Skills!M16+1)</f>
        <v/>
      </c>
      <c r="F664">
        <f>IF(Skills!N16=TRUE,(Skills!L16/10)*(E664/1000),Skills!L16/10)+Skills!O16</f>
        <v/>
      </c>
      <c r="G664">
        <f>Calc!G16</f>
        <v/>
      </c>
      <c r="H664">
        <f>Calc!H16</f>
        <v/>
      </c>
      <c r="I664">
        <f>IF(Skills!X16&lt;&gt;"",1+(Skills!X16/10)*(Z651/1000)/100,1)</f>
        <v/>
      </c>
      <c r="J664">
        <f>((Inputs!$B$6*(1+Inputs!$B$7/100))+(((Inputs!$B$12*(1+Inputs!$B$13/100))-(Inputs!$B$12*(1+Inputs!$B$13/100)))+0.25*(Inputs!$B$14-Inputs!$B$14))*(1+Inputs!$B$7/100))*(F664/100)</f>
        <v/>
      </c>
      <c r="K664">
        <f>J664*(1+((Inputs!$B$12*(1+Inputs!$B$13/100))*0.01+Inputs!$B$14*0.0025)/100)*(1+Inputs!$B$15/100)*(1+Inputs!$B$16/100)*(5000/(6000+Inputs!$B$42*(1-Inputs!$B$19/100)))*(1+Inputs!$B$24/100)*(1+F671/100)*(1+IF(Inputs!$B$3&gt;=120,F674,0)/100)^5*(1+(IF(Skills!A16="BASIC_ATTACK",Inputs!$B$17,(Inputs!$B$18+1)+IF(Inputs!$B$3&gt;=125,F675*5,0)))/100)*(B678*B679*B680*I664)</f>
        <v/>
      </c>
      <c r="L664">
        <f>K664*(MIN(Inputs!$B$22+(F670-Calc!F22),Inputs!$B$23)/100+Inputs!$B$23/100)/2</f>
        <v/>
      </c>
      <c r="M664">
        <f>L664*(1+(Inputs!$B$10+(F669-Calc!F21))/100)</f>
        <v/>
      </c>
      <c r="N664">
        <f>L664*(1-MIN(Inputs!$B$9+(F668-Calc!F20),100)/100)+M664*(MIN(Inputs!$B$9+(F668-Calc!F20),100)/100)</f>
        <v/>
      </c>
      <c r="O664">
        <f>(1-Summary!$B$56)*S664+Summary!$B$56*U664</f>
        <v/>
      </c>
      <c r="P664">
        <f>IF(B689=0,0,O664/B689)</f>
        <v/>
      </c>
      <c r="Q664">
        <f>IFERROR(1/IF(Inputs!$B$38="pvp",15,MAX(0.1,Skills!E16-IF(Skills!F16=TRUE,Inputs!$B$32,0))),0)</f>
        <v/>
      </c>
      <c r="R664">
        <f>IF(AND(Inputs!$B$38&lt;&gt;"pvp",Inputs!$B$43&gt;0),IF(MAX(0,Inputs!$B$43-B686)&lt;=0,0,(INT(MAX(0,Inputs!$B$43-B686)/IF(Inputs!$B$38="pvp",15,MAX(0.1,Skills!E16-IF(Skills!F16=TRUE,Inputs!$B$32,0))))+1)),0)</f>
        <v/>
      </c>
      <c r="S664">
        <f>IF(C664,(H664*N664*IF(AND(Inputs!$B$38&lt;&gt;"pvp",Inputs!$B$43&gt;0),((Skills!G16*((R664-1)*IF(Skills!H16&gt;0,Skills!I16/Skills!H16,1)+IF(Skills!H16&gt;0,MIN(Skills!I16,MAX(0,MAX(0,Inputs!$B$43-B686)-((R664-1)*IF(Inputs!$B$38="pvp",15,MAX(0.1,Skills!E16-IF(Skills!F16=TRUE,Inputs!$B$32,0))))))/Skills!H16,1)))/Inputs!$B$43),G664*Q664)*(1+IF(Inputs!$B$3&gt;=126,0.05*(B684+Q661+(H662*B685)/(1+Skills!H14*H662*B685)+Q672),0)*Skills!E15))*IF(Inputs!$B$38="pvp",1,1+(Inputs!$B$20+Skills!P16)/100),0)</f>
        <v/>
      </c>
      <c r="U664">
        <f>IF(C664,(H664*N664*IF(AND(Inputs!$B$38&lt;&gt;"pvp",Inputs!$B$43&gt;0),((Skills!G16*((R664-1)*IF(Skills!H16&gt;0,Skills!I16/Skills!H16,1)+IF(Skills!H16&gt;0,MIN(Skills!I16,MAX(0,MAX(0,Inputs!$B$43-B686)-((R664-1)*IF(Inputs!$B$38="pvp",15,MAX(0.1,Skills!E16-IF(Skills!F16=TRUE,Inputs!$B$32,0))))))/Skills!H16,1)))/Inputs!$B$43),G664*Q664)*(1+IF(Inputs!$B$3&gt;=126,0.05*(B684+Q661+(H662*B685)/(1+Skills!H14*H662*B685)+Q672),0)*Skills!E15))*IF(Inputs!$B$38="pvp",1,(1+(Inputs!$B$21+Skills!Q16)/100)*(MIN(Skills!R16,Inputs!$B$37))),0)</f>
        <v/>
      </c>
    </row>
    <row r="665">
      <c r="A665">
        <f>Skills!A17</f>
        <v/>
      </c>
      <c r="B665">
        <f>Skills!B17</f>
        <v/>
      </c>
      <c r="C665">
        <f>TRUE</f>
        <v/>
      </c>
      <c r="D665">
        <f>IF(Skills!C17=1,60+Inputs!$B$25+Inputs!$B$29,IF(Skills!C17=2,90+Inputs!$B$26+Inputs!$B$29,IF(Skills!C17=3,120+Inputs!$B$27+Inputs!$B$29,MAX(0,(Inputs!$B$3-100)*3)+Inputs!$B$28+Inputs!$B$29)))</f>
        <v/>
      </c>
      <c r="E665">
        <f>INDEX(FactorTable!$B$2:$Y$301, MATCH(ROUND(MIN(300,MAX(1,D665)),0), FactorTable!$A$2:$A$301,0), Skills!M17+1)</f>
        <v/>
      </c>
      <c r="F665">
        <f>IF(Skills!N17=TRUE,(Skills!L17/10)*(E665/1000),Skills!L17/10)+Skills!O17</f>
        <v/>
      </c>
      <c r="G665">
        <f>Calc!G17</f>
        <v/>
      </c>
      <c r="H665">
        <f>Calc!H17</f>
        <v/>
      </c>
      <c r="I665">
        <f>IF(Skills!X17&lt;&gt;"",1+(Skills!X17/10)*(Z651/1000)/100,1)</f>
        <v/>
      </c>
      <c r="J665" t="inlineStr"/>
      <c r="K665" t="inlineStr"/>
      <c r="L665" t="inlineStr"/>
      <c r="M665" t="inlineStr"/>
      <c r="N665" t="inlineStr"/>
      <c r="O665">
        <f>(1-Summary!$B$56)*S665+Summary!$B$56*U665</f>
        <v/>
      </c>
      <c r="P665">
        <f>IF(B689=0,0,O665/B689)</f>
        <v/>
      </c>
      <c r="Q665">
        <f>IFERROR(1/IF(Inputs!$B$38="pvp",15,MAX(0.1,Skills!E17-IF(Skills!F17=TRUE,Inputs!$B$32,0))),0)</f>
        <v/>
      </c>
      <c r="R665">
        <f>IF(AND(Inputs!$B$38&lt;&gt;"pvp",Inputs!$B$43&gt;0),IF(Inputs!$B$43&lt;=0,0,(INT(Inputs!$B$43/IF(Inputs!$B$38="pvp",15,MAX(0.1,Skills!E17-IF(Skills!F17=TRUE,Inputs!$B$32,0))))+1)),0)</f>
        <v/>
      </c>
      <c r="S665" t="n">
        <v>0</v>
      </c>
      <c r="U665" t="n">
        <v>0</v>
      </c>
    </row>
    <row r="666">
      <c r="A666">
        <f>Skills!A18</f>
        <v/>
      </c>
      <c r="B666">
        <f>Skills!B18</f>
        <v/>
      </c>
      <c r="C666">
        <f>TRUE</f>
        <v/>
      </c>
      <c r="D666">
        <f>IF(Skills!C18=1,60+Inputs!$B$25+Inputs!$B$29,IF(Skills!C18=2,90+Inputs!$B$26+Inputs!$B$29,IF(Skills!C18=3,120+Inputs!$B$27+Inputs!$B$29,MAX(0,(Inputs!$B$3-100)*3)+Inputs!$B$28+Inputs!$B$29)))</f>
        <v/>
      </c>
      <c r="E666">
        <f>INDEX(FactorTable!$B$2:$Y$301, MATCH(ROUND(MIN(300,MAX(1,D666)),0), FactorTable!$A$2:$A$301,0), Skills!M18+1)</f>
        <v/>
      </c>
      <c r="F666">
        <f>IF(Skills!N18=TRUE,(Skills!L18/10)*(E666/1000),Skills!L18/10)+Skills!O18</f>
        <v/>
      </c>
      <c r="G666">
        <f>Calc!G18</f>
        <v/>
      </c>
      <c r="H666">
        <f>Calc!H18</f>
        <v/>
      </c>
      <c r="I666">
        <f>IF(Skills!X18&lt;&gt;"",1+(Skills!X18/10)*(Z651/1000)/100,1)</f>
        <v/>
      </c>
      <c r="J666" t="inlineStr"/>
      <c r="K666" t="inlineStr"/>
      <c r="L666" t="inlineStr"/>
      <c r="M666" t="inlineStr"/>
      <c r="N666" t="inlineStr"/>
      <c r="O666">
        <f>(1-Summary!$B$56)*S666+Summary!$B$56*U666</f>
        <v/>
      </c>
      <c r="P666">
        <f>IF(B689=0,0,O666/B689)</f>
        <v/>
      </c>
      <c r="Q666">
        <f>IFERROR(1/IF(Inputs!$B$38="pvp",15,MAX(0.1,Skills!E18-IF(Skills!F18=TRUE,Inputs!$B$32,0))),0)</f>
        <v/>
      </c>
      <c r="R666">
        <f>IF(AND(Inputs!$B$38&lt;&gt;"pvp",Inputs!$B$43&gt;0),IF(Inputs!$B$43&lt;=0,0,(INT(Inputs!$B$43/IF(Inputs!$B$38="pvp",15,MAX(0.1,Skills!E18-IF(Skills!F18=TRUE,Inputs!$B$32,0))))+1)),0)</f>
        <v/>
      </c>
      <c r="S666" t="n">
        <v>0</v>
      </c>
      <c r="U666" t="n">
        <v>0</v>
      </c>
    </row>
    <row r="667">
      <c r="A667">
        <f>Skills!A19</f>
        <v/>
      </c>
      <c r="B667">
        <f>Skills!B19</f>
        <v/>
      </c>
      <c r="C667">
        <f>Inputs!$B$3&gt;=110</f>
        <v/>
      </c>
      <c r="D667">
        <f>IF(Skills!C19=1,60+Inputs!$B$25+Inputs!$B$29,IF(Skills!C19=2,90+Inputs!$B$26+Inputs!$B$29,IF(Skills!C19=3,120+Inputs!$B$27+Inputs!$B$29,MAX(0,(Inputs!$B$3-100)*3)+Inputs!$B$28+Inputs!$B$29)))</f>
        <v/>
      </c>
      <c r="E667">
        <f>INDEX(FactorTable!$B$2:$Y$301, MATCH(ROUND(MIN(300,MAX(1,D667)),0), FactorTable!$A$2:$A$301,0), Skills!M19+1)</f>
        <v/>
      </c>
      <c r="F667">
        <f>IF(Skills!N19=TRUE,(Skills!L19/10)*(E667/1000),Skills!L19/10)+Skills!O19</f>
        <v/>
      </c>
      <c r="G667">
        <f>Calc!G19</f>
        <v/>
      </c>
      <c r="H667">
        <f>Calc!H19</f>
        <v/>
      </c>
      <c r="I667">
        <f>IF(Skills!X19&lt;&gt;"",1+(Skills!X19/10)*(Z651/1000)/100,1)</f>
        <v/>
      </c>
      <c r="J667" t="inlineStr"/>
      <c r="K667" t="inlineStr"/>
      <c r="L667" t="inlineStr"/>
      <c r="M667" t="inlineStr"/>
      <c r="N667" t="inlineStr"/>
      <c r="O667">
        <f>(1-Summary!$B$56)*S667+Summary!$B$56*U667</f>
        <v/>
      </c>
      <c r="P667">
        <f>IF(B689=0,0,O667/B689)</f>
        <v/>
      </c>
      <c r="Q667">
        <f>IFERROR(1/IF(Inputs!$B$38="pvp",15,MAX(0.1,Skills!E19-IF(Skills!F19=TRUE,Inputs!$B$32,0))),0)</f>
        <v/>
      </c>
      <c r="R667">
        <f>IF(AND(Inputs!$B$38&lt;&gt;"pvp",Inputs!$B$43&gt;0),IF(Inputs!$B$43&lt;=0,0,(INT(Inputs!$B$43/IF(Inputs!$B$38="pvp",15,MAX(0.1,Skills!E19-IF(Skills!F19=TRUE,Inputs!$B$32,0))))+1)),0)</f>
        <v/>
      </c>
      <c r="S667" t="n">
        <v>0</v>
      </c>
      <c r="U667" t="n">
        <v>0</v>
      </c>
    </row>
    <row r="668">
      <c r="A668">
        <f>Skills!A20</f>
        <v/>
      </c>
      <c r="B668">
        <f>Skills!B20</f>
        <v/>
      </c>
      <c r="C668">
        <f>TRUE</f>
        <v/>
      </c>
      <c r="D668">
        <f>IF(Skills!C20=1,60+Inputs!$B$25+Inputs!$B$29,IF(Skills!C20=2,90+Inputs!$B$26+Inputs!$B$29,IF(Skills!C20=3,120+Inputs!$B$27+Inputs!$B$29,MAX(0,(Inputs!$B$3-100)*3)+Inputs!$B$28+Inputs!$B$29)))</f>
        <v/>
      </c>
      <c r="E668">
        <f>INDEX(FactorTable!$B$2:$Y$301, MATCH(ROUND(MIN(300,MAX(1,D668)),0), FactorTable!$A$2:$A$301,0), Skills!M20+1)</f>
        <v/>
      </c>
      <c r="F668">
        <f>IF(Skills!N20=TRUE,(Skills!L20/10)*(E668/1000),Skills!L20/10)+Skills!O20</f>
        <v/>
      </c>
      <c r="G668">
        <f>Calc!G20</f>
        <v/>
      </c>
      <c r="H668">
        <f>Calc!H20</f>
        <v/>
      </c>
      <c r="I668">
        <f>IF(Skills!X20&lt;&gt;"",1+(Skills!X20/10)*(Z651/1000)/100,1)</f>
        <v/>
      </c>
      <c r="J668" t="inlineStr"/>
      <c r="K668" t="inlineStr"/>
      <c r="L668" t="inlineStr"/>
      <c r="M668" t="inlineStr"/>
      <c r="N668" t="inlineStr"/>
      <c r="O668">
        <f>(1-Summary!$B$56)*S668+Summary!$B$56*U668</f>
        <v/>
      </c>
      <c r="P668">
        <f>IF(B689=0,0,O668/B689)</f>
        <v/>
      </c>
      <c r="Q668">
        <f>IFERROR(1/IF(Inputs!$B$38="pvp",15,MAX(0.1,Skills!E20-IF(Skills!F20=TRUE,Inputs!$B$32,0))),0)</f>
        <v/>
      </c>
      <c r="R668" t="n">
        <v>0</v>
      </c>
      <c r="S668" t="n">
        <v>0</v>
      </c>
      <c r="U668" t="n">
        <v>0</v>
      </c>
    </row>
    <row r="669">
      <c r="A669">
        <f>Skills!A21</f>
        <v/>
      </c>
      <c r="B669">
        <f>Skills!B21</f>
        <v/>
      </c>
      <c r="C669">
        <f>TRUE</f>
        <v/>
      </c>
      <c r="D669">
        <f>IF(Skills!C21=1,60+Inputs!$B$25+Inputs!$B$29,IF(Skills!C21=2,90+Inputs!$B$26+Inputs!$B$29,IF(Skills!C21=3,120+Inputs!$B$27+Inputs!$B$29,MAX(0,(Inputs!$B$3-100)*3)+Inputs!$B$28+Inputs!$B$29)))</f>
        <v/>
      </c>
      <c r="E669">
        <f>INDEX(FactorTable!$B$2:$Y$301, MATCH(ROUND(MIN(300,MAX(1,D669)),0), FactorTable!$A$2:$A$301,0), Skills!M21+1)</f>
        <v/>
      </c>
      <c r="F669">
        <f>IF(Skills!N21=TRUE,(Skills!L21/10)*(E669/1000),Skills!L21/10)+Skills!O21</f>
        <v/>
      </c>
      <c r="G669">
        <f>Calc!G21</f>
        <v/>
      </c>
      <c r="H669">
        <f>Calc!H21</f>
        <v/>
      </c>
      <c r="I669">
        <f>IF(Skills!X21&lt;&gt;"",1+(Skills!X21/10)*(Z651/1000)/100,1)</f>
        <v/>
      </c>
      <c r="J669" t="inlineStr"/>
      <c r="K669" t="inlineStr"/>
      <c r="L669" t="inlineStr"/>
      <c r="M669" t="inlineStr"/>
      <c r="N669" t="inlineStr"/>
      <c r="O669">
        <f>(1-Summary!$B$56)*S669+Summary!$B$56*U669</f>
        <v/>
      </c>
      <c r="P669">
        <f>IF(B689=0,0,O669/B689)</f>
        <v/>
      </c>
      <c r="Q669">
        <f>IFERROR(1/IF(Inputs!$B$38="pvp",15,MAX(0.1,Skills!E21-IF(Skills!F21=TRUE,Inputs!$B$32,0))),0)</f>
        <v/>
      </c>
      <c r="R669" t="n">
        <v>0</v>
      </c>
      <c r="S669" t="n">
        <v>0</v>
      </c>
      <c r="U669" t="n">
        <v>0</v>
      </c>
    </row>
    <row r="670">
      <c r="A670">
        <f>Skills!A22</f>
        <v/>
      </c>
      <c r="B670">
        <f>Skills!B22</f>
        <v/>
      </c>
      <c r="C670">
        <f>TRUE</f>
        <v/>
      </c>
      <c r="D670">
        <f>IF(Skills!C22=1,60+Inputs!$B$25+Inputs!$B$29,IF(Skills!C22=2,90+Inputs!$B$26+Inputs!$B$29,IF(Skills!C22=3,120+Inputs!$B$27+Inputs!$B$29,MAX(0,(Inputs!$B$3-100)*3)+Inputs!$B$28+Inputs!$B$29)))</f>
        <v/>
      </c>
      <c r="E670">
        <f>INDEX(FactorTable!$B$2:$Y$301, MATCH(ROUND(MIN(300,MAX(1,D670)),0), FactorTable!$A$2:$A$301,0), Skills!M22+1)</f>
        <v/>
      </c>
      <c r="F670">
        <f>IF(Skills!N22=TRUE,(Skills!L22/10)*(E670/1000),Skills!L22/10)+Skills!O22</f>
        <v/>
      </c>
      <c r="G670">
        <f>Calc!G22</f>
        <v/>
      </c>
      <c r="H670">
        <f>Calc!H22</f>
        <v/>
      </c>
      <c r="I670">
        <f>IF(Skills!X22&lt;&gt;"",1+(Skills!X22/10)*(Z651/1000)/100,1)</f>
        <v/>
      </c>
      <c r="J670" t="inlineStr"/>
      <c r="K670" t="inlineStr"/>
      <c r="L670" t="inlineStr"/>
      <c r="M670" t="inlineStr"/>
      <c r="N670" t="inlineStr"/>
      <c r="O670">
        <f>(1-Summary!$B$56)*S670+Summary!$B$56*U670</f>
        <v/>
      </c>
      <c r="P670">
        <f>IF(B689=0,0,O670/B689)</f>
        <v/>
      </c>
      <c r="Q670">
        <f>IFERROR(1/IF(Inputs!$B$38="pvp",15,MAX(0.1,Skills!E22-IF(Skills!F22=TRUE,Inputs!$B$32,0))),0)</f>
        <v/>
      </c>
      <c r="R670" t="n">
        <v>0</v>
      </c>
      <c r="S670" t="n">
        <v>0</v>
      </c>
      <c r="U670" t="n">
        <v>0</v>
      </c>
    </row>
    <row r="671">
      <c r="A671">
        <f>Skills!A23</f>
        <v/>
      </c>
      <c r="B671">
        <f>Skills!B23</f>
        <v/>
      </c>
      <c r="C671">
        <f>TRUE</f>
        <v/>
      </c>
      <c r="D671">
        <f>IF(Skills!C23=1,60+Inputs!$B$25+Inputs!$B$29,IF(Skills!C23=2,90+Inputs!$B$26+Inputs!$B$29,IF(Skills!C23=3,120+Inputs!$B$27+Inputs!$B$29,MAX(0,(Inputs!$B$3-100)*3)+Inputs!$B$28+Inputs!$B$29)))</f>
        <v/>
      </c>
      <c r="E671">
        <f>INDEX(FactorTable!$B$2:$Y$301, MATCH(ROUND(MIN(300,MAX(1,D671)),0), FactorTable!$A$2:$A$301,0), Skills!M23+1)</f>
        <v/>
      </c>
      <c r="F671">
        <f>IF(Skills!N23=TRUE,(Skills!L23/10)*(E671/1000),Skills!L23/10)+Skills!O23</f>
        <v/>
      </c>
      <c r="G671">
        <f>Calc!G23</f>
        <v/>
      </c>
      <c r="H671">
        <f>Calc!H23</f>
        <v/>
      </c>
      <c r="I671">
        <f>IF(Skills!X23&lt;&gt;"",1+(Skills!X23/10)*(Z651/1000)/100,1)</f>
        <v/>
      </c>
      <c r="J671" t="inlineStr"/>
      <c r="K671" t="inlineStr"/>
      <c r="L671" t="inlineStr"/>
      <c r="M671" t="inlineStr"/>
      <c r="N671" t="inlineStr"/>
      <c r="O671">
        <f>(1-Summary!$B$56)*S671+Summary!$B$56*U671</f>
        <v/>
      </c>
      <c r="P671">
        <f>IF(B689=0,0,O671/B689)</f>
        <v/>
      </c>
      <c r="Q671">
        <f>IFERROR(1/IF(Inputs!$B$38="pvp",15,MAX(0.1,Skills!E23-IF(Skills!F23=TRUE,Inputs!$B$32,0))),0)</f>
        <v/>
      </c>
      <c r="R671" t="n">
        <v>0</v>
      </c>
      <c r="S671" t="n">
        <v>0</v>
      </c>
      <c r="U671" t="n">
        <v>0</v>
      </c>
    </row>
    <row r="672">
      <c r="A672">
        <f>Skills!A24</f>
        <v/>
      </c>
      <c r="B672">
        <f>Skills!B24</f>
        <v/>
      </c>
      <c r="C672">
        <f>Inputs!$B$3&gt;=115</f>
        <v/>
      </c>
      <c r="D672">
        <f>IF(Skills!C24=1,60+Inputs!$B$25+Inputs!$B$29,IF(Skills!C24=2,90+Inputs!$B$26+Inputs!$B$29,IF(Skills!C24=3,120+Inputs!$B$27+Inputs!$B$29,MAX(0,(Inputs!$B$3-100)*3)+Inputs!$B$28+Inputs!$B$29)))</f>
        <v/>
      </c>
      <c r="E672">
        <f>INDEX(FactorTable!$B$2:$Y$301, MATCH(ROUND(MIN(300,MAX(1,D672)),0), FactorTable!$A$2:$A$301,0), Skills!M24+1)</f>
        <v/>
      </c>
      <c r="F672">
        <f>IF(Skills!N24=TRUE,(Skills!L24/10)*(E672/1000),Skills!L24/10)+Skills!O24</f>
        <v/>
      </c>
      <c r="G672">
        <f>Calc!G24</f>
        <v/>
      </c>
      <c r="H672">
        <f>Calc!H24</f>
        <v/>
      </c>
      <c r="I672">
        <f>IF(Skills!X24&lt;&gt;"",1+(Skills!X24/10)*(Z651/1000)/100,1)</f>
        <v/>
      </c>
      <c r="J672">
        <f>((Inputs!$B$6*(1+Inputs!$B$7/100))+(((Inputs!$B$12*(1+Inputs!$B$13/100))-(Inputs!$B$12*(1+Inputs!$B$13/100)))+0.25*(Inputs!$B$14-Inputs!$B$14))*(1+Inputs!$B$7/100))*(F672/100)</f>
        <v/>
      </c>
      <c r="K672">
        <f>J672*(1+((Inputs!$B$12*(1+Inputs!$B$13/100))*0.01+Inputs!$B$14*0.0025)/100)*(1+Inputs!$B$15/100)*(1+Inputs!$B$16/100)*(5000/(6000+Inputs!$B$42*(1-Inputs!$B$19/100)))*(1+Inputs!$B$24/100)*(1+F671/100)*(1+IF(Inputs!$B$3&gt;=120,F674,0)/100)^5*(1+(IF(Skills!A24="BASIC_ATTACK",Inputs!$B$17,(Inputs!$B$18+1)+IF(Inputs!$B$3&gt;=125,F675*5,0)))/100)*(B678*B679*B680*I672)</f>
        <v/>
      </c>
      <c r="L672">
        <f>K672*(MIN(Inputs!$B$22+(F670-Calc!F22),Inputs!$B$23)/100+Inputs!$B$23/100)/2</f>
        <v/>
      </c>
      <c r="M672">
        <f>L672*(1+(Inputs!$B$10+(F669-Calc!F21))/100)</f>
        <v/>
      </c>
      <c r="N672">
        <f>L672*(1-MIN(Inputs!$B$9+(F668-Calc!F20),100)/100)+M672*(MIN(Inputs!$B$9+(F668-Calc!F20),100)/100)</f>
        <v/>
      </c>
      <c r="O672">
        <f>(1-Summary!$B$56)*S672+Summary!$B$56*U672</f>
        <v/>
      </c>
      <c r="P672">
        <f>IF(B689=0,0,O672/B689)</f>
        <v/>
      </c>
      <c r="Q672">
        <f>IFERROR(1/IF(Inputs!$B$38="pvp",15,MAX(0.1,Skills!E24-IF(Skills!F24=TRUE,Inputs!$B$32,0))),0)</f>
        <v/>
      </c>
      <c r="R672">
        <f>IF(AND(Inputs!$B$38&lt;&gt;"pvp",Inputs!$B$43&gt;0),IF(MAX(0,Inputs!$B$43-B686)&lt;=0,0,(INT(MAX(0,Inputs!$B$43-B686)/IF(Inputs!$B$38="pvp",15,MAX(0.1,Skills!E24-IF(Skills!F24=TRUE,Inputs!$B$32,0))))+1)),0)</f>
        <v/>
      </c>
      <c r="S672">
        <f>IF(C672,(H672*N672*IF(AND(Inputs!$B$38&lt;&gt;"pvp",Inputs!$B$43&gt;0),((Skills!G24*((R672-1)*IF(Skills!H24&gt;0,Skills!I24/Skills!H24,1)+IF(Skills!H24&gt;0,MIN(Skills!I24,MAX(0,MAX(0,Inputs!$B$43-B686)-((R672-1)*IF(Inputs!$B$38="pvp",15,MAX(0.1,Skills!E24-IF(Skills!F24=TRUE,Inputs!$B$32,0))))))/Skills!H24,1)))/Inputs!$B$43),G672*Q672)*(1+IF(Inputs!$B$3&gt;=130,0.2*(Skills!I16/Skills!E15+IF(Inputs!$B$3&gt;=126,0.05*(B684+Q661+(H662*B685)/(1+Skills!H14*H662*B685)+Q672),0)*Skills!I16),0)))*IF(Inputs!$B$38="pvp",1,1+(Inputs!$B$20+Skills!P24)/100),0)</f>
        <v/>
      </c>
      <c r="U672">
        <f>IF(C672,(H672*N672*IF(AND(Inputs!$B$38&lt;&gt;"pvp",Inputs!$B$43&gt;0),((Skills!G24*((R672-1)*IF(Skills!H24&gt;0,Skills!I24/Skills!H24,1)+IF(Skills!H24&gt;0,MIN(Skills!I24,MAX(0,MAX(0,Inputs!$B$43-B686)-((R672-1)*IF(Inputs!$B$38="pvp",15,MAX(0.1,Skills!E24-IF(Skills!F24=TRUE,Inputs!$B$32,0))))))/Skills!H24,1)))/Inputs!$B$43),G672*Q672)*(1+IF(Inputs!$B$3&gt;=130,0.2*(Skills!I16/Skills!E15+IF(Inputs!$B$3&gt;=126,0.05*(B684+Q661+(H662*B685)/(1+Skills!H14*H662*B685)+Q672),0)*Skills!I16),0)))*IF(Inputs!$B$38="pvp",1,(1+(Inputs!$B$21+Skills!Q24)/100)*(MIN(Skills!R24,Inputs!$B$37))),0)</f>
        <v/>
      </c>
    </row>
    <row r="673">
      <c r="A673">
        <f>Skills!A25</f>
        <v/>
      </c>
      <c r="B673">
        <f>Skills!B25</f>
        <v/>
      </c>
      <c r="C673">
        <f>Inputs!$B$3&gt;=117</f>
        <v/>
      </c>
      <c r="D673">
        <f>IF(Skills!C25=1,60+Inputs!$B$25+Inputs!$B$29,IF(Skills!C25=2,90+Inputs!$B$26+Inputs!$B$29,IF(Skills!C25=3,120+Inputs!$B$27+Inputs!$B$29,MAX(0,(Inputs!$B$3-100)*3)+Inputs!$B$28+Inputs!$B$29)))</f>
        <v/>
      </c>
      <c r="E673">
        <f>INDEX(FactorTable!$B$2:$Y$301, MATCH(ROUND(MIN(300,MAX(1,D673)),0), FactorTable!$A$2:$A$301,0), Skills!M25+1)</f>
        <v/>
      </c>
      <c r="F673">
        <f>IF(Skills!N25=TRUE,(Skills!L25/10)*(E673/1000),Skills!L25/10)+Skills!O25</f>
        <v/>
      </c>
      <c r="G673">
        <f>Calc!G25</f>
        <v/>
      </c>
      <c r="H673">
        <f>Calc!H25</f>
        <v/>
      </c>
      <c r="I673">
        <f>IF(Skills!X25&lt;&gt;"",1+(Skills!X25/10)*(Z651/1000)/100,1)</f>
        <v/>
      </c>
      <c r="J673" t="inlineStr"/>
      <c r="K673" t="inlineStr"/>
      <c r="L673" t="inlineStr"/>
      <c r="M673" t="inlineStr"/>
      <c r="N673" t="inlineStr"/>
      <c r="O673">
        <f>(1-Summary!$B$56)*S673+Summary!$B$56*U673</f>
        <v/>
      </c>
      <c r="P673">
        <f>IF(B689=0,0,O673/B689)</f>
        <v/>
      </c>
      <c r="Q673">
        <f>IFERROR(1/IF(Inputs!$B$38="pvp",15,MAX(0.1,Skills!E25-IF(Skills!F25=TRUE,Inputs!$B$32,0))),0)</f>
        <v/>
      </c>
      <c r="R673" t="n">
        <v>0</v>
      </c>
      <c r="S673" t="n">
        <v>0</v>
      </c>
      <c r="U673" t="n">
        <v>0</v>
      </c>
    </row>
    <row r="674">
      <c r="A674">
        <f>Skills!A26</f>
        <v/>
      </c>
      <c r="B674">
        <f>Skills!B26</f>
        <v/>
      </c>
      <c r="C674">
        <f>Inputs!$B$3&gt;=120</f>
        <v/>
      </c>
      <c r="D674">
        <f>IF(Skills!C26=1,60+Inputs!$B$25+Inputs!$B$29,IF(Skills!C26=2,90+Inputs!$B$26+Inputs!$B$29,IF(Skills!C26=3,120+Inputs!$B$27+Inputs!$B$29,MAX(0,(Inputs!$B$3-100)*3)+Inputs!$B$28+Inputs!$B$29)))</f>
        <v/>
      </c>
      <c r="E674">
        <f>INDEX(FactorTable!$B$2:$Y$301, MATCH(ROUND(MIN(300,MAX(1,D674)),0), FactorTable!$A$2:$A$301,0), Skills!M26+1)</f>
        <v/>
      </c>
      <c r="F674">
        <f>IF(Skills!N26=TRUE,(Skills!L26/10)*(E674/1000),Skills!L26/10)+Skills!O26</f>
        <v/>
      </c>
      <c r="G674">
        <f>Calc!G26</f>
        <v/>
      </c>
      <c r="H674">
        <f>Calc!H26</f>
        <v/>
      </c>
      <c r="I674">
        <f>IF(Skills!X26&lt;&gt;"",1+(Skills!X26/10)*(Z651/1000)/100,1)</f>
        <v/>
      </c>
      <c r="J674" t="inlineStr"/>
      <c r="K674" t="inlineStr"/>
      <c r="L674" t="inlineStr"/>
      <c r="M674" t="inlineStr"/>
      <c r="N674" t="inlineStr"/>
      <c r="O674">
        <f>(1-Summary!$B$56)*S674+Summary!$B$56*U674</f>
        <v/>
      </c>
      <c r="P674">
        <f>IF(B689=0,0,O674/B689)</f>
        <v/>
      </c>
      <c r="Q674">
        <f>IFERROR(1/IF(Inputs!$B$38="pvp",15,MAX(0.1,Skills!E26-IF(Skills!F26=TRUE,Inputs!$B$32,0))),0)</f>
        <v/>
      </c>
      <c r="R674" t="n">
        <v>0</v>
      </c>
      <c r="S674" t="n">
        <v>0</v>
      </c>
      <c r="U674" t="n">
        <v>0</v>
      </c>
    </row>
    <row r="675">
      <c r="A675">
        <f>Skills!A27</f>
        <v/>
      </c>
      <c r="B675">
        <f>Skills!B27</f>
        <v/>
      </c>
      <c r="C675">
        <f>Inputs!$B$3&gt;=125</f>
        <v/>
      </c>
      <c r="D675">
        <f>IF(Skills!C27=1,60+Inputs!$B$25+Inputs!$B$29,IF(Skills!C27=2,90+Inputs!$B$26+Inputs!$B$29,IF(Skills!C27=3,120+Inputs!$B$27+Inputs!$B$29,MAX(0,(Inputs!$B$3-100)*3)+Inputs!$B$28+Inputs!$B$29)))</f>
        <v/>
      </c>
      <c r="E675">
        <f>INDEX(FactorTable!$B$2:$Y$301, MATCH(ROUND(MIN(300,MAX(1,D675)),0), FactorTable!$A$2:$A$301,0), Skills!M27+1)</f>
        <v/>
      </c>
      <c r="F675">
        <f>IF(Skills!N27=TRUE,(Skills!L27/10)*(E675/1000),Skills!L27/10)+Skills!O27</f>
        <v/>
      </c>
      <c r="G675">
        <f>Calc!G27</f>
        <v/>
      </c>
      <c r="H675">
        <f>Calc!H27</f>
        <v/>
      </c>
      <c r="I675">
        <f>IF(Skills!X27&lt;&gt;"",1+(Skills!X27/10)*(Z651/1000)/100,1)</f>
        <v/>
      </c>
      <c r="J675" t="inlineStr"/>
      <c r="K675" t="inlineStr"/>
      <c r="L675" t="inlineStr"/>
      <c r="M675" t="inlineStr"/>
      <c r="N675" t="inlineStr"/>
      <c r="O675">
        <f>(1-Summary!$B$56)*S675+Summary!$B$56*U675</f>
        <v/>
      </c>
      <c r="P675">
        <f>IF(B689=0,0,O675/B689)</f>
        <v/>
      </c>
      <c r="Q675">
        <f>IFERROR(1/IF(Inputs!$B$38="pvp",15,MAX(0.1,Skills!E27-IF(Skills!F27=TRUE,Inputs!$B$32,0))),0)</f>
        <v/>
      </c>
      <c r="R675" t="n">
        <v>0</v>
      </c>
      <c r="S675" t="n">
        <v>0</v>
      </c>
      <c r="U675" t="n">
        <v>0</v>
      </c>
    </row>
    <row r="676">
      <c r="A676">
        <f>Skills!A28</f>
        <v/>
      </c>
      <c r="B676">
        <f>Skills!B28</f>
        <v/>
      </c>
      <c r="C676">
        <f>Inputs!$B$3&gt;=118</f>
        <v/>
      </c>
      <c r="D676">
        <f>IF(Skills!C28=1,60+Inputs!$B$25+Inputs!$B$29,IF(Skills!C28=2,90+Inputs!$B$26+Inputs!$B$29,IF(Skills!C28=3,120+Inputs!$B$27+Inputs!$B$29,MAX(0,(Inputs!$B$3-100)*3)+Inputs!$B$28+Inputs!$B$29)))</f>
        <v/>
      </c>
      <c r="E676">
        <f>INDEX(FactorTable!$B$2:$Y$301, MATCH(ROUND(MIN(300,MAX(1,D676)),0), FactorTable!$A$2:$A$301,0), Skills!M28+1)</f>
        <v/>
      </c>
      <c r="F676">
        <f>IF(Skills!N28=TRUE,(Skills!L28/10)*(E676/1000),Skills!L28/10)+Skills!O28</f>
        <v/>
      </c>
      <c r="G676">
        <f>Calc!G28</f>
        <v/>
      </c>
      <c r="H676">
        <f>Calc!H28</f>
        <v/>
      </c>
      <c r="I676">
        <f>IF(Skills!X28&lt;&gt;"",1+(Skills!X28/10)*(Z651/1000)/100,1)</f>
        <v/>
      </c>
      <c r="J676">
        <f>((Inputs!$B$6*(1+Inputs!$B$7/100))+(((Inputs!$B$12*(1+Inputs!$B$13/100))-(Inputs!$B$12*(1+Inputs!$B$13/100)))+0.25*(Inputs!$B$14-Inputs!$B$14))*(1+Inputs!$B$7/100))*(F676/100)</f>
        <v/>
      </c>
      <c r="K676">
        <f>J676*(1+((Inputs!$B$12*(1+Inputs!$B$13/100))*0.01+Inputs!$B$14*0.0025)/100)*(1+Inputs!$B$15/100)*(1+Inputs!$B$16/100)*(5000/(6000+Inputs!$B$42*(1-Inputs!$B$19/100)))*(1+Inputs!$B$24/100)*(1+F671/100)*(1+IF(Inputs!$B$3&gt;=120,F674,0)/100)^5*(1+(IF(Skills!A28="BASIC_ATTACK",Inputs!$B$17,(Inputs!$B$18+1)+IF(Inputs!$B$3&gt;=125,F675*5,0)))/100)*(B678*B679*B680*I676)</f>
        <v/>
      </c>
      <c r="L676">
        <f>K676*(MIN(Inputs!$B$22+(F670-Calc!F22),Inputs!$B$23)/100+Inputs!$B$23/100)/2</f>
        <v/>
      </c>
      <c r="M676">
        <f>L676*(1+(Inputs!$B$10+(F669-Calc!F21))/100)</f>
        <v/>
      </c>
      <c r="N676">
        <f>L676*(1-MIN(Inputs!$B$9+(F668-Calc!F20),100)/100)+M676*(MIN(Inputs!$B$9+(F668-Calc!F20),100)/100)</f>
        <v/>
      </c>
      <c r="O676">
        <f>(1-Summary!$B$56)*S676+Summary!$B$56*U676</f>
        <v/>
      </c>
      <c r="P676">
        <f>IF(B689=0,0,O676/B689)</f>
        <v/>
      </c>
      <c r="Q676">
        <f>IFERROR(1/IF(Inputs!$B$38="pvp",15,MAX(0.1,Skills!E28-IF(Skills!F28=TRUE,Inputs!$B$32,0))),0)</f>
        <v/>
      </c>
      <c r="R676">
        <f>IF(AND(Inputs!$B$38&lt;&gt;"pvp",Inputs!$B$43&gt;0),IF(MAX(0,Inputs!$B$43-B686)&lt;=0,0,(INT(MAX(0,Inputs!$B$43-B686)/IF(Inputs!$B$38="pvp",15,MAX(0.1,Skills!E28-IF(Skills!F28=TRUE,Inputs!$B$32,0))))+1)),0)</f>
        <v/>
      </c>
      <c r="S676">
        <f>IF(C676,(H676*N676*IF(AND(Inputs!$B$38&lt;&gt;"pvp",Inputs!$B$43&gt;0),((Skills!G28*((R676-1)*IF(Skills!H28&gt;0,Skills!I28/Skills!H28,1)+IF(Skills!H28&gt;0,MIN(Skills!I28,MAX(0,MAX(0,Inputs!$B$43-B686)-((R676-1)*IF(Inputs!$B$38="pvp",15,MAX(0.1,Skills!E28-IF(Skills!F28=TRUE,Inputs!$B$32,0))))))/Skills!H28,1)))/Inputs!$B$43),G676*Q676))*IF(Inputs!$B$38="pvp",1,1+(Inputs!$B$20+Skills!P28)/100),0)</f>
        <v/>
      </c>
      <c r="U676">
        <f>IF(C676,(H676*N676*IF(AND(Inputs!$B$38&lt;&gt;"pvp",Inputs!$B$43&gt;0),((Skills!G28*((R676-1)*IF(Skills!H28&gt;0,Skills!I28/Skills!H28,1)+IF(Skills!H28&gt;0,MIN(Skills!I28,MAX(0,MAX(0,Inputs!$B$43-B686)-((R676-1)*IF(Inputs!$B$38="pvp",15,MAX(0.1,Skills!E28-IF(Skills!F28=TRUE,Inputs!$B$32,0))))))/Skills!H28,1)))/Inputs!$B$43),G676*Q676))*IF(Inputs!$B$38="pvp",1,(1+(Inputs!$B$21+Skills!Q28)/100)*(MIN(Skills!R28,Inputs!$B$37))),0)</f>
        <v/>
      </c>
    </row>
    <row r="678">
      <c r="A678" t="inlineStr">
        <is>
          <t>Burning Magic Multiplier</t>
        </is>
      </c>
      <c r="B678">
        <f>1+(F659*Skills!Z11)/100</f>
        <v/>
      </c>
    </row>
    <row r="679">
      <c r="A679" t="inlineStr">
        <is>
          <t>Elemental Decrease Multiplier (always-on)</t>
        </is>
      </c>
      <c r="B679">
        <f>1+F660/100</f>
        <v/>
      </c>
    </row>
    <row r="680">
      <c r="A680" t="inlineStr">
        <is>
          <t>Average Buff Multiplier (Magic Guard + Meditation, summed; then Infinity)</t>
        </is>
      </c>
      <c r="B680">
        <f>(1+(F654*IF(AND(Inputs!$B$38&lt;&gt;"pvp",Inputs!$B$43&gt;0),(((R654-1)*(Skills!T6*(1+(Inputs!$B$34+IF(Inputs!$B$3&gt;=117,F673,0))/100))+MIN((Skills!T6*(1+(Inputs!$B$34+IF(Inputs!$B$3&gt;=117,F673,0))/100)),MAX(0,Inputs!$B$43-((R654-1)*Skills!E6))))/Inputs!$B$43),IF(Inputs!$B$38="pvp",MIN((Skills!T6*(1+(Inputs!$B$34+IF(Inputs!$B$3&gt;=117,F673,0))/100)),15)/15,(Skills!T6*(1+(Inputs!$B$34+IF(Inputs!$B$3&gt;=117,F673,0))/100))/Skills!E6))+F665*IF(AND(Inputs!$B$38&lt;&gt;"pvp",Inputs!$B$43&gt;0),(((R665-1)*(Skills!T17*(1+(Inputs!$B$34+IF(Inputs!$B$3&gt;=117,F673,0))/100))+MIN((Skills!T17*(1+(Inputs!$B$34+IF(Inputs!$B$3&gt;=117,F673,0))/100)),MAX(0,Inputs!$B$43-((R665-1)*Skills!E17))))/Inputs!$B$43),IF(Inputs!$B$38="pvp",MIN((Skills!T17*(1+(Inputs!$B$34+IF(Inputs!$B$3&gt;=117,F673,0))/100)),15)/15,(Skills!T17*(1+(Inputs!$B$34+IF(Inputs!$B$3&gt;=117,F673,0))/100))/Skills!E17)))/100)*IF(C667=TRUE,(1+F667*IF(AND(Inputs!$B$38&lt;&gt;"pvp",Inputs!$B$43&gt;0),(((R667-1)*(Skills!T19*(1+(Inputs!$B$34+IF(Inputs!$B$3&gt;=117,F673,0))/100))+MIN((Skills!T19*(1+(Inputs!$B$34+IF(Inputs!$B$3&gt;=117,F673,0))/100)),MAX(0,Inputs!$B$43-((R667-1)*Skills!E19))))/Inputs!$B$43),IF(Inputs!$B$38="pvp",MIN((Skills!T19*(1+(Inputs!$B$34+IF(Inputs!$B$3&gt;=117,F673,0))/100)),15)/15,(Skills!T19*(1+(Inputs!$B$34+IF(Inputs!$B$3&gt;=117,F673,0))/100))/Skills!E19))/100),1)</f>
        <v/>
      </c>
    </row>
    <row r="681">
      <c r="A681" t="inlineStr">
        <is>
          <t>Attack Speed Buff Bonus % (Nimble Feet, averaged)</t>
        </is>
      </c>
      <c r="B681">
        <f>F666*IF(AND(Inputs!$B$38&lt;&gt;"pvp",Inputs!$B$43&gt;0),(((R666-1)*(Skills!T18*(1+(Inputs!$B$34+IF(Inputs!$B$3&gt;=117,F673,0))/100))+MIN((Skills!T18*(1+(Inputs!$B$34+IF(Inputs!$B$3&gt;=117,F673,0))/100)),MAX(0,Inputs!$B$43-((R666-1)*Skills!E18))))/Inputs!$B$43),IF(Inputs!$B$38="pvp",MIN((Skills!T18*(1+(Inputs!$B$34+IF(Inputs!$B$3&gt;=117,F673,0))/100)),15)/15,(Skills!T18*(1+(Inputs!$B$34+IF(Inputs!$B$3&gt;=117,F673,0))/100))/Skills!E18))</f>
        <v/>
      </c>
    </row>
    <row r="682">
      <c r="A682" t="inlineStr">
        <is>
          <t>Actions Per Second</t>
        </is>
      </c>
      <c r="B682">
        <f>1+MIN(150,150*(1-(1-Inputs!$B$11/150)*(1-B681/150)))/100</f>
        <v/>
      </c>
    </row>
    <row r="683">
      <c r="A683" t="inlineStr">
        <is>
          <t>Skill + Buff Cast Rate</t>
        </is>
      </c>
      <c r="B683">
        <f>IF(AND(Inputs!$B$38&lt;&gt;"pvp",Inputs!$B$43&gt;0),SUMPRODUCT((Skills!F2:F28=TRUE)*(C650:C676=TRUE)*R650:R676)/Inputs!$B$43,SUMPRODUCT((Skills!F2:F28=TRUE)*(C650:C676=TRUE)*Q650:Q676))</f>
        <v/>
      </c>
    </row>
    <row r="684">
      <c r="A684" t="inlineStr">
        <is>
          <t>Basic Attacks Per Second</t>
        </is>
      </c>
      <c r="B684">
        <f>MAX(0,B682-B683)</f>
        <v/>
      </c>
    </row>
    <row r="685">
      <c r="A685" t="inlineStr">
        <is>
          <t>Meteor Proc — combined trigger cast rate</t>
        </is>
      </c>
      <c r="B685">
        <f>IF(AND(Inputs!$B$38&lt;&gt;"pvp",Inputs!$B$43&gt;0),SUMPRODUCT((Skills!V2:V28=TRUE)*(C650:C676=TRUE)*R650:R676*Skills!W2:W28)/Inputs!$B$43,SUMPRODUCT((Skills!V2:V28=TRUE)*(C650:C676=TRUE)*Q650:Q676*Skills!W2:W28))+B684</f>
        <v/>
      </c>
    </row>
    <row r="686">
      <c r="A686" t="inlineStr">
        <is>
          <t>Buff-Casting Startup Delay (s, fixed-duration only)</t>
        </is>
      </c>
      <c r="B686">
        <f>IF(AND(Inputs!$B$38&lt;&gt;"pvp",Inputs!$B$43&gt;0),SUMPRODUCT((Skills!T2:T28&gt;0)*(Skills!F2:F28=TRUE)*(C650:C676=TRUE))/B682,0)</f>
        <v/>
      </c>
    </row>
    <row r="687">
      <c r="A687" t="inlineStr">
        <is>
          <t>Boss-Only Total DPS (this block's swept value)</t>
        </is>
      </c>
      <c r="B687">
        <f>SUM(S650:S676)</f>
        <v/>
      </c>
    </row>
    <row r="688">
      <c r="A688" t="inlineStr">
        <is>
          <t>Normal-Only Total DPS (this block's swept value)</t>
        </is>
      </c>
      <c r="B688">
        <f>SUM(U650:U676)</f>
        <v/>
      </c>
    </row>
    <row r="689">
      <c r="A689" s="5" t="inlineStr">
        <is>
          <t>TOTAL DPS</t>
        </is>
      </c>
      <c r="B689" s="5">
        <f>SUM(O650:O676)</f>
        <v/>
      </c>
    </row>
    <row r="692">
      <c r="A692" s="5" t="inlineStr">
        <is>
          <t>Stat: Skill Level Bonus — 1st Job</t>
        </is>
      </c>
    </row>
    <row r="693">
      <c r="A693" s="9" t="inlineStr">
        <is>
          <t>Key</t>
        </is>
      </c>
      <c r="B693" s="9" t="inlineStr">
        <is>
          <t>Name</t>
        </is>
      </c>
      <c r="C693" s="9" t="inlineStr">
        <is>
          <t>Unlocked</t>
        </is>
      </c>
      <c r="D693" s="9" t="inlineStr">
        <is>
          <t>InputLevel</t>
        </is>
      </c>
      <c r="E693" s="9" t="inlineStr">
        <is>
          <t>Factor</t>
        </is>
      </c>
      <c r="F693" s="9" t="inlineStr">
        <is>
          <t>CoefficientPercent</t>
        </is>
      </c>
      <c r="G693" s="9" t="inlineStr">
        <is>
          <t>EffectiveHits</t>
        </is>
      </c>
      <c r="H693" s="9" t="inlineStr">
        <is>
          <t>ProcProbability</t>
        </is>
      </c>
      <c r="I693" s="9" t="inlineStr">
        <is>
          <t>MapleHeroMultiplier</t>
        </is>
      </c>
      <c r="J693" s="9" t="inlineStr">
        <is>
          <t>BaseDamage</t>
        </is>
      </c>
      <c r="K693" s="9" t="inlineStr">
        <is>
          <t>BaseHitDamage</t>
        </is>
      </c>
      <c r="L693" s="9" t="inlineStr">
        <is>
          <t>NonCritAvg</t>
        </is>
      </c>
      <c r="M693" s="9" t="inlineStr">
        <is>
          <t>CritAvg</t>
        </is>
      </c>
      <c r="N693" s="9" t="inlineStr">
        <is>
          <t>ExpectedDamage(perHit)</t>
        </is>
      </c>
      <c r="O693" s="9" t="inlineStr">
        <is>
          <t>DPS</t>
        </is>
      </c>
      <c r="P693" s="9" t="inlineStr">
        <is>
          <t>% of Total</t>
        </is>
      </c>
      <c r="R693" t="inlineStr">
        <is>
          <t>helpers</t>
        </is>
      </c>
    </row>
    <row r="694">
      <c r="A694">
        <f>Skills!A2</f>
        <v/>
      </c>
      <c r="B694">
        <f>Skills!B2</f>
        <v/>
      </c>
      <c r="C694">
        <f>TRUE</f>
        <v/>
      </c>
      <c r="D694" t="inlineStr"/>
      <c r="E694" t="inlineStr"/>
      <c r="F694">
        <f>T696+Skills!O2</f>
        <v/>
      </c>
      <c r="G694">
        <f>Calc!G2</f>
        <v/>
      </c>
      <c r="H694">
        <f>Calc!H2</f>
        <v/>
      </c>
      <c r="I694">
        <f>IF(Skills!X2&lt;&gt;"",1+(Skills!X2/10)*(Z695/1000)/100,1)</f>
        <v/>
      </c>
      <c r="J694">
        <f>((Inputs!$B$6*(1+Inputs!$B$7/100))+(((Inputs!$B$12*(1+Inputs!$B$13/100))-(Inputs!$B$12*(1+Inputs!$B$13/100)))+0.25*(Inputs!$B$14-Inputs!$B$14))*(1+Inputs!$B$7/100))*(F694/100)</f>
        <v/>
      </c>
      <c r="K694">
        <f>J694*(1+((Inputs!$B$12*(1+Inputs!$B$13/100))*0.01+Inputs!$B$14*0.0025)/100)*(1+Inputs!$B$15/100)*(1+Inputs!$B$16/100)*(5000/(6000+Inputs!$B$42*(1-Inputs!$B$19/100)))*(1+Inputs!$B$24/100)*(1+F715/100)*(1+IF(Inputs!$B$3&gt;=120,F718,0)/100)^5*(1+(IF(Skills!A2="BASIC_ATTACK",Inputs!$B$17,Inputs!$B$18+IF(Inputs!$B$3&gt;=125,F719*5,0)))/100)*(B722*B723*B724*I694)</f>
        <v/>
      </c>
      <c r="L694">
        <f>K694*(MIN(Inputs!$B$22+(F714-Calc!F22),Inputs!$B$23)/100+Inputs!$B$23/100)/2</f>
        <v/>
      </c>
      <c r="M694">
        <f>L694*(1+(Inputs!$B$10+(F713-Calc!F21))/100)</f>
        <v/>
      </c>
      <c r="N694">
        <f>L694*(1-MIN(Inputs!$B$9+(F712-Calc!F20),100)/100)+M694*(MIN(Inputs!$B$9+(F712-Calc!F20),100)/100)</f>
        <v/>
      </c>
      <c r="O694">
        <f>(1-Summary!$B$56)*S694+Summary!$B$56*U694</f>
        <v/>
      </c>
      <c r="P694">
        <f>IF(B733=0,0,O694/B733)</f>
        <v/>
      </c>
      <c r="Q694">
        <f>IFERROR(1/IF(Inputs!$B$38="pvp",15,MAX(0.1,Skills!E2-IF(Skills!F2=TRUE,Inputs!$B$32,0))),0)</f>
        <v/>
      </c>
      <c r="R694" t="n">
        <v>0</v>
      </c>
      <c r="S694">
        <f>(Skills!G2*N694*B728)*IF(Inputs!$B$38="pvp",1,1+(Inputs!$B$20+Skills!P2)/100)</f>
        <v/>
      </c>
      <c r="T694">
        <f>MAX(0,(Inputs!$B$3-100)*3)+Inputs!$B$28+Inputs!$B$29</f>
        <v/>
      </c>
      <c r="U694">
        <f>(Skills!G2*N694*B728)*IF(Inputs!$B$38="pvp",1,(1+(Inputs!$B$21+Skills!Q2)/100)*(MIN((6+Inputs!$B$33+IF(Inputs!$B$3&gt;=136,1,0)),Inputs!$B$37)))</f>
        <v/>
      </c>
      <c r="Z694">
        <f>MAX(0,(Inputs!$B$3-100)*3)+Inputs!$B$28+Inputs!$B$29</f>
        <v/>
      </c>
    </row>
    <row r="695">
      <c r="A695">
        <f>Skills!A3</f>
        <v/>
      </c>
      <c r="B695">
        <f>Skills!B3</f>
        <v/>
      </c>
      <c r="C695">
        <f>TRUE</f>
        <v/>
      </c>
      <c r="D695">
        <f>IF(Skills!C3=1,60+(Inputs!$B$25+1)+Inputs!$B$29,IF(Skills!C3=2,90+Inputs!$B$26+Inputs!$B$29,IF(Skills!C3=3,120+Inputs!$B$27+Inputs!$B$29,MAX(0,(Inputs!$B$3-100)*3)+Inputs!$B$28+Inputs!$B$29)))</f>
        <v/>
      </c>
      <c r="E695">
        <f>INDEX(FactorTable!$B$2:$Y$301, MATCH(ROUND(MIN(300,MAX(1,D695)),0), FactorTable!$A$2:$A$301,0), Skills!M3+1)</f>
        <v/>
      </c>
      <c r="F695">
        <f>IF(Skills!N3=TRUE,(Skills!L3/10)*(E695/1000),Skills!L3/10)+Skills!O3</f>
        <v/>
      </c>
      <c r="G695">
        <f>Calc!G3</f>
        <v/>
      </c>
      <c r="H695">
        <f>Calc!H3</f>
        <v/>
      </c>
      <c r="I695">
        <f>IF(Skills!X3&lt;&gt;"",1+(Skills!X3/10)*(Z695/1000)/100,1)</f>
        <v/>
      </c>
      <c r="J695">
        <f>((Inputs!$B$6*(1+Inputs!$B$7/100))+(((Inputs!$B$12*(1+Inputs!$B$13/100))-(Inputs!$B$12*(1+Inputs!$B$13/100)))+0.25*(Inputs!$B$14-Inputs!$B$14))*(1+Inputs!$B$7/100))*(F695/100)</f>
        <v/>
      </c>
      <c r="K695">
        <f>J695*(1+((Inputs!$B$12*(1+Inputs!$B$13/100))*0.01+Inputs!$B$14*0.0025)/100)*(1+Inputs!$B$15/100)*(1+Inputs!$B$16/100)*(5000/(6000+Inputs!$B$42*(1-Inputs!$B$19/100)))*(1+Inputs!$B$24/100)*(1+F715/100)*(1+IF(Inputs!$B$3&gt;=120,F718,0)/100)^5*(1+(IF(Skills!A3="BASIC_ATTACK",Inputs!$B$17,Inputs!$B$18+IF(Inputs!$B$3&gt;=125,F719*5,0)))/100)*(B722*B723*B724*I695)</f>
        <v/>
      </c>
      <c r="L695">
        <f>K695*(MIN(Inputs!$B$22+(F714-Calc!F22),Inputs!$B$23)/100+Inputs!$B$23/100)/2</f>
        <v/>
      </c>
      <c r="M695">
        <f>L695*(1+(Inputs!$B$10+(F713-Calc!F21))/100)</f>
        <v/>
      </c>
      <c r="N695">
        <f>L695*(1-MIN(Inputs!$B$9+(F712-Calc!F20),100)/100)+M695*(MIN(Inputs!$B$9+(F712-Calc!F20),100)/100)</f>
        <v/>
      </c>
      <c r="O695">
        <f>(1-Summary!$B$56)*S695+Summary!$B$56*U695</f>
        <v/>
      </c>
      <c r="P695">
        <f>IF(B733=0,0,O695/B733)</f>
        <v/>
      </c>
      <c r="Q695">
        <f>IFERROR(1/IF(Inputs!$B$38="pvp",15,MAX(0.1,Skills!E3-IF(Skills!F3=TRUE,Inputs!$B$32,0))),0)</f>
        <v/>
      </c>
      <c r="R695">
        <f>IF(AND(Inputs!$B$38&lt;&gt;"pvp",Inputs!$B$43&gt;0),IF(MAX(0,Inputs!$B$43-B730)&lt;=0,0,(INT(MAX(0,Inputs!$B$43-B730)/IF(Inputs!$B$38="pvp",15,MAX(0.1,Skills!E3-IF(Skills!F3=TRUE,Inputs!$B$32,0))))+1)),0)</f>
        <v/>
      </c>
      <c r="S695">
        <f>IF(C695,(H695*N695*IF(AND(Inputs!$B$38&lt;&gt;"pvp",Inputs!$B$43&gt;0),((Skills!G3*((R695-1)*IF(Skills!H3&gt;0,Skills!I3/Skills!H3,1)+IF(Skills!H3&gt;0,MIN(Skills!I3,MAX(0,MAX(0,Inputs!$B$43-B730)-((R695-1)*IF(Inputs!$B$38="pvp",15,MAX(0.1,Skills!E3-IF(Skills!F3=TRUE,Inputs!$B$32,0))))))/Skills!H3,1)))/Inputs!$B$43),G695*Q695))*IF(Inputs!$B$38="pvp",1,1+(Inputs!$B$20+Skills!P3)/100),0)</f>
        <v/>
      </c>
      <c r="T695">
        <f>INDEX(FactorTable!$B$2:$Y$301, MATCH(ROUND(MIN(300,MAX(1,T694)),0), FactorTable!$A$2:$A$301,0), 22)</f>
        <v/>
      </c>
      <c r="U695">
        <f>IF(C695,(H695*N695*IF(AND(Inputs!$B$38&lt;&gt;"pvp",Inputs!$B$43&gt;0),((Skills!G3*((R695-1)*IF(Skills!H3&gt;0,Skills!I3/Skills!H3,1)+IF(Skills!H3&gt;0,MIN(Skills!I3,MAX(0,MAX(0,Inputs!$B$43-B730)-((R695-1)*IF(Inputs!$B$38="pvp",15,MAX(0.1,Skills!E3-IF(Skills!F3=TRUE,Inputs!$B$32,0))))))/Skills!H3,1)))/Inputs!$B$43),G695*Q695))*IF(Inputs!$B$38="pvp",1,(1+(Inputs!$B$21+Skills!Q3)/100)*(MIN(Skills!R3,Inputs!$B$37))),0)</f>
        <v/>
      </c>
      <c r="Z695">
        <f>INDEX(FactorTable!$B$2:$Y$301, MATCH(ROUND(MIN(300,MAX(1,Z694)),0), FactorTable!$A$2:$A$301,0), 24)</f>
        <v/>
      </c>
    </row>
    <row r="696">
      <c r="A696">
        <f>Skills!A4</f>
        <v/>
      </c>
      <c r="B696">
        <f>Skills!B4</f>
        <v/>
      </c>
      <c r="C696">
        <f>TRUE</f>
        <v/>
      </c>
      <c r="D696">
        <f>IF(Skills!C4=1,60+(Inputs!$B$25+1)+Inputs!$B$29,IF(Skills!C4=2,90+Inputs!$B$26+Inputs!$B$29,IF(Skills!C4=3,120+Inputs!$B$27+Inputs!$B$29,MAX(0,(Inputs!$B$3-100)*3)+Inputs!$B$28+Inputs!$B$29)))</f>
        <v/>
      </c>
      <c r="E696">
        <f>INDEX(FactorTable!$B$2:$Y$301, MATCH(ROUND(MIN(300,MAX(1,D696)),0), FactorTable!$A$2:$A$301,0), Skills!M4+1)</f>
        <v/>
      </c>
      <c r="F696">
        <f>IF(Skills!N4=TRUE,(Skills!L4/10)*(E696/1000),Skills!L4/10)+Skills!O4</f>
        <v/>
      </c>
      <c r="G696">
        <f>Calc!G4</f>
        <v/>
      </c>
      <c r="H696">
        <f>Calc!H4</f>
        <v/>
      </c>
      <c r="I696">
        <f>IF(Skills!X4&lt;&gt;"",1+(Skills!X4/10)*(Z695/1000)/100,1)</f>
        <v/>
      </c>
      <c r="J696">
        <f>((Inputs!$B$6*(1+Inputs!$B$7/100))+(((Inputs!$B$12*(1+Inputs!$B$13/100))-(Inputs!$B$12*(1+Inputs!$B$13/100)))+0.25*(Inputs!$B$14-Inputs!$B$14))*(1+Inputs!$B$7/100))*(F696/100)</f>
        <v/>
      </c>
      <c r="K696">
        <f>J696*(1+((Inputs!$B$12*(1+Inputs!$B$13/100))*0.01+Inputs!$B$14*0.0025)/100)*(1+Inputs!$B$15/100)*(1+Inputs!$B$16/100)*(5000/(6000+Inputs!$B$42*(1-Inputs!$B$19/100)))*(1+Inputs!$B$24/100)*(1+F715/100)*(1+IF(Inputs!$B$3&gt;=120,F718,0)/100)^5*(1+(IF(Skills!A4="BASIC_ATTACK",Inputs!$B$17,Inputs!$B$18+IF(Inputs!$B$3&gt;=125,F719*5,0)))/100)*(B722*B723*B724*I696)</f>
        <v/>
      </c>
      <c r="L696">
        <f>K696*(MIN(Inputs!$B$22+(F714-Calc!F22),Inputs!$B$23)/100+Inputs!$B$23/100)/2</f>
        <v/>
      </c>
      <c r="M696">
        <f>L696*(1+(Inputs!$B$10+(F713-Calc!F21))/100)</f>
        <v/>
      </c>
      <c r="N696">
        <f>L696*(1-MIN(Inputs!$B$9+(F712-Calc!F20),100)/100)+M696*(MIN(Inputs!$B$9+(F712-Calc!F20),100)/100)</f>
        <v/>
      </c>
      <c r="O696">
        <f>(1-Summary!$B$56)*S696+Summary!$B$56*U696</f>
        <v/>
      </c>
      <c r="P696">
        <f>IF(B733=0,0,O696/B733)</f>
        <v/>
      </c>
      <c r="Q696">
        <f>IFERROR(1/IF(Inputs!$B$38="pvp",15,MAX(0.1,Skills!E4-IF(Skills!F4=TRUE,Inputs!$B$32,0))),0)</f>
        <v/>
      </c>
      <c r="R696">
        <f>IF(AND(Inputs!$B$38&lt;&gt;"pvp",Inputs!$B$43&gt;0),IF(MAX(0,Inputs!$B$43-B730)&lt;=0,0,(INT(MAX(0,Inputs!$B$43-B730)/IF(Inputs!$B$38="pvp",15,MAX(0.1,Skills!E4-IF(Skills!F4=TRUE,Inputs!$B$32,0))))+1)),0)</f>
        <v/>
      </c>
      <c r="S696">
        <f>IF(C696,(H696*N696*IF(AND(Inputs!$B$38&lt;&gt;"pvp",Inputs!$B$43&gt;0),((Skills!G4*((R696-1)*IF(Skills!H4&gt;0,Skills!I4/Skills!H4,1)+IF(Skills!H4&gt;0,MIN(Skills!I4,MAX(0,MAX(0,Inputs!$B$43-B730)-((R696-1)*IF(Inputs!$B$38="pvp",15,MAX(0.1,Skills!E4-IF(Skills!F4=TRUE,Inputs!$B$32,0))))))/Skills!H4,1)))/Inputs!$B$43),G696*Q696))*IF(Inputs!$B$38="pvp",1,1+(Inputs!$B$20+Skills!P4)/100),0)</f>
        <v/>
      </c>
      <c r="T696">
        <f>290*T695/1000</f>
        <v/>
      </c>
      <c r="U696">
        <f>IF(C696,(H696*N696*IF(AND(Inputs!$B$38&lt;&gt;"pvp",Inputs!$B$43&gt;0),((Skills!G4*((R696-1)*IF(Skills!H4&gt;0,Skills!I4/Skills!H4,1)+IF(Skills!H4&gt;0,MIN(Skills!I4,MAX(0,MAX(0,Inputs!$B$43-B730)-((R696-1)*IF(Inputs!$B$38="pvp",15,MAX(0.1,Skills!E4-IF(Skills!F4=TRUE,Inputs!$B$32,0))))))/Skills!H4,1)))/Inputs!$B$43),G696*Q696))*IF(Inputs!$B$38="pvp",1,(1+(Inputs!$B$21+Skills!Q4)/100)*(MIN(Skills!R4,Inputs!$B$37))),0)</f>
        <v/>
      </c>
    </row>
    <row r="697">
      <c r="A697">
        <f>Skills!A5</f>
        <v/>
      </c>
      <c r="B697">
        <f>Skills!B5</f>
        <v/>
      </c>
      <c r="C697">
        <f>TRUE</f>
        <v/>
      </c>
      <c r="D697">
        <f>IF(Skills!C5=1,60+(Inputs!$B$25+1)+Inputs!$B$29,IF(Skills!C5=2,90+Inputs!$B$26+Inputs!$B$29,IF(Skills!C5=3,120+Inputs!$B$27+Inputs!$B$29,MAX(0,(Inputs!$B$3-100)*3)+Inputs!$B$28+Inputs!$B$29)))</f>
        <v/>
      </c>
      <c r="E697">
        <f>INDEX(FactorTable!$B$2:$Y$301, MATCH(ROUND(MIN(300,MAX(1,D697)),0), FactorTable!$A$2:$A$301,0), Skills!M5+1)</f>
        <v/>
      </c>
      <c r="F697">
        <f>IF(Skills!N5=TRUE,(Skills!L5/10)*(E697/1000),Skills!L5/10)+Skills!O5</f>
        <v/>
      </c>
      <c r="G697">
        <f>Calc!G5</f>
        <v/>
      </c>
      <c r="H697">
        <f>Calc!H5</f>
        <v/>
      </c>
      <c r="I697">
        <f>IF(Skills!X5&lt;&gt;"",1+(Skills!X5/10)*(Z695/1000)/100,1)</f>
        <v/>
      </c>
      <c r="J697">
        <f>((Inputs!$B$6*(1+Inputs!$B$7/100))+(((Inputs!$B$12*(1+Inputs!$B$13/100))-(Inputs!$B$12*(1+Inputs!$B$13/100)))+0.25*(Inputs!$B$14-Inputs!$B$14))*(1+Inputs!$B$7/100))*(F697/100)</f>
        <v/>
      </c>
      <c r="K697">
        <f>J697*(1+((Inputs!$B$12*(1+Inputs!$B$13/100))*0.01+Inputs!$B$14*0.0025)/100)*(1+Inputs!$B$15/100)*(1+Inputs!$B$16/100)*(5000/(6000+Inputs!$B$42*(1-Inputs!$B$19/100)))*(1+Inputs!$B$24/100)*(1+F715/100)*(1+IF(Inputs!$B$3&gt;=120,F718,0)/100)^5*(1+(IF(Skills!A5="BASIC_ATTACK",Inputs!$B$17,Inputs!$B$18+IF(Inputs!$B$3&gt;=125,F719*5,0)))/100)*(B722*B723*B724*I697)</f>
        <v/>
      </c>
      <c r="L697">
        <f>K697*(MIN(Inputs!$B$22+(F714-Calc!F22),Inputs!$B$23)/100+Inputs!$B$23/100)/2</f>
        <v/>
      </c>
      <c r="M697">
        <f>L697*(1+(Inputs!$B$10+(F713-Calc!F21))/100)</f>
        <v/>
      </c>
      <c r="N697">
        <f>L697*(1-MIN(Inputs!$B$9+(F712-Calc!F20),100)/100)+M697*(MIN(Inputs!$B$9+(F712-Calc!F20),100)/100)</f>
        <v/>
      </c>
      <c r="O697">
        <f>(1-Summary!$B$56)*S697+Summary!$B$56*U697</f>
        <v/>
      </c>
      <c r="P697">
        <f>IF(B733=0,0,O697/B733)</f>
        <v/>
      </c>
      <c r="Q697">
        <f>IFERROR(1/IF(Inputs!$B$38="pvp",15,MAX(0.1,Skills!E5-IF(Skills!F5=TRUE,Inputs!$B$32,0))),0)</f>
        <v/>
      </c>
      <c r="R697">
        <f>IF(AND(Inputs!$B$38&lt;&gt;"pvp",Inputs!$B$43&gt;0),IF(MAX(0,Inputs!$B$43-B730)&lt;=0,0,(INT(MAX(0,Inputs!$B$43-B730)/IF(Inputs!$B$38="pvp",15,MAX(0.1,Skills!E5-IF(Skills!F5=TRUE,Inputs!$B$32,0))))+1)),0)</f>
        <v/>
      </c>
      <c r="S697">
        <f>IF(C697,(H697*N697*IF(AND(Inputs!$B$38&lt;&gt;"pvp",Inputs!$B$43&gt;0),((Skills!G5*((R697-1)*IF(Skills!H5&gt;0,Skills!I5/Skills!H5,1)+IF(Skills!H5&gt;0,MIN(Skills!I5,MAX(0,MAX(0,Inputs!$B$43-B730)-((R697-1)*IF(Inputs!$B$38="pvp",15,MAX(0.1,Skills!E5-IF(Skills!F5=TRUE,Inputs!$B$32,0))))))/Skills!H5,1)))/Inputs!$B$43),G697*Q697))*IF(Inputs!$B$38="pvp",1,1+(Inputs!$B$20+Skills!P5)/100),0)</f>
        <v/>
      </c>
      <c r="U697">
        <f>IF(C697,(H697*N697*IF(AND(Inputs!$B$38&lt;&gt;"pvp",Inputs!$B$43&gt;0),((Skills!G5*((R697-1)*IF(Skills!H5&gt;0,Skills!I5/Skills!H5,1)+IF(Skills!H5&gt;0,MIN(Skills!I5,MAX(0,MAX(0,Inputs!$B$43-B730)-((R697-1)*IF(Inputs!$B$38="pvp",15,MAX(0.1,Skills!E5-IF(Skills!F5=TRUE,Inputs!$B$32,0))))))/Skills!H5,1)))/Inputs!$B$43),G697*Q697))*IF(Inputs!$B$38="pvp",1,(1+(Inputs!$B$21+Skills!Q5)/100)*(MIN(Skills!R5,Inputs!$B$37))),0)</f>
        <v/>
      </c>
    </row>
    <row r="698">
      <c r="A698">
        <f>Skills!A6</f>
        <v/>
      </c>
      <c r="B698">
        <f>Skills!B6</f>
        <v/>
      </c>
      <c r="C698">
        <f>TRUE</f>
        <v/>
      </c>
      <c r="D698">
        <f>IF(Skills!C6=1,60+(Inputs!$B$25+1)+Inputs!$B$29,IF(Skills!C6=2,90+Inputs!$B$26+Inputs!$B$29,IF(Skills!C6=3,120+Inputs!$B$27+Inputs!$B$29,MAX(0,(Inputs!$B$3-100)*3)+Inputs!$B$28+Inputs!$B$29)))</f>
        <v/>
      </c>
      <c r="E698">
        <f>INDEX(FactorTable!$B$2:$Y$301, MATCH(ROUND(MIN(300,MAX(1,D698)),0), FactorTable!$A$2:$A$301,0), Skills!M6+1)</f>
        <v/>
      </c>
      <c r="F698">
        <f>IF(Skills!N6=TRUE,(Skills!L6/10)*(E698/1000),Skills!L6/10)+Skills!O6</f>
        <v/>
      </c>
      <c r="G698">
        <f>Calc!G6</f>
        <v/>
      </c>
      <c r="H698">
        <f>Calc!H6</f>
        <v/>
      </c>
      <c r="I698">
        <f>IF(Skills!X6&lt;&gt;"",1+(Skills!X6/10)*(Z695/1000)/100,1)</f>
        <v/>
      </c>
      <c r="J698" t="inlineStr"/>
      <c r="K698" t="inlineStr"/>
      <c r="L698" t="inlineStr"/>
      <c r="M698" t="inlineStr"/>
      <c r="N698" t="inlineStr"/>
      <c r="O698">
        <f>(1-Summary!$B$56)*S698+Summary!$B$56*U698</f>
        <v/>
      </c>
      <c r="P698">
        <f>IF(B733=0,0,O698/B733)</f>
        <v/>
      </c>
      <c r="Q698">
        <f>IFERROR(1/IF(Inputs!$B$38="pvp",15,MAX(0.1,Skills!E6-IF(Skills!F6=TRUE,Inputs!$B$32,0))),0)</f>
        <v/>
      </c>
      <c r="R698">
        <f>IF(AND(Inputs!$B$38&lt;&gt;"pvp",Inputs!$B$43&gt;0),IF(Inputs!$B$43&lt;=0,0,(INT(Inputs!$B$43/IF(Inputs!$B$38="pvp",15,MAX(0.1,Skills!E6-IF(Skills!F6=TRUE,Inputs!$B$32,0))))+1)),0)</f>
        <v/>
      </c>
      <c r="S698" t="n">
        <v>0</v>
      </c>
      <c r="U698" t="n">
        <v>0</v>
      </c>
    </row>
    <row r="699">
      <c r="A699">
        <f>Skills!A7</f>
        <v/>
      </c>
      <c r="B699">
        <f>Skills!B7</f>
        <v/>
      </c>
      <c r="C699">
        <f>TRUE</f>
        <v/>
      </c>
      <c r="D699">
        <f>IF(Skills!C7=1,60+(Inputs!$B$25+1)+Inputs!$B$29,IF(Skills!C7=2,90+Inputs!$B$26+Inputs!$B$29,IF(Skills!C7=3,120+Inputs!$B$27+Inputs!$B$29,MAX(0,(Inputs!$B$3-100)*3)+Inputs!$B$28+Inputs!$B$29)))</f>
        <v/>
      </c>
      <c r="E699">
        <f>INDEX(FactorTable!$B$2:$Y$301, MATCH(ROUND(MIN(300,MAX(1,D699)),0), FactorTable!$A$2:$A$301,0), Skills!M7+1)</f>
        <v/>
      </c>
      <c r="F699">
        <f>IF(Skills!N7=TRUE,(Skills!L7/10)*(E699/1000),Skills!L7/10)+Skills!O7</f>
        <v/>
      </c>
      <c r="G699">
        <f>Calc!G7</f>
        <v/>
      </c>
      <c r="H699">
        <f>Calc!H7</f>
        <v/>
      </c>
      <c r="I699">
        <f>IF(Skills!X7&lt;&gt;"",1+(Skills!X7/10)*(Z695/1000)/100,1)</f>
        <v/>
      </c>
      <c r="J699">
        <f>((Inputs!$B$6*(1+Inputs!$B$7/100))+(((Inputs!$B$12*(1+Inputs!$B$13/100))-(Inputs!$B$12*(1+Inputs!$B$13/100)))+0.25*(Inputs!$B$14-Inputs!$B$14))*(1+Inputs!$B$7/100))*(F699/100)</f>
        <v/>
      </c>
      <c r="K699">
        <f>J699*(1+((Inputs!$B$12*(1+Inputs!$B$13/100))*0.01+Inputs!$B$14*0.0025)/100)*(1+Inputs!$B$15/100)*(1+Inputs!$B$16/100)*(5000/(6000+Inputs!$B$42*(1-Inputs!$B$19/100)))*(1+Inputs!$B$24/100)*(1+F715/100)*(1+IF(Inputs!$B$3&gt;=120,F718,0)/100)^5*(1+(IF(Skills!A7="BASIC_ATTACK",Inputs!$B$17,Inputs!$B$18+IF(Inputs!$B$3&gt;=125,F719*5,0)))/100)*(B722*B723*B724*I699)</f>
        <v/>
      </c>
      <c r="L699">
        <f>K699*(MIN(Inputs!$B$22+(F714-Calc!F22),Inputs!$B$23)/100+Inputs!$B$23/100)/2</f>
        <v/>
      </c>
      <c r="M699">
        <f>L699*(1+(Inputs!$B$10+(F713-Calc!F21))/100)</f>
        <v/>
      </c>
      <c r="N699">
        <f>L699*(1-MIN(Inputs!$B$9+(F712-Calc!F20),100)/100)+M699*(MIN(Inputs!$B$9+(F712-Calc!F20),100)/100)</f>
        <v/>
      </c>
      <c r="O699">
        <f>(1-Summary!$B$56)*S699+Summary!$B$56*U699</f>
        <v/>
      </c>
      <c r="P699">
        <f>IF(B733=0,0,O699/B733)</f>
        <v/>
      </c>
      <c r="Q699">
        <f>IFERROR(1/IF(Inputs!$B$38="pvp",15,MAX(0.1,Skills!E7-IF(Skills!F7=TRUE,Inputs!$B$32,0))),0)</f>
        <v/>
      </c>
      <c r="R699">
        <f>IF(AND(Inputs!$B$38&lt;&gt;"pvp",Inputs!$B$43&gt;0),IF(MAX(0,Inputs!$B$43-B730)&lt;=0,0,(INT(MAX(0,Inputs!$B$43-B730)/IF(Inputs!$B$38="pvp",15,MAX(0.1,Skills!E7-IF(Skills!F7=TRUE,Inputs!$B$32,0))))+1)),0)</f>
        <v/>
      </c>
      <c r="S699">
        <f>IF(C699,(H699*N699*IF(AND(Inputs!$B$38&lt;&gt;"pvp",Inputs!$B$43&gt;0),((Skills!G7*((R699-1)*IF(Skills!H7&gt;0,Skills!I7/Skills!H7,1)+IF(Skills!H7&gt;0,MIN(Skills!I7,MAX(0,MAX(0,Inputs!$B$43-B730)-((R699-1)*IF(Inputs!$B$38="pvp",15,MAX(0.1,Skills!E7-IF(Skills!F7=TRUE,Inputs!$B$32,0))))))/Skills!H7,1)))/Inputs!$B$43),G699*Q699))*IF(Inputs!$B$38="pvp",1,1+(Inputs!$B$20+Skills!P7)/100),0)</f>
        <v/>
      </c>
      <c r="U699">
        <f>IF(C699,(H699*N699*IF(AND(Inputs!$B$38&lt;&gt;"pvp",Inputs!$B$43&gt;0),((Skills!G7*((R699-1)*IF(Skills!H7&gt;0,Skills!I7/Skills!H7,1)+IF(Skills!H7&gt;0,MIN(Skills!I7,MAX(0,MAX(0,Inputs!$B$43-B730)-((R699-1)*IF(Inputs!$B$38="pvp",15,MAX(0.1,Skills!E7-IF(Skills!F7=TRUE,Inputs!$B$32,0))))))/Skills!H7,1)))/Inputs!$B$43),G699*Q699))*IF(Inputs!$B$38="pvp",1,(1+(Inputs!$B$21+Skills!Q7)/100)*(MIN(Skills!R7,Inputs!$B$37))),0)</f>
        <v/>
      </c>
    </row>
    <row r="700">
      <c r="A700">
        <f>Skills!A8</f>
        <v/>
      </c>
      <c r="B700">
        <f>Skills!B8</f>
        <v/>
      </c>
      <c r="C700">
        <f>TRUE</f>
        <v/>
      </c>
      <c r="D700">
        <f>IF(Skills!C8=1,60+(Inputs!$B$25+1)+Inputs!$B$29,IF(Skills!C8=2,90+Inputs!$B$26+Inputs!$B$29,IF(Skills!C8=3,120+Inputs!$B$27+Inputs!$B$29,MAX(0,(Inputs!$B$3-100)*3)+Inputs!$B$28+Inputs!$B$29)))</f>
        <v/>
      </c>
      <c r="E700">
        <f>INDEX(FactorTable!$B$2:$Y$301, MATCH(ROUND(MIN(300,MAX(1,D700)),0), FactorTable!$A$2:$A$301,0), Skills!M8+1)</f>
        <v/>
      </c>
      <c r="F700">
        <f>IF(Skills!N8=TRUE,(Skills!L8/10)*(E700/1000),Skills!L8/10)+Skills!O8</f>
        <v/>
      </c>
      <c r="G700">
        <f>Calc!G8</f>
        <v/>
      </c>
      <c r="H700">
        <f>Calc!H8</f>
        <v/>
      </c>
      <c r="I700">
        <f>IF(Skills!X8&lt;&gt;"",1+(Skills!X8/10)*(Z695/1000)/100,1)</f>
        <v/>
      </c>
      <c r="J700">
        <f>((Inputs!$B$6*(1+Inputs!$B$7/100))+(((Inputs!$B$12*(1+Inputs!$B$13/100))-(Inputs!$B$12*(1+Inputs!$B$13/100)))+0.25*(Inputs!$B$14-Inputs!$B$14))*(1+Inputs!$B$7/100))*(F700/100)</f>
        <v/>
      </c>
      <c r="K700">
        <f>J700*(1+((Inputs!$B$12*(1+Inputs!$B$13/100))*0.01+Inputs!$B$14*0.0025)/100)*(1+Inputs!$B$15/100)*(1+Inputs!$B$16/100)*(5000/(6000+Inputs!$B$42*(1-Inputs!$B$19/100)))*(1+Inputs!$B$24/100)*(1+F715/100)*(1+IF(Inputs!$B$3&gt;=120,F718,0)/100)^5*(1+(IF(Skills!A8="BASIC_ATTACK",Inputs!$B$17,Inputs!$B$18+IF(Inputs!$B$3&gt;=125,F719*5,0)))/100)*(B722*B723*B724*I700)</f>
        <v/>
      </c>
      <c r="L700">
        <f>K700*(MIN(Inputs!$B$22+(F714-Calc!F22),Inputs!$B$23)/100+Inputs!$B$23/100)/2</f>
        <v/>
      </c>
      <c r="M700">
        <f>L700*(1+(Inputs!$B$10+(F713-Calc!F21))/100)</f>
        <v/>
      </c>
      <c r="N700">
        <f>L700*(1-MIN(Inputs!$B$9+(F712-Calc!F20),100)/100)+M700*(MIN(Inputs!$B$9+(F712-Calc!F20),100)/100)</f>
        <v/>
      </c>
      <c r="O700">
        <f>(1-Summary!$B$56)*S700+Summary!$B$56*U700</f>
        <v/>
      </c>
      <c r="P700">
        <f>IF(B733=0,0,O700/B733)</f>
        <v/>
      </c>
      <c r="Q700">
        <f>IFERROR(1/IF(Inputs!$B$38="pvp",15,MAX(0.1,Skills!E8-IF(Skills!F8=TRUE,Inputs!$B$32,0))),0)</f>
        <v/>
      </c>
      <c r="R700">
        <f>IF(AND(Inputs!$B$38&lt;&gt;"pvp",Inputs!$B$43&gt;0),IF(MAX(0,Inputs!$B$43-B730)&lt;=0,0,(INT(MAX(0,Inputs!$B$43-B730)/IF(Inputs!$B$38="pvp",15,MAX(0.1,Skills!E8-IF(Skills!F8=TRUE,Inputs!$B$32,0))))+1)),0)</f>
        <v/>
      </c>
      <c r="S700">
        <f>IF(C700,(H700*N700*IF(AND(Inputs!$B$38&lt;&gt;"pvp",Inputs!$B$43&gt;0),((Skills!G8*((R700-1)*IF(Skills!H8&gt;0,Skills!I8/Skills!H8,1)+IF(Skills!H8&gt;0,MIN(Skills!I8,MAX(0,MAX(0,Inputs!$B$43-B730)-((R700-1)*IF(Inputs!$B$38="pvp",15,MAX(0.1,Skills!E8-IF(Skills!F8=TRUE,Inputs!$B$32,0))))))/Skills!H8,1)))/Inputs!$B$43),G700*Q700))*IF(Inputs!$B$38="pvp",1,1+(Inputs!$B$20+Skills!P8)/100),0)</f>
        <v/>
      </c>
      <c r="U700">
        <f>IF(C700,(H700*N700*IF(AND(Inputs!$B$38&lt;&gt;"pvp",Inputs!$B$43&gt;0),((Skills!G8*((R700-1)*IF(Skills!H8&gt;0,Skills!I8/Skills!H8,1)+IF(Skills!H8&gt;0,MIN(Skills!I8,MAX(0,MAX(0,Inputs!$B$43-B730)-((R700-1)*IF(Inputs!$B$38="pvp",15,MAX(0.1,Skills!E8-IF(Skills!F8=TRUE,Inputs!$B$32,0))))))/Skills!H8,1)))/Inputs!$B$43),G700*Q700))*IF(Inputs!$B$38="pvp",1,(1+(Inputs!$B$21+Skills!Q8)/100)*(MIN(Skills!R8,Inputs!$B$37))),0)</f>
        <v/>
      </c>
    </row>
    <row r="701">
      <c r="A701">
        <f>Skills!A9</f>
        <v/>
      </c>
      <c r="B701">
        <f>Skills!B9</f>
        <v/>
      </c>
      <c r="C701">
        <f>Inputs!$B$3&gt;=103</f>
        <v/>
      </c>
      <c r="D701">
        <f>IF(Skills!C9=1,60+(Inputs!$B$25+1)+Inputs!$B$29,IF(Skills!C9=2,90+Inputs!$B$26+Inputs!$B$29,IF(Skills!C9=3,120+Inputs!$B$27+Inputs!$B$29,MAX(0,(Inputs!$B$3-100)*3)+Inputs!$B$28+Inputs!$B$29)))</f>
        <v/>
      </c>
      <c r="E701">
        <f>INDEX(FactorTable!$B$2:$Y$301, MATCH(ROUND(MIN(300,MAX(1,D701)),0), FactorTable!$A$2:$A$301,0), Skills!M9+1)</f>
        <v/>
      </c>
      <c r="F701">
        <f>IF(Skills!N9=TRUE,(Skills!L9/10)*(E701/1000),Skills!L9/10)+Skills!O9</f>
        <v/>
      </c>
      <c r="G701">
        <f>Calc!G9</f>
        <v/>
      </c>
      <c r="H701">
        <f>Calc!H9</f>
        <v/>
      </c>
      <c r="I701">
        <f>IF(Skills!X9&lt;&gt;"",1+(Skills!X9/10)*(Z695/1000)/100,1)</f>
        <v/>
      </c>
      <c r="J701">
        <f>((Inputs!$B$6*(1+Inputs!$B$7/100))+(((Inputs!$B$12*(1+Inputs!$B$13/100))-(Inputs!$B$12*(1+Inputs!$B$13/100)))+0.25*(Inputs!$B$14-Inputs!$B$14))*(1+Inputs!$B$7/100))*(F701/100)</f>
        <v/>
      </c>
      <c r="K701">
        <f>J701*(1+((Inputs!$B$12*(1+Inputs!$B$13/100))*0.01+Inputs!$B$14*0.0025)/100)*(1+Inputs!$B$15/100)*(1+Inputs!$B$16/100)*(5000/(6000+Inputs!$B$42*(1-Inputs!$B$19/100)))*(1+Inputs!$B$24/100)*(1+F715/100)*(1+IF(Inputs!$B$3&gt;=120,F718,0)/100)^5*(1+(IF(Skills!A9="BASIC_ATTACK",Inputs!$B$17,Inputs!$B$18+IF(Inputs!$B$3&gt;=125,F719*5,0)))/100)*(B722*B723*B724*I701)</f>
        <v/>
      </c>
      <c r="L701">
        <f>K701*(MIN(Inputs!$B$22+(F714-Calc!F22),Inputs!$B$23)/100+Inputs!$B$23/100)/2</f>
        <v/>
      </c>
      <c r="M701">
        <f>L701*(1+(Inputs!$B$10+(F713-Calc!F21))/100)</f>
        <v/>
      </c>
      <c r="N701">
        <f>L701*(1-MIN(Inputs!$B$9+(F712-Calc!F20),100)/100)+M701*(MIN(Inputs!$B$9+(F712-Calc!F20),100)/100)</f>
        <v/>
      </c>
      <c r="O701">
        <f>(1-Summary!$B$56)*S701+Summary!$B$56*U701</f>
        <v/>
      </c>
      <c r="P701">
        <f>IF(B733=0,0,O701/B733)</f>
        <v/>
      </c>
      <c r="Q701">
        <f>IFERROR(1/IF(Inputs!$B$38="pvp",15,MAX(0.1,Skills!E9-IF(Skills!F7=TRUE,Inputs!$B$32,0))),0)</f>
        <v/>
      </c>
      <c r="R701">
        <f>IF(AND(Inputs!$B$38&lt;&gt;"pvp",Inputs!$B$43&gt;0),IF(MAX(0,Inputs!$B$43-B730)&lt;=0,0,(INT(MAX(0,Inputs!$B$43-B730)/IF(Inputs!$B$38="pvp",15,MAX(0.1,Skills!E9-IF(Skills!F7=TRUE,Inputs!$B$32,0))))+1)),0)</f>
        <v/>
      </c>
      <c r="S701">
        <f>IF(C701,(H701*N701*IF(AND(Inputs!$B$38&lt;&gt;"pvp",Inputs!$B$43&gt;0),((Skills!G9*((R701-1)*IF(Skills!H9&gt;0,Skills!I9/Skills!H9,1)+IF(Skills!H9&gt;0,MIN(Skills!I9,MAX(0,MAX(0,Inputs!$B$43-B730)-((R701-1)*IF(Inputs!$B$38="pvp",15,MAX(0.1,Skills!E9-IF(Skills!F7=TRUE,Inputs!$B$32,0))))))/Skills!H9,1)))/Inputs!$B$43),G701*Q701))*IF(Inputs!$B$38="pvp",1,1+(Inputs!$B$20+Skills!P9)/100),0)</f>
        <v/>
      </c>
      <c r="U701">
        <f>IF(C701,(H701*N701*IF(AND(Inputs!$B$38&lt;&gt;"pvp",Inputs!$B$43&gt;0),((Skills!G9*((R701-1)*IF(Skills!H9&gt;0,Skills!I9/Skills!H9,1)+IF(Skills!H9&gt;0,MIN(Skills!I9,MAX(0,MAX(0,Inputs!$B$43-B730)-((R701-1)*IF(Inputs!$B$38="pvp",15,MAX(0.1,Skills!E9-IF(Skills!F7=TRUE,Inputs!$B$32,0))))))/Skills!H9,1)))/Inputs!$B$43),G701*Q701))*IF(Inputs!$B$38="pvp",1,(1+(Inputs!$B$21+Skills!Q9)/100)*(MIN(Skills!R9,Inputs!$B$37))),0)</f>
        <v/>
      </c>
    </row>
    <row r="702">
      <c r="A702">
        <f>Skills!A10</f>
        <v/>
      </c>
      <c r="B702">
        <f>Skills!B10</f>
        <v/>
      </c>
      <c r="C702">
        <f>TRUE</f>
        <v/>
      </c>
      <c r="D702">
        <f>IF(Skills!C10=1,60+(Inputs!$B$25+1)+Inputs!$B$29,IF(Skills!C10=2,90+Inputs!$B$26+Inputs!$B$29,IF(Skills!C10=3,120+Inputs!$B$27+Inputs!$B$29,MAX(0,(Inputs!$B$3-100)*3)+Inputs!$B$28+Inputs!$B$29)))</f>
        <v/>
      </c>
      <c r="E702">
        <f>INDEX(FactorTable!$B$2:$Y$301, MATCH(ROUND(MIN(300,MAX(1,D702)),0), FactorTable!$A$2:$A$301,0), Skills!M10+1)</f>
        <v/>
      </c>
      <c r="F702">
        <f>IF(Skills!N10=TRUE,(Skills!L10/10)*(E702/1000),Skills!L10/10)+Skills!O10</f>
        <v/>
      </c>
      <c r="G702">
        <f>Calc!G10</f>
        <v/>
      </c>
      <c r="H702">
        <f>Calc!H10</f>
        <v/>
      </c>
      <c r="I702">
        <f>IF(Skills!X10&lt;&gt;"",1+(Skills!X10/10)*(Z695/1000)/100,1)</f>
        <v/>
      </c>
      <c r="J702">
        <f>((Inputs!$B$6*(1+Inputs!$B$7/100))+(((Inputs!$B$12*(1+Inputs!$B$13/100))-(Inputs!$B$12*(1+Inputs!$B$13/100)))+0.25*(Inputs!$B$14-Inputs!$B$14))*(1+Inputs!$B$7/100))*(F702/100)</f>
        <v/>
      </c>
      <c r="K702">
        <f>J702*(1+((Inputs!$B$12*(1+Inputs!$B$13/100))*0.01+Inputs!$B$14*0.0025)/100)*(1+Inputs!$B$15/100)*(1+Inputs!$B$16/100)*(5000/(6000+Inputs!$B$42*(1-Inputs!$B$19/100)))*(1+Inputs!$B$24/100)*(1+F715/100)*(1+IF(Inputs!$B$3&gt;=120,F718,0)/100)^5*(1+(IF(Skills!A10="BASIC_ATTACK",Inputs!$B$17,Inputs!$B$18+IF(Inputs!$B$3&gt;=125,F719*5,0)))/100)*(B722*B723*B724*I702)</f>
        <v/>
      </c>
      <c r="L702">
        <f>K702*(MIN(Inputs!$B$22+(F714-Calc!F22),Inputs!$B$23)/100+Inputs!$B$23/100)/2</f>
        <v/>
      </c>
      <c r="M702">
        <f>L702*(1+(Inputs!$B$10+(F713-Calc!F21))/100)</f>
        <v/>
      </c>
      <c r="N702">
        <f>L702*(1-MIN(Inputs!$B$9+(F712-Calc!F20),100)/100)+M702*(MIN(Inputs!$B$9+(F712-Calc!F20),100)/100)</f>
        <v/>
      </c>
      <c r="O702">
        <f>(1-Summary!$B$56)*S702+Summary!$B$56*U702</f>
        <v/>
      </c>
      <c r="P702">
        <f>IF(B733=0,0,O702/B733)</f>
        <v/>
      </c>
      <c r="Q702">
        <f>IFERROR(1/IF(Inputs!$B$38="pvp",15,MAX(0.1,Skills!E10-IF(Skills!F10=TRUE,Inputs!$B$32,0))),0)</f>
        <v/>
      </c>
      <c r="R702">
        <f>IF(AND(Inputs!$B$38&lt;&gt;"pvp",Inputs!$B$43&gt;0),IF(MAX(0,Inputs!$B$43-B730)&lt;=0,0,(INT(MAX(0,Inputs!$B$43-B730)/IF(Inputs!$B$38="pvp",15,MAX(0.1,Skills!E10-IF(Skills!F10=TRUE,Inputs!$B$32,0))))+1)),0)</f>
        <v/>
      </c>
      <c r="S702">
        <f>IF(C702,(H702*N702*IF(AND(Inputs!$B$38&lt;&gt;"pvp",Inputs!$B$43&gt;0),((Skills!G10*((R702-1)*IF(Skills!H10&gt;0,Skills!I10/Skills!H10,1)+IF(Skills!H10&gt;0,MIN(Skills!I10,MAX(0,MAX(0,Inputs!$B$43-B730)-((R702-1)*IF(Inputs!$B$38="pvp",15,MAX(0.1,Skills!E10-IF(Skills!F10=TRUE,Inputs!$B$32,0))))))/Skills!H10,1)))/Inputs!$B$43),G702*Q702))*IF(Inputs!$B$38="pvp",1,1+(Inputs!$B$20+Skills!P10)/100),0)</f>
        <v/>
      </c>
      <c r="U702">
        <f>IF(C702,(H702*N702*IF(AND(Inputs!$B$38&lt;&gt;"pvp",Inputs!$B$43&gt;0),((Skills!G10*((R702-1)*IF(Skills!H10&gt;0,Skills!I10/Skills!H10,1)+IF(Skills!H10&gt;0,MIN(Skills!I10,MAX(0,MAX(0,Inputs!$B$43-B730)-((R702-1)*IF(Inputs!$B$38="pvp",15,MAX(0.1,Skills!E10-IF(Skills!F10=TRUE,Inputs!$B$32,0))))))/Skills!H10,1)))/Inputs!$B$43),G702*Q702))*IF(Inputs!$B$38="pvp",1,(1+(Inputs!$B$21+Skills!Q10)/100)*(MIN(Skills!R10,Inputs!$B$37))),0)</f>
        <v/>
      </c>
    </row>
    <row r="703">
      <c r="A703">
        <f>Skills!A11</f>
        <v/>
      </c>
      <c r="B703">
        <f>Skills!B11</f>
        <v/>
      </c>
      <c r="C703">
        <f>TRUE</f>
        <v/>
      </c>
      <c r="D703">
        <f>IF(Skills!C11=1,60+(Inputs!$B$25+1)+Inputs!$B$29,IF(Skills!C11=2,90+Inputs!$B$26+Inputs!$B$29,IF(Skills!C11=3,120+Inputs!$B$27+Inputs!$B$29,MAX(0,(Inputs!$B$3-100)*3)+Inputs!$B$28+Inputs!$B$29)))</f>
        <v/>
      </c>
      <c r="E703">
        <f>INDEX(FactorTable!$B$2:$Y$301, MATCH(ROUND(MIN(300,MAX(1,D703)),0), FactorTable!$A$2:$A$301,0), Skills!M11+1)</f>
        <v/>
      </c>
      <c r="F703">
        <f>IF(Skills!N11=TRUE,(Skills!L11/10)*(E703/1000),Skills!L11/10)+Skills!O11</f>
        <v/>
      </c>
      <c r="G703">
        <f>Calc!G11</f>
        <v/>
      </c>
      <c r="H703">
        <f>Calc!H11</f>
        <v/>
      </c>
      <c r="I703">
        <f>IF(Skills!X11&lt;&gt;"",1+(Skills!X11/10)*(Z695/1000)/100,1)</f>
        <v/>
      </c>
      <c r="J703" t="inlineStr"/>
      <c r="K703" t="inlineStr"/>
      <c r="L703" t="inlineStr"/>
      <c r="M703" t="inlineStr"/>
      <c r="N703" t="inlineStr"/>
      <c r="O703">
        <f>(1-Summary!$B$56)*S703+Summary!$B$56*U703</f>
        <v/>
      </c>
      <c r="P703">
        <f>IF(B733=0,0,O703/B733)</f>
        <v/>
      </c>
      <c r="Q703">
        <f>IFERROR(1/IF(Inputs!$B$38="pvp",15,MAX(0.1,Skills!E11-IF(Skills!F11=TRUE,Inputs!$B$32,0))),0)</f>
        <v/>
      </c>
      <c r="R703" t="n">
        <v>0</v>
      </c>
      <c r="S703" t="n">
        <v>0</v>
      </c>
      <c r="U703" t="n">
        <v>0</v>
      </c>
    </row>
    <row r="704">
      <c r="A704">
        <f>Skills!A12</f>
        <v/>
      </c>
      <c r="B704">
        <f>Skills!B12</f>
        <v/>
      </c>
      <c r="C704">
        <f>TRUE</f>
        <v/>
      </c>
      <c r="D704">
        <f>IF(Skills!C12=1,60+(Inputs!$B$25+1)+Inputs!$B$29,IF(Skills!C12=2,90+Inputs!$B$26+Inputs!$B$29,IF(Skills!C12=3,120+Inputs!$B$27+Inputs!$B$29,MAX(0,(Inputs!$B$3-100)*3)+Inputs!$B$28+Inputs!$B$29)))</f>
        <v/>
      </c>
      <c r="E704">
        <f>INDEX(FactorTable!$B$2:$Y$301, MATCH(ROUND(MIN(300,MAX(1,D704)),0), FactorTable!$A$2:$A$301,0), Skills!M12+1)</f>
        <v/>
      </c>
      <c r="F704">
        <f>IF(Skills!N12=TRUE,(Skills!L12/10)*(E704/1000),Skills!L12/10)+Skills!O12</f>
        <v/>
      </c>
      <c r="G704">
        <f>Calc!G12</f>
        <v/>
      </c>
      <c r="H704">
        <f>Calc!H12</f>
        <v/>
      </c>
      <c r="I704">
        <f>IF(Skills!X12&lt;&gt;"",1+(Skills!X12/10)*(Z695/1000)/100,1)</f>
        <v/>
      </c>
      <c r="J704" t="inlineStr"/>
      <c r="K704" t="inlineStr"/>
      <c r="L704" t="inlineStr"/>
      <c r="M704" t="inlineStr"/>
      <c r="N704" t="inlineStr"/>
      <c r="O704">
        <f>(1-Summary!$B$56)*S704+Summary!$B$56*U704</f>
        <v/>
      </c>
      <c r="P704">
        <f>IF(B733=0,0,O704/B733)</f>
        <v/>
      </c>
      <c r="Q704">
        <f>IFERROR(1/IF(Inputs!$B$38="pvp",15,MAX(0.1,Skills!E12-IF(Skills!F12=TRUE,Inputs!$B$32,0))),0)</f>
        <v/>
      </c>
      <c r="R704" t="n">
        <v>0</v>
      </c>
      <c r="S704" t="n">
        <v>0</v>
      </c>
      <c r="U704" t="n">
        <v>0</v>
      </c>
    </row>
    <row r="705">
      <c r="A705">
        <f>Skills!A13</f>
        <v/>
      </c>
      <c r="B705">
        <f>Skills!B13</f>
        <v/>
      </c>
      <c r="C705">
        <f>Inputs!$B$3&gt;=105</f>
        <v/>
      </c>
      <c r="D705">
        <f>IF(Skills!C13=1,60+(Inputs!$B$25+1)+Inputs!$B$29,IF(Skills!C13=2,90+Inputs!$B$26+Inputs!$B$29,IF(Skills!C13=3,120+Inputs!$B$27+Inputs!$B$29,MAX(0,(Inputs!$B$3-100)*3)+Inputs!$B$28+Inputs!$B$29)))</f>
        <v/>
      </c>
      <c r="E705">
        <f>INDEX(FactorTable!$B$2:$Y$301, MATCH(ROUND(MIN(300,MAX(1,D705)),0), FactorTable!$A$2:$A$301,0), Skills!M13+1)</f>
        <v/>
      </c>
      <c r="F705">
        <f>IF(Skills!N13=TRUE,(Skills!L13/10)*(E705/1000),Skills!L13/10)+Skills!O13</f>
        <v/>
      </c>
      <c r="G705">
        <f>Calc!G13</f>
        <v/>
      </c>
      <c r="H705">
        <f>Calc!H13</f>
        <v/>
      </c>
      <c r="I705">
        <f>IF(Skills!X13&lt;&gt;"",1+(Skills!X13/10)*(Z695/1000)/100,1)</f>
        <v/>
      </c>
      <c r="J705">
        <f>((Inputs!$B$6*(1+Inputs!$B$7/100))+(((Inputs!$B$12*(1+Inputs!$B$13/100))-(Inputs!$B$12*(1+Inputs!$B$13/100)))+0.25*(Inputs!$B$14-Inputs!$B$14))*(1+Inputs!$B$7/100))*(F705/100)</f>
        <v/>
      </c>
      <c r="K705">
        <f>J705*(1+((Inputs!$B$12*(1+Inputs!$B$13/100))*0.01+Inputs!$B$14*0.0025)/100)*(1+Inputs!$B$15/100)*(1+Inputs!$B$16/100)*(5000/(6000+Inputs!$B$42*(1-Inputs!$B$19/100)))*(1+Inputs!$B$24/100)*(1+F715/100)*(1+IF(Inputs!$B$3&gt;=120,F718,0)/100)^5*(1+(IF(Skills!A13="BASIC_ATTACK",Inputs!$B$17,Inputs!$B$18+IF(Inputs!$B$3&gt;=125,F719*5,0)))/100)*(B722*B723*B724*I705)</f>
        <v/>
      </c>
      <c r="L705">
        <f>K705*(MIN(Inputs!$B$22+(F714-Calc!F22),Inputs!$B$23)/100+Inputs!$B$23/100)/2</f>
        <v/>
      </c>
      <c r="M705">
        <f>L705*(1+(Inputs!$B$10+(F713-Calc!F21))/100)</f>
        <v/>
      </c>
      <c r="N705">
        <f>L705*(1-MIN(Inputs!$B$9+(F712-Calc!F20),100)/100)+M705*(MIN(Inputs!$B$9+(F712-Calc!F20),100)/100)</f>
        <v/>
      </c>
      <c r="O705">
        <f>(1-Summary!$B$56)*S705+Summary!$B$56*U705</f>
        <v/>
      </c>
      <c r="P705">
        <f>IF(B733=0,0,O705/B733)</f>
        <v/>
      </c>
      <c r="Q705">
        <f>IFERROR(1/IF(Inputs!$B$38="pvp",15,MAX(0.1,Skills!E13-IF(Skills!F13=TRUE,Inputs!$B$32,0))),0)</f>
        <v/>
      </c>
      <c r="R705">
        <f>IF(AND(Inputs!$B$38&lt;&gt;"pvp",Inputs!$B$43&gt;0),IF(MAX(0,Inputs!$B$43-B730)&lt;=0,0,(INT(MAX(0,Inputs!$B$43-B730)/IF(Inputs!$B$38="pvp",15,MAX(0.1,Skills!E13-IF(Skills!F13=TRUE,Inputs!$B$32,0))))+1)),0)</f>
        <v/>
      </c>
      <c r="S705">
        <f>IF(C705,(H705*N705*IF(AND(Inputs!$B$38&lt;&gt;"pvp",Inputs!$B$43&gt;0),((Skills!G13*((R705-1)*IF(Skills!H13&gt;0,Skills!I13/Skills!H13,1)+IF(Skills!H13&gt;0,MIN(Skills!I13,MAX(0,MAX(0,Inputs!$B$43-B730)-((R705-1)*IF(Inputs!$B$38="pvp",15,MAX(0.1,Skills!E13-IF(Skills!F13=TRUE,Inputs!$B$32,0))))))/Skills!H13,1)))/Inputs!$B$43),G705*Q705))*IF(Inputs!$B$38="pvp",1,1+(Inputs!$B$20+Skills!P13)/100),0)</f>
        <v/>
      </c>
      <c r="U705">
        <f>IF(C705,(H705*N705*IF(AND(Inputs!$B$38&lt;&gt;"pvp",Inputs!$B$43&gt;0),((Skills!G13*((R705-1)*IF(Skills!H13&gt;0,Skills!I13/Skills!H13,1)+IF(Skills!H13&gt;0,MIN(Skills!I13,MAX(0,MAX(0,Inputs!$B$43-B730)-((R705-1)*IF(Inputs!$B$38="pvp",15,MAX(0.1,Skills!E13-IF(Skills!F13=TRUE,Inputs!$B$32,0))))))/Skills!H13,1)))/Inputs!$B$43),G705*Q705))*IF(Inputs!$B$38="pvp",1,(1+(Inputs!$B$21+Skills!Q13)/100)*(MIN(Skills!R13,Inputs!$B$37))),0)</f>
        <v/>
      </c>
    </row>
    <row r="706">
      <c r="A706">
        <f>Skills!A14</f>
        <v/>
      </c>
      <c r="B706">
        <f>Skills!B14</f>
        <v/>
      </c>
      <c r="C706">
        <f>Inputs!$B$3&gt;=113</f>
        <v/>
      </c>
      <c r="D706">
        <f>IF(Skills!C14=1,60+(Inputs!$B$25+1)+Inputs!$B$29,IF(Skills!C14=2,90+Inputs!$B$26+Inputs!$B$29,IF(Skills!C14=3,120+Inputs!$B$27+Inputs!$B$29,MAX(0,(Inputs!$B$3-100)*3)+Inputs!$B$28+Inputs!$B$29)))</f>
        <v/>
      </c>
      <c r="E706">
        <f>INDEX(FactorTable!$B$2:$Y$301, MATCH(ROUND(MIN(300,MAX(1,D706)),0), FactorTable!$A$2:$A$301,0), Skills!M14+1)</f>
        <v/>
      </c>
      <c r="F706">
        <f>IF(Skills!N14=TRUE,(Skills!L14/10)*(E706/1000),Skills!L14/10)+Skills!O14</f>
        <v/>
      </c>
      <c r="G706">
        <f>Calc!G14</f>
        <v/>
      </c>
      <c r="H706">
        <f>Calc!H14</f>
        <v/>
      </c>
      <c r="I706">
        <f>IF(Skills!X14&lt;&gt;"",1+(Skills!X14/10)*(Z695/1000)/100,1)</f>
        <v/>
      </c>
      <c r="J706">
        <f>((Inputs!$B$6*(1+Inputs!$B$7/100))+(((Inputs!$B$12*(1+Inputs!$B$13/100))-(Inputs!$B$12*(1+Inputs!$B$13/100)))+0.25*(Inputs!$B$14-Inputs!$B$14))*(1+Inputs!$B$7/100))*(F706/100)</f>
        <v/>
      </c>
      <c r="K706">
        <f>J706*(1+((Inputs!$B$12*(1+Inputs!$B$13/100))*0.01+Inputs!$B$14*0.0025)/100)*(1+Inputs!$B$15/100)*(1+Inputs!$B$16/100)*(5000/(6000+Inputs!$B$42*(1-Inputs!$B$19/100)))*(1+Inputs!$B$24/100)*(1+F715/100)*(1+IF(Inputs!$B$3&gt;=120,F718,0)/100)^5*(1+(IF(Skills!A14="BASIC_ATTACK",Inputs!$B$17,Inputs!$B$18+IF(Inputs!$B$3&gt;=125,F719*5,0)))/100)*(B722*B723*B724*I706)</f>
        <v/>
      </c>
      <c r="L706">
        <f>K706*(MIN(Inputs!$B$22+(F714-Calc!F22),Inputs!$B$23)/100+Inputs!$B$23/100)/2</f>
        <v/>
      </c>
      <c r="M706">
        <f>L706*(1+(Inputs!$B$10+(F713-Calc!F21))/100)</f>
        <v/>
      </c>
      <c r="N706">
        <f>L706*(1-MIN(Inputs!$B$9+(F712-Calc!F20),100)/100)+M706*(MIN(Inputs!$B$9+(F712-Calc!F20),100)/100)</f>
        <v/>
      </c>
      <c r="O706">
        <f>(1-Summary!$B$56)*S706+Summary!$B$56*U706</f>
        <v/>
      </c>
      <c r="P706">
        <f>IF(B733=0,0,O706/B733)</f>
        <v/>
      </c>
      <c r="Q706">
        <f>IFERROR(1/IF(Inputs!$B$38="pvp",15,MAX(0.1,Skills!E14-IF(Skills!F14=TRUE,Inputs!$B$32,0))),0)</f>
        <v/>
      </c>
      <c r="R706" t="n">
        <v>0</v>
      </c>
      <c r="S706">
        <f>IF(C706,((H706*B729)/(1+Skills!H14*H706*B729)*N706)*IF(Inputs!$B$38="pvp",1,1+(Inputs!$B$20+Skills!P14)/100),0)</f>
        <v/>
      </c>
      <c r="U706">
        <f>IF(C706,((H706*B729)/(1+Skills!H14*H706*B729)*N706)*IF(Inputs!$B$38="pvp",1,(1+(Inputs!$B$21+Skills!Q14)/100)*(MIN(Skills!R14,Inputs!$B$37))),0)</f>
        <v/>
      </c>
    </row>
    <row r="707">
      <c r="A707">
        <f>Skills!A15</f>
        <v/>
      </c>
      <c r="B707">
        <f>Skills!B15</f>
        <v/>
      </c>
      <c r="C707">
        <f>Inputs!$B$3&gt;=107</f>
        <v/>
      </c>
      <c r="D707">
        <f>IF(Skills!C15=1,60+(Inputs!$B$25+1)+Inputs!$B$29,IF(Skills!C15=2,90+Inputs!$B$26+Inputs!$B$29,IF(Skills!C15=3,120+Inputs!$B$27+Inputs!$B$29,MAX(0,(Inputs!$B$3-100)*3)+Inputs!$B$28+Inputs!$B$29)))</f>
        <v/>
      </c>
      <c r="E707">
        <f>INDEX(FactorTable!$B$2:$Y$301, MATCH(ROUND(MIN(300,MAX(1,D707)),0), FactorTable!$A$2:$A$301,0), Skills!M15+1)</f>
        <v/>
      </c>
      <c r="F707">
        <f>IF(Skills!N15=TRUE,(Skills!L15/10)*(E707/1000),Skills!L15/10)+Skills!O15</f>
        <v/>
      </c>
      <c r="G707">
        <f>Calc!G15</f>
        <v/>
      </c>
      <c r="H707">
        <f>Calc!H15</f>
        <v/>
      </c>
      <c r="I707">
        <f>IF(Skills!X15&lt;&gt;"",1+(Skills!X15/10)*(Z695/1000)/100,1)</f>
        <v/>
      </c>
      <c r="J707">
        <f>((Inputs!$B$6*(1+Inputs!$B$7/100))+(((Inputs!$B$12*(1+Inputs!$B$13/100))-(Inputs!$B$12*(1+Inputs!$B$13/100)))+0.25*(Inputs!$B$14-Inputs!$B$14))*(1+Inputs!$B$7/100))*(F707/100)</f>
        <v/>
      </c>
      <c r="K707">
        <f>J707*(1+((Inputs!$B$12*(1+Inputs!$B$13/100))*0.01+Inputs!$B$14*0.0025)/100)*(1+Inputs!$B$15/100)*(1+Inputs!$B$16/100)*(5000/(6000+Inputs!$B$42*(1-Inputs!$B$19/100)))*(1+Inputs!$B$24/100)*(1+F715/100)*(1+IF(Inputs!$B$3&gt;=120,F718,0)/100)^5*(1+(IF(Skills!A15="BASIC_ATTACK",Inputs!$B$17,Inputs!$B$18+IF(Inputs!$B$3&gt;=125,F719*5,0)))/100)*(B722*B723*B724*I707)</f>
        <v/>
      </c>
      <c r="L707">
        <f>K707*(MIN(Inputs!$B$22+(F714-Calc!F22),Inputs!$B$23)/100+Inputs!$B$23/100)/2</f>
        <v/>
      </c>
      <c r="M707">
        <f>L707*(1+(Inputs!$B$10+(F713-Calc!F21))/100)</f>
        <v/>
      </c>
      <c r="N707">
        <f>L707*(1-MIN(Inputs!$B$9+(F712-Calc!F20),100)/100)+M707*(MIN(Inputs!$B$9+(F712-Calc!F20),100)/100)</f>
        <v/>
      </c>
      <c r="O707">
        <f>(1-Summary!$B$56)*S707+Summary!$B$56*U707</f>
        <v/>
      </c>
      <c r="P707">
        <f>IF(B733=0,0,O707/B733)</f>
        <v/>
      </c>
      <c r="Q707">
        <f>IFERROR(1/IF(Inputs!$B$38="pvp",15,MAX(0.1,Skills!E15-IF(Skills!F15=TRUE,Inputs!$B$32,0))),0)</f>
        <v/>
      </c>
      <c r="R707">
        <f>IF(AND(Inputs!$B$38&lt;&gt;"pvp",Inputs!$B$43&gt;0),IF(MAX(0,Inputs!$B$43-B730)&lt;=0,0,(INT(MAX(0,Inputs!$B$43-B730)/IF(Inputs!$B$38="pvp",15,MAX(0.1,Skills!E15-IF(Skills!F15=TRUE,Inputs!$B$32,0))))+1)),0)</f>
        <v/>
      </c>
      <c r="S707">
        <f>IF(C707,(H707*N707*IF(AND(Inputs!$B$38&lt;&gt;"pvp",Inputs!$B$43&gt;0),((Skills!G15*((R707-1)*IF(Skills!H15&gt;0,Skills!I15/Skills!H15,1)+IF(Skills!H15&gt;0,MIN(Skills!I15,MAX(0,MAX(0,Inputs!$B$43-B730)-((R707-1)*IF(Inputs!$B$38="pvp",15,MAX(0.1,Skills!E15-IF(Skills!F15=TRUE,Inputs!$B$32,0))))))/Skills!H15,1)))/Inputs!$B$43),G707*Q707))*IF(Inputs!$B$38="pvp",1,1+(Inputs!$B$20+Skills!P15)/100),0)</f>
        <v/>
      </c>
      <c r="U707">
        <f>IF(C707,(H707*N707*IF(AND(Inputs!$B$38&lt;&gt;"pvp",Inputs!$B$43&gt;0),((Skills!G15*((R707-1)*IF(Skills!H15&gt;0,Skills!I15/Skills!H15,1)+IF(Skills!H15&gt;0,MIN(Skills!I15,MAX(0,MAX(0,Inputs!$B$43-B730)-((R707-1)*IF(Inputs!$B$38="pvp",15,MAX(0.1,Skills!E15-IF(Skills!F15=TRUE,Inputs!$B$32,0))))))/Skills!H15,1)))/Inputs!$B$43),G707*Q707))*IF(Inputs!$B$38="pvp",1,(1+(Inputs!$B$21+Skills!Q15)/100)*(MIN(Skills!R15,Inputs!$B$37))),0)</f>
        <v/>
      </c>
    </row>
    <row r="708">
      <c r="A708">
        <f>Skills!A16</f>
        <v/>
      </c>
      <c r="B708">
        <f>Skills!B16</f>
        <v/>
      </c>
      <c r="C708">
        <f>Inputs!$B$3&gt;=107</f>
        <v/>
      </c>
      <c r="D708">
        <f>IF(Skills!C16=1,60+(Inputs!$B$25+1)+Inputs!$B$29,IF(Skills!C16=2,90+Inputs!$B$26+Inputs!$B$29,IF(Skills!C16=3,120+Inputs!$B$27+Inputs!$B$29,MAX(0,(Inputs!$B$3-100)*3)+Inputs!$B$28+Inputs!$B$29)))</f>
        <v/>
      </c>
      <c r="E708">
        <f>INDEX(FactorTable!$B$2:$Y$301, MATCH(ROUND(MIN(300,MAX(1,D708)),0), FactorTable!$A$2:$A$301,0), Skills!M16+1)</f>
        <v/>
      </c>
      <c r="F708">
        <f>IF(Skills!N16=TRUE,(Skills!L16/10)*(E708/1000),Skills!L16/10)+Skills!O16</f>
        <v/>
      </c>
      <c r="G708">
        <f>Calc!G16</f>
        <v/>
      </c>
      <c r="H708">
        <f>Calc!H16</f>
        <v/>
      </c>
      <c r="I708">
        <f>IF(Skills!X16&lt;&gt;"",1+(Skills!X16/10)*(Z695/1000)/100,1)</f>
        <v/>
      </c>
      <c r="J708">
        <f>((Inputs!$B$6*(1+Inputs!$B$7/100))+(((Inputs!$B$12*(1+Inputs!$B$13/100))-(Inputs!$B$12*(1+Inputs!$B$13/100)))+0.25*(Inputs!$B$14-Inputs!$B$14))*(1+Inputs!$B$7/100))*(F708/100)</f>
        <v/>
      </c>
      <c r="K708">
        <f>J708*(1+((Inputs!$B$12*(1+Inputs!$B$13/100))*0.01+Inputs!$B$14*0.0025)/100)*(1+Inputs!$B$15/100)*(1+Inputs!$B$16/100)*(5000/(6000+Inputs!$B$42*(1-Inputs!$B$19/100)))*(1+Inputs!$B$24/100)*(1+F715/100)*(1+IF(Inputs!$B$3&gt;=120,F718,0)/100)^5*(1+(IF(Skills!A16="BASIC_ATTACK",Inputs!$B$17,Inputs!$B$18+IF(Inputs!$B$3&gt;=125,F719*5,0)))/100)*(B722*B723*B724*I708)</f>
        <v/>
      </c>
      <c r="L708">
        <f>K708*(MIN(Inputs!$B$22+(F714-Calc!F22),Inputs!$B$23)/100+Inputs!$B$23/100)/2</f>
        <v/>
      </c>
      <c r="M708">
        <f>L708*(1+(Inputs!$B$10+(F713-Calc!F21))/100)</f>
        <v/>
      </c>
      <c r="N708">
        <f>L708*(1-MIN(Inputs!$B$9+(F712-Calc!F20),100)/100)+M708*(MIN(Inputs!$B$9+(F712-Calc!F20),100)/100)</f>
        <v/>
      </c>
      <c r="O708">
        <f>(1-Summary!$B$56)*S708+Summary!$B$56*U708</f>
        <v/>
      </c>
      <c r="P708">
        <f>IF(B733=0,0,O708/B733)</f>
        <v/>
      </c>
      <c r="Q708">
        <f>IFERROR(1/IF(Inputs!$B$38="pvp",15,MAX(0.1,Skills!E16-IF(Skills!F16=TRUE,Inputs!$B$32,0))),0)</f>
        <v/>
      </c>
      <c r="R708">
        <f>IF(AND(Inputs!$B$38&lt;&gt;"pvp",Inputs!$B$43&gt;0),IF(MAX(0,Inputs!$B$43-B730)&lt;=0,0,(INT(MAX(0,Inputs!$B$43-B730)/IF(Inputs!$B$38="pvp",15,MAX(0.1,Skills!E16-IF(Skills!F16=TRUE,Inputs!$B$32,0))))+1)),0)</f>
        <v/>
      </c>
      <c r="S708">
        <f>IF(C708,(H708*N708*IF(AND(Inputs!$B$38&lt;&gt;"pvp",Inputs!$B$43&gt;0),((Skills!G16*((R708-1)*IF(Skills!H16&gt;0,Skills!I16/Skills!H16,1)+IF(Skills!H16&gt;0,MIN(Skills!I16,MAX(0,MAX(0,Inputs!$B$43-B730)-((R708-1)*IF(Inputs!$B$38="pvp",15,MAX(0.1,Skills!E16-IF(Skills!F16=TRUE,Inputs!$B$32,0))))))/Skills!H16,1)))/Inputs!$B$43),G708*Q708)*(1+IF(Inputs!$B$3&gt;=126,0.05*(B728+Q705+(H706*B729)/(1+Skills!H14*H706*B729)+Q716),0)*Skills!E15))*IF(Inputs!$B$38="pvp",1,1+(Inputs!$B$20+Skills!P16)/100),0)</f>
        <v/>
      </c>
      <c r="U708">
        <f>IF(C708,(H708*N708*IF(AND(Inputs!$B$38&lt;&gt;"pvp",Inputs!$B$43&gt;0),((Skills!G16*((R708-1)*IF(Skills!H16&gt;0,Skills!I16/Skills!H16,1)+IF(Skills!H16&gt;0,MIN(Skills!I16,MAX(0,MAX(0,Inputs!$B$43-B730)-((R708-1)*IF(Inputs!$B$38="pvp",15,MAX(0.1,Skills!E16-IF(Skills!F16=TRUE,Inputs!$B$32,0))))))/Skills!H16,1)))/Inputs!$B$43),G708*Q708)*(1+IF(Inputs!$B$3&gt;=126,0.05*(B728+Q705+(H706*B729)/(1+Skills!H14*H706*B729)+Q716),0)*Skills!E15))*IF(Inputs!$B$38="pvp",1,(1+(Inputs!$B$21+Skills!Q16)/100)*(MIN(Skills!R16,Inputs!$B$37))),0)</f>
        <v/>
      </c>
    </row>
    <row r="709">
      <c r="A709">
        <f>Skills!A17</f>
        <v/>
      </c>
      <c r="B709">
        <f>Skills!B17</f>
        <v/>
      </c>
      <c r="C709">
        <f>TRUE</f>
        <v/>
      </c>
      <c r="D709">
        <f>IF(Skills!C17=1,60+(Inputs!$B$25+1)+Inputs!$B$29,IF(Skills!C17=2,90+Inputs!$B$26+Inputs!$B$29,IF(Skills!C17=3,120+Inputs!$B$27+Inputs!$B$29,MAX(0,(Inputs!$B$3-100)*3)+Inputs!$B$28+Inputs!$B$29)))</f>
        <v/>
      </c>
      <c r="E709">
        <f>INDEX(FactorTable!$B$2:$Y$301, MATCH(ROUND(MIN(300,MAX(1,D709)),0), FactorTable!$A$2:$A$301,0), Skills!M17+1)</f>
        <v/>
      </c>
      <c r="F709">
        <f>IF(Skills!N17=TRUE,(Skills!L17/10)*(E709/1000),Skills!L17/10)+Skills!O17</f>
        <v/>
      </c>
      <c r="G709">
        <f>Calc!G17</f>
        <v/>
      </c>
      <c r="H709">
        <f>Calc!H17</f>
        <v/>
      </c>
      <c r="I709">
        <f>IF(Skills!X17&lt;&gt;"",1+(Skills!X17/10)*(Z695/1000)/100,1)</f>
        <v/>
      </c>
      <c r="J709" t="inlineStr"/>
      <c r="K709" t="inlineStr"/>
      <c r="L709" t="inlineStr"/>
      <c r="M709" t="inlineStr"/>
      <c r="N709" t="inlineStr"/>
      <c r="O709">
        <f>(1-Summary!$B$56)*S709+Summary!$B$56*U709</f>
        <v/>
      </c>
      <c r="P709">
        <f>IF(B733=0,0,O709/B733)</f>
        <v/>
      </c>
      <c r="Q709">
        <f>IFERROR(1/IF(Inputs!$B$38="pvp",15,MAX(0.1,Skills!E17-IF(Skills!F17=TRUE,Inputs!$B$32,0))),0)</f>
        <v/>
      </c>
      <c r="R709">
        <f>IF(AND(Inputs!$B$38&lt;&gt;"pvp",Inputs!$B$43&gt;0),IF(Inputs!$B$43&lt;=0,0,(INT(Inputs!$B$43/IF(Inputs!$B$38="pvp",15,MAX(0.1,Skills!E17-IF(Skills!F17=TRUE,Inputs!$B$32,0))))+1)),0)</f>
        <v/>
      </c>
      <c r="S709" t="n">
        <v>0</v>
      </c>
      <c r="U709" t="n">
        <v>0</v>
      </c>
    </row>
    <row r="710">
      <c r="A710">
        <f>Skills!A18</f>
        <v/>
      </c>
      <c r="B710">
        <f>Skills!B18</f>
        <v/>
      </c>
      <c r="C710">
        <f>TRUE</f>
        <v/>
      </c>
      <c r="D710">
        <f>IF(Skills!C18=1,60+(Inputs!$B$25+1)+Inputs!$B$29,IF(Skills!C18=2,90+Inputs!$B$26+Inputs!$B$29,IF(Skills!C18=3,120+Inputs!$B$27+Inputs!$B$29,MAX(0,(Inputs!$B$3-100)*3)+Inputs!$B$28+Inputs!$B$29)))</f>
        <v/>
      </c>
      <c r="E710">
        <f>INDEX(FactorTable!$B$2:$Y$301, MATCH(ROUND(MIN(300,MAX(1,D710)),0), FactorTable!$A$2:$A$301,0), Skills!M18+1)</f>
        <v/>
      </c>
      <c r="F710">
        <f>IF(Skills!N18=TRUE,(Skills!L18/10)*(E710/1000),Skills!L18/10)+Skills!O18</f>
        <v/>
      </c>
      <c r="G710">
        <f>Calc!G18</f>
        <v/>
      </c>
      <c r="H710">
        <f>Calc!H18</f>
        <v/>
      </c>
      <c r="I710">
        <f>IF(Skills!X18&lt;&gt;"",1+(Skills!X18/10)*(Z695/1000)/100,1)</f>
        <v/>
      </c>
      <c r="J710" t="inlineStr"/>
      <c r="K710" t="inlineStr"/>
      <c r="L710" t="inlineStr"/>
      <c r="M710" t="inlineStr"/>
      <c r="N710" t="inlineStr"/>
      <c r="O710">
        <f>(1-Summary!$B$56)*S710+Summary!$B$56*U710</f>
        <v/>
      </c>
      <c r="P710">
        <f>IF(B733=0,0,O710/B733)</f>
        <v/>
      </c>
      <c r="Q710">
        <f>IFERROR(1/IF(Inputs!$B$38="pvp",15,MAX(0.1,Skills!E18-IF(Skills!F18=TRUE,Inputs!$B$32,0))),0)</f>
        <v/>
      </c>
      <c r="R710">
        <f>IF(AND(Inputs!$B$38&lt;&gt;"pvp",Inputs!$B$43&gt;0),IF(Inputs!$B$43&lt;=0,0,(INT(Inputs!$B$43/IF(Inputs!$B$38="pvp",15,MAX(0.1,Skills!E18-IF(Skills!F18=TRUE,Inputs!$B$32,0))))+1)),0)</f>
        <v/>
      </c>
      <c r="S710" t="n">
        <v>0</v>
      </c>
      <c r="U710" t="n">
        <v>0</v>
      </c>
    </row>
    <row r="711">
      <c r="A711">
        <f>Skills!A19</f>
        <v/>
      </c>
      <c r="B711">
        <f>Skills!B19</f>
        <v/>
      </c>
      <c r="C711">
        <f>Inputs!$B$3&gt;=110</f>
        <v/>
      </c>
      <c r="D711">
        <f>IF(Skills!C19=1,60+(Inputs!$B$25+1)+Inputs!$B$29,IF(Skills!C19=2,90+Inputs!$B$26+Inputs!$B$29,IF(Skills!C19=3,120+Inputs!$B$27+Inputs!$B$29,MAX(0,(Inputs!$B$3-100)*3)+Inputs!$B$28+Inputs!$B$29)))</f>
        <v/>
      </c>
      <c r="E711">
        <f>INDEX(FactorTable!$B$2:$Y$301, MATCH(ROUND(MIN(300,MAX(1,D711)),0), FactorTable!$A$2:$A$301,0), Skills!M19+1)</f>
        <v/>
      </c>
      <c r="F711">
        <f>IF(Skills!N19=TRUE,(Skills!L19/10)*(E711/1000),Skills!L19/10)+Skills!O19</f>
        <v/>
      </c>
      <c r="G711">
        <f>Calc!G19</f>
        <v/>
      </c>
      <c r="H711">
        <f>Calc!H19</f>
        <v/>
      </c>
      <c r="I711">
        <f>IF(Skills!X19&lt;&gt;"",1+(Skills!X19/10)*(Z695/1000)/100,1)</f>
        <v/>
      </c>
      <c r="J711" t="inlineStr"/>
      <c r="K711" t="inlineStr"/>
      <c r="L711" t="inlineStr"/>
      <c r="M711" t="inlineStr"/>
      <c r="N711" t="inlineStr"/>
      <c r="O711">
        <f>(1-Summary!$B$56)*S711+Summary!$B$56*U711</f>
        <v/>
      </c>
      <c r="P711">
        <f>IF(B733=0,0,O711/B733)</f>
        <v/>
      </c>
      <c r="Q711">
        <f>IFERROR(1/IF(Inputs!$B$38="pvp",15,MAX(0.1,Skills!E19-IF(Skills!F19=TRUE,Inputs!$B$32,0))),0)</f>
        <v/>
      </c>
      <c r="R711">
        <f>IF(AND(Inputs!$B$38&lt;&gt;"pvp",Inputs!$B$43&gt;0),IF(Inputs!$B$43&lt;=0,0,(INT(Inputs!$B$43/IF(Inputs!$B$38="pvp",15,MAX(0.1,Skills!E19-IF(Skills!F19=TRUE,Inputs!$B$32,0))))+1)),0)</f>
        <v/>
      </c>
      <c r="S711" t="n">
        <v>0</v>
      </c>
      <c r="U711" t="n">
        <v>0</v>
      </c>
    </row>
    <row r="712">
      <c r="A712">
        <f>Skills!A20</f>
        <v/>
      </c>
      <c r="B712">
        <f>Skills!B20</f>
        <v/>
      </c>
      <c r="C712">
        <f>TRUE</f>
        <v/>
      </c>
      <c r="D712">
        <f>IF(Skills!C20=1,60+(Inputs!$B$25+1)+Inputs!$B$29,IF(Skills!C20=2,90+Inputs!$B$26+Inputs!$B$29,IF(Skills!C20=3,120+Inputs!$B$27+Inputs!$B$29,MAX(0,(Inputs!$B$3-100)*3)+Inputs!$B$28+Inputs!$B$29)))</f>
        <v/>
      </c>
      <c r="E712">
        <f>INDEX(FactorTable!$B$2:$Y$301, MATCH(ROUND(MIN(300,MAX(1,D712)),0), FactorTable!$A$2:$A$301,0), Skills!M20+1)</f>
        <v/>
      </c>
      <c r="F712">
        <f>IF(Skills!N20=TRUE,(Skills!L20/10)*(E712/1000),Skills!L20/10)+Skills!O20</f>
        <v/>
      </c>
      <c r="G712">
        <f>Calc!G20</f>
        <v/>
      </c>
      <c r="H712">
        <f>Calc!H20</f>
        <v/>
      </c>
      <c r="I712">
        <f>IF(Skills!X20&lt;&gt;"",1+(Skills!X20/10)*(Z695/1000)/100,1)</f>
        <v/>
      </c>
      <c r="J712" t="inlineStr"/>
      <c r="K712" t="inlineStr"/>
      <c r="L712" t="inlineStr"/>
      <c r="M712" t="inlineStr"/>
      <c r="N712" t="inlineStr"/>
      <c r="O712">
        <f>(1-Summary!$B$56)*S712+Summary!$B$56*U712</f>
        <v/>
      </c>
      <c r="P712">
        <f>IF(B733=0,0,O712/B733)</f>
        <v/>
      </c>
      <c r="Q712">
        <f>IFERROR(1/IF(Inputs!$B$38="pvp",15,MAX(0.1,Skills!E20-IF(Skills!F20=TRUE,Inputs!$B$32,0))),0)</f>
        <v/>
      </c>
      <c r="R712" t="n">
        <v>0</v>
      </c>
      <c r="S712" t="n">
        <v>0</v>
      </c>
      <c r="U712" t="n">
        <v>0</v>
      </c>
    </row>
    <row r="713">
      <c r="A713">
        <f>Skills!A21</f>
        <v/>
      </c>
      <c r="B713">
        <f>Skills!B21</f>
        <v/>
      </c>
      <c r="C713">
        <f>TRUE</f>
        <v/>
      </c>
      <c r="D713">
        <f>IF(Skills!C21=1,60+(Inputs!$B$25+1)+Inputs!$B$29,IF(Skills!C21=2,90+Inputs!$B$26+Inputs!$B$29,IF(Skills!C21=3,120+Inputs!$B$27+Inputs!$B$29,MAX(0,(Inputs!$B$3-100)*3)+Inputs!$B$28+Inputs!$B$29)))</f>
        <v/>
      </c>
      <c r="E713">
        <f>INDEX(FactorTable!$B$2:$Y$301, MATCH(ROUND(MIN(300,MAX(1,D713)),0), FactorTable!$A$2:$A$301,0), Skills!M21+1)</f>
        <v/>
      </c>
      <c r="F713">
        <f>IF(Skills!N21=TRUE,(Skills!L21/10)*(E713/1000),Skills!L21/10)+Skills!O21</f>
        <v/>
      </c>
      <c r="G713">
        <f>Calc!G21</f>
        <v/>
      </c>
      <c r="H713">
        <f>Calc!H21</f>
        <v/>
      </c>
      <c r="I713">
        <f>IF(Skills!X21&lt;&gt;"",1+(Skills!X21/10)*(Z695/1000)/100,1)</f>
        <v/>
      </c>
      <c r="J713" t="inlineStr"/>
      <c r="K713" t="inlineStr"/>
      <c r="L713" t="inlineStr"/>
      <c r="M713" t="inlineStr"/>
      <c r="N713" t="inlineStr"/>
      <c r="O713">
        <f>(1-Summary!$B$56)*S713+Summary!$B$56*U713</f>
        <v/>
      </c>
      <c r="P713">
        <f>IF(B733=0,0,O713/B733)</f>
        <v/>
      </c>
      <c r="Q713">
        <f>IFERROR(1/IF(Inputs!$B$38="pvp",15,MAX(0.1,Skills!E21-IF(Skills!F21=TRUE,Inputs!$B$32,0))),0)</f>
        <v/>
      </c>
      <c r="R713" t="n">
        <v>0</v>
      </c>
      <c r="S713" t="n">
        <v>0</v>
      </c>
      <c r="U713" t="n">
        <v>0</v>
      </c>
    </row>
    <row r="714">
      <c r="A714">
        <f>Skills!A22</f>
        <v/>
      </c>
      <c r="B714">
        <f>Skills!B22</f>
        <v/>
      </c>
      <c r="C714">
        <f>TRUE</f>
        <v/>
      </c>
      <c r="D714">
        <f>IF(Skills!C22=1,60+(Inputs!$B$25+1)+Inputs!$B$29,IF(Skills!C22=2,90+Inputs!$B$26+Inputs!$B$29,IF(Skills!C22=3,120+Inputs!$B$27+Inputs!$B$29,MAX(0,(Inputs!$B$3-100)*3)+Inputs!$B$28+Inputs!$B$29)))</f>
        <v/>
      </c>
      <c r="E714">
        <f>INDEX(FactorTable!$B$2:$Y$301, MATCH(ROUND(MIN(300,MAX(1,D714)),0), FactorTable!$A$2:$A$301,0), Skills!M22+1)</f>
        <v/>
      </c>
      <c r="F714">
        <f>IF(Skills!N22=TRUE,(Skills!L22/10)*(E714/1000),Skills!L22/10)+Skills!O22</f>
        <v/>
      </c>
      <c r="G714">
        <f>Calc!G22</f>
        <v/>
      </c>
      <c r="H714">
        <f>Calc!H22</f>
        <v/>
      </c>
      <c r="I714">
        <f>IF(Skills!X22&lt;&gt;"",1+(Skills!X22/10)*(Z695/1000)/100,1)</f>
        <v/>
      </c>
      <c r="J714" t="inlineStr"/>
      <c r="K714" t="inlineStr"/>
      <c r="L714" t="inlineStr"/>
      <c r="M714" t="inlineStr"/>
      <c r="N714" t="inlineStr"/>
      <c r="O714">
        <f>(1-Summary!$B$56)*S714+Summary!$B$56*U714</f>
        <v/>
      </c>
      <c r="P714">
        <f>IF(B733=0,0,O714/B733)</f>
        <v/>
      </c>
      <c r="Q714">
        <f>IFERROR(1/IF(Inputs!$B$38="pvp",15,MAX(0.1,Skills!E22-IF(Skills!F22=TRUE,Inputs!$B$32,0))),0)</f>
        <v/>
      </c>
      <c r="R714" t="n">
        <v>0</v>
      </c>
      <c r="S714" t="n">
        <v>0</v>
      </c>
      <c r="U714" t="n">
        <v>0</v>
      </c>
    </row>
    <row r="715">
      <c r="A715">
        <f>Skills!A23</f>
        <v/>
      </c>
      <c r="B715">
        <f>Skills!B23</f>
        <v/>
      </c>
      <c r="C715">
        <f>TRUE</f>
        <v/>
      </c>
      <c r="D715">
        <f>IF(Skills!C23=1,60+(Inputs!$B$25+1)+Inputs!$B$29,IF(Skills!C23=2,90+Inputs!$B$26+Inputs!$B$29,IF(Skills!C23=3,120+Inputs!$B$27+Inputs!$B$29,MAX(0,(Inputs!$B$3-100)*3)+Inputs!$B$28+Inputs!$B$29)))</f>
        <v/>
      </c>
      <c r="E715">
        <f>INDEX(FactorTable!$B$2:$Y$301, MATCH(ROUND(MIN(300,MAX(1,D715)),0), FactorTable!$A$2:$A$301,0), Skills!M23+1)</f>
        <v/>
      </c>
      <c r="F715">
        <f>IF(Skills!N23=TRUE,(Skills!L23/10)*(E715/1000),Skills!L23/10)+Skills!O23</f>
        <v/>
      </c>
      <c r="G715">
        <f>Calc!G23</f>
        <v/>
      </c>
      <c r="H715">
        <f>Calc!H23</f>
        <v/>
      </c>
      <c r="I715">
        <f>IF(Skills!X23&lt;&gt;"",1+(Skills!X23/10)*(Z695/1000)/100,1)</f>
        <v/>
      </c>
      <c r="J715" t="inlineStr"/>
      <c r="K715" t="inlineStr"/>
      <c r="L715" t="inlineStr"/>
      <c r="M715" t="inlineStr"/>
      <c r="N715" t="inlineStr"/>
      <c r="O715">
        <f>(1-Summary!$B$56)*S715+Summary!$B$56*U715</f>
        <v/>
      </c>
      <c r="P715">
        <f>IF(B733=0,0,O715/B733)</f>
        <v/>
      </c>
      <c r="Q715">
        <f>IFERROR(1/IF(Inputs!$B$38="pvp",15,MAX(0.1,Skills!E23-IF(Skills!F23=TRUE,Inputs!$B$32,0))),0)</f>
        <v/>
      </c>
      <c r="R715" t="n">
        <v>0</v>
      </c>
      <c r="S715" t="n">
        <v>0</v>
      </c>
      <c r="U715" t="n">
        <v>0</v>
      </c>
    </row>
    <row r="716">
      <c r="A716">
        <f>Skills!A24</f>
        <v/>
      </c>
      <c r="B716">
        <f>Skills!B24</f>
        <v/>
      </c>
      <c r="C716">
        <f>Inputs!$B$3&gt;=115</f>
        <v/>
      </c>
      <c r="D716">
        <f>IF(Skills!C24=1,60+(Inputs!$B$25+1)+Inputs!$B$29,IF(Skills!C24=2,90+Inputs!$B$26+Inputs!$B$29,IF(Skills!C24=3,120+Inputs!$B$27+Inputs!$B$29,MAX(0,(Inputs!$B$3-100)*3)+Inputs!$B$28+Inputs!$B$29)))</f>
        <v/>
      </c>
      <c r="E716">
        <f>INDEX(FactorTable!$B$2:$Y$301, MATCH(ROUND(MIN(300,MAX(1,D716)),0), FactorTable!$A$2:$A$301,0), Skills!M24+1)</f>
        <v/>
      </c>
      <c r="F716">
        <f>IF(Skills!N24=TRUE,(Skills!L24/10)*(E716/1000),Skills!L24/10)+Skills!O24</f>
        <v/>
      </c>
      <c r="G716">
        <f>Calc!G24</f>
        <v/>
      </c>
      <c r="H716">
        <f>Calc!H24</f>
        <v/>
      </c>
      <c r="I716">
        <f>IF(Skills!X24&lt;&gt;"",1+(Skills!X24/10)*(Z695/1000)/100,1)</f>
        <v/>
      </c>
      <c r="J716">
        <f>((Inputs!$B$6*(1+Inputs!$B$7/100))+(((Inputs!$B$12*(1+Inputs!$B$13/100))-(Inputs!$B$12*(1+Inputs!$B$13/100)))+0.25*(Inputs!$B$14-Inputs!$B$14))*(1+Inputs!$B$7/100))*(F716/100)</f>
        <v/>
      </c>
      <c r="K716">
        <f>J716*(1+((Inputs!$B$12*(1+Inputs!$B$13/100))*0.01+Inputs!$B$14*0.0025)/100)*(1+Inputs!$B$15/100)*(1+Inputs!$B$16/100)*(5000/(6000+Inputs!$B$42*(1-Inputs!$B$19/100)))*(1+Inputs!$B$24/100)*(1+F715/100)*(1+IF(Inputs!$B$3&gt;=120,F718,0)/100)^5*(1+(IF(Skills!A24="BASIC_ATTACK",Inputs!$B$17,Inputs!$B$18+IF(Inputs!$B$3&gt;=125,F719*5,0)))/100)*(B722*B723*B724*I716)</f>
        <v/>
      </c>
      <c r="L716">
        <f>K716*(MIN(Inputs!$B$22+(F714-Calc!F22),Inputs!$B$23)/100+Inputs!$B$23/100)/2</f>
        <v/>
      </c>
      <c r="M716">
        <f>L716*(1+(Inputs!$B$10+(F713-Calc!F21))/100)</f>
        <v/>
      </c>
      <c r="N716">
        <f>L716*(1-MIN(Inputs!$B$9+(F712-Calc!F20),100)/100)+M716*(MIN(Inputs!$B$9+(F712-Calc!F20),100)/100)</f>
        <v/>
      </c>
      <c r="O716">
        <f>(1-Summary!$B$56)*S716+Summary!$B$56*U716</f>
        <v/>
      </c>
      <c r="P716">
        <f>IF(B733=0,0,O716/B733)</f>
        <v/>
      </c>
      <c r="Q716">
        <f>IFERROR(1/IF(Inputs!$B$38="pvp",15,MAX(0.1,Skills!E24-IF(Skills!F24=TRUE,Inputs!$B$32,0))),0)</f>
        <v/>
      </c>
      <c r="R716">
        <f>IF(AND(Inputs!$B$38&lt;&gt;"pvp",Inputs!$B$43&gt;0),IF(MAX(0,Inputs!$B$43-B730)&lt;=0,0,(INT(MAX(0,Inputs!$B$43-B730)/IF(Inputs!$B$38="pvp",15,MAX(0.1,Skills!E24-IF(Skills!F24=TRUE,Inputs!$B$32,0))))+1)),0)</f>
        <v/>
      </c>
      <c r="S716">
        <f>IF(C716,(H716*N716*IF(AND(Inputs!$B$38&lt;&gt;"pvp",Inputs!$B$43&gt;0),((Skills!G24*((R716-1)*IF(Skills!H24&gt;0,Skills!I24/Skills!H24,1)+IF(Skills!H24&gt;0,MIN(Skills!I24,MAX(0,MAX(0,Inputs!$B$43-B730)-((R716-1)*IF(Inputs!$B$38="pvp",15,MAX(0.1,Skills!E24-IF(Skills!F24=TRUE,Inputs!$B$32,0))))))/Skills!H24,1)))/Inputs!$B$43),G716*Q716)*(1+IF(Inputs!$B$3&gt;=130,0.2*(Skills!I16/Skills!E15+IF(Inputs!$B$3&gt;=126,0.05*(B728+Q705+(H706*B729)/(1+Skills!H14*H706*B729)+Q716),0)*Skills!I16),0)))*IF(Inputs!$B$38="pvp",1,1+(Inputs!$B$20+Skills!P24)/100),0)</f>
        <v/>
      </c>
      <c r="U716">
        <f>IF(C716,(H716*N716*IF(AND(Inputs!$B$38&lt;&gt;"pvp",Inputs!$B$43&gt;0),((Skills!G24*((R716-1)*IF(Skills!H24&gt;0,Skills!I24/Skills!H24,1)+IF(Skills!H24&gt;0,MIN(Skills!I24,MAX(0,MAX(0,Inputs!$B$43-B730)-((R716-1)*IF(Inputs!$B$38="pvp",15,MAX(0.1,Skills!E24-IF(Skills!F24=TRUE,Inputs!$B$32,0))))))/Skills!H24,1)))/Inputs!$B$43),G716*Q716)*(1+IF(Inputs!$B$3&gt;=130,0.2*(Skills!I16/Skills!E15+IF(Inputs!$B$3&gt;=126,0.05*(B728+Q705+(H706*B729)/(1+Skills!H14*H706*B729)+Q716),0)*Skills!I16),0)))*IF(Inputs!$B$38="pvp",1,(1+(Inputs!$B$21+Skills!Q24)/100)*(MIN(Skills!R24,Inputs!$B$37))),0)</f>
        <v/>
      </c>
    </row>
    <row r="717">
      <c r="A717">
        <f>Skills!A25</f>
        <v/>
      </c>
      <c r="B717">
        <f>Skills!B25</f>
        <v/>
      </c>
      <c r="C717">
        <f>Inputs!$B$3&gt;=117</f>
        <v/>
      </c>
      <c r="D717">
        <f>IF(Skills!C25=1,60+(Inputs!$B$25+1)+Inputs!$B$29,IF(Skills!C25=2,90+Inputs!$B$26+Inputs!$B$29,IF(Skills!C25=3,120+Inputs!$B$27+Inputs!$B$29,MAX(0,(Inputs!$B$3-100)*3)+Inputs!$B$28+Inputs!$B$29)))</f>
        <v/>
      </c>
      <c r="E717">
        <f>INDEX(FactorTable!$B$2:$Y$301, MATCH(ROUND(MIN(300,MAX(1,D717)),0), FactorTable!$A$2:$A$301,0), Skills!M25+1)</f>
        <v/>
      </c>
      <c r="F717">
        <f>IF(Skills!N25=TRUE,(Skills!L25/10)*(E717/1000),Skills!L25/10)+Skills!O25</f>
        <v/>
      </c>
      <c r="G717">
        <f>Calc!G25</f>
        <v/>
      </c>
      <c r="H717">
        <f>Calc!H25</f>
        <v/>
      </c>
      <c r="I717">
        <f>IF(Skills!X25&lt;&gt;"",1+(Skills!X25/10)*(Z695/1000)/100,1)</f>
        <v/>
      </c>
      <c r="J717" t="inlineStr"/>
      <c r="K717" t="inlineStr"/>
      <c r="L717" t="inlineStr"/>
      <c r="M717" t="inlineStr"/>
      <c r="N717" t="inlineStr"/>
      <c r="O717">
        <f>(1-Summary!$B$56)*S717+Summary!$B$56*U717</f>
        <v/>
      </c>
      <c r="P717">
        <f>IF(B733=0,0,O717/B733)</f>
        <v/>
      </c>
      <c r="Q717">
        <f>IFERROR(1/IF(Inputs!$B$38="pvp",15,MAX(0.1,Skills!E25-IF(Skills!F25=TRUE,Inputs!$B$32,0))),0)</f>
        <v/>
      </c>
      <c r="R717" t="n">
        <v>0</v>
      </c>
      <c r="S717" t="n">
        <v>0</v>
      </c>
      <c r="U717" t="n">
        <v>0</v>
      </c>
    </row>
    <row r="718">
      <c r="A718">
        <f>Skills!A26</f>
        <v/>
      </c>
      <c r="B718">
        <f>Skills!B26</f>
        <v/>
      </c>
      <c r="C718">
        <f>Inputs!$B$3&gt;=120</f>
        <v/>
      </c>
      <c r="D718">
        <f>IF(Skills!C26=1,60+(Inputs!$B$25+1)+Inputs!$B$29,IF(Skills!C26=2,90+Inputs!$B$26+Inputs!$B$29,IF(Skills!C26=3,120+Inputs!$B$27+Inputs!$B$29,MAX(0,(Inputs!$B$3-100)*3)+Inputs!$B$28+Inputs!$B$29)))</f>
        <v/>
      </c>
      <c r="E718">
        <f>INDEX(FactorTable!$B$2:$Y$301, MATCH(ROUND(MIN(300,MAX(1,D718)),0), FactorTable!$A$2:$A$301,0), Skills!M26+1)</f>
        <v/>
      </c>
      <c r="F718">
        <f>IF(Skills!N26=TRUE,(Skills!L26/10)*(E718/1000),Skills!L26/10)+Skills!O26</f>
        <v/>
      </c>
      <c r="G718">
        <f>Calc!G26</f>
        <v/>
      </c>
      <c r="H718">
        <f>Calc!H26</f>
        <v/>
      </c>
      <c r="I718">
        <f>IF(Skills!X26&lt;&gt;"",1+(Skills!X26/10)*(Z695/1000)/100,1)</f>
        <v/>
      </c>
      <c r="J718" t="inlineStr"/>
      <c r="K718" t="inlineStr"/>
      <c r="L718" t="inlineStr"/>
      <c r="M718" t="inlineStr"/>
      <c r="N718" t="inlineStr"/>
      <c r="O718">
        <f>(1-Summary!$B$56)*S718+Summary!$B$56*U718</f>
        <v/>
      </c>
      <c r="P718">
        <f>IF(B733=0,0,O718/B733)</f>
        <v/>
      </c>
      <c r="Q718">
        <f>IFERROR(1/IF(Inputs!$B$38="pvp",15,MAX(0.1,Skills!E26-IF(Skills!F26=TRUE,Inputs!$B$32,0))),0)</f>
        <v/>
      </c>
      <c r="R718" t="n">
        <v>0</v>
      </c>
      <c r="S718" t="n">
        <v>0</v>
      </c>
      <c r="U718" t="n">
        <v>0</v>
      </c>
    </row>
    <row r="719">
      <c r="A719">
        <f>Skills!A27</f>
        <v/>
      </c>
      <c r="B719">
        <f>Skills!B27</f>
        <v/>
      </c>
      <c r="C719">
        <f>Inputs!$B$3&gt;=125</f>
        <v/>
      </c>
      <c r="D719">
        <f>IF(Skills!C27=1,60+(Inputs!$B$25+1)+Inputs!$B$29,IF(Skills!C27=2,90+Inputs!$B$26+Inputs!$B$29,IF(Skills!C27=3,120+Inputs!$B$27+Inputs!$B$29,MAX(0,(Inputs!$B$3-100)*3)+Inputs!$B$28+Inputs!$B$29)))</f>
        <v/>
      </c>
      <c r="E719">
        <f>INDEX(FactorTable!$B$2:$Y$301, MATCH(ROUND(MIN(300,MAX(1,D719)),0), FactorTable!$A$2:$A$301,0), Skills!M27+1)</f>
        <v/>
      </c>
      <c r="F719">
        <f>IF(Skills!N27=TRUE,(Skills!L27/10)*(E719/1000),Skills!L27/10)+Skills!O27</f>
        <v/>
      </c>
      <c r="G719">
        <f>Calc!G27</f>
        <v/>
      </c>
      <c r="H719">
        <f>Calc!H27</f>
        <v/>
      </c>
      <c r="I719">
        <f>IF(Skills!X27&lt;&gt;"",1+(Skills!X27/10)*(Z695/1000)/100,1)</f>
        <v/>
      </c>
      <c r="J719" t="inlineStr"/>
      <c r="K719" t="inlineStr"/>
      <c r="L719" t="inlineStr"/>
      <c r="M719" t="inlineStr"/>
      <c r="N719" t="inlineStr"/>
      <c r="O719">
        <f>(1-Summary!$B$56)*S719+Summary!$B$56*U719</f>
        <v/>
      </c>
      <c r="P719">
        <f>IF(B733=0,0,O719/B733)</f>
        <v/>
      </c>
      <c r="Q719">
        <f>IFERROR(1/IF(Inputs!$B$38="pvp",15,MAX(0.1,Skills!E27-IF(Skills!F27=TRUE,Inputs!$B$32,0))),0)</f>
        <v/>
      </c>
      <c r="R719" t="n">
        <v>0</v>
      </c>
      <c r="S719" t="n">
        <v>0</v>
      </c>
      <c r="U719" t="n">
        <v>0</v>
      </c>
    </row>
    <row r="720">
      <c r="A720">
        <f>Skills!A28</f>
        <v/>
      </c>
      <c r="B720">
        <f>Skills!B28</f>
        <v/>
      </c>
      <c r="C720">
        <f>Inputs!$B$3&gt;=118</f>
        <v/>
      </c>
      <c r="D720">
        <f>IF(Skills!C28=1,60+(Inputs!$B$25+1)+Inputs!$B$29,IF(Skills!C28=2,90+Inputs!$B$26+Inputs!$B$29,IF(Skills!C28=3,120+Inputs!$B$27+Inputs!$B$29,MAX(0,(Inputs!$B$3-100)*3)+Inputs!$B$28+Inputs!$B$29)))</f>
        <v/>
      </c>
      <c r="E720">
        <f>INDEX(FactorTable!$B$2:$Y$301, MATCH(ROUND(MIN(300,MAX(1,D720)),0), FactorTable!$A$2:$A$301,0), Skills!M28+1)</f>
        <v/>
      </c>
      <c r="F720">
        <f>IF(Skills!N28=TRUE,(Skills!L28/10)*(E720/1000),Skills!L28/10)+Skills!O28</f>
        <v/>
      </c>
      <c r="G720">
        <f>Calc!G28</f>
        <v/>
      </c>
      <c r="H720">
        <f>Calc!H28</f>
        <v/>
      </c>
      <c r="I720">
        <f>IF(Skills!X28&lt;&gt;"",1+(Skills!X28/10)*(Z695/1000)/100,1)</f>
        <v/>
      </c>
      <c r="J720">
        <f>((Inputs!$B$6*(1+Inputs!$B$7/100))+(((Inputs!$B$12*(1+Inputs!$B$13/100))-(Inputs!$B$12*(1+Inputs!$B$13/100)))+0.25*(Inputs!$B$14-Inputs!$B$14))*(1+Inputs!$B$7/100))*(F720/100)</f>
        <v/>
      </c>
      <c r="K720">
        <f>J720*(1+((Inputs!$B$12*(1+Inputs!$B$13/100))*0.01+Inputs!$B$14*0.0025)/100)*(1+Inputs!$B$15/100)*(1+Inputs!$B$16/100)*(5000/(6000+Inputs!$B$42*(1-Inputs!$B$19/100)))*(1+Inputs!$B$24/100)*(1+F715/100)*(1+IF(Inputs!$B$3&gt;=120,F718,0)/100)^5*(1+(IF(Skills!A28="BASIC_ATTACK",Inputs!$B$17,Inputs!$B$18+IF(Inputs!$B$3&gt;=125,F719*5,0)))/100)*(B722*B723*B724*I720)</f>
        <v/>
      </c>
      <c r="L720">
        <f>K720*(MIN(Inputs!$B$22+(F714-Calc!F22),Inputs!$B$23)/100+Inputs!$B$23/100)/2</f>
        <v/>
      </c>
      <c r="M720">
        <f>L720*(1+(Inputs!$B$10+(F713-Calc!F21))/100)</f>
        <v/>
      </c>
      <c r="N720">
        <f>L720*(1-MIN(Inputs!$B$9+(F712-Calc!F20),100)/100)+M720*(MIN(Inputs!$B$9+(F712-Calc!F20),100)/100)</f>
        <v/>
      </c>
      <c r="O720">
        <f>(1-Summary!$B$56)*S720+Summary!$B$56*U720</f>
        <v/>
      </c>
      <c r="P720">
        <f>IF(B733=0,0,O720/B733)</f>
        <v/>
      </c>
      <c r="Q720">
        <f>IFERROR(1/IF(Inputs!$B$38="pvp",15,MAX(0.1,Skills!E28-IF(Skills!F28=TRUE,Inputs!$B$32,0))),0)</f>
        <v/>
      </c>
      <c r="R720">
        <f>IF(AND(Inputs!$B$38&lt;&gt;"pvp",Inputs!$B$43&gt;0),IF(MAX(0,Inputs!$B$43-B730)&lt;=0,0,(INT(MAX(0,Inputs!$B$43-B730)/IF(Inputs!$B$38="pvp",15,MAX(0.1,Skills!E28-IF(Skills!F28=TRUE,Inputs!$B$32,0))))+1)),0)</f>
        <v/>
      </c>
      <c r="S720">
        <f>IF(C720,(H720*N720*IF(AND(Inputs!$B$38&lt;&gt;"pvp",Inputs!$B$43&gt;0),((Skills!G28*((R720-1)*IF(Skills!H28&gt;0,Skills!I28/Skills!H28,1)+IF(Skills!H28&gt;0,MIN(Skills!I28,MAX(0,MAX(0,Inputs!$B$43-B730)-((R720-1)*IF(Inputs!$B$38="pvp",15,MAX(0.1,Skills!E28-IF(Skills!F28=TRUE,Inputs!$B$32,0))))))/Skills!H28,1)))/Inputs!$B$43),G720*Q720))*IF(Inputs!$B$38="pvp",1,1+(Inputs!$B$20+Skills!P28)/100),0)</f>
        <v/>
      </c>
      <c r="U720">
        <f>IF(C720,(H720*N720*IF(AND(Inputs!$B$38&lt;&gt;"pvp",Inputs!$B$43&gt;0),((Skills!G28*((R720-1)*IF(Skills!H28&gt;0,Skills!I28/Skills!H28,1)+IF(Skills!H28&gt;0,MIN(Skills!I28,MAX(0,MAX(0,Inputs!$B$43-B730)-((R720-1)*IF(Inputs!$B$38="pvp",15,MAX(0.1,Skills!E28-IF(Skills!F28=TRUE,Inputs!$B$32,0))))))/Skills!H28,1)))/Inputs!$B$43),G720*Q720))*IF(Inputs!$B$38="pvp",1,(1+(Inputs!$B$21+Skills!Q28)/100)*(MIN(Skills!R28,Inputs!$B$37))),0)</f>
        <v/>
      </c>
    </row>
    <row r="722">
      <c r="A722" t="inlineStr">
        <is>
          <t>Burning Magic Multiplier</t>
        </is>
      </c>
      <c r="B722">
        <f>1+(F703*Skills!Z11)/100</f>
        <v/>
      </c>
    </row>
    <row r="723">
      <c r="A723" t="inlineStr">
        <is>
          <t>Elemental Decrease Multiplier (always-on)</t>
        </is>
      </c>
      <c r="B723">
        <f>1+F704/100</f>
        <v/>
      </c>
    </row>
    <row r="724">
      <c r="A724" t="inlineStr">
        <is>
          <t>Average Buff Multiplier (Magic Guard + Meditation, summed; then Infinity)</t>
        </is>
      </c>
      <c r="B724">
        <f>(1+(F698*IF(AND(Inputs!$B$38&lt;&gt;"pvp",Inputs!$B$43&gt;0),(((R698-1)*(Skills!T6*(1+(Inputs!$B$34+IF(Inputs!$B$3&gt;=117,F717,0))/100))+MIN((Skills!T6*(1+(Inputs!$B$34+IF(Inputs!$B$3&gt;=117,F717,0))/100)),MAX(0,Inputs!$B$43-((R698-1)*Skills!E6))))/Inputs!$B$43),IF(Inputs!$B$38="pvp",MIN((Skills!T6*(1+(Inputs!$B$34+IF(Inputs!$B$3&gt;=117,F717,0))/100)),15)/15,(Skills!T6*(1+(Inputs!$B$34+IF(Inputs!$B$3&gt;=117,F717,0))/100))/Skills!E6))+F709*IF(AND(Inputs!$B$38&lt;&gt;"pvp",Inputs!$B$43&gt;0),(((R709-1)*(Skills!T17*(1+(Inputs!$B$34+IF(Inputs!$B$3&gt;=117,F717,0))/100))+MIN((Skills!T17*(1+(Inputs!$B$34+IF(Inputs!$B$3&gt;=117,F717,0))/100)),MAX(0,Inputs!$B$43-((R709-1)*Skills!E17))))/Inputs!$B$43),IF(Inputs!$B$38="pvp",MIN((Skills!T17*(1+(Inputs!$B$34+IF(Inputs!$B$3&gt;=117,F717,0))/100)),15)/15,(Skills!T17*(1+(Inputs!$B$34+IF(Inputs!$B$3&gt;=117,F717,0))/100))/Skills!E17)))/100)*IF(C711=TRUE,(1+F711*IF(AND(Inputs!$B$38&lt;&gt;"pvp",Inputs!$B$43&gt;0),(((R711-1)*(Skills!T19*(1+(Inputs!$B$34+IF(Inputs!$B$3&gt;=117,F717,0))/100))+MIN((Skills!T19*(1+(Inputs!$B$34+IF(Inputs!$B$3&gt;=117,F717,0))/100)),MAX(0,Inputs!$B$43-((R711-1)*Skills!E19))))/Inputs!$B$43),IF(Inputs!$B$38="pvp",MIN((Skills!T19*(1+(Inputs!$B$34+IF(Inputs!$B$3&gt;=117,F717,0))/100)),15)/15,(Skills!T19*(1+(Inputs!$B$34+IF(Inputs!$B$3&gt;=117,F717,0))/100))/Skills!E19))/100),1)</f>
        <v/>
      </c>
    </row>
    <row r="725">
      <c r="A725" t="inlineStr">
        <is>
          <t>Attack Speed Buff Bonus % (Nimble Feet, averaged)</t>
        </is>
      </c>
      <c r="B725">
        <f>F710*IF(AND(Inputs!$B$38&lt;&gt;"pvp",Inputs!$B$43&gt;0),(((R710-1)*(Skills!T18*(1+(Inputs!$B$34+IF(Inputs!$B$3&gt;=117,F717,0))/100))+MIN((Skills!T18*(1+(Inputs!$B$34+IF(Inputs!$B$3&gt;=117,F717,0))/100)),MAX(0,Inputs!$B$43-((R710-1)*Skills!E18))))/Inputs!$B$43),IF(Inputs!$B$38="pvp",MIN((Skills!T18*(1+(Inputs!$B$34+IF(Inputs!$B$3&gt;=117,F717,0))/100)),15)/15,(Skills!T18*(1+(Inputs!$B$34+IF(Inputs!$B$3&gt;=117,F717,0))/100))/Skills!E18))</f>
        <v/>
      </c>
    </row>
    <row r="726">
      <c r="A726" t="inlineStr">
        <is>
          <t>Actions Per Second</t>
        </is>
      </c>
      <c r="B726">
        <f>1+MIN(150,150*(1-(1-Inputs!$B$11/150)*(1-B725/150)))/100</f>
        <v/>
      </c>
    </row>
    <row r="727">
      <c r="A727" t="inlineStr">
        <is>
          <t>Skill + Buff Cast Rate</t>
        </is>
      </c>
      <c r="B727">
        <f>IF(AND(Inputs!$B$38&lt;&gt;"pvp",Inputs!$B$43&gt;0),SUMPRODUCT((Skills!F2:F28=TRUE)*(C694:C720=TRUE)*R694:R720)/Inputs!$B$43,SUMPRODUCT((Skills!F2:F28=TRUE)*(C694:C720=TRUE)*Q694:Q720))</f>
        <v/>
      </c>
    </row>
    <row r="728">
      <c r="A728" t="inlineStr">
        <is>
          <t>Basic Attacks Per Second</t>
        </is>
      </c>
      <c r="B728">
        <f>MAX(0,B726-B727)</f>
        <v/>
      </c>
    </row>
    <row r="729">
      <c r="A729" t="inlineStr">
        <is>
          <t>Meteor Proc — combined trigger cast rate</t>
        </is>
      </c>
      <c r="B729">
        <f>IF(AND(Inputs!$B$38&lt;&gt;"pvp",Inputs!$B$43&gt;0),SUMPRODUCT((Skills!V2:V28=TRUE)*(C694:C720=TRUE)*R694:R720*Skills!W2:W28)/Inputs!$B$43,SUMPRODUCT((Skills!V2:V28=TRUE)*(C694:C720=TRUE)*Q694:Q720*Skills!W2:W28))+B728</f>
        <v/>
      </c>
    </row>
    <row r="730">
      <c r="A730" t="inlineStr">
        <is>
          <t>Buff-Casting Startup Delay (s, fixed-duration only)</t>
        </is>
      </c>
      <c r="B730">
        <f>IF(AND(Inputs!$B$38&lt;&gt;"pvp",Inputs!$B$43&gt;0),SUMPRODUCT((Skills!T2:T28&gt;0)*(Skills!F2:F28=TRUE)*(C694:C720=TRUE))/B726,0)</f>
        <v/>
      </c>
    </row>
    <row r="731">
      <c r="A731" t="inlineStr">
        <is>
          <t>Boss-Only Total DPS (this block's swept value)</t>
        </is>
      </c>
      <c r="B731">
        <f>SUM(S694:S720)</f>
        <v/>
      </c>
    </row>
    <row r="732">
      <c r="A732" t="inlineStr">
        <is>
          <t>Normal-Only Total DPS (this block's swept value)</t>
        </is>
      </c>
      <c r="B732">
        <f>SUM(U694:U720)</f>
        <v/>
      </c>
    </row>
    <row r="733">
      <c r="A733" s="5" t="inlineStr">
        <is>
          <t>TOTAL DPS</t>
        </is>
      </c>
      <c r="B733" s="5">
        <f>SUM(O694:O720)</f>
        <v/>
      </c>
    </row>
    <row r="736">
      <c r="A736" s="5" t="inlineStr">
        <is>
          <t>Stat: Skill Level Bonus — 2nd Job</t>
        </is>
      </c>
    </row>
    <row r="737">
      <c r="A737" s="9" t="inlineStr">
        <is>
          <t>Key</t>
        </is>
      </c>
      <c r="B737" s="9" t="inlineStr">
        <is>
          <t>Name</t>
        </is>
      </c>
      <c r="C737" s="9" t="inlineStr">
        <is>
          <t>Unlocked</t>
        </is>
      </c>
      <c r="D737" s="9" t="inlineStr">
        <is>
          <t>InputLevel</t>
        </is>
      </c>
      <c r="E737" s="9" t="inlineStr">
        <is>
          <t>Factor</t>
        </is>
      </c>
      <c r="F737" s="9" t="inlineStr">
        <is>
          <t>CoefficientPercent</t>
        </is>
      </c>
      <c r="G737" s="9" t="inlineStr">
        <is>
          <t>EffectiveHits</t>
        </is>
      </c>
      <c r="H737" s="9" t="inlineStr">
        <is>
          <t>ProcProbability</t>
        </is>
      </c>
      <c r="I737" s="9" t="inlineStr">
        <is>
          <t>MapleHeroMultiplier</t>
        </is>
      </c>
      <c r="J737" s="9" t="inlineStr">
        <is>
          <t>BaseDamage</t>
        </is>
      </c>
      <c r="K737" s="9" t="inlineStr">
        <is>
          <t>BaseHitDamage</t>
        </is>
      </c>
      <c r="L737" s="9" t="inlineStr">
        <is>
          <t>NonCritAvg</t>
        </is>
      </c>
      <c r="M737" s="9" t="inlineStr">
        <is>
          <t>CritAvg</t>
        </is>
      </c>
      <c r="N737" s="9" t="inlineStr">
        <is>
          <t>ExpectedDamage(perHit)</t>
        </is>
      </c>
      <c r="O737" s="9" t="inlineStr">
        <is>
          <t>DPS</t>
        </is>
      </c>
      <c r="P737" s="9" t="inlineStr">
        <is>
          <t>% of Total</t>
        </is>
      </c>
      <c r="R737" t="inlineStr">
        <is>
          <t>helpers</t>
        </is>
      </c>
    </row>
    <row r="738">
      <c r="A738">
        <f>Skills!A2</f>
        <v/>
      </c>
      <c r="B738">
        <f>Skills!B2</f>
        <v/>
      </c>
      <c r="C738">
        <f>TRUE</f>
        <v/>
      </c>
      <c r="D738" t="inlineStr"/>
      <c r="E738" t="inlineStr"/>
      <c r="F738">
        <f>T740+Skills!O2</f>
        <v/>
      </c>
      <c r="G738">
        <f>Calc!G2</f>
        <v/>
      </c>
      <c r="H738">
        <f>Calc!H2</f>
        <v/>
      </c>
      <c r="I738">
        <f>IF(Skills!X2&lt;&gt;"",1+(Skills!X2/10)*(Z739/1000)/100,1)</f>
        <v/>
      </c>
      <c r="J738">
        <f>((Inputs!$B$6*(1+Inputs!$B$7/100))+(((Inputs!$B$12*(1+Inputs!$B$13/100))-(Inputs!$B$12*(1+Inputs!$B$13/100)))+0.25*(Inputs!$B$14-Inputs!$B$14))*(1+Inputs!$B$7/100))*(F738/100)</f>
        <v/>
      </c>
      <c r="K738">
        <f>J738*(1+((Inputs!$B$12*(1+Inputs!$B$13/100))*0.01+Inputs!$B$14*0.0025)/100)*(1+Inputs!$B$15/100)*(1+Inputs!$B$16/100)*(5000/(6000+Inputs!$B$42*(1-Inputs!$B$19/100)))*(1+Inputs!$B$24/100)*(1+F759/100)*(1+IF(Inputs!$B$3&gt;=120,F762,0)/100)^5*(1+(IF(Skills!A2="BASIC_ATTACK",Inputs!$B$17,Inputs!$B$18+IF(Inputs!$B$3&gt;=125,F763*5,0)))/100)*(B766*B767*B768*I738)</f>
        <v/>
      </c>
      <c r="L738">
        <f>K738*(MIN(Inputs!$B$22+(F758-Calc!F22),Inputs!$B$23)/100+Inputs!$B$23/100)/2</f>
        <v/>
      </c>
      <c r="M738">
        <f>L738*(1+(Inputs!$B$10+(F757-Calc!F21))/100)</f>
        <v/>
      </c>
      <c r="N738">
        <f>L738*(1-MIN(Inputs!$B$9+(F756-Calc!F20),100)/100)+M738*(MIN(Inputs!$B$9+(F756-Calc!F20),100)/100)</f>
        <v/>
      </c>
      <c r="O738">
        <f>(1-Summary!$B$56)*S738+Summary!$B$56*U738</f>
        <v/>
      </c>
      <c r="P738">
        <f>IF(B777=0,0,O738/B777)</f>
        <v/>
      </c>
      <c r="Q738">
        <f>IFERROR(1/IF(Inputs!$B$38="pvp",15,MAX(0.1,Skills!E2-IF(Skills!F2=TRUE,Inputs!$B$32,0))),0)</f>
        <v/>
      </c>
      <c r="R738" t="n">
        <v>0</v>
      </c>
      <c r="S738">
        <f>(Skills!G2*N738*B772)*IF(Inputs!$B$38="pvp",1,1+(Inputs!$B$20+Skills!P2)/100)</f>
        <v/>
      </c>
      <c r="T738">
        <f>MAX(0,(Inputs!$B$3-100)*3)+Inputs!$B$28+Inputs!$B$29</f>
        <v/>
      </c>
      <c r="U738">
        <f>(Skills!G2*N738*B772)*IF(Inputs!$B$38="pvp",1,(1+(Inputs!$B$21+Skills!Q2)/100)*(MIN((6+Inputs!$B$33+IF(Inputs!$B$3&gt;=136,1,0)),Inputs!$B$37)))</f>
        <v/>
      </c>
      <c r="Z738">
        <f>MAX(0,(Inputs!$B$3-100)*3)+Inputs!$B$28+Inputs!$B$29</f>
        <v/>
      </c>
    </row>
    <row r="739">
      <c r="A739">
        <f>Skills!A3</f>
        <v/>
      </c>
      <c r="B739">
        <f>Skills!B3</f>
        <v/>
      </c>
      <c r="C739">
        <f>TRUE</f>
        <v/>
      </c>
      <c r="D739">
        <f>IF(Skills!C3=1,60+Inputs!$B$25+Inputs!$B$29,IF(Skills!C3=2,90+(Inputs!$B$26+1)+Inputs!$B$29,IF(Skills!C3=3,120+Inputs!$B$27+Inputs!$B$29,MAX(0,(Inputs!$B$3-100)*3)+Inputs!$B$28+Inputs!$B$29)))</f>
        <v/>
      </c>
      <c r="E739">
        <f>INDEX(FactorTable!$B$2:$Y$301, MATCH(ROUND(MIN(300,MAX(1,D739)),0), FactorTable!$A$2:$A$301,0), Skills!M3+1)</f>
        <v/>
      </c>
      <c r="F739">
        <f>IF(Skills!N3=TRUE,(Skills!L3/10)*(E739/1000),Skills!L3/10)+Skills!O3</f>
        <v/>
      </c>
      <c r="G739">
        <f>Calc!G3</f>
        <v/>
      </c>
      <c r="H739">
        <f>Calc!H3</f>
        <v/>
      </c>
      <c r="I739">
        <f>IF(Skills!X3&lt;&gt;"",1+(Skills!X3/10)*(Z739/1000)/100,1)</f>
        <v/>
      </c>
      <c r="J739">
        <f>((Inputs!$B$6*(1+Inputs!$B$7/100))+(((Inputs!$B$12*(1+Inputs!$B$13/100))-(Inputs!$B$12*(1+Inputs!$B$13/100)))+0.25*(Inputs!$B$14-Inputs!$B$14))*(1+Inputs!$B$7/100))*(F739/100)</f>
        <v/>
      </c>
      <c r="K739">
        <f>J739*(1+((Inputs!$B$12*(1+Inputs!$B$13/100))*0.01+Inputs!$B$14*0.0025)/100)*(1+Inputs!$B$15/100)*(1+Inputs!$B$16/100)*(5000/(6000+Inputs!$B$42*(1-Inputs!$B$19/100)))*(1+Inputs!$B$24/100)*(1+F759/100)*(1+IF(Inputs!$B$3&gt;=120,F762,0)/100)^5*(1+(IF(Skills!A3="BASIC_ATTACK",Inputs!$B$17,Inputs!$B$18+IF(Inputs!$B$3&gt;=125,F763*5,0)))/100)*(B766*B767*B768*I739)</f>
        <v/>
      </c>
      <c r="L739">
        <f>K739*(MIN(Inputs!$B$22+(F758-Calc!F22),Inputs!$B$23)/100+Inputs!$B$23/100)/2</f>
        <v/>
      </c>
      <c r="M739">
        <f>L739*(1+(Inputs!$B$10+(F757-Calc!F21))/100)</f>
        <v/>
      </c>
      <c r="N739">
        <f>L739*(1-MIN(Inputs!$B$9+(F756-Calc!F20),100)/100)+M739*(MIN(Inputs!$B$9+(F756-Calc!F20),100)/100)</f>
        <v/>
      </c>
      <c r="O739">
        <f>(1-Summary!$B$56)*S739+Summary!$B$56*U739</f>
        <v/>
      </c>
      <c r="P739">
        <f>IF(B777=0,0,O739/B777)</f>
        <v/>
      </c>
      <c r="Q739">
        <f>IFERROR(1/IF(Inputs!$B$38="pvp",15,MAX(0.1,Skills!E3-IF(Skills!F3=TRUE,Inputs!$B$32,0))),0)</f>
        <v/>
      </c>
      <c r="R739">
        <f>IF(AND(Inputs!$B$38&lt;&gt;"pvp",Inputs!$B$43&gt;0),IF(MAX(0,Inputs!$B$43-B774)&lt;=0,0,(INT(MAX(0,Inputs!$B$43-B774)/IF(Inputs!$B$38="pvp",15,MAX(0.1,Skills!E3-IF(Skills!F3=TRUE,Inputs!$B$32,0))))+1)),0)</f>
        <v/>
      </c>
      <c r="S739">
        <f>IF(C739,(H739*N739*IF(AND(Inputs!$B$38&lt;&gt;"pvp",Inputs!$B$43&gt;0),((Skills!G3*((R739-1)*IF(Skills!H3&gt;0,Skills!I3/Skills!H3,1)+IF(Skills!H3&gt;0,MIN(Skills!I3,MAX(0,MAX(0,Inputs!$B$43-B774)-((R739-1)*IF(Inputs!$B$38="pvp",15,MAX(0.1,Skills!E3-IF(Skills!F3=TRUE,Inputs!$B$32,0))))))/Skills!H3,1)))/Inputs!$B$43),G739*Q739))*IF(Inputs!$B$38="pvp",1,1+(Inputs!$B$20+Skills!P3)/100),0)</f>
        <v/>
      </c>
      <c r="T739">
        <f>INDEX(FactorTable!$B$2:$Y$301, MATCH(ROUND(MIN(300,MAX(1,T738)),0), FactorTable!$A$2:$A$301,0), 22)</f>
        <v/>
      </c>
      <c r="U739">
        <f>IF(C739,(H739*N739*IF(AND(Inputs!$B$38&lt;&gt;"pvp",Inputs!$B$43&gt;0),((Skills!G3*((R739-1)*IF(Skills!H3&gt;0,Skills!I3/Skills!H3,1)+IF(Skills!H3&gt;0,MIN(Skills!I3,MAX(0,MAX(0,Inputs!$B$43-B774)-((R739-1)*IF(Inputs!$B$38="pvp",15,MAX(0.1,Skills!E3-IF(Skills!F3=TRUE,Inputs!$B$32,0))))))/Skills!H3,1)))/Inputs!$B$43),G739*Q739))*IF(Inputs!$B$38="pvp",1,(1+(Inputs!$B$21+Skills!Q3)/100)*(MIN(Skills!R3,Inputs!$B$37))),0)</f>
        <v/>
      </c>
      <c r="Z739">
        <f>INDEX(FactorTable!$B$2:$Y$301, MATCH(ROUND(MIN(300,MAX(1,Z738)),0), FactorTable!$A$2:$A$301,0), 24)</f>
        <v/>
      </c>
    </row>
    <row r="740">
      <c r="A740">
        <f>Skills!A4</f>
        <v/>
      </c>
      <c r="B740">
        <f>Skills!B4</f>
        <v/>
      </c>
      <c r="C740">
        <f>TRUE</f>
        <v/>
      </c>
      <c r="D740">
        <f>IF(Skills!C4=1,60+Inputs!$B$25+Inputs!$B$29,IF(Skills!C4=2,90+(Inputs!$B$26+1)+Inputs!$B$29,IF(Skills!C4=3,120+Inputs!$B$27+Inputs!$B$29,MAX(0,(Inputs!$B$3-100)*3)+Inputs!$B$28+Inputs!$B$29)))</f>
        <v/>
      </c>
      <c r="E740">
        <f>INDEX(FactorTable!$B$2:$Y$301, MATCH(ROUND(MIN(300,MAX(1,D740)),0), FactorTable!$A$2:$A$301,0), Skills!M4+1)</f>
        <v/>
      </c>
      <c r="F740">
        <f>IF(Skills!N4=TRUE,(Skills!L4/10)*(E740/1000),Skills!L4/10)+Skills!O4</f>
        <v/>
      </c>
      <c r="G740">
        <f>Calc!G4</f>
        <v/>
      </c>
      <c r="H740">
        <f>Calc!H4</f>
        <v/>
      </c>
      <c r="I740">
        <f>IF(Skills!X4&lt;&gt;"",1+(Skills!X4/10)*(Z739/1000)/100,1)</f>
        <v/>
      </c>
      <c r="J740">
        <f>((Inputs!$B$6*(1+Inputs!$B$7/100))+(((Inputs!$B$12*(1+Inputs!$B$13/100))-(Inputs!$B$12*(1+Inputs!$B$13/100)))+0.25*(Inputs!$B$14-Inputs!$B$14))*(1+Inputs!$B$7/100))*(F740/100)</f>
        <v/>
      </c>
      <c r="K740">
        <f>J740*(1+((Inputs!$B$12*(1+Inputs!$B$13/100))*0.01+Inputs!$B$14*0.0025)/100)*(1+Inputs!$B$15/100)*(1+Inputs!$B$16/100)*(5000/(6000+Inputs!$B$42*(1-Inputs!$B$19/100)))*(1+Inputs!$B$24/100)*(1+F759/100)*(1+IF(Inputs!$B$3&gt;=120,F762,0)/100)^5*(1+(IF(Skills!A4="BASIC_ATTACK",Inputs!$B$17,Inputs!$B$18+IF(Inputs!$B$3&gt;=125,F763*5,0)))/100)*(B766*B767*B768*I740)</f>
        <v/>
      </c>
      <c r="L740">
        <f>K740*(MIN(Inputs!$B$22+(F758-Calc!F22),Inputs!$B$23)/100+Inputs!$B$23/100)/2</f>
        <v/>
      </c>
      <c r="M740">
        <f>L740*(1+(Inputs!$B$10+(F757-Calc!F21))/100)</f>
        <v/>
      </c>
      <c r="N740">
        <f>L740*(1-MIN(Inputs!$B$9+(F756-Calc!F20),100)/100)+M740*(MIN(Inputs!$B$9+(F756-Calc!F20),100)/100)</f>
        <v/>
      </c>
      <c r="O740">
        <f>(1-Summary!$B$56)*S740+Summary!$B$56*U740</f>
        <v/>
      </c>
      <c r="P740">
        <f>IF(B777=0,0,O740/B777)</f>
        <v/>
      </c>
      <c r="Q740">
        <f>IFERROR(1/IF(Inputs!$B$38="pvp",15,MAX(0.1,Skills!E4-IF(Skills!F4=TRUE,Inputs!$B$32,0))),0)</f>
        <v/>
      </c>
      <c r="R740">
        <f>IF(AND(Inputs!$B$38&lt;&gt;"pvp",Inputs!$B$43&gt;0),IF(MAX(0,Inputs!$B$43-B774)&lt;=0,0,(INT(MAX(0,Inputs!$B$43-B774)/IF(Inputs!$B$38="pvp",15,MAX(0.1,Skills!E4-IF(Skills!F4=TRUE,Inputs!$B$32,0))))+1)),0)</f>
        <v/>
      </c>
      <c r="S740">
        <f>IF(C740,(H740*N740*IF(AND(Inputs!$B$38&lt;&gt;"pvp",Inputs!$B$43&gt;0),((Skills!G4*((R740-1)*IF(Skills!H4&gt;0,Skills!I4/Skills!H4,1)+IF(Skills!H4&gt;0,MIN(Skills!I4,MAX(0,MAX(0,Inputs!$B$43-B774)-((R740-1)*IF(Inputs!$B$38="pvp",15,MAX(0.1,Skills!E4-IF(Skills!F4=TRUE,Inputs!$B$32,0))))))/Skills!H4,1)))/Inputs!$B$43),G740*Q740))*IF(Inputs!$B$38="pvp",1,1+(Inputs!$B$20+Skills!P4)/100),0)</f>
        <v/>
      </c>
      <c r="T740">
        <f>290*T739/1000</f>
        <v/>
      </c>
      <c r="U740">
        <f>IF(C740,(H740*N740*IF(AND(Inputs!$B$38&lt;&gt;"pvp",Inputs!$B$43&gt;0),((Skills!G4*((R740-1)*IF(Skills!H4&gt;0,Skills!I4/Skills!H4,1)+IF(Skills!H4&gt;0,MIN(Skills!I4,MAX(0,MAX(0,Inputs!$B$43-B774)-((R740-1)*IF(Inputs!$B$38="pvp",15,MAX(0.1,Skills!E4-IF(Skills!F4=TRUE,Inputs!$B$32,0))))))/Skills!H4,1)))/Inputs!$B$43),G740*Q740))*IF(Inputs!$B$38="pvp",1,(1+(Inputs!$B$21+Skills!Q4)/100)*(MIN(Skills!R4,Inputs!$B$37))),0)</f>
        <v/>
      </c>
    </row>
    <row r="741">
      <c r="A741">
        <f>Skills!A5</f>
        <v/>
      </c>
      <c r="B741">
        <f>Skills!B5</f>
        <v/>
      </c>
      <c r="C741">
        <f>TRUE</f>
        <v/>
      </c>
      <c r="D741">
        <f>IF(Skills!C5=1,60+Inputs!$B$25+Inputs!$B$29,IF(Skills!C5=2,90+(Inputs!$B$26+1)+Inputs!$B$29,IF(Skills!C5=3,120+Inputs!$B$27+Inputs!$B$29,MAX(0,(Inputs!$B$3-100)*3)+Inputs!$B$28+Inputs!$B$29)))</f>
        <v/>
      </c>
      <c r="E741">
        <f>INDEX(FactorTable!$B$2:$Y$301, MATCH(ROUND(MIN(300,MAX(1,D741)),0), FactorTable!$A$2:$A$301,0), Skills!M5+1)</f>
        <v/>
      </c>
      <c r="F741">
        <f>IF(Skills!N5=TRUE,(Skills!L5/10)*(E741/1000),Skills!L5/10)+Skills!O5</f>
        <v/>
      </c>
      <c r="G741">
        <f>Calc!G5</f>
        <v/>
      </c>
      <c r="H741">
        <f>Calc!H5</f>
        <v/>
      </c>
      <c r="I741">
        <f>IF(Skills!X5&lt;&gt;"",1+(Skills!X5/10)*(Z739/1000)/100,1)</f>
        <v/>
      </c>
      <c r="J741">
        <f>((Inputs!$B$6*(1+Inputs!$B$7/100))+(((Inputs!$B$12*(1+Inputs!$B$13/100))-(Inputs!$B$12*(1+Inputs!$B$13/100)))+0.25*(Inputs!$B$14-Inputs!$B$14))*(1+Inputs!$B$7/100))*(F741/100)</f>
        <v/>
      </c>
      <c r="K741">
        <f>J741*(1+((Inputs!$B$12*(1+Inputs!$B$13/100))*0.01+Inputs!$B$14*0.0025)/100)*(1+Inputs!$B$15/100)*(1+Inputs!$B$16/100)*(5000/(6000+Inputs!$B$42*(1-Inputs!$B$19/100)))*(1+Inputs!$B$24/100)*(1+F759/100)*(1+IF(Inputs!$B$3&gt;=120,F762,0)/100)^5*(1+(IF(Skills!A5="BASIC_ATTACK",Inputs!$B$17,Inputs!$B$18+IF(Inputs!$B$3&gt;=125,F763*5,0)))/100)*(B766*B767*B768*I741)</f>
        <v/>
      </c>
      <c r="L741">
        <f>K741*(MIN(Inputs!$B$22+(F758-Calc!F22),Inputs!$B$23)/100+Inputs!$B$23/100)/2</f>
        <v/>
      </c>
      <c r="M741">
        <f>L741*(1+(Inputs!$B$10+(F757-Calc!F21))/100)</f>
        <v/>
      </c>
      <c r="N741">
        <f>L741*(1-MIN(Inputs!$B$9+(F756-Calc!F20),100)/100)+M741*(MIN(Inputs!$B$9+(F756-Calc!F20),100)/100)</f>
        <v/>
      </c>
      <c r="O741">
        <f>(1-Summary!$B$56)*S741+Summary!$B$56*U741</f>
        <v/>
      </c>
      <c r="P741">
        <f>IF(B777=0,0,O741/B777)</f>
        <v/>
      </c>
      <c r="Q741">
        <f>IFERROR(1/IF(Inputs!$B$38="pvp",15,MAX(0.1,Skills!E5-IF(Skills!F5=TRUE,Inputs!$B$32,0))),0)</f>
        <v/>
      </c>
      <c r="R741">
        <f>IF(AND(Inputs!$B$38&lt;&gt;"pvp",Inputs!$B$43&gt;0),IF(MAX(0,Inputs!$B$43-B774)&lt;=0,0,(INT(MAX(0,Inputs!$B$43-B774)/IF(Inputs!$B$38="pvp",15,MAX(0.1,Skills!E5-IF(Skills!F5=TRUE,Inputs!$B$32,0))))+1)),0)</f>
        <v/>
      </c>
      <c r="S741">
        <f>IF(C741,(H741*N741*IF(AND(Inputs!$B$38&lt;&gt;"pvp",Inputs!$B$43&gt;0),((Skills!G5*((R741-1)*IF(Skills!H5&gt;0,Skills!I5/Skills!H5,1)+IF(Skills!H5&gt;0,MIN(Skills!I5,MAX(0,MAX(0,Inputs!$B$43-B774)-((R741-1)*IF(Inputs!$B$38="pvp",15,MAX(0.1,Skills!E5-IF(Skills!F5=TRUE,Inputs!$B$32,0))))))/Skills!H5,1)))/Inputs!$B$43),G741*Q741))*IF(Inputs!$B$38="pvp",1,1+(Inputs!$B$20+Skills!P5)/100),0)</f>
        <v/>
      </c>
      <c r="U741">
        <f>IF(C741,(H741*N741*IF(AND(Inputs!$B$38&lt;&gt;"pvp",Inputs!$B$43&gt;0),((Skills!G5*((R741-1)*IF(Skills!H5&gt;0,Skills!I5/Skills!H5,1)+IF(Skills!H5&gt;0,MIN(Skills!I5,MAX(0,MAX(0,Inputs!$B$43-B774)-((R741-1)*IF(Inputs!$B$38="pvp",15,MAX(0.1,Skills!E5-IF(Skills!F5=TRUE,Inputs!$B$32,0))))))/Skills!H5,1)))/Inputs!$B$43),G741*Q741))*IF(Inputs!$B$38="pvp",1,(1+(Inputs!$B$21+Skills!Q5)/100)*(MIN(Skills!R5,Inputs!$B$37))),0)</f>
        <v/>
      </c>
    </row>
    <row r="742">
      <c r="A742">
        <f>Skills!A6</f>
        <v/>
      </c>
      <c r="B742">
        <f>Skills!B6</f>
        <v/>
      </c>
      <c r="C742">
        <f>TRUE</f>
        <v/>
      </c>
      <c r="D742">
        <f>IF(Skills!C6=1,60+Inputs!$B$25+Inputs!$B$29,IF(Skills!C6=2,90+(Inputs!$B$26+1)+Inputs!$B$29,IF(Skills!C6=3,120+Inputs!$B$27+Inputs!$B$29,MAX(0,(Inputs!$B$3-100)*3)+Inputs!$B$28+Inputs!$B$29)))</f>
        <v/>
      </c>
      <c r="E742">
        <f>INDEX(FactorTable!$B$2:$Y$301, MATCH(ROUND(MIN(300,MAX(1,D742)),0), FactorTable!$A$2:$A$301,0), Skills!M6+1)</f>
        <v/>
      </c>
      <c r="F742">
        <f>IF(Skills!N6=TRUE,(Skills!L6/10)*(E742/1000),Skills!L6/10)+Skills!O6</f>
        <v/>
      </c>
      <c r="G742">
        <f>Calc!G6</f>
        <v/>
      </c>
      <c r="H742">
        <f>Calc!H6</f>
        <v/>
      </c>
      <c r="I742">
        <f>IF(Skills!X6&lt;&gt;"",1+(Skills!X6/10)*(Z739/1000)/100,1)</f>
        <v/>
      </c>
      <c r="J742" t="inlineStr"/>
      <c r="K742" t="inlineStr"/>
      <c r="L742" t="inlineStr"/>
      <c r="M742" t="inlineStr"/>
      <c r="N742" t="inlineStr"/>
      <c r="O742">
        <f>(1-Summary!$B$56)*S742+Summary!$B$56*U742</f>
        <v/>
      </c>
      <c r="P742">
        <f>IF(B777=0,0,O742/B777)</f>
        <v/>
      </c>
      <c r="Q742">
        <f>IFERROR(1/IF(Inputs!$B$38="pvp",15,MAX(0.1,Skills!E6-IF(Skills!F6=TRUE,Inputs!$B$32,0))),0)</f>
        <v/>
      </c>
      <c r="R742">
        <f>IF(AND(Inputs!$B$38&lt;&gt;"pvp",Inputs!$B$43&gt;0),IF(Inputs!$B$43&lt;=0,0,(INT(Inputs!$B$43/IF(Inputs!$B$38="pvp",15,MAX(0.1,Skills!E6-IF(Skills!F6=TRUE,Inputs!$B$32,0))))+1)),0)</f>
        <v/>
      </c>
      <c r="S742" t="n">
        <v>0</v>
      </c>
      <c r="U742" t="n">
        <v>0</v>
      </c>
    </row>
    <row r="743">
      <c r="A743">
        <f>Skills!A7</f>
        <v/>
      </c>
      <c r="B743">
        <f>Skills!B7</f>
        <v/>
      </c>
      <c r="C743">
        <f>TRUE</f>
        <v/>
      </c>
      <c r="D743">
        <f>IF(Skills!C7=1,60+Inputs!$B$25+Inputs!$B$29,IF(Skills!C7=2,90+(Inputs!$B$26+1)+Inputs!$B$29,IF(Skills!C7=3,120+Inputs!$B$27+Inputs!$B$29,MAX(0,(Inputs!$B$3-100)*3)+Inputs!$B$28+Inputs!$B$29)))</f>
        <v/>
      </c>
      <c r="E743">
        <f>INDEX(FactorTable!$B$2:$Y$301, MATCH(ROUND(MIN(300,MAX(1,D743)),0), FactorTable!$A$2:$A$301,0), Skills!M7+1)</f>
        <v/>
      </c>
      <c r="F743">
        <f>IF(Skills!N7=TRUE,(Skills!L7/10)*(E743/1000),Skills!L7/10)+Skills!O7</f>
        <v/>
      </c>
      <c r="G743">
        <f>Calc!G7</f>
        <v/>
      </c>
      <c r="H743">
        <f>Calc!H7</f>
        <v/>
      </c>
      <c r="I743">
        <f>IF(Skills!X7&lt;&gt;"",1+(Skills!X7/10)*(Z739/1000)/100,1)</f>
        <v/>
      </c>
      <c r="J743">
        <f>((Inputs!$B$6*(1+Inputs!$B$7/100))+(((Inputs!$B$12*(1+Inputs!$B$13/100))-(Inputs!$B$12*(1+Inputs!$B$13/100)))+0.25*(Inputs!$B$14-Inputs!$B$14))*(1+Inputs!$B$7/100))*(F743/100)</f>
        <v/>
      </c>
      <c r="K743">
        <f>J743*(1+((Inputs!$B$12*(1+Inputs!$B$13/100))*0.01+Inputs!$B$14*0.0025)/100)*(1+Inputs!$B$15/100)*(1+Inputs!$B$16/100)*(5000/(6000+Inputs!$B$42*(1-Inputs!$B$19/100)))*(1+Inputs!$B$24/100)*(1+F759/100)*(1+IF(Inputs!$B$3&gt;=120,F762,0)/100)^5*(1+(IF(Skills!A7="BASIC_ATTACK",Inputs!$B$17,Inputs!$B$18+IF(Inputs!$B$3&gt;=125,F763*5,0)))/100)*(B766*B767*B768*I743)</f>
        <v/>
      </c>
      <c r="L743">
        <f>K743*(MIN(Inputs!$B$22+(F758-Calc!F22),Inputs!$B$23)/100+Inputs!$B$23/100)/2</f>
        <v/>
      </c>
      <c r="M743">
        <f>L743*(1+(Inputs!$B$10+(F757-Calc!F21))/100)</f>
        <v/>
      </c>
      <c r="N743">
        <f>L743*(1-MIN(Inputs!$B$9+(F756-Calc!F20),100)/100)+M743*(MIN(Inputs!$B$9+(F756-Calc!F20),100)/100)</f>
        <v/>
      </c>
      <c r="O743">
        <f>(1-Summary!$B$56)*S743+Summary!$B$56*U743</f>
        <v/>
      </c>
      <c r="P743">
        <f>IF(B777=0,0,O743/B777)</f>
        <v/>
      </c>
      <c r="Q743">
        <f>IFERROR(1/IF(Inputs!$B$38="pvp",15,MAX(0.1,Skills!E7-IF(Skills!F7=TRUE,Inputs!$B$32,0))),0)</f>
        <v/>
      </c>
      <c r="R743">
        <f>IF(AND(Inputs!$B$38&lt;&gt;"pvp",Inputs!$B$43&gt;0),IF(MAX(0,Inputs!$B$43-B774)&lt;=0,0,(INT(MAX(0,Inputs!$B$43-B774)/IF(Inputs!$B$38="pvp",15,MAX(0.1,Skills!E7-IF(Skills!F7=TRUE,Inputs!$B$32,0))))+1)),0)</f>
        <v/>
      </c>
      <c r="S743">
        <f>IF(C743,(H743*N743*IF(AND(Inputs!$B$38&lt;&gt;"pvp",Inputs!$B$43&gt;0),((Skills!G7*((R743-1)*IF(Skills!H7&gt;0,Skills!I7/Skills!H7,1)+IF(Skills!H7&gt;0,MIN(Skills!I7,MAX(0,MAX(0,Inputs!$B$43-B774)-((R743-1)*IF(Inputs!$B$38="pvp",15,MAX(0.1,Skills!E7-IF(Skills!F7=TRUE,Inputs!$B$32,0))))))/Skills!H7,1)))/Inputs!$B$43),G743*Q743))*IF(Inputs!$B$38="pvp",1,1+(Inputs!$B$20+Skills!P7)/100),0)</f>
        <v/>
      </c>
      <c r="U743">
        <f>IF(C743,(H743*N743*IF(AND(Inputs!$B$38&lt;&gt;"pvp",Inputs!$B$43&gt;0),((Skills!G7*((R743-1)*IF(Skills!H7&gt;0,Skills!I7/Skills!H7,1)+IF(Skills!H7&gt;0,MIN(Skills!I7,MAX(0,MAX(0,Inputs!$B$43-B774)-((R743-1)*IF(Inputs!$B$38="pvp",15,MAX(0.1,Skills!E7-IF(Skills!F7=TRUE,Inputs!$B$32,0))))))/Skills!H7,1)))/Inputs!$B$43),G743*Q743))*IF(Inputs!$B$38="pvp",1,(1+(Inputs!$B$21+Skills!Q7)/100)*(MIN(Skills!R7,Inputs!$B$37))),0)</f>
        <v/>
      </c>
    </row>
    <row r="744">
      <c r="A744">
        <f>Skills!A8</f>
        <v/>
      </c>
      <c r="B744">
        <f>Skills!B8</f>
        <v/>
      </c>
      <c r="C744">
        <f>TRUE</f>
        <v/>
      </c>
      <c r="D744">
        <f>IF(Skills!C8=1,60+Inputs!$B$25+Inputs!$B$29,IF(Skills!C8=2,90+(Inputs!$B$26+1)+Inputs!$B$29,IF(Skills!C8=3,120+Inputs!$B$27+Inputs!$B$29,MAX(0,(Inputs!$B$3-100)*3)+Inputs!$B$28+Inputs!$B$29)))</f>
        <v/>
      </c>
      <c r="E744">
        <f>INDEX(FactorTable!$B$2:$Y$301, MATCH(ROUND(MIN(300,MAX(1,D744)),0), FactorTable!$A$2:$A$301,0), Skills!M8+1)</f>
        <v/>
      </c>
      <c r="F744">
        <f>IF(Skills!N8=TRUE,(Skills!L8/10)*(E744/1000),Skills!L8/10)+Skills!O8</f>
        <v/>
      </c>
      <c r="G744">
        <f>Calc!G8</f>
        <v/>
      </c>
      <c r="H744">
        <f>Calc!H8</f>
        <v/>
      </c>
      <c r="I744">
        <f>IF(Skills!X8&lt;&gt;"",1+(Skills!X8/10)*(Z739/1000)/100,1)</f>
        <v/>
      </c>
      <c r="J744">
        <f>((Inputs!$B$6*(1+Inputs!$B$7/100))+(((Inputs!$B$12*(1+Inputs!$B$13/100))-(Inputs!$B$12*(1+Inputs!$B$13/100)))+0.25*(Inputs!$B$14-Inputs!$B$14))*(1+Inputs!$B$7/100))*(F744/100)</f>
        <v/>
      </c>
      <c r="K744">
        <f>J744*(1+((Inputs!$B$12*(1+Inputs!$B$13/100))*0.01+Inputs!$B$14*0.0025)/100)*(1+Inputs!$B$15/100)*(1+Inputs!$B$16/100)*(5000/(6000+Inputs!$B$42*(1-Inputs!$B$19/100)))*(1+Inputs!$B$24/100)*(1+F759/100)*(1+IF(Inputs!$B$3&gt;=120,F762,0)/100)^5*(1+(IF(Skills!A8="BASIC_ATTACK",Inputs!$B$17,Inputs!$B$18+IF(Inputs!$B$3&gt;=125,F763*5,0)))/100)*(B766*B767*B768*I744)</f>
        <v/>
      </c>
      <c r="L744">
        <f>K744*(MIN(Inputs!$B$22+(F758-Calc!F22),Inputs!$B$23)/100+Inputs!$B$23/100)/2</f>
        <v/>
      </c>
      <c r="M744">
        <f>L744*(1+(Inputs!$B$10+(F757-Calc!F21))/100)</f>
        <v/>
      </c>
      <c r="N744">
        <f>L744*(1-MIN(Inputs!$B$9+(F756-Calc!F20),100)/100)+M744*(MIN(Inputs!$B$9+(F756-Calc!F20),100)/100)</f>
        <v/>
      </c>
      <c r="O744">
        <f>(1-Summary!$B$56)*S744+Summary!$B$56*U744</f>
        <v/>
      </c>
      <c r="P744">
        <f>IF(B777=0,0,O744/B777)</f>
        <v/>
      </c>
      <c r="Q744">
        <f>IFERROR(1/IF(Inputs!$B$38="pvp",15,MAX(0.1,Skills!E8-IF(Skills!F8=TRUE,Inputs!$B$32,0))),0)</f>
        <v/>
      </c>
      <c r="R744">
        <f>IF(AND(Inputs!$B$38&lt;&gt;"pvp",Inputs!$B$43&gt;0),IF(MAX(0,Inputs!$B$43-B774)&lt;=0,0,(INT(MAX(0,Inputs!$B$43-B774)/IF(Inputs!$B$38="pvp",15,MAX(0.1,Skills!E8-IF(Skills!F8=TRUE,Inputs!$B$32,0))))+1)),0)</f>
        <v/>
      </c>
      <c r="S744">
        <f>IF(C744,(H744*N744*IF(AND(Inputs!$B$38&lt;&gt;"pvp",Inputs!$B$43&gt;0),((Skills!G8*((R744-1)*IF(Skills!H8&gt;0,Skills!I8/Skills!H8,1)+IF(Skills!H8&gt;0,MIN(Skills!I8,MAX(0,MAX(0,Inputs!$B$43-B774)-((R744-1)*IF(Inputs!$B$38="pvp",15,MAX(0.1,Skills!E8-IF(Skills!F8=TRUE,Inputs!$B$32,0))))))/Skills!H8,1)))/Inputs!$B$43),G744*Q744))*IF(Inputs!$B$38="pvp",1,1+(Inputs!$B$20+Skills!P8)/100),0)</f>
        <v/>
      </c>
      <c r="U744">
        <f>IF(C744,(H744*N744*IF(AND(Inputs!$B$38&lt;&gt;"pvp",Inputs!$B$43&gt;0),((Skills!G8*((R744-1)*IF(Skills!H8&gt;0,Skills!I8/Skills!H8,1)+IF(Skills!H8&gt;0,MIN(Skills!I8,MAX(0,MAX(0,Inputs!$B$43-B774)-((R744-1)*IF(Inputs!$B$38="pvp",15,MAX(0.1,Skills!E8-IF(Skills!F8=TRUE,Inputs!$B$32,0))))))/Skills!H8,1)))/Inputs!$B$43),G744*Q744))*IF(Inputs!$B$38="pvp",1,(1+(Inputs!$B$21+Skills!Q8)/100)*(MIN(Skills!R8,Inputs!$B$37))),0)</f>
        <v/>
      </c>
    </row>
    <row r="745">
      <c r="A745">
        <f>Skills!A9</f>
        <v/>
      </c>
      <c r="B745">
        <f>Skills!B9</f>
        <v/>
      </c>
      <c r="C745">
        <f>Inputs!$B$3&gt;=103</f>
        <v/>
      </c>
      <c r="D745">
        <f>IF(Skills!C9=1,60+Inputs!$B$25+Inputs!$B$29,IF(Skills!C9=2,90+(Inputs!$B$26+1)+Inputs!$B$29,IF(Skills!C9=3,120+Inputs!$B$27+Inputs!$B$29,MAX(0,(Inputs!$B$3-100)*3)+Inputs!$B$28+Inputs!$B$29)))</f>
        <v/>
      </c>
      <c r="E745">
        <f>INDEX(FactorTable!$B$2:$Y$301, MATCH(ROUND(MIN(300,MAX(1,D745)),0), FactorTable!$A$2:$A$301,0), Skills!M9+1)</f>
        <v/>
      </c>
      <c r="F745">
        <f>IF(Skills!N9=TRUE,(Skills!L9/10)*(E745/1000),Skills!L9/10)+Skills!O9</f>
        <v/>
      </c>
      <c r="G745">
        <f>Calc!G9</f>
        <v/>
      </c>
      <c r="H745">
        <f>Calc!H9</f>
        <v/>
      </c>
      <c r="I745">
        <f>IF(Skills!X9&lt;&gt;"",1+(Skills!X9/10)*(Z739/1000)/100,1)</f>
        <v/>
      </c>
      <c r="J745">
        <f>((Inputs!$B$6*(1+Inputs!$B$7/100))+(((Inputs!$B$12*(1+Inputs!$B$13/100))-(Inputs!$B$12*(1+Inputs!$B$13/100)))+0.25*(Inputs!$B$14-Inputs!$B$14))*(1+Inputs!$B$7/100))*(F745/100)</f>
        <v/>
      </c>
      <c r="K745">
        <f>J745*(1+((Inputs!$B$12*(1+Inputs!$B$13/100))*0.01+Inputs!$B$14*0.0025)/100)*(1+Inputs!$B$15/100)*(1+Inputs!$B$16/100)*(5000/(6000+Inputs!$B$42*(1-Inputs!$B$19/100)))*(1+Inputs!$B$24/100)*(1+F759/100)*(1+IF(Inputs!$B$3&gt;=120,F762,0)/100)^5*(1+(IF(Skills!A9="BASIC_ATTACK",Inputs!$B$17,Inputs!$B$18+IF(Inputs!$B$3&gt;=125,F763*5,0)))/100)*(B766*B767*B768*I745)</f>
        <v/>
      </c>
      <c r="L745">
        <f>K745*(MIN(Inputs!$B$22+(F758-Calc!F22),Inputs!$B$23)/100+Inputs!$B$23/100)/2</f>
        <v/>
      </c>
      <c r="M745">
        <f>L745*(1+(Inputs!$B$10+(F757-Calc!F21))/100)</f>
        <v/>
      </c>
      <c r="N745">
        <f>L745*(1-MIN(Inputs!$B$9+(F756-Calc!F20),100)/100)+M745*(MIN(Inputs!$B$9+(F756-Calc!F20),100)/100)</f>
        <v/>
      </c>
      <c r="O745">
        <f>(1-Summary!$B$56)*S745+Summary!$B$56*U745</f>
        <v/>
      </c>
      <c r="P745">
        <f>IF(B777=0,0,O745/B777)</f>
        <v/>
      </c>
      <c r="Q745">
        <f>IFERROR(1/IF(Inputs!$B$38="pvp",15,MAX(0.1,Skills!E9-IF(Skills!F7=TRUE,Inputs!$B$32,0))),0)</f>
        <v/>
      </c>
      <c r="R745">
        <f>IF(AND(Inputs!$B$38&lt;&gt;"pvp",Inputs!$B$43&gt;0),IF(MAX(0,Inputs!$B$43-B774)&lt;=0,0,(INT(MAX(0,Inputs!$B$43-B774)/IF(Inputs!$B$38="pvp",15,MAX(0.1,Skills!E9-IF(Skills!F7=TRUE,Inputs!$B$32,0))))+1)),0)</f>
        <v/>
      </c>
      <c r="S745">
        <f>IF(C745,(H745*N745*IF(AND(Inputs!$B$38&lt;&gt;"pvp",Inputs!$B$43&gt;0),((Skills!G9*((R745-1)*IF(Skills!H9&gt;0,Skills!I9/Skills!H9,1)+IF(Skills!H9&gt;0,MIN(Skills!I9,MAX(0,MAX(0,Inputs!$B$43-B774)-((R745-1)*IF(Inputs!$B$38="pvp",15,MAX(0.1,Skills!E9-IF(Skills!F7=TRUE,Inputs!$B$32,0))))))/Skills!H9,1)))/Inputs!$B$43),G745*Q745))*IF(Inputs!$B$38="pvp",1,1+(Inputs!$B$20+Skills!P9)/100),0)</f>
        <v/>
      </c>
      <c r="U745">
        <f>IF(C745,(H745*N745*IF(AND(Inputs!$B$38&lt;&gt;"pvp",Inputs!$B$43&gt;0),((Skills!G9*((R745-1)*IF(Skills!H9&gt;0,Skills!I9/Skills!H9,1)+IF(Skills!H9&gt;0,MIN(Skills!I9,MAX(0,MAX(0,Inputs!$B$43-B774)-((R745-1)*IF(Inputs!$B$38="pvp",15,MAX(0.1,Skills!E9-IF(Skills!F7=TRUE,Inputs!$B$32,0))))))/Skills!H9,1)))/Inputs!$B$43),G745*Q745))*IF(Inputs!$B$38="pvp",1,(1+(Inputs!$B$21+Skills!Q9)/100)*(MIN(Skills!R9,Inputs!$B$37))),0)</f>
        <v/>
      </c>
    </row>
    <row r="746">
      <c r="A746">
        <f>Skills!A10</f>
        <v/>
      </c>
      <c r="B746">
        <f>Skills!B10</f>
        <v/>
      </c>
      <c r="C746">
        <f>TRUE</f>
        <v/>
      </c>
      <c r="D746">
        <f>IF(Skills!C10=1,60+Inputs!$B$25+Inputs!$B$29,IF(Skills!C10=2,90+(Inputs!$B$26+1)+Inputs!$B$29,IF(Skills!C10=3,120+Inputs!$B$27+Inputs!$B$29,MAX(0,(Inputs!$B$3-100)*3)+Inputs!$B$28+Inputs!$B$29)))</f>
        <v/>
      </c>
      <c r="E746">
        <f>INDEX(FactorTable!$B$2:$Y$301, MATCH(ROUND(MIN(300,MAX(1,D746)),0), FactorTable!$A$2:$A$301,0), Skills!M10+1)</f>
        <v/>
      </c>
      <c r="F746">
        <f>IF(Skills!N10=TRUE,(Skills!L10/10)*(E746/1000),Skills!L10/10)+Skills!O10</f>
        <v/>
      </c>
      <c r="G746">
        <f>Calc!G10</f>
        <v/>
      </c>
      <c r="H746">
        <f>Calc!H10</f>
        <v/>
      </c>
      <c r="I746">
        <f>IF(Skills!X10&lt;&gt;"",1+(Skills!X10/10)*(Z739/1000)/100,1)</f>
        <v/>
      </c>
      <c r="J746">
        <f>((Inputs!$B$6*(1+Inputs!$B$7/100))+(((Inputs!$B$12*(1+Inputs!$B$13/100))-(Inputs!$B$12*(1+Inputs!$B$13/100)))+0.25*(Inputs!$B$14-Inputs!$B$14))*(1+Inputs!$B$7/100))*(F746/100)</f>
        <v/>
      </c>
      <c r="K746">
        <f>J746*(1+((Inputs!$B$12*(1+Inputs!$B$13/100))*0.01+Inputs!$B$14*0.0025)/100)*(1+Inputs!$B$15/100)*(1+Inputs!$B$16/100)*(5000/(6000+Inputs!$B$42*(1-Inputs!$B$19/100)))*(1+Inputs!$B$24/100)*(1+F759/100)*(1+IF(Inputs!$B$3&gt;=120,F762,0)/100)^5*(1+(IF(Skills!A10="BASIC_ATTACK",Inputs!$B$17,Inputs!$B$18+IF(Inputs!$B$3&gt;=125,F763*5,0)))/100)*(B766*B767*B768*I746)</f>
        <v/>
      </c>
      <c r="L746">
        <f>K746*(MIN(Inputs!$B$22+(F758-Calc!F22),Inputs!$B$23)/100+Inputs!$B$23/100)/2</f>
        <v/>
      </c>
      <c r="M746">
        <f>L746*(1+(Inputs!$B$10+(F757-Calc!F21))/100)</f>
        <v/>
      </c>
      <c r="N746">
        <f>L746*(1-MIN(Inputs!$B$9+(F756-Calc!F20),100)/100)+M746*(MIN(Inputs!$B$9+(F756-Calc!F20),100)/100)</f>
        <v/>
      </c>
      <c r="O746">
        <f>(1-Summary!$B$56)*S746+Summary!$B$56*U746</f>
        <v/>
      </c>
      <c r="P746">
        <f>IF(B777=0,0,O746/B777)</f>
        <v/>
      </c>
      <c r="Q746">
        <f>IFERROR(1/IF(Inputs!$B$38="pvp",15,MAX(0.1,Skills!E10-IF(Skills!F10=TRUE,Inputs!$B$32,0))),0)</f>
        <v/>
      </c>
      <c r="R746">
        <f>IF(AND(Inputs!$B$38&lt;&gt;"pvp",Inputs!$B$43&gt;0),IF(MAX(0,Inputs!$B$43-B774)&lt;=0,0,(INT(MAX(0,Inputs!$B$43-B774)/IF(Inputs!$B$38="pvp",15,MAX(0.1,Skills!E10-IF(Skills!F10=TRUE,Inputs!$B$32,0))))+1)),0)</f>
        <v/>
      </c>
      <c r="S746">
        <f>IF(C746,(H746*N746*IF(AND(Inputs!$B$38&lt;&gt;"pvp",Inputs!$B$43&gt;0),((Skills!G10*((R746-1)*IF(Skills!H10&gt;0,Skills!I10/Skills!H10,1)+IF(Skills!H10&gt;0,MIN(Skills!I10,MAX(0,MAX(0,Inputs!$B$43-B774)-((R746-1)*IF(Inputs!$B$38="pvp",15,MAX(0.1,Skills!E10-IF(Skills!F10=TRUE,Inputs!$B$32,0))))))/Skills!H10,1)))/Inputs!$B$43),G746*Q746))*IF(Inputs!$B$38="pvp",1,1+(Inputs!$B$20+Skills!P10)/100),0)</f>
        <v/>
      </c>
      <c r="U746">
        <f>IF(C746,(H746*N746*IF(AND(Inputs!$B$38&lt;&gt;"pvp",Inputs!$B$43&gt;0),((Skills!G10*((R746-1)*IF(Skills!H10&gt;0,Skills!I10/Skills!H10,1)+IF(Skills!H10&gt;0,MIN(Skills!I10,MAX(0,MAX(0,Inputs!$B$43-B774)-((R746-1)*IF(Inputs!$B$38="pvp",15,MAX(0.1,Skills!E10-IF(Skills!F10=TRUE,Inputs!$B$32,0))))))/Skills!H10,1)))/Inputs!$B$43),G746*Q746))*IF(Inputs!$B$38="pvp",1,(1+(Inputs!$B$21+Skills!Q10)/100)*(MIN(Skills!R10,Inputs!$B$37))),0)</f>
        <v/>
      </c>
    </row>
    <row r="747">
      <c r="A747">
        <f>Skills!A11</f>
        <v/>
      </c>
      <c r="B747">
        <f>Skills!B11</f>
        <v/>
      </c>
      <c r="C747">
        <f>TRUE</f>
        <v/>
      </c>
      <c r="D747">
        <f>IF(Skills!C11=1,60+Inputs!$B$25+Inputs!$B$29,IF(Skills!C11=2,90+(Inputs!$B$26+1)+Inputs!$B$29,IF(Skills!C11=3,120+Inputs!$B$27+Inputs!$B$29,MAX(0,(Inputs!$B$3-100)*3)+Inputs!$B$28+Inputs!$B$29)))</f>
        <v/>
      </c>
      <c r="E747">
        <f>INDEX(FactorTable!$B$2:$Y$301, MATCH(ROUND(MIN(300,MAX(1,D747)),0), FactorTable!$A$2:$A$301,0), Skills!M11+1)</f>
        <v/>
      </c>
      <c r="F747">
        <f>IF(Skills!N11=TRUE,(Skills!L11/10)*(E747/1000),Skills!L11/10)+Skills!O11</f>
        <v/>
      </c>
      <c r="G747">
        <f>Calc!G11</f>
        <v/>
      </c>
      <c r="H747">
        <f>Calc!H11</f>
        <v/>
      </c>
      <c r="I747">
        <f>IF(Skills!X11&lt;&gt;"",1+(Skills!X11/10)*(Z739/1000)/100,1)</f>
        <v/>
      </c>
      <c r="J747" t="inlineStr"/>
      <c r="K747" t="inlineStr"/>
      <c r="L747" t="inlineStr"/>
      <c r="M747" t="inlineStr"/>
      <c r="N747" t="inlineStr"/>
      <c r="O747">
        <f>(1-Summary!$B$56)*S747+Summary!$B$56*U747</f>
        <v/>
      </c>
      <c r="P747">
        <f>IF(B777=0,0,O747/B777)</f>
        <v/>
      </c>
      <c r="Q747">
        <f>IFERROR(1/IF(Inputs!$B$38="pvp",15,MAX(0.1,Skills!E11-IF(Skills!F11=TRUE,Inputs!$B$32,0))),0)</f>
        <v/>
      </c>
      <c r="R747" t="n">
        <v>0</v>
      </c>
      <c r="S747" t="n">
        <v>0</v>
      </c>
      <c r="U747" t="n">
        <v>0</v>
      </c>
    </row>
    <row r="748">
      <c r="A748">
        <f>Skills!A12</f>
        <v/>
      </c>
      <c r="B748">
        <f>Skills!B12</f>
        <v/>
      </c>
      <c r="C748">
        <f>TRUE</f>
        <v/>
      </c>
      <c r="D748">
        <f>IF(Skills!C12=1,60+Inputs!$B$25+Inputs!$B$29,IF(Skills!C12=2,90+(Inputs!$B$26+1)+Inputs!$B$29,IF(Skills!C12=3,120+Inputs!$B$27+Inputs!$B$29,MAX(0,(Inputs!$B$3-100)*3)+Inputs!$B$28+Inputs!$B$29)))</f>
        <v/>
      </c>
      <c r="E748">
        <f>INDEX(FactorTable!$B$2:$Y$301, MATCH(ROUND(MIN(300,MAX(1,D748)),0), FactorTable!$A$2:$A$301,0), Skills!M12+1)</f>
        <v/>
      </c>
      <c r="F748">
        <f>IF(Skills!N12=TRUE,(Skills!L12/10)*(E748/1000),Skills!L12/10)+Skills!O12</f>
        <v/>
      </c>
      <c r="G748">
        <f>Calc!G12</f>
        <v/>
      </c>
      <c r="H748">
        <f>Calc!H12</f>
        <v/>
      </c>
      <c r="I748">
        <f>IF(Skills!X12&lt;&gt;"",1+(Skills!X12/10)*(Z739/1000)/100,1)</f>
        <v/>
      </c>
      <c r="J748" t="inlineStr"/>
      <c r="K748" t="inlineStr"/>
      <c r="L748" t="inlineStr"/>
      <c r="M748" t="inlineStr"/>
      <c r="N748" t="inlineStr"/>
      <c r="O748">
        <f>(1-Summary!$B$56)*S748+Summary!$B$56*U748</f>
        <v/>
      </c>
      <c r="P748">
        <f>IF(B777=0,0,O748/B777)</f>
        <v/>
      </c>
      <c r="Q748">
        <f>IFERROR(1/IF(Inputs!$B$38="pvp",15,MAX(0.1,Skills!E12-IF(Skills!F12=TRUE,Inputs!$B$32,0))),0)</f>
        <v/>
      </c>
      <c r="R748" t="n">
        <v>0</v>
      </c>
      <c r="S748" t="n">
        <v>0</v>
      </c>
      <c r="U748" t="n">
        <v>0</v>
      </c>
    </row>
    <row r="749">
      <c r="A749">
        <f>Skills!A13</f>
        <v/>
      </c>
      <c r="B749">
        <f>Skills!B13</f>
        <v/>
      </c>
      <c r="C749">
        <f>Inputs!$B$3&gt;=105</f>
        <v/>
      </c>
      <c r="D749">
        <f>IF(Skills!C13=1,60+Inputs!$B$25+Inputs!$B$29,IF(Skills!C13=2,90+(Inputs!$B$26+1)+Inputs!$B$29,IF(Skills!C13=3,120+Inputs!$B$27+Inputs!$B$29,MAX(0,(Inputs!$B$3-100)*3)+Inputs!$B$28+Inputs!$B$29)))</f>
        <v/>
      </c>
      <c r="E749">
        <f>INDEX(FactorTable!$B$2:$Y$301, MATCH(ROUND(MIN(300,MAX(1,D749)),0), FactorTable!$A$2:$A$301,0), Skills!M13+1)</f>
        <v/>
      </c>
      <c r="F749">
        <f>IF(Skills!N13=TRUE,(Skills!L13/10)*(E749/1000),Skills!L13/10)+Skills!O13</f>
        <v/>
      </c>
      <c r="G749">
        <f>Calc!G13</f>
        <v/>
      </c>
      <c r="H749">
        <f>Calc!H13</f>
        <v/>
      </c>
      <c r="I749">
        <f>IF(Skills!X13&lt;&gt;"",1+(Skills!X13/10)*(Z739/1000)/100,1)</f>
        <v/>
      </c>
      <c r="J749">
        <f>((Inputs!$B$6*(1+Inputs!$B$7/100))+(((Inputs!$B$12*(1+Inputs!$B$13/100))-(Inputs!$B$12*(1+Inputs!$B$13/100)))+0.25*(Inputs!$B$14-Inputs!$B$14))*(1+Inputs!$B$7/100))*(F749/100)</f>
        <v/>
      </c>
      <c r="K749">
        <f>J749*(1+((Inputs!$B$12*(1+Inputs!$B$13/100))*0.01+Inputs!$B$14*0.0025)/100)*(1+Inputs!$B$15/100)*(1+Inputs!$B$16/100)*(5000/(6000+Inputs!$B$42*(1-Inputs!$B$19/100)))*(1+Inputs!$B$24/100)*(1+F759/100)*(1+IF(Inputs!$B$3&gt;=120,F762,0)/100)^5*(1+(IF(Skills!A13="BASIC_ATTACK",Inputs!$B$17,Inputs!$B$18+IF(Inputs!$B$3&gt;=125,F763*5,0)))/100)*(B766*B767*B768*I749)</f>
        <v/>
      </c>
      <c r="L749">
        <f>K749*(MIN(Inputs!$B$22+(F758-Calc!F22),Inputs!$B$23)/100+Inputs!$B$23/100)/2</f>
        <v/>
      </c>
      <c r="M749">
        <f>L749*(1+(Inputs!$B$10+(F757-Calc!F21))/100)</f>
        <v/>
      </c>
      <c r="N749">
        <f>L749*(1-MIN(Inputs!$B$9+(F756-Calc!F20),100)/100)+M749*(MIN(Inputs!$B$9+(F756-Calc!F20),100)/100)</f>
        <v/>
      </c>
      <c r="O749">
        <f>(1-Summary!$B$56)*S749+Summary!$B$56*U749</f>
        <v/>
      </c>
      <c r="P749">
        <f>IF(B777=0,0,O749/B777)</f>
        <v/>
      </c>
      <c r="Q749">
        <f>IFERROR(1/IF(Inputs!$B$38="pvp",15,MAX(0.1,Skills!E13-IF(Skills!F13=TRUE,Inputs!$B$32,0))),0)</f>
        <v/>
      </c>
      <c r="R749">
        <f>IF(AND(Inputs!$B$38&lt;&gt;"pvp",Inputs!$B$43&gt;0),IF(MAX(0,Inputs!$B$43-B774)&lt;=0,0,(INT(MAX(0,Inputs!$B$43-B774)/IF(Inputs!$B$38="pvp",15,MAX(0.1,Skills!E13-IF(Skills!F13=TRUE,Inputs!$B$32,0))))+1)),0)</f>
        <v/>
      </c>
      <c r="S749">
        <f>IF(C749,(H749*N749*IF(AND(Inputs!$B$38&lt;&gt;"pvp",Inputs!$B$43&gt;0),((Skills!G13*((R749-1)*IF(Skills!H13&gt;0,Skills!I13/Skills!H13,1)+IF(Skills!H13&gt;0,MIN(Skills!I13,MAX(0,MAX(0,Inputs!$B$43-B774)-((R749-1)*IF(Inputs!$B$38="pvp",15,MAX(0.1,Skills!E13-IF(Skills!F13=TRUE,Inputs!$B$32,0))))))/Skills!H13,1)))/Inputs!$B$43),G749*Q749))*IF(Inputs!$B$38="pvp",1,1+(Inputs!$B$20+Skills!P13)/100),0)</f>
        <v/>
      </c>
      <c r="U749">
        <f>IF(C749,(H749*N749*IF(AND(Inputs!$B$38&lt;&gt;"pvp",Inputs!$B$43&gt;0),((Skills!G13*((R749-1)*IF(Skills!H13&gt;0,Skills!I13/Skills!H13,1)+IF(Skills!H13&gt;0,MIN(Skills!I13,MAX(0,MAX(0,Inputs!$B$43-B774)-((R749-1)*IF(Inputs!$B$38="pvp",15,MAX(0.1,Skills!E13-IF(Skills!F13=TRUE,Inputs!$B$32,0))))))/Skills!H13,1)))/Inputs!$B$43),G749*Q749))*IF(Inputs!$B$38="pvp",1,(1+(Inputs!$B$21+Skills!Q13)/100)*(MIN(Skills!R13,Inputs!$B$37))),0)</f>
        <v/>
      </c>
    </row>
    <row r="750">
      <c r="A750">
        <f>Skills!A14</f>
        <v/>
      </c>
      <c r="B750">
        <f>Skills!B14</f>
        <v/>
      </c>
      <c r="C750">
        <f>Inputs!$B$3&gt;=113</f>
        <v/>
      </c>
      <c r="D750">
        <f>IF(Skills!C14=1,60+Inputs!$B$25+Inputs!$B$29,IF(Skills!C14=2,90+(Inputs!$B$26+1)+Inputs!$B$29,IF(Skills!C14=3,120+Inputs!$B$27+Inputs!$B$29,MAX(0,(Inputs!$B$3-100)*3)+Inputs!$B$28+Inputs!$B$29)))</f>
        <v/>
      </c>
      <c r="E750">
        <f>INDEX(FactorTable!$B$2:$Y$301, MATCH(ROUND(MIN(300,MAX(1,D750)),0), FactorTable!$A$2:$A$301,0), Skills!M14+1)</f>
        <v/>
      </c>
      <c r="F750">
        <f>IF(Skills!N14=TRUE,(Skills!L14/10)*(E750/1000),Skills!L14/10)+Skills!O14</f>
        <v/>
      </c>
      <c r="G750">
        <f>Calc!G14</f>
        <v/>
      </c>
      <c r="H750">
        <f>Calc!H14</f>
        <v/>
      </c>
      <c r="I750">
        <f>IF(Skills!X14&lt;&gt;"",1+(Skills!X14/10)*(Z739/1000)/100,1)</f>
        <v/>
      </c>
      <c r="J750">
        <f>((Inputs!$B$6*(1+Inputs!$B$7/100))+(((Inputs!$B$12*(1+Inputs!$B$13/100))-(Inputs!$B$12*(1+Inputs!$B$13/100)))+0.25*(Inputs!$B$14-Inputs!$B$14))*(1+Inputs!$B$7/100))*(F750/100)</f>
        <v/>
      </c>
      <c r="K750">
        <f>J750*(1+((Inputs!$B$12*(1+Inputs!$B$13/100))*0.01+Inputs!$B$14*0.0025)/100)*(1+Inputs!$B$15/100)*(1+Inputs!$B$16/100)*(5000/(6000+Inputs!$B$42*(1-Inputs!$B$19/100)))*(1+Inputs!$B$24/100)*(1+F759/100)*(1+IF(Inputs!$B$3&gt;=120,F762,0)/100)^5*(1+(IF(Skills!A14="BASIC_ATTACK",Inputs!$B$17,Inputs!$B$18+IF(Inputs!$B$3&gt;=125,F763*5,0)))/100)*(B766*B767*B768*I750)</f>
        <v/>
      </c>
      <c r="L750">
        <f>K750*(MIN(Inputs!$B$22+(F758-Calc!F22),Inputs!$B$23)/100+Inputs!$B$23/100)/2</f>
        <v/>
      </c>
      <c r="M750">
        <f>L750*(1+(Inputs!$B$10+(F757-Calc!F21))/100)</f>
        <v/>
      </c>
      <c r="N750">
        <f>L750*(1-MIN(Inputs!$B$9+(F756-Calc!F20),100)/100)+M750*(MIN(Inputs!$B$9+(F756-Calc!F20),100)/100)</f>
        <v/>
      </c>
      <c r="O750">
        <f>(1-Summary!$B$56)*S750+Summary!$B$56*U750</f>
        <v/>
      </c>
      <c r="P750">
        <f>IF(B777=0,0,O750/B777)</f>
        <v/>
      </c>
      <c r="Q750">
        <f>IFERROR(1/IF(Inputs!$B$38="pvp",15,MAX(0.1,Skills!E14-IF(Skills!F14=TRUE,Inputs!$B$32,0))),0)</f>
        <v/>
      </c>
      <c r="R750" t="n">
        <v>0</v>
      </c>
      <c r="S750">
        <f>IF(C750,((H750*B773)/(1+Skills!H14*H750*B773)*N750)*IF(Inputs!$B$38="pvp",1,1+(Inputs!$B$20+Skills!P14)/100),0)</f>
        <v/>
      </c>
      <c r="U750">
        <f>IF(C750,((H750*B773)/(1+Skills!H14*H750*B773)*N750)*IF(Inputs!$B$38="pvp",1,(1+(Inputs!$B$21+Skills!Q14)/100)*(MIN(Skills!R14,Inputs!$B$37))),0)</f>
        <v/>
      </c>
    </row>
    <row r="751">
      <c r="A751">
        <f>Skills!A15</f>
        <v/>
      </c>
      <c r="B751">
        <f>Skills!B15</f>
        <v/>
      </c>
      <c r="C751">
        <f>Inputs!$B$3&gt;=107</f>
        <v/>
      </c>
      <c r="D751">
        <f>IF(Skills!C15=1,60+Inputs!$B$25+Inputs!$B$29,IF(Skills!C15=2,90+(Inputs!$B$26+1)+Inputs!$B$29,IF(Skills!C15=3,120+Inputs!$B$27+Inputs!$B$29,MAX(0,(Inputs!$B$3-100)*3)+Inputs!$B$28+Inputs!$B$29)))</f>
        <v/>
      </c>
      <c r="E751">
        <f>INDEX(FactorTable!$B$2:$Y$301, MATCH(ROUND(MIN(300,MAX(1,D751)),0), FactorTable!$A$2:$A$301,0), Skills!M15+1)</f>
        <v/>
      </c>
      <c r="F751">
        <f>IF(Skills!N15=TRUE,(Skills!L15/10)*(E751/1000),Skills!L15/10)+Skills!O15</f>
        <v/>
      </c>
      <c r="G751">
        <f>Calc!G15</f>
        <v/>
      </c>
      <c r="H751">
        <f>Calc!H15</f>
        <v/>
      </c>
      <c r="I751">
        <f>IF(Skills!X15&lt;&gt;"",1+(Skills!X15/10)*(Z739/1000)/100,1)</f>
        <v/>
      </c>
      <c r="J751">
        <f>((Inputs!$B$6*(1+Inputs!$B$7/100))+(((Inputs!$B$12*(1+Inputs!$B$13/100))-(Inputs!$B$12*(1+Inputs!$B$13/100)))+0.25*(Inputs!$B$14-Inputs!$B$14))*(1+Inputs!$B$7/100))*(F751/100)</f>
        <v/>
      </c>
      <c r="K751">
        <f>J751*(1+((Inputs!$B$12*(1+Inputs!$B$13/100))*0.01+Inputs!$B$14*0.0025)/100)*(1+Inputs!$B$15/100)*(1+Inputs!$B$16/100)*(5000/(6000+Inputs!$B$42*(1-Inputs!$B$19/100)))*(1+Inputs!$B$24/100)*(1+F759/100)*(1+IF(Inputs!$B$3&gt;=120,F762,0)/100)^5*(1+(IF(Skills!A15="BASIC_ATTACK",Inputs!$B$17,Inputs!$B$18+IF(Inputs!$B$3&gt;=125,F763*5,0)))/100)*(B766*B767*B768*I751)</f>
        <v/>
      </c>
      <c r="L751">
        <f>K751*(MIN(Inputs!$B$22+(F758-Calc!F22),Inputs!$B$23)/100+Inputs!$B$23/100)/2</f>
        <v/>
      </c>
      <c r="M751">
        <f>L751*(1+(Inputs!$B$10+(F757-Calc!F21))/100)</f>
        <v/>
      </c>
      <c r="N751">
        <f>L751*(1-MIN(Inputs!$B$9+(F756-Calc!F20),100)/100)+M751*(MIN(Inputs!$B$9+(F756-Calc!F20),100)/100)</f>
        <v/>
      </c>
      <c r="O751">
        <f>(1-Summary!$B$56)*S751+Summary!$B$56*U751</f>
        <v/>
      </c>
      <c r="P751">
        <f>IF(B777=0,0,O751/B777)</f>
        <v/>
      </c>
      <c r="Q751">
        <f>IFERROR(1/IF(Inputs!$B$38="pvp",15,MAX(0.1,Skills!E15-IF(Skills!F15=TRUE,Inputs!$B$32,0))),0)</f>
        <v/>
      </c>
      <c r="R751">
        <f>IF(AND(Inputs!$B$38&lt;&gt;"pvp",Inputs!$B$43&gt;0),IF(MAX(0,Inputs!$B$43-B774)&lt;=0,0,(INT(MAX(0,Inputs!$B$43-B774)/IF(Inputs!$B$38="pvp",15,MAX(0.1,Skills!E15-IF(Skills!F15=TRUE,Inputs!$B$32,0))))+1)),0)</f>
        <v/>
      </c>
      <c r="S751">
        <f>IF(C751,(H751*N751*IF(AND(Inputs!$B$38&lt;&gt;"pvp",Inputs!$B$43&gt;0),((Skills!G15*((R751-1)*IF(Skills!H15&gt;0,Skills!I15/Skills!H15,1)+IF(Skills!H15&gt;0,MIN(Skills!I15,MAX(0,MAX(0,Inputs!$B$43-B774)-((R751-1)*IF(Inputs!$B$38="pvp",15,MAX(0.1,Skills!E15-IF(Skills!F15=TRUE,Inputs!$B$32,0))))))/Skills!H15,1)))/Inputs!$B$43),G751*Q751))*IF(Inputs!$B$38="pvp",1,1+(Inputs!$B$20+Skills!P15)/100),0)</f>
        <v/>
      </c>
      <c r="U751">
        <f>IF(C751,(H751*N751*IF(AND(Inputs!$B$38&lt;&gt;"pvp",Inputs!$B$43&gt;0),((Skills!G15*((R751-1)*IF(Skills!H15&gt;0,Skills!I15/Skills!H15,1)+IF(Skills!H15&gt;0,MIN(Skills!I15,MAX(0,MAX(0,Inputs!$B$43-B774)-((R751-1)*IF(Inputs!$B$38="pvp",15,MAX(0.1,Skills!E15-IF(Skills!F15=TRUE,Inputs!$B$32,0))))))/Skills!H15,1)))/Inputs!$B$43),G751*Q751))*IF(Inputs!$B$38="pvp",1,(1+(Inputs!$B$21+Skills!Q15)/100)*(MIN(Skills!R15,Inputs!$B$37))),0)</f>
        <v/>
      </c>
    </row>
    <row r="752">
      <c r="A752">
        <f>Skills!A16</f>
        <v/>
      </c>
      <c r="B752">
        <f>Skills!B16</f>
        <v/>
      </c>
      <c r="C752">
        <f>Inputs!$B$3&gt;=107</f>
        <v/>
      </c>
      <c r="D752">
        <f>IF(Skills!C16=1,60+Inputs!$B$25+Inputs!$B$29,IF(Skills!C16=2,90+(Inputs!$B$26+1)+Inputs!$B$29,IF(Skills!C16=3,120+Inputs!$B$27+Inputs!$B$29,MAX(0,(Inputs!$B$3-100)*3)+Inputs!$B$28+Inputs!$B$29)))</f>
        <v/>
      </c>
      <c r="E752">
        <f>INDEX(FactorTable!$B$2:$Y$301, MATCH(ROUND(MIN(300,MAX(1,D752)),0), FactorTable!$A$2:$A$301,0), Skills!M16+1)</f>
        <v/>
      </c>
      <c r="F752">
        <f>IF(Skills!N16=TRUE,(Skills!L16/10)*(E752/1000),Skills!L16/10)+Skills!O16</f>
        <v/>
      </c>
      <c r="G752">
        <f>Calc!G16</f>
        <v/>
      </c>
      <c r="H752">
        <f>Calc!H16</f>
        <v/>
      </c>
      <c r="I752">
        <f>IF(Skills!X16&lt;&gt;"",1+(Skills!X16/10)*(Z739/1000)/100,1)</f>
        <v/>
      </c>
      <c r="J752">
        <f>((Inputs!$B$6*(1+Inputs!$B$7/100))+(((Inputs!$B$12*(1+Inputs!$B$13/100))-(Inputs!$B$12*(1+Inputs!$B$13/100)))+0.25*(Inputs!$B$14-Inputs!$B$14))*(1+Inputs!$B$7/100))*(F752/100)</f>
        <v/>
      </c>
      <c r="K752">
        <f>J752*(1+((Inputs!$B$12*(1+Inputs!$B$13/100))*0.01+Inputs!$B$14*0.0025)/100)*(1+Inputs!$B$15/100)*(1+Inputs!$B$16/100)*(5000/(6000+Inputs!$B$42*(1-Inputs!$B$19/100)))*(1+Inputs!$B$24/100)*(1+F759/100)*(1+IF(Inputs!$B$3&gt;=120,F762,0)/100)^5*(1+(IF(Skills!A16="BASIC_ATTACK",Inputs!$B$17,Inputs!$B$18+IF(Inputs!$B$3&gt;=125,F763*5,0)))/100)*(B766*B767*B768*I752)</f>
        <v/>
      </c>
      <c r="L752">
        <f>K752*(MIN(Inputs!$B$22+(F758-Calc!F22),Inputs!$B$23)/100+Inputs!$B$23/100)/2</f>
        <v/>
      </c>
      <c r="M752">
        <f>L752*(1+(Inputs!$B$10+(F757-Calc!F21))/100)</f>
        <v/>
      </c>
      <c r="N752">
        <f>L752*(1-MIN(Inputs!$B$9+(F756-Calc!F20),100)/100)+M752*(MIN(Inputs!$B$9+(F756-Calc!F20),100)/100)</f>
        <v/>
      </c>
      <c r="O752">
        <f>(1-Summary!$B$56)*S752+Summary!$B$56*U752</f>
        <v/>
      </c>
      <c r="P752">
        <f>IF(B777=0,0,O752/B777)</f>
        <v/>
      </c>
      <c r="Q752">
        <f>IFERROR(1/IF(Inputs!$B$38="pvp",15,MAX(0.1,Skills!E16-IF(Skills!F16=TRUE,Inputs!$B$32,0))),0)</f>
        <v/>
      </c>
      <c r="R752">
        <f>IF(AND(Inputs!$B$38&lt;&gt;"pvp",Inputs!$B$43&gt;0),IF(MAX(0,Inputs!$B$43-B774)&lt;=0,0,(INT(MAX(0,Inputs!$B$43-B774)/IF(Inputs!$B$38="pvp",15,MAX(0.1,Skills!E16-IF(Skills!F16=TRUE,Inputs!$B$32,0))))+1)),0)</f>
        <v/>
      </c>
      <c r="S752">
        <f>IF(C752,(H752*N752*IF(AND(Inputs!$B$38&lt;&gt;"pvp",Inputs!$B$43&gt;0),((Skills!G16*((R752-1)*IF(Skills!H16&gt;0,Skills!I16/Skills!H16,1)+IF(Skills!H16&gt;0,MIN(Skills!I16,MAX(0,MAX(0,Inputs!$B$43-B774)-((R752-1)*IF(Inputs!$B$38="pvp",15,MAX(0.1,Skills!E16-IF(Skills!F16=TRUE,Inputs!$B$32,0))))))/Skills!H16,1)))/Inputs!$B$43),G752*Q752)*(1+IF(Inputs!$B$3&gt;=126,0.05*(B772+Q749+(H750*B773)/(1+Skills!H14*H750*B773)+Q760),0)*Skills!E15))*IF(Inputs!$B$38="pvp",1,1+(Inputs!$B$20+Skills!P16)/100),0)</f>
        <v/>
      </c>
      <c r="U752">
        <f>IF(C752,(H752*N752*IF(AND(Inputs!$B$38&lt;&gt;"pvp",Inputs!$B$43&gt;0),((Skills!G16*((R752-1)*IF(Skills!H16&gt;0,Skills!I16/Skills!H16,1)+IF(Skills!H16&gt;0,MIN(Skills!I16,MAX(0,MAX(0,Inputs!$B$43-B774)-((R752-1)*IF(Inputs!$B$38="pvp",15,MAX(0.1,Skills!E16-IF(Skills!F16=TRUE,Inputs!$B$32,0))))))/Skills!H16,1)))/Inputs!$B$43),G752*Q752)*(1+IF(Inputs!$B$3&gt;=126,0.05*(B772+Q749+(H750*B773)/(1+Skills!H14*H750*B773)+Q760),0)*Skills!E15))*IF(Inputs!$B$38="pvp",1,(1+(Inputs!$B$21+Skills!Q16)/100)*(MIN(Skills!R16,Inputs!$B$37))),0)</f>
        <v/>
      </c>
    </row>
    <row r="753">
      <c r="A753">
        <f>Skills!A17</f>
        <v/>
      </c>
      <c r="B753">
        <f>Skills!B17</f>
        <v/>
      </c>
      <c r="C753">
        <f>TRUE</f>
        <v/>
      </c>
      <c r="D753">
        <f>IF(Skills!C17=1,60+Inputs!$B$25+Inputs!$B$29,IF(Skills!C17=2,90+(Inputs!$B$26+1)+Inputs!$B$29,IF(Skills!C17=3,120+Inputs!$B$27+Inputs!$B$29,MAX(0,(Inputs!$B$3-100)*3)+Inputs!$B$28+Inputs!$B$29)))</f>
        <v/>
      </c>
      <c r="E753">
        <f>INDEX(FactorTable!$B$2:$Y$301, MATCH(ROUND(MIN(300,MAX(1,D753)),0), FactorTable!$A$2:$A$301,0), Skills!M17+1)</f>
        <v/>
      </c>
      <c r="F753">
        <f>IF(Skills!N17=TRUE,(Skills!L17/10)*(E753/1000),Skills!L17/10)+Skills!O17</f>
        <v/>
      </c>
      <c r="G753">
        <f>Calc!G17</f>
        <v/>
      </c>
      <c r="H753">
        <f>Calc!H17</f>
        <v/>
      </c>
      <c r="I753">
        <f>IF(Skills!X17&lt;&gt;"",1+(Skills!X17/10)*(Z739/1000)/100,1)</f>
        <v/>
      </c>
      <c r="J753" t="inlineStr"/>
      <c r="K753" t="inlineStr"/>
      <c r="L753" t="inlineStr"/>
      <c r="M753" t="inlineStr"/>
      <c r="N753" t="inlineStr"/>
      <c r="O753">
        <f>(1-Summary!$B$56)*S753+Summary!$B$56*U753</f>
        <v/>
      </c>
      <c r="P753">
        <f>IF(B777=0,0,O753/B777)</f>
        <v/>
      </c>
      <c r="Q753">
        <f>IFERROR(1/IF(Inputs!$B$38="pvp",15,MAX(0.1,Skills!E17-IF(Skills!F17=TRUE,Inputs!$B$32,0))),0)</f>
        <v/>
      </c>
      <c r="R753">
        <f>IF(AND(Inputs!$B$38&lt;&gt;"pvp",Inputs!$B$43&gt;0),IF(Inputs!$B$43&lt;=0,0,(INT(Inputs!$B$43/IF(Inputs!$B$38="pvp",15,MAX(0.1,Skills!E17-IF(Skills!F17=TRUE,Inputs!$B$32,0))))+1)),0)</f>
        <v/>
      </c>
      <c r="S753" t="n">
        <v>0</v>
      </c>
      <c r="U753" t="n">
        <v>0</v>
      </c>
    </row>
    <row r="754">
      <c r="A754">
        <f>Skills!A18</f>
        <v/>
      </c>
      <c r="B754">
        <f>Skills!B18</f>
        <v/>
      </c>
      <c r="C754">
        <f>TRUE</f>
        <v/>
      </c>
      <c r="D754">
        <f>IF(Skills!C18=1,60+Inputs!$B$25+Inputs!$B$29,IF(Skills!C18=2,90+(Inputs!$B$26+1)+Inputs!$B$29,IF(Skills!C18=3,120+Inputs!$B$27+Inputs!$B$29,MAX(0,(Inputs!$B$3-100)*3)+Inputs!$B$28+Inputs!$B$29)))</f>
        <v/>
      </c>
      <c r="E754">
        <f>INDEX(FactorTable!$B$2:$Y$301, MATCH(ROUND(MIN(300,MAX(1,D754)),0), FactorTable!$A$2:$A$301,0), Skills!M18+1)</f>
        <v/>
      </c>
      <c r="F754">
        <f>IF(Skills!N18=TRUE,(Skills!L18/10)*(E754/1000),Skills!L18/10)+Skills!O18</f>
        <v/>
      </c>
      <c r="G754">
        <f>Calc!G18</f>
        <v/>
      </c>
      <c r="H754">
        <f>Calc!H18</f>
        <v/>
      </c>
      <c r="I754">
        <f>IF(Skills!X18&lt;&gt;"",1+(Skills!X18/10)*(Z739/1000)/100,1)</f>
        <v/>
      </c>
      <c r="J754" t="inlineStr"/>
      <c r="K754" t="inlineStr"/>
      <c r="L754" t="inlineStr"/>
      <c r="M754" t="inlineStr"/>
      <c r="N754" t="inlineStr"/>
      <c r="O754">
        <f>(1-Summary!$B$56)*S754+Summary!$B$56*U754</f>
        <v/>
      </c>
      <c r="P754">
        <f>IF(B777=0,0,O754/B777)</f>
        <v/>
      </c>
      <c r="Q754">
        <f>IFERROR(1/IF(Inputs!$B$38="pvp",15,MAX(0.1,Skills!E18-IF(Skills!F18=TRUE,Inputs!$B$32,0))),0)</f>
        <v/>
      </c>
      <c r="R754">
        <f>IF(AND(Inputs!$B$38&lt;&gt;"pvp",Inputs!$B$43&gt;0),IF(Inputs!$B$43&lt;=0,0,(INT(Inputs!$B$43/IF(Inputs!$B$38="pvp",15,MAX(0.1,Skills!E18-IF(Skills!F18=TRUE,Inputs!$B$32,0))))+1)),0)</f>
        <v/>
      </c>
      <c r="S754" t="n">
        <v>0</v>
      </c>
      <c r="U754" t="n">
        <v>0</v>
      </c>
    </row>
    <row r="755">
      <c r="A755">
        <f>Skills!A19</f>
        <v/>
      </c>
      <c r="B755">
        <f>Skills!B19</f>
        <v/>
      </c>
      <c r="C755">
        <f>Inputs!$B$3&gt;=110</f>
        <v/>
      </c>
      <c r="D755">
        <f>IF(Skills!C19=1,60+Inputs!$B$25+Inputs!$B$29,IF(Skills!C19=2,90+(Inputs!$B$26+1)+Inputs!$B$29,IF(Skills!C19=3,120+Inputs!$B$27+Inputs!$B$29,MAX(0,(Inputs!$B$3-100)*3)+Inputs!$B$28+Inputs!$B$29)))</f>
        <v/>
      </c>
      <c r="E755">
        <f>INDEX(FactorTable!$B$2:$Y$301, MATCH(ROUND(MIN(300,MAX(1,D755)),0), FactorTable!$A$2:$A$301,0), Skills!M19+1)</f>
        <v/>
      </c>
      <c r="F755">
        <f>IF(Skills!N19=TRUE,(Skills!L19/10)*(E755/1000),Skills!L19/10)+Skills!O19</f>
        <v/>
      </c>
      <c r="G755">
        <f>Calc!G19</f>
        <v/>
      </c>
      <c r="H755">
        <f>Calc!H19</f>
        <v/>
      </c>
      <c r="I755">
        <f>IF(Skills!X19&lt;&gt;"",1+(Skills!X19/10)*(Z739/1000)/100,1)</f>
        <v/>
      </c>
      <c r="J755" t="inlineStr"/>
      <c r="K755" t="inlineStr"/>
      <c r="L755" t="inlineStr"/>
      <c r="M755" t="inlineStr"/>
      <c r="N755" t="inlineStr"/>
      <c r="O755">
        <f>(1-Summary!$B$56)*S755+Summary!$B$56*U755</f>
        <v/>
      </c>
      <c r="P755">
        <f>IF(B777=0,0,O755/B777)</f>
        <v/>
      </c>
      <c r="Q755">
        <f>IFERROR(1/IF(Inputs!$B$38="pvp",15,MAX(0.1,Skills!E19-IF(Skills!F19=TRUE,Inputs!$B$32,0))),0)</f>
        <v/>
      </c>
      <c r="R755">
        <f>IF(AND(Inputs!$B$38&lt;&gt;"pvp",Inputs!$B$43&gt;0),IF(Inputs!$B$43&lt;=0,0,(INT(Inputs!$B$43/IF(Inputs!$B$38="pvp",15,MAX(0.1,Skills!E19-IF(Skills!F19=TRUE,Inputs!$B$32,0))))+1)),0)</f>
        <v/>
      </c>
      <c r="S755" t="n">
        <v>0</v>
      </c>
      <c r="U755" t="n">
        <v>0</v>
      </c>
    </row>
    <row r="756">
      <c r="A756">
        <f>Skills!A20</f>
        <v/>
      </c>
      <c r="B756">
        <f>Skills!B20</f>
        <v/>
      </c>
      <c r="C756">
        <f>TRUE</f>
        <v/>
      </c>
      <c r="D756">
        <f>IF(Skills!C20=1,60+Inputs!$B$25+Inputs!$B$29,IF(Skills!C20=2,90+(Inputs!$B$26+1)+Inputs!$B$29,IF(Skills!C20=3,120+Inputs!$B$27+Inputs!$B$29,MAX(0,(Inputs!$B$3-100)*3)+Inputs!$B$28+Inputs!$B$29)))</f>
        <v/>
      </c>
      <c r="E756">
        <f>INDEX(FactorTable!$B$2:$Y$301, MATCH(ROUND(MIN(300,MAX(1,D756)),0), FactorTable!$A$2:$A$301,0), Skills!M20+1)</f>
        <v/>
      </c>
      <c r="F756">
        <f>IF(Skills!N20=TRUE,(Skills!L20/10)*(E756/1000),Skills!L20/10)+Skills!O20</f>
        <v/>
      </c>
      <c r="G756">
        <f>Calc!G20</f>
        <v/>
      </c>
      <c r="H756">
        <f>Calc!H20</f>
        <v/>
      </c>
      <c r="I756">
        <f>IF(Skills!X20&lt;&gt;"",1+(Skills!X20/10)*(Z739/1000)/100,1)</f>
        <v/>
      </c>
      <c r="J756" t="inlineStr"/>
      <c r="K756" t="inlineStr"/>
      <c r="L756" t="inlineStr"/>
      <c r="M756" t="inlineStr"/>
      <c r="N756" t="inlineStr"/>
      <c r="O756">
        <f>(1-Summary!$B$56)*S756+Summary!$B$56*U756</f>
        <v/>
      </c>
      <c r="P756">
        <f>IF(B777=0,0,O756/B777)</f>
        <v/>
      </c>
      <c r="Q756">
        <f>IFERROR(1/IF(Inputs!$B$38="pvp",15,MAX(0.1,Skills!E20-IF(Skills!F20=TRUE,Inputs!$B$32,0))),0)</f>
        <v/>
      </c>
      <c r="R756" t="n">
        <v>0</v>
      </c>
      <c r="S756" t="n">
        <v>0</v>
      </c>
      <c r="U756" t="n">
        <v>0</v>
      </c>
    </row>
    <row r="757">
      <c r="A757">
        <f>Skills!A21</f>
        <v/>
      </c>
      <c r="B757">
        <f>Skills!B21</f>
        <v/>
      </c>
      <c r="C757">
        <f>TRUE</f>
        <v/>
      </c>
      <c r="D757">
        <f>IF(Skills!C21=1,60+Inputs!$B$25+Inputs!$B$29,IF(Skills!C21=2,90+(Inputs!$B$26+1)+Inputs!$B$29,IF(Skills!C21=3,120+Inputs!$B$27+Inputs!$B$29,MAX(0,(Inputs!$B$3-100)*3)+Inputs!$B$28+Inputs!$B$29)))</f>
        <v/>
      </c>
      <c r="E757">
        <f>INDEX(FactorTable!$B$2:$Y$301, MATCH(ROUND(MIN(300,MAX(1,D757)),0), FactorTable!$A$2:$A$301,0), Skills!M21+1)</f>
        <v/>
      </c>
      <c r="F757">
        <f>IF(Skills!N21=TRUE,(Skills!L21/10)*(E757/1000),Skills!L21/10)+Skills!O21</f>
        <v/>
      </c>
      <c r="G757">
        <f>Calc!G21</f>
        <v/>
      </c>
      <c r="H757">
        <f>Calc!H21</f>
        <v/>
      </c>
      <c r="I757">
        <f>IF(Skills!X21&lt;&gt;"",1+(Skills!X21/10)*(Z739/1000)/100,1)</f>
        <v/>
      </c>
      <c r="J757" t="inlineStr"/>
      <c r="K757" t="inlineStr"/>
      <c r="L757" t="inlineStr"/>
      <c r="M757" t="inlineStr"/>
      <c r="N757" t="inlineStr"/>
      <c r="O757">
        <f>(1-Summary!$B$56)*S757+Summary!$B$56*U757</f>
        <v/>
      </c>
      <c r="P757">
        <f>IF(B777=0,0,O757/B777)</f>
        <v/>
      </c>
      <c r="Q757">
        <f>IFERROR(1/IF(Inputs!$B$38="pvp",15,MAX(0.1,Skills!E21-IF(Skills!F21=TRUE,Inputs!$B$32,0))),0)</f>
        <v/>
      </c>
      <c r="R757" t="n">
        <v>0</v>
      </c>
      <c r="S757" t="n">
        <v>0</v>
      </c>
      <c r="U757" t="n">
        <v>0</v>
      </c>
    </row>
    <row r="758">
      <c r="A758">
        <f>Skills!A22</f>
        <v/>
      </c>
      <c r="B758">
        <f>Skills!B22</f>
        <v/>
      </c>
      <c r="C758">
        <f>TRUE</f>
        <v/>
      </c>
      <c r="D758">
        <f>IF(Skills!C22=1,60+Inputs!$B$25+Inputs!$B$29,IF(Skills!C22=2,90+(Inputs!$B$26+1)+Inputs!$B$29,IF(Skills!C22=3,120+Inputs!$B$27+Inputs!$B$29,MAX(0,(Inputs!$B$3-100)*3)+Inputs!$B$28+Inputs!$B$29)))</f>
        <v/>
      </c>
      <c r="E758">
        <f>INDEX(FactorTable!$B$2:$Y$301, MATCH(ROUND(MIN(300,MAX(1,D758)),0), FactorTable!$A$2:$A$301,0), Skills!M22+1)</f>
        <v/>
      </c>
      <c r="F758">
        <f>IF(Skills!N22=TRUE,(Skills!L22/10)*(E758/1000),Skills!L22/10)+Skills!O22</f>
        <v/>
      </c>
      <c r="G758">
        <f>Calc!G22</f>
        <v/>
      </c>
      <c r="H758">
        <f>Calc!H22</f>
        <v/>
      </c>
      <c r="I758">
        <f>IF(Skills!X22&lt;&gt;"",1+(Skills!X22/10)*(Z739/1000)/100,1)</f>
        <v/>
      </c>
      <c r="J758" t="inlineStr"/>
      <c r="K758" t="inlineStr"/>
      <c r="L758" t="inlineStr"/>
      <c r="M758" t="inlineStr"/>
      <c r="N758" t="inlineStr"/>
      <c r="O758">
        <f>(1-Summary!$B$56)*S758+Summary!$B$56*U758</f>
        <v/>
      </c>
      <c r="P758">
        <f>IF(B777=0,0,O758/B777)</f>
        <v/>
      </c>
      <c r="Q758">
        <f>IFERROR(1/IF(Inputs!$B$38="pvp",15,MAX(0.1,Skills!E22-IF(Skills!F22=TRUE,Inputs!$B$32,0))),0)</f>
        <v/>
      </c>
      <c r="R758" t="n">
        <v>0</v>
      </c>
      <c r="S758" t="n">
        <v>0</v>
      </c>
      <c r="U758" t="n">
        <v>0</v>
      </c>
    </row>
    <row r="759">
      <c r="A759">
        <f>Skills!A23</f>
        <v/>
      </c>
      <c r="B759">
        <f>Skills!B23</f>
        <v/>
      </c>
      <c r="C759">
        <f>TRUE</f>
        <v/>
      </c>
      <c r="D759">
        <f>IF(Skills!C23=1,60+Inputs!$B$25+Inputs!$B$29,IF(Skills!C23=2,90+(Inputs!$B$26+1)+Inputs!$B$29,IF(Skills!C23=3,120+Inputs!$B$27+Inputs!$B$29,MAX(0,(Inputs!$B$3-100)*3)+Inputs!$B$28+Inputs!$B$29)))</f>
        <v/>
      </c>
      <c r="E759">
        <f>INDEX(FactorTable!$B$2:$Y$301, MATCH(ROUND(MIN(300,MAX(1,D759)),0), FactorTable!$A$2:$A$301,0), Skills!M23+1)</f>
        <v/>
      </c>
      <c r="F759">
        <f>IF(Skills!N23=TRUE,(Skills!L23/10)*(E759/1000),Skills!L23/10)+Skills!O23</f>
        <v/>
      </c>
      <c r="G759">
        <f>Calc!G23</f>
        <v/>
      </c>
      <c r="H759">
        <f>Calc!H23</f>
        <v/>
      </c>
      <c r="I759">
        <f>IF(Skills!X23&lt;&gt;"",1+(Skills!X23/10)*(Z739/1000)/100,1)</f>
        <v/>
      </c>
      <c r="J759" t="inlineStr"/>
      <c r="K759" t="inlineStr"/>
      <c r="L759" t="inlineStr"/>
      <c r="M759" t="inlineStr"/>
      <c r="N759" t="inlineStr"/>
      <c r="O759">
        <f>(1-Summary!$B$56)*S759+Summary!$B$56*U759</f>
        <v/>
      </c>
      <c r="P759">
        <f>IF(B777=0,0,O759/B777)</f>
        <v/>
      </c>
      <c r="Q759">
        <f>IFERROR(1/IF(Inputs!$B$38="pvp",15,MAX(0.1,Skills!E23-IF(Skills!F23=TRUE,Inputs!$B$32,0))),0)</f>
        <v/>
      </c>
      <c r="R759" t="n">
        <v>0</v>
      </c>
      <c r="S759" t="n">
        <v>0</v>
      </c>
      <c r="U759" t="n">
        <v>0</v>
      </c>
    </row>
    <row r="760">
      <c r="A760">
        <f>Skills!A24</f>
        <v/>
      </c>
      <c r="B760">
        <f>Skills!B24</f>
        <v/>
      </c>
      <c r="C760">
        <f>Inputs!$B$3&gt;=115</f>
        <v/>
      </c>
      <c r="D760">
        <f>IF(Skills!C24=1,60+Inputs!$B$25+Inputs!$B$29,IF(Skills!C24=2,90+(Inputs!$B$26+1)+Inputs!$B$29,IF(Skills!C24=3,120+Inputs!$B$27+Inputs!$B$29,MAX(0,(Inputs!$B$3-100)*3)+Inputs!$B$28+Inputs!$B$29)))</f>
        <v/>
      </c>
      <c r="E760">
        <f>INDEX(FactorTable!$B$2:$Y$301, MATCH(ROUND(MIN(300,MAX(1,D760)),0), FactorTable!$A$2:$A$301,0), Skills!M24+1)</f>
        <v/>
      </c>
      <c r="F760">
        <f>IF(Skills!N24=TRUE,(Skills!L24/10)*(E760/1000),Skills!L24/10)+Skills!O24</f>
        <v/>
      </c>
      <c r="G760">
        <f>Calc!G24</f>
        <v/>
      </c>
      <c r="H760">
        <f>Calc!H24</f>
        <v/>
      </c>
      <c r="I760">
        <f>IF(Skills!X24&lt;&gt;"",1+(Skills!X24/10)*(Z739/1000)/100,1)</f>
        <v/>
      </c>
      <c r="J760">
        <f>((Inputs!$B$6*(1+Inputs!$B$7/100))+(((Inputs!$B$12*(1+Inputs!$B$13/100))-(Inputs!$B$12*(1+Inputs!$B$13/100)))+0.25*(Inputs!$B$14-Inputs!$B$14))*(1+Inputs!$B$7/100))*(F760/100)</f>
        <v/>
      </c>
      <c r="K760">
        <f>J760*(1+((Inputs!$B$12*(1+Inputs!$B$13/100))*0.01+Inputs!$B$14*0.0025)/100)*(1+Inputs!$B$15/100)*(1+Inputs!$B$16/100)*(5000/(6000+Inputs!$B$42*(1-Inputs!$B$19/100)))*(1+Inputs!$B$24/100)*(1+F759/100)*(1+IF(Inputs!$B$3&gt;=120,F762,0)/100)^5*(1+(IF(Skills!A24="BASIC_ATTACK",Inputs!$B$17,Inputs!$B$18+IF(Inputs!$B$3&gt;=125,F763*5,0)))/100)*(B766*B767*B768*I760)</f>
        <v/>
      </c>
      <c r="L760">
        <f>K760*(MIN(Inputs!$B$22+(F758-Calc!F22),Inputs!$B$23)/100+Inputs!$B$23/100)/2</f>
        <v/>
      </c>
      <c r="M760">
        <f>L760*(1+(Inputs!$B$10+(F757-Calc!F21))/100)</f>
        <v/>
      </c>
      <c r="N760">
        <f>L760*(1-MIN(Inputs!$B$9+(F756-Calc!F20),100)/100)+M760*(MIN(Inputs!$B$9+(F756-Calc!F20),100)/100)</f>
        <v/>
      </c>
      <c r="O760">
        <f>(1-Summary!$B$56)*S760+Summary!$B$56*U760</f>
        <v/>
      </c>
      <c r="P760">
        <f>IF(B777=0,0,O760/B777)</f>
        <v/>
      </c>
      <c r="Q760">
        <f>IFERROR(1/IF(Inputs!$B$38="pvp",15,MAX(0.1,Skills!E24-IF(Skills!F24=TRUE,Inputs!$B$32,0))),0)</f>
        <v/>
      </c>
      <c r="R760">
        <f>IF(AND(Inputs!$B$38&lt;&gt;"pvp",Inputs!$B$43&gt;0),IF(MAX(0,Inputs!$B$43-B774)&lt;=0,0,(INT(MAX(0,Inputs!$B$43-B774)/IF(Inputs!$B$38="pvp",15,MAX(0.1,Skills!E24-IF(Skills!F24=TRUE,Inputs!$B$32,0))))+1)),0)</f>
        <v/>
      </c>
      <c r="S760">
        <f>IF(C760,(H760*N760*IF(AND(Inputs!$B$38&lt;&gt;"pvp",Inputs!$B$43&gt;0),((Skills!G24*((R760-1)*IF(Skills!H24&gt;0,Skills!I24/Skills!H24,1)+IF(Skills!H24&gt;0,MIN(Skills!I24,MAX(0,MAX(0,Inputs!$B$43-B774)-((R760-1)*IF(Inputs!$B$38="pvp",15,MAX(0.1,Skills!E24-IF(Skills!F24=TRUE,Inputs!$B$32,0))))))/Skills!H24,1)))/Inputs!$B$43),G760*Q760)*(1+IF(Inputs!$B$3&gt;=130,0.2*(Skills!I16/Skills!E15+IF(Inputs!$B$3&gt;=126,0.05*(B772+Q749+(H750*B773)/(1+Skills!H14*H750*B773)+Q760),0)*Skills!I16),0)))*IF(Inputs!$B$38="pvp",1,1+(Inputs!$B$20+Skills!P24)/100),0)</f>
        <v/>
      </c>
      <c r="U760">
        <f>IF(C760,(H760*N760*IF(AND(Inputs!$B$38&lt;&gt;"pvp",Inputs!$B$43&gt;0),((Skills!G24*((R760-1)*IF(Skills!H24&gt;0,Skills!I24/Skills!H24,1)+IF(Skills!H24&gt;0,MIN(Skills!I24,MAX(0,MAX(0,Inputs!$B$43-B774)-((R760-1)*IF(Inputs!$B$38="pvp",15,MAX(0.1,Skills!E24-IF(Skills!F24=TRUE,Inputs!$B$32,0))))))/Skills!H24,1)))/Inputs!$B$43),G760*Q760)*(1+IF(Inputs!$B$3&gt;=130,0.2*(Skills!I16/Skills!E15+IF(Inputs!$B$3&gt;=126,0.05*(B772+Q749+(H750*B773)/(1+Skills!H14*H750*B773)+Q760),0)*Skills!I16),0)))*IF(Inputs!$B$38="pvp",1,(1+(Inputs!$B$21+Skills!Q24)/100)*(MIN(Skills!R24,Inputs!$B$37))),0)</f>
        <v/>
      </c>
    </row>
    <row r="761">
      <c r="A761">
        <f>Skills!A25</f>
        <v/>
      </c>
      <c r="B761">
        <f>Skills!B25</f>
        <v/>
      </c>
      <c r="C761">
        <f>Inputs!$B$3&gt;=117</f>
        <v/>
      </c>
      <c r="D761">
        <f>IF(Skills!C25=1,60+Inputs!$B$25+Inputs!$B$29,IF(Skills!C25=2,90+(Inputs!$B$26+1)+Inputs!$B$29,IF(Skills!C25=3,120+Inputs!$B$27+Inputs!$B$29,MAX(0,(Inputs!$B$3-100)*3)+Inputs!$B$28+Inputs!$B$29)))</f>
        <v/>
      </c>
      <c r="E761">
        <f>INDEX(FactorTable!$B$2:$Y$301, MATCH(ROUND(MIN(300,MAX(1,D761)),0), FactorTable!$A$2:$A$301,0), Skills!M25+1)</f>
        <v/>
      </c>
      <c r="F761">
        <f>IF(Skills!N25=TRUE,(Skills!L25/10)*(E761/1000),Skills!L25/10)+Skills!O25</f>
        <v/>
      </c>
      <c r="G761">
        <f>Calc!G25</f>
        <v/>
      </c>
      <c r="H761">
        <f>Calc!H25</f>
        <v/>
      </c>
      <c r="I761">
        <f>IF(Skills!X25&lt;&gt;"",1+(Skills!X25/10)*(Z739/1000)/100,1)</f>
        <v/>
      </c>
      <c r="J761" t="inlineStr"/>
      <c r="K761" t="inlineStr"/>
      <c r="L761" t="inlineStr"/>
      <c r="M761" t="inlineStr"/>
      <c r="N761" t="inlineStr"/>
      <c r="O761">
        <f>(1-Summary!$B$56)*S761+Summary!$B$56*U761</f>
        <v/>
      </c>
      <c r="P761">
        <f>IF(B777=0,0,O761/B777)</f>
        <v/>
      </c>
      <c r="Q761">
        <f>IFERROR(1/IF(Inputs!$B$38="pvp",15,MAX(0.1,Skills!E25-IF(Skills!F25=TRUE,Inputs!$B$32,0))),0)</f>
        <v/>
      </c>
      <c r="R761" t="n">
        <v>0</v>
      </c>
      <c r="S761" t="n">
        <v>0</v>
      </c>
      <c r="U761" t="n">
        <v>0</v>
      </c>
    </row>
    <row r="762">
      <c r="A762">
        <f>Skills!A26</f>
        <v/>
      </c>
      <c r="B762">
        <f>Skills!B26</f>
        <v/>
      </c>
      <c r="C762">
        <f>Inputs!$B$3&gt;=120</f>
        <v/>
      </c>
      <c r="D762">
        <f>IF(Skills!C26=1,60+Inputs!$B$25+Inputs!$B$29,IF(Skills!C26=2,90+(Inputs!$B$26+1)+Inputs!$B$29,IF(Skills!C26=3,120+Inputs!$B$27+Inputs!$B$29,MAX(0,(Inputs!$B$3-100)*3)+Inputs!$B$28+Inputs!$B$29)))</f>
        <v/>
      </c>
      <c r="E762">
        <f>INDEX(FactorTable!$B$2:$Y$301, MATCH(ROUND(MIN(300,MAX(1,D762)),0), FactorTable!$A$2:$A$301,0), Skills!M26+1)</f>
        <v/>
      </c>
      <c r="F762">
        <f>IF(Skills!N26=TRUE,(Skills!L26/10)*(E762/1000),Skills!L26/10)+Skills!O26</f>
        <v/>
      </c>
      <c r="G762">
        <f>Calc!G26</f>
        <v/>
      </c>
      <c r="H762">
        <f>Calc!H26</f>
        <v/>
      </c>
      <c r="I762">
        <f>IF(Skills!X26&lt;&gt;"",1+(Skills!X26/10)*(Z739/1000)/100,1)</f>
        <v/>
      </c>
      <c r="J762" t="inlineStr"/>
      <c r="K762" t="inlineStr"/>
      <c r="L762" t="inlineStr"/>
      <c r="M762" t="inlineStr"/>
      <c r="N762" t="inlineStr"/>
      <c r="O762">
        <f>(1-Summary!$B$56)*S762+Summary!$B$56*U762</f>
        <v/>
      </c>
      <c r="P762">
        <f>IF(B777=0,0,O762/B777)</f>
        <v/>
      </c>
      <c r="Q762">
        <f>IFERROR(1/IF(Inputs!$B$38="pvp",15,MAX(0.1,Skills!E26-IF(Skills!F26=TRUE,Inputs!$B$32,0))),0)</f>
        <v/>
      </c>
      <c r="R762" t="n">
        <v>0</v>
      </c>
      <c r="S762" t="n">
        <v>0</v>
      </c>
      <c r="U762" t="n">
        <v>0</v>
      </c>
    </row>
    <row r="763">
      <c r="A763">
        <f>Skills!A27</f>
        <v/>
      </c>
      <c r="B763">
        <f>Skills!B27</f>
        <v/>
      </c>
      <c r="C763">
        <f>Inputs!$B$3&gt;=125</f>
        <v/>
      </c>
      <c r="D763">
        <f>IF(Skills!C27=1,60+Inputs!$B$25+Inputs!$B$29,IF(Skills!C27=2,90+(Inputs!$B$26+1)+Inputs!$B$29,IF(Skills!C27=3,120+Inputs!$B$27+Inputs!$B$29,MAX(0,(Inputs!$B$3-100)*3)+Inputs!$B$28+Inputs!$B$29)))</f>
        <v/>
      </c>
      <c r="E763">
        <f>INDEX(FactorTable!$B$2:$Y$301, MATCH(ROUND(MIN(300,MAX(1,D763)),0), FactorTable!$A$2:$A$301,0), Skills!M27+1)</f>
        <v/>
      </c>
      <c r="F763">
        <f>IF(Skills!N27=TRUE,(Skills!L27/10)*(E763/1000),Skills!L27/10)+Skills!O27</f>
        <v/>
      </c>
      <c r="G763">
        <f>Calc!G27</f>
        <v/>
      </c>
      <c r="H763">
        <f>Calc!H27</f>
        <v/>
      </c>
      <c r="I763">
        <f>IF(Skills!X27&lt;&gt;"",1+(Skills!X27/10)*(Z739/1000)/100,1)</f>
        <v/>
      </c>
      <c r="J763" t="inlineStr"/>
      <c r="K763" t="inlineStr"/>
      <c r="L763" t="inlineStr"/>
      <c r="M763" t="inlineStr"/>
      <c r="N763" t="inlineStr"/>
      <c r="O763">
        <f>(1-Summary!$B$56)*S763+Summary!$B$56*U763</f>
        <v/>
      </c>
      <c r="P763">
        <f>IF(B777=0,0,O763/B777)</f>
        <v/>
      </c>
      <c r="Q763">
        <f>IFERROR(1/IF(Inputs!$B$38="pvp",15,MAX(0.1,Skills!E27-IF(Skills!F27=TRUE,Inputs!$B$32,0))),0)</f>
        <v/>
      </c>
      <c r="R763" t="n">
        <v>0</v>
      </c>
      <c r="S763" t="n">
        <v>0</v>
      </c>
      <c r="U763" t="n">
        <v>0</v>
      </c>
    </row>
    <row r="764">
      <c r="A764">
        <f>Skills!A28</f>
        <v/>
      </c>
      <c r="B764">
        <f>Skills!B28</f>
        <v/>
      </c>
      <c r="C764">
        <f>Inputs!$B$3&gt;=118</f>
        <v/>
      </c>
      <c r="D764">
        <f>IF(Skills!C28=1,60+Inputs!$B$25+Inputs!$B$29,IF(Skills!C28=2,90+(Inputs!$B$26+1)+Inputs!$B$29,IF(Skills!C28=3,120+Inputs!$B$27+Inputs!$B$29,MAX(0,(Inputs!$B$3-100)*3)+Inputs!$B$28+Inputs!$B$29)))</f>
        <v/>
      </c>
      <c r="E764">
        <f>INDEX(FactorTable!$B$2:$Y$301, MATCH(ROUND(MIN(300,MAX(1,D764)),0), FactorTable!$A$2:$A$301,0), Skills!M28+1)</f>
        <v/>
      </c>
      <c r="F764">
        <f>IF(Skills!N28=TRUE,(Skills!L28/10)*(E764/1000),Skills!L28/10)+Skills!O28</f>
        <v/>
      </c>
      <c r="G764">
        <f>Calc!G28</f>
        <v/>
      </c>
      <c r="H764">
        <f>Calc!H28</f>
        <v/>
      </c>
      <c r="I764">
        <f>IF(Skills!X28&lt;&gt;"",1+(Skills!X28/10)*(Z739/1000)/100,1)</f>
        <v/>
      </c>
      <c r="J764">
        <f>((Inputs!$B$6*(1+Inputs!$B$7/100))+(((Inputs!$B$12*(1+Inputs!$B$13/100))-(Inputs!$B$12*(1+Inputs!$B$13/100)))+0.25*(Inputs!$B$14-Inputs!$B$14))*(1+Inputs!$B$7/100))*(F764/100)</f>
        <v/>
      </c>
      <c r="K764">
        <f>J764*(1+((Inputs!$B$12*(1+Inputs!$B$13/100))*0.01+Inputs!$B$14*0.0025)/100)*(1+Inputs!$B$15/100)*(1+Inputs!$B$16/100)*(5000/(6000+Inputs!$B$42*(1-Inputs!$B$19/100)))*(1+Inputs!$B$24/100)*(1+F759/100)*(1+IF(Inputs!$B$3&gt;=120,F762,0)/100)^5*(1+(IF(Skills!A28="BASIC_ATTACK",Inputs!$B$17,Inputs!$B$18+IF(Inputs!$B$3&gt;=125,F763*5,0)))/100)*(B766*B767*B768*I764)</f>
        <v/>
      </c>
      <c r="L764">
        <f>K764*(MIN(Inputs!$B$22+(F758-Calc!F22),Inputs!$B$23)/100+Inputs!$B$23/100)/2</f>
        <v/>
      </c>
      <c r="M764">
        <f>L764*(1+(Inputs!$B$10+(F757-Calc!F21))/100)</f>
        <v/>
      </c>
      <c r="N764">
        <f>L764*(1-MIN(Inputs!$B$9+(F756-Calc!F20),100)/100)+M764*(MIN(Inputs!$B$9+(F756-Calc!F20),100)/100)</f>
        <v/>
      </c>
      <c r="O764">
        <f>(1-Summary!$B$56)*S764+Summary!$B$56*U764</f>
        <v/>
      </c>
      <c r="P764">
        <f>IF(B777=0,0,O764/B777)</f>
        <v/>
      </c>
      <c r="Q764">
        <f>IFERROR(1/IF(Inputs!$B$38="pvp",15,MAX(0.1,Skills!E28-IF(Skills!F28=TRUE,Inputs!$B$32,0))),0)</f>
        <v/>
      </c>
      <c r="R764">
        <f>IF(AND(Inputs!$B$38&lt;&gt;"pvp",Inputs!$B$43&gt;0),IF(MAX(0,Inputs!$B$43-B774)&lt;=0,0,(INT(MAX(0,Inputs!$B$43-B774)/IF(Inputs!$B$38="pvp",15,MAX(0.1,Skills!E28-IF(Skills!F28=TRUE,Inputs!$B$32,0))))+1)),0)</f>
        <v/>
      </c>
      <c r="S764">
        <f>IF(C764,(H764*N764*IF(AND(Inputs!$B$38&lt;&gt;"pvp",Inputs!$B$43&gt;0),((Skills!G28*((R764-1)*IF(Skills!H28&gt;0,Skills!I28/Skills!H28,1)+IF(Skills!H28&gt;0,MIN(Skills!I28,MAX(0,MAX(0,Inputs!$B$43-B774)-((R764-1)*IF(Inputs!$B$38="pvp",15,MAX(0.1,Skills!E28-IF(Skills!F28=TRUE,Inputs!$B$32,0))))))/Skills!H28,1)))/Inputs!$B$43),G764*Q764))*IF(Inputs!$B$38="pvp",1,1+(Inputs!$B$20+Skills!P28)/100),0)</f>
        <v/>
      </c>
      <c r="U764">
        <f>IF(C764,(H764*N764*IF(AND(Inputs!$B$38&lt;&gt;"pvp",Inputs!$B$43&gt;0),((Skills!G28*((R764-1)*IF(Skills!H28&gt;0,Skills!I28/Skills!H28,1)+IF(Skills!H28&gt;0,MIN(Skills!I28,MAX(0,MAX(0,Inputs!$B$43-B774)-((R764-1)*IF(Inputs!$B$38="pvp",15,MAX(0.1,Skills!E28-IF(Skills!F28=TRUE,Inputs!$B$32,0))))))/Skills!H28,1)))/Inputs!$B$43),G764*Q764))*IF(Inputs!$B$38="pvp",1,(1+(Inputs!$B$21+Skills!Q28)/100)*(MIN(Skills!R28,Inputs!$B$37))),0)</f>
        <v/>
      </c>
    </row>
    <row r="766">
      <c r="A766" t="inlineStr">
        <is>
          <t>Burning Magic Multiplier</t>
        </is>
      </c>
      <c r="B766">
        <f>1+(F747*Skills!Z11)/100</f>
        <v/>
      </c>
    </row>
    <row r="767">
      <c r="A767" t="inlineStr">
        <is>
          <t>Elemental Decrease Multiplier (always-on)</t>
        </is>
      </c>
      <c r="B767">
        <f>1+F748/100</f>
        <v/>
      </c>
    </row>
    <row r="768">
      <c r="A768" t="inlineStr">
        <is>
          <t>Average Buff Multiplier (Magic Guard + Meditation, summed; then Infinity)</t>
        </is>
      </c>
      <c r="B768">
        <f>(1+(F742*IF(AND(Inputs!$B$38&lt;&gt;"pvp",Inputs!$B$43&gt;0),(((R742-1)*(Skills!T6*(1+(Inputs!$B$34+IF(Inputs!$B$3&gt;=117,F761,0))/100))+MIN((Skills!T6*(1+(Inputs!$B$34+IF(Inputs!$B$3&gt;=117,F761,0))/100)),MAX(0,Inputs!$B$43-((R742-1)*Skills!E6))))/Inputs!$B$43),IF(Inputs!$B$38="pvp",MIN((Skills!T6*(1+(Inputs!$B$34+IF(Inputs!$B$3&gt;=117,F761,0))/100)),15)/15,(Skills!T6*(1+(Inputs!$B$34+IF(Inputs!$B$3&gt;=117,F761,0))/100))/Skills!E6))+F753*IF(AND(Inputs!$B$38&lt;&gt;"pvp",Inputs!$B$43&gt;0),(((R753-1)*(Skills!T17*(1+(Inputs!$B$34+IF(Inputs!$B$3&gt;=117,F761,0))/100))+MIN((Skills!T17*(1+(Inputs!$B$34+IF(Inputs!$B$3&gt;=117,F761,0))/100)),MAX(0,Inputs!$B$43-((R753-1)*Skills!E17))))/Inputs!$B$43),IF(Inputs!$B$38="pvp",MIN((Skills!T17*(1+(Inputs!$B$34+IF(Inputs!$B$3&gt;=117,F761,0))/100)),15)/15,(Skills!T17*(1+(Inputs!$B$34+IF(Inputs!$B$3&gt;=117,F761,0))/100))/Skills!E17)))/100)*IF(C755=TRUE,(1+F755*IF(AND(Inputs!$B$38&lt;&gt;"pvp",Inputs!$B$43&gt;0),(((R755-1)*(Skills!T19*(1+(Inputs!$B$34+IF(Inputs!$B$3&gt;=117,F761,0))/100))+MIN((Skills!T19*(1+(Inputs!$B$34+IF(Inputs!$B$3&gt;=117,F761,0))/100)),MAX(0,Inputs!$B$43-((R755-1)*Skills!E19))))/Inputs!$B$43),IF(Inputs!$B$38="pvp",MIN((Skills!T19*(1+(Inputs!$B$34+IF(Inputs!$B$3&gt;=117,F761,0))/100)),15)/15,(Skills!T19*(1+(Inputs!$B$34+IF(Inputs!$B$3&gt;=117,F761,0))/100))/Skills!E19))/100),1)</f>
        <v/>
      </c>
    </row>
    <row r="769">
      <c r="A769" t="inlineStr">
        <is>
          <t>Attack Speed Buff Bonus % (Nimble Feet, averaged)</t>
        </is>
      </c>
      <c r="B769">
        <f>F754*IF(AND(Inputs!$B$38&lt;&gt;"pvp",Inputs!$B$43&gt;0),(((R754-1)*(Skills!T18*(1+(Inputs!$B$34+IF(Inputs!$B$3&gt;=117,F761,0))/100))+MIN((Skills!T18*(1+(Inputs!$B$34+IF(Inputs!$B$3&gt;=117,F761,0))/100)),MAX(0,Inputs!$B$43-((R754-1)*Skills!E18))))/Inputs!$B$43),IF(Inputs!$B$38="pvp",MIN((Skills!T18*(1+(Inputs!$B$34+IF(Inputs!$B$3&gt;=117,F761,0))/100)),15)/15,(Skills!T18*(1+(Inputs!$B$34+IF(Inputs!$B$3&gt;=117,F761,0))/100))/Skills!E18))</f>
        <v/>
      </c>
    </row>
    <row r="770">
      <c r="A770" t="inlineStr">
        <is>
          <t>Actions Per Second</t>
        </is>
      </c>
      <c r="B770">
        <f>1+MIN(150,150*(1-(1-Inputs!$B$11/150)*(1-B769/150)))/100</f>
        <v/>
      </c>
    </row>
    <row r="771">
      <c r="A771" t="inlineStr">
        <is>
          <t>Skill + Buff Cast Rate</t>
        </is>
      </c>
      <c r="B771">
        <f>IF(AND(Inputs!$B$38&lt;&gt;"pvp",Inputs!$B$43&gt;0),SUMPRODUCT((Skills!F2:F28=TRUE)*(C738:C764=TRUE)*R738:R764)/Inputs!$B$43,SUMPRODUCT((Skills!F2:F28=TRUE)*(C738:C764=TRUE)*Q738:Q764))</f>
        <v/>
      </c>
    </row>
    <row r="772">
      <c r="A772" t="inlineStr">
        <is>
          <t>Basic Attacks Per Second</t>
        </is>
      </c>
      <c r="B772">
        <f>MAX(0,B770-B771)</f>
        <v/>
      </c>
    </row>
    <row r="773">
      <c r="A773" t="inlineStr">
        <is>
          <t>Meteor Proc — combined trigger cast rate</t>
        </is>
      </c>
      <c r="B773">
        <f>IF(AND(Inputs!$B$38&lt;&gt;"pvp",Inputs!$B$43&gt;0),SUMPRODUCT((Skills!V2:V28=TRUE)*(C738:C764=TRUE)*R738:R764*Skills!W2:W28)/Inputs!$B$43,SUMPRODUCT((Skills!V2:V28=TRUE)*(C738:C764=TRUE)*Q738:Q764*Skills!W2:W28))+B772</f>
        <v/>
      </c>
    </row>
    <row r="774">
      <c r="A774" t="inlineStr">
        <is>
          <t>Buff-Casting Startup Delay (s, fixed-duration only)</t>
        </is>
      </c>
      <c r="B774">
        <f>IF(AND(Inputs!$B$38&lt;&gt;"pvp",Inputs!$B$43&gt;0),SUMPRODUCT((Skills!T2:T28&gt;0)*(Skills!F2:F28=TRUE)*(C738:C764=TRUE))/B770,0)</f>
        <v/>
      </c>
    </row>
    <row r="775">
      <c r="A775" t="inlineStr">
        <is>
          <t>Boss-Only Total DPS (this block's swept value)</t>
        </is>
      </c>
      <c r="B775">
        <f>SUM(S738:S764)</f>
        <v/>
      </c>
    </row>
    <row r="776">
      <c r="A776" t="inlineStr">
        <is>
          <t>Normal-Only Total DPS (this block's swept value)</t>
        </is>
      </c>
      <c r="B776">
        <f>SUM(U738:U764)</f>
        <v/>
      </c>
    </row>
    <row r="777">
      <c r="A777" s="5" t="inlineStr">
        <is>
          <t>TOTAL DPS</t>
        </is>
      </c>
      <c r="B777" s="5">
        <f>SUM(O738:O764)</f>
        <v/>
      </c>
    </row>
    <row r="780">
      <c r="A780" s="5" t="inlineStr">
        <is>
          <t>Stat: Skill Level Bonus — 3rd Job</t>
        </is>
      </c>
    </row>
    <row r="781">
      <c r="A781" s="9" t="inlineStr">
        <is>
          <t>Key</t>
        </is>
      </c>
      <c r="B781" s="9" t="inlineStr">
        <is>
          <t>Name</t>
        </is>
      </c>
      <c r="C781" s="9" t="inlineStr">
        <is>
          <t>Unlocked</t>
        </is>
      </c>
      <c r="D781" s="9" t="inlineStr">
        <is>
          <t>InputLevel</t>
        </is>
      </c>
      <c r="E781" s="9" t="inlineStr">
        <is>
          <t>Factor</t>
        </is>
      </c>
      <c r="F781" s="9" t="inlineStr">
        <is>
          <t>CoefficientPercent</t>
        </is>
      </c>
      <c r="G781" s="9" t="inlineStr">
        <is>
          <t>EffectiveHits</t>
        </is>
      </c>
      <c r="H781" s="9" t="inlineStr">
        <is>
          <t>ProcProbability</t>
        </is>
      </c>
      <c r="I781" s="9" t="inlineStr">
        <is>
          <t>MapleHeroMultiplier</t>
        </is>
      </c>
      <c r="J781" s="9" t="inlineStr">
        <is>
          <t>BaseDamage</t>
        </is>
      </c>
      <c r="K781" s="9" t="inlineStr">
        <is>
          <t>BaseHitDamage</t>
        </is>
      </c>
      <c r="L781" s="9" t="inlineStr">
        <is>
          <t>NonCritAvg</t>
        </is>
      </c>
      <c r="M781" s="9" t="inlineStr">
        <is>
          <t>CritAvg</t>
        </is>
      </c>
      <c r="N781" s="9" t="inlineStr">
        <is>
          <t>ExpectedDamage(perHit)</t>
        </is>
      </c>
      <c r="O781" s="9" t="inlineStr">
        <is>
          <t>DPS</t>
        </is>
      </c>
      <c r="P781" s="9" t="inlineStr">
        <is>
          <t>% of Total</t>
        </is>
      </c>
      <c r="R781" t="inlineStr">
        <is>
          <t>helpers</t>
        </is>
      </c>
    </row>
    <row r="782">
      <c r="A782">
        <f>Skills!A2</f>
        <v/>
      </c>
      <c r="B782">
        <f>Skills!B2</f>
        <v/>
      </c>
      <c r="C782">
        <f>TRUE</f>
        <v/>
      </c>
      <c r="D782" t="inlineStr"/>
      <c r="E782" t="inlineStr"/>
      <c r="F782">
        <f>T784+Skills!O2</f>
        <v/>
      </c>
      <c r="G782">
        <f>Calc!G2</f>
        <v/>
      </c>
      <c r="H782">
        <f>Calc!H2</f>
        <v/>
      </c>
      <c r="I782">
        <f>IF(Skills!X2&lt;&gt;"",1+(Skills!X2/10)*(Z783/1000)/100,1)</f>
        <v/>
      </c>
      <c r="J782">
        <f>((Inputs!$B$6*(1+Inputs!$B$7/100))+(((Inputs!$B$12*(1+Inputs!$B$13/100))-(Inputs!$B$12*(1+Inputs!$B$13/100)))+0.25*(Inputs!$B$14-Inputs!$B$14))*(1+Inputs!$B$7/100))*(F782/100)</f>
        <v/>
      </c>
      <c r="K782">
        <f>J782*(1+((Inputs!$B$12*(1+Inputs!$B$13/100))*0.01+Inputs!$B$14*0.0025)/100)*(1+Inputs!$B$15/100)*(1+Inputs!$B$16/100)*(5000/(6000+Inputs!$B$42*(1-Inputs!$B$19/100)))*(1+Inputs!$B$24/100)*(1+F803/100)*(1+IF(Inputs!$B$3&gt;=120,F806,0)/100)^5*(1+(IF(Skills!A2="BASIC_ATTACK",Inputs!$B$17,Inputs!$B$18+IF(Inputs!$B$3&gt;=125,F807*5,0)))/100)*(B810*B811*B812*I782)</f>
        <v/>
      </c>
      <c r="L782">
        <f>K782*(MIN(Inputs!$B$22+(F802-Calc!F22),Inputs!$B$23)/100+Inputs!$B$23/100)/2</f>
        <v/>
      </c>
      <c r="M782">
        <f>L782*(1+(Inputs!$B$10+(F801-Calc!F21))/100)</f>
        <v/>
      </c>
      <c r="N782">
        <f>L782*(1-MIN(Inputs!$B$9+(F800-Calc!F20),100)/100)+M782*(MIN(Inputs!$B$9+(F800-Calc!F20),100)/100)</f>
        <v/>
      </c>
      <c r="O782">
        <f>(1-Summary!$B$56)*S782+Summary!$B$56*U782</f>
        <v/>
      </c>
      <c r="P782">
        <f>IF(B821=0,0,O782/B821)</f>
        <v/>
      </c>
      <c r="Q782">
        <f>IFERROR(1/IF(Inputs!$B$38="pvp",15,MAX(0.1,Skills!E2-IF(Skills!F2=TRUE,Inputs!$B$32,0))),0)</f>
        <v/>
      </c>
      <c r="R782" t="n">
        <v>0</v>
      </c>
      <c r="S782">
        <f>(Skills!G2*N782*B816)*IF(Inputs!$B$38="pvp",1,1+(Inputs!$B$20+Skills!P2)/100)</f>
        <v/>
      </c>
      <c r="T782">
        <f>MAX(0,(Inputs!$B$3-100)*3)+Inputs!$B$28+Inputs!$B$29</f>
        <v/>
      </c>
      <c r="U782">
        <f>(Skills!G2*N782*B816)*IF(Inputs!$B$38="pvp",1,(1+(Inputs!$B$21+Skills!Q2)/100)*(MIN((6+Inputs!$B$33+IF(Inputs!$B$3&gt;=136,1,0)),Inputs!$B$37)))</f>
        <v/>
      </c>
      <c r="Z782">
        <f>MAX(0,(Inputs!$B$3-100)*3)+Inputs!$B$28+Inputs!$B$29</f>
        <v/>
      </c>
    </row>
    <row r="783">
      <c r="A783">
        <f>Skills!A3</f>
        <v/>
      </c>
      <c r="B783">
        <f>Skills!B3</f>
        <v/>
      </c>
      <c r="C783">
        <f>TRUE</f>
        <v/>
      </c>
      <c r="D783">
        <f>IF(Skills!C3=1,60+Inputs!$B$25+Inputs!$B$29,IF(Skills!C3=2,90+Inputs!$B$26+Inputs!$B$29,IF(Skills!C3=3,120+(Inputs!$B$27+1)+Inputs!$B$29,MAX(0,(Inputs!$B$3-100)*3)+Inputs!$B$28+Inputs!$B$29)))</f>
        <v/>
      </c>
      <c r="E783">
        <f>INDEX(FactorTable!$B$2:$Y$301, MATCH(ROUND(MIN(300,MAX(1,D783)),0), FactorTable!$A$2:$A$301,0), Skills!M3+1)</f>
        <v/>
      </c>
      <c r="F783">
        <f>IF(Skills!N3=TRUE,(Skills!L3/10)*(E783/1000),Skills!L3/10)+Skills!O3</f>
        <v/>
      </c>
      <c r="G783">
        <f>Calc!G3</f>
        <v/>
      </c>
      <c r="H783">
        <f>Calc!H3</f>
        <v/>
      </c>
      <c r="I783">
        <f>IF(Skills!X3&lt;&gt;"",1+(Skills!X3/10)*(Z783/1000)/100,1)</f>
        <v/>
      </c>
      <c r="J783">
        <f>((Inputs!$B$6*(1+Inputs!$B$7/100))+(((Inputs!$B$12*(1+Inputs!$B$13/100))-(Inputs!$B$12*(1+Inputs!$B$13/100)))+0.25*(Inputs!$B$14-Inputs!$B$14))*(1+Inputs!$B$7/100))*(F783/100)</f>
        <v/>
      </c>
      <c r="K783">
        <f>J783*(1+((Inputs!$B$12*(1+Inputs!$B$13/100))*0.01+Inputs!$B$14*0.0025)/100)*(1+Inputs!$B$15/100)*(1+Inputs!$B$16/100)*(5000/(6000+Inputs!$B$42*(1-Inputs!$B$19/100)))*(1+Inputs!$B$24/100)*(1+F803/100)*(1+IF(Inputs!$B$3&gt;=120,F806,0)/100)^5*(1+(IF(Skills!A3="BASIC_ATTACK",Inputs!$B$17,Inputs!$B$18+IF(Inputs!$B$3&gt;=125,F807*5,0)))/100)*(B810*B811*B812*I783)</f>
        <v/>
      </c>
      <c r="L783">
        <f>K783*(MIN(Inputs!$B$22+(F802-Calc!F22),Inputs!$B$23)/100+Inputs!$B$23/100)/2</f>
        <v/>
      </c>
      <c r="M783">
        <f>L783*(1+(Inputs!$B$10+(F801-Calc!F21))/100)</f>
        <v/>
      </c>
      <c r="N783">
        <f>L783*(1-MIN(Inputs!$B$9+(F800-Calc!F20),100)/100)+M783*(MIN(Inputs!$B$9+(F800-Calc!F20),100)/100)</f>
        <v/>
      </c>
      <c r="O783">
        <f>(1-Summary!$B$56)*S783+Summary!$B$56*U783</f>
        <v/>
      </c>
      <c r="P783">
        <f>IF(B821=0,0,O783/B821)</f>
        <v/>
      </c>
      <c r="Q783">
        <f>IFERROR(1/IF(Inputs!$B$38="pvp",15,MAX(0.1,Skills!E3-IF(Skills!F3=TRUE,Inputs!$B$32,0))),0)</f>
        <v/>
      </c>
      <c r="R783">
        <f>IF(AND(Inputs!$B$38&lt;&gt;"pvp",Inputs!$B$43&gt;0),IF(MAX(0,Inputs!$B$43-B818)&lt;=0,0,(INT(MAX(0,Inputs!$B$43-B818)/IF(Inputs!$B$38="pvp",15,MAX(0.1,Skills!E3-IF(Skills!F3=TRUE,Inputs!$B$32,0))))+1)),0)</f>
        <v/>
      </c>
      <c r="S783">
        <f>IF(C783,(H783*N783*IF(AND(Inputs!$B$38&lt;&gt;"pvp",Inputs!$B$43&gt;0),((Skills!G3*((R783-1)*IF(Skills!H3&gt;0,Skills!I3/Skills!H3,1)+IF(Skills!H3&gt;0,MIN(Skills!I3,MAX(0,MAX(0,Inputs!$B$43-B818)-((R783-1)*IF(Inputs!$B$38="pvp",15,MAX(0.1,Skills!E3-IF(Skills!F3=TRUE,Inputs!$B$32,0))))))/Skills!H3,1)))/Inputs!$B$43),G783*Q783))*IF(Inputs!$B$38="pvp",1,1+(Inputs!$B$20+Skills!P3)/100),0)</f>
        <v/>
      </c>
      <c r="T783">
        <f>INDEX(FactorTable!$B$2:$Y$301, MATCH(ROUND(MIN(300,MAX(1,T782)),0), FactorTable!$A$2:$A$301,0), 22)</f>
        <v/>
      </c>
      <c r="U783">
        <f>IF(C783,(H783*N783*IF(AND(Inputs!$B$38&lt;&gt;"pvp",Inputs!$B$43&gt;0),((Skills!G3*((R783-1)*IF(Skills!H3&gt;0,Skills!I3/Skills!H3,1)+IF(Skills!H3&gt;0,MIN(Skills!I3,MAX(0,MAX(0,Inputs!$B$43-B818)-((R783-1)*IF(Inputs!$B$38="pvp",15,MAX(0.1,Skills!E3-IF(Skills!F3=TRUE,Inputs!$B$32,0))))))/Skills!H3,1)))/Inputs!$B$43),G783*Q783))*IF(Inputs!$B$38="pvp",1,(1+(Inputs!$B$21+Skills!Q3)/100)*(MIN(Skills!R3,Inputs!$B$37))),0)</f>
        <v/>
      </c>
      <c r="Z783">
        <f>INDEX(FactorTable!$B$2:$Y$301, MATCH(ROUND(MIN(300,MAX(1,Z782)),0), FactorTable!$A$2:$A$301,0), 24)</f>
        <v/>
      </c>
    </row>
    <row r="784">
      <c r="A784">
        <f>Skills!A4</f>
        <v/>
      </c>
      <c r="B784">
        <f>Skills!B4</f>
        <v/>
      </c>
      <c r="C784">
        <f>TRUE</f>
        <v/>
      </c>
      <c r="D784">
        <f>IF(Skills!C4=1,60+Inputs!$B$25+Inputs!$B$29,IF(Skills!C4=2,90+Inputs!$B$26+Inputs!$B$29,IF(Skills!C4=3,120+(Inputs!$B$27+1)+Inputs!$B$29,MAX(0,(Inputs!$B$3-100)*3)+Inputs!$B$28+Inputs!$B$29)))</f>
        <v/>
      </c>
      <c r="E784">
        <f>INDEX(FactorTable!$B$2:$Y$301, MATCH(ROUND(MIN(300,MAX(1,D784)),0), FactorTable!$A$2:$A$301,0), Skills!M4+1)</f>
        <v/>
      </c>
      <c r="F784">
        <f>IF(Skills!N4=TRUE,(Skills!L4/10)*(E784/1000),Skills!L4/10)+Skills!O4</f>
        <v/>
      </c>
      <c r="G784">
        <f>Calc!G4</f>
        <v/>
      </c>
      <c r="H784">
        <f>Calc!H4</f>
        <v/>
      </c>
      <c r="I784">
        <f>IF(Skills!X4&lt;&gt;"",1+(Skills!X4/10)*(Z783/1000)/100,1)</f>
        <v/>
      </c>
      <c r="J784">
        <f>((Inputs!$B$6*(1+Inputs!$B$7/100))+(((Inputs!$B$12*(1+Inputs!$B$13/100))-(Inputs!$B$12*(1+Inputs!$B$13/100)))+0.25*(Inputs!$B$14-Inputs!$B$14))*(1+Inputs!$B$7/100))*(F784/100)</f>
        <v/>
      </c>
      <c r="K784">
        <f>J784*(1+((Inputs!$B$12*(1+Inputs!$B$13/100))*0.01+Inputs!$B$14*0.0025)/100)*(1+Inputs!$B$15/100)*(1+Inputs!$B$16/100)*(5000/(6000+Inputs!$B$42*(1-Inputs!$B$19/100)))*(1+Inputs!$B$24/100)*(1+F803/100)*(1+IF(Inputs!$B$3&gt;=120,F806,0)/100)^5*(1+(IF(Skills!A4="BASIC_ATTACK",Inputs!$B$17,Inputs!$B$18+IF(Inputs!$B$3&gt;=125,F807*5,0)))/100)*(B810*B811*B812*I784)</f>
        <v/>
      </c>
      <c r="L784">
        <f>K784*(MIN(Inputs!$B$22+(F802-Calc!F22),Inputs!$B$23)/100+Inputs!$B$23/100)/2</f>
        <v/>
      </c>
      <c r="M784">
        <f>L784*(1+(Inputs!$B$10+(F801-Calc!F21))/100)</f>
        <v/>
      </c>
      <c r="N784">
        <f>L784*(1-MIN(Inputs!$B$9+(F800-Calc!F20),100)/100)+M784*(MIN(Inputs!$B$9+(F800-Calc!F20),100)/100)</f>
        <v/>
      </c>
      <c r="O784">
        <f>(1-Summary!$B$56)*S784+Summary!$B$56*U784</f>
        <v/>
      </c>
      <c r="P784">
        <f>IF(B821=0,0,O784/B821)</f>
        <v/>
      </c>
      <c r="Q784">
        <f>IFERROR(1/IF(Inputs!$B$38="pvp",15,MAX(0.1,Skills!E4-IF(Skills!F4=TRUE,Inputs!$B$32,0))),0)</f>
        <v/>
      </c>
      <c r="R784">
        <f>IF(AND(Inputs!$B$38&lt;&gt;"pvp",Inputs!$B$43&gt;0),IF(MAX(0,Inputs!$B$43-B818)&lt;=0,0,(INT(MAX(0,Inputs!$B$43-B818)/IF(Inputs!$B$38="pvp",15,MAX(0.1,Skills!E4-IF(Skills!F4=TRUE,Inputs!$B$32,0))))+1)),0)</f>
        <v/>
      </c>
      <c r="S784">
        <f>IF(C784,(H784*N784*IF(AND(Inputs!$B$38&lt;&gt;"pvp",Inputs!$B$43&gt;0),((Skills!G4*((R784-1)*IF(Skills!H4&gt;0,Skills!I4/Skills!H4,1)+IF(Skills!H4&gt;0,MIN(Skills!I4,MAX(0,MAX(0,Inputs!$B$43-B818)-((R784-1)*IF(Inputs!$B$38="pvp",15,MAX(0.1,Skills!E4-IF(Skills!F4=TRUE,Inputs!$B$32,0))))))/Skills!H4,1)))/Inputs!$B$43),G784*Q784))*IF(Inputs!$B$38="pvp",1,1+(Inputs!$B$20+Skills!P4)/100),0)</f>
        <v/>
      </c>
      <c r="T784">
        <f>290*T783/1000</f>
        <v/>
      </c>
      <c r="U784">
        <f>IF(C784,(H784*N784*IF(AND(Inputs!$B$38&lt;&gt;"pvp",Inputs!$B$43&gt;0),((Skills!G4*((R784-1)*IF(Skills!H4&gt;0,Skills!I4/Skills!H4,1)+IF(Skills!H4&gt;0,MIN(Skills!I4,MAX(0,MAX(0,Inputs!$B$43-B818)-((R784-1)*IF(Inputs!$B$38="pvp",15,MAX(0.1,Skills!E4-IF(Skills!F4=TRUE,Inputs!$B$32,0))))))/Skills!H4,1)))/Inputs!$B$43),G784*Q784))*IF(Inputs!$B$38="pvp",1,(1+(Inputs!$B$21+Skills!Q4)/100)*(MIN(Skills!R4,Inputs!$B$37))),0)</f>
        <v/>
      </c>
    </row>
    <row r="785">
      <c r="A785">
        <f>Skills!A5</f>
        <v/>
      </c>
      <c r="B785">
        <f>Skills!B5</f>
        <v/>
      </c>
      <c r="C785">
        <f>TRUE</f>
        <v/>
      </c>
      <c r="D785">
        <f>IF(Skills!C5=1,60+Inputs!$B$25+Inputs!$B$29,IF(Skills!C5=2,90+Inputs!$B$26+Inputs!$B$29,IF(Skills!C5=3,120+(Inputs!$B$27+1)+Inputs!$B$29,MAX(0,(Inputs!$B$3-100)*3)+Inputs!$B$28+Inputs!$B$29)))</f>
        <v/>
      </c>
      <c r="E785">
        <f>INDEX(FactorTable!$B$2:$Y$301, MATCH(ROUND(MIN(300,MAX(1,D785)),0), FactorTable!$A$2:$A$301,0), Skills!M5+1)</f>
        <v/>
      </c>
      <c r="F785">
        <f>IF(Skills!N5=TRUE,(Skills!L5/10)*(E785/1000),Skills!L5/10)+Skills!O5</f>
        <v/>
      </c>
      <c r="G785">
        <f>Calc!G5</f>
        <v/>
      </c>
      <c r="H785">
        <f>Calc!H5</f>
        <v/>
      </c>
      <c r="I785">
        <f>IF(Skills!X5&lt;&gt;"",1+(Skills!X5/10)*(Z783/1000)/100,1)</f>
        <v/>
      </c>
      <c r="J785">
        <f>((Inputs!$B$6*(1+Inputs!$B$7/100))+(((Inputs!$B$12*(1+Inputs!$B$13/100))-(Inputs!$B$12*(1+Inputs!$B$13/100)))+0.25*(Inputs!$B$14-Inputs!$B$14))*(1+Inputs!$B$7/100))*(F785/100)</f>
        <v/>
      </c>
      <c r="K785">
        <f>J785*(1+((Inputs!$B$12*(1+Inputs!$B$13/100))*0.01+Inputs!$B$14*0.0025)/100)*(1+Inputs!$B$15/100)*(1+Inputs!$B$16/100)*(5000/(6000+Inputs!$B$42*(1-Inputs!$B$19/100)))*(1+Inputs!$B$24/100)*(1+F803/100)*(1+IF(Inputs!$B$3&gt;=120,F806,0)/100)^5*(1+(IF(Skills!A5="BASIC_ATTACK",Inputs!$B$17,Inputs!$B$18+IF(Inputs!$B$3&gt;=125,F807*5,0)))/100)*(B810*B811*B812*I785)</f>
        <v/>
      </c>
      <c r="L785">
        <f>K785*(MIN(Inputs!$B$22+(F802-Calc!F22),Inputs!$B$23)/100+Inputs!$B$23/100)/2</f>
        <v/>
      </c>
      <c r="M785">
        <f>L785*(1+(Inputs!$B$10+(F801-Calc!F21))/100)</f>
        <v/>
      </c>
      <c r="N785">
        <f>L785*(1-MIN(Inputs!$B$9+(F800-Calc!F20),100)/100)+M785*(MIN(Inputs!$B$9+(F800-Calc!F20),100)/100)</f>
        <v/>
      </c>
      <c r="O785">
        <f>(1-Summary!$B$56)*S785+Summary!$B$56*U785</f>
        <v/>
      </c>
      <c r="P785">
        <f>IF(B821=0,0,O785/B821)</f>
        <v/>
      </c>
      <c r="Q785">
        <f>IFERROR(1/IF(Inputs!$B$38="pvp",15,MAX(0.1,Skills!E5-IF(Skills!F5=TRUE,Inputs!$B$32,0))),0)</f>
        <v/>
      </c>
      <c r="R785">
        <f>IF(AND(Inputs!$B$38&lt;&gt;"pvp",Inputs!$B$43&gt;0),IF(MAX(0,Inputs!$B$43-B818)&lt;=0,0,(INT(MAX(0,Inputs!$B$43-B818)/IF(Inputs!$B$38="pvp",15,MAX(0.1,Skills!E5-IF(Skills!F5=TRUE,Inputs!$B$32,0))))+1)),0)</f>
        <v/>
      </c>
      <c r="S785">
        <f>IF(C785,(H785*N785*IF(AND(Inputs!$B$38&lt;&gt;"pvp",Inputs!$B$43&gt;0),((Skills!G5*((R785-1)*IF(Skills!H5&gt;0,Skills!I5/Skills!H5,1)+IF(Skills!H5&gt;0,MIN(Skills!I5,MAX(0,MAX(0,Inputs!$B$43-B818)-((R785-1)*IF(Inputs!$B$38="pvp",15,MAX(0.1,Skills!E5-IF(Skills!F5=TRUE,Inputs!$B$32,0))))))/Skills!H5,1)))/Inputs!$B$43),G785*Q785))*IF(Inputs!$B$38="pvp",1,1+(Inputs!$B$20+Skills!P5)/100),0)</f>
        <v/>
      </c>
      <c r="U785">
        <f>IF(C785,(H785*N785*IF(AND(Inputs!$B$38&lt;&gt;"pvp",Inputs!$B$43&gt;0),((Skills!G5*((R785-1)*IF(Skills!H5&gt;0,Skills!I5/Skills!H5,1)+IF(Skills!H5&gt;0,MIN(Skills!I5,MAX(0,MAX(0,Inputs!$B$43-B818)-((R785-1)*IF(Inputs!$B$38="pvp",15,MAX(0.1,Skills!E5-IF(Skills!F5=TRUE,Inputs!$B$32,0))))))/Skills!H5,1)))/Inputs!$B$43),G785*Q785))*IF(Inputs!$B$38="pvp",1,(1+(Inputs!$B$21+Skills!Q5)/100)*(MIN(Skills!R5,Inputs!$B$37))),0)</f>
        <v/>
      </c>
    </row>
    <row r="786">
      <c r="A786">
        <f>Skills!A6</f>
        <v/>
      </c>
      <c r="B786">
        <f>Skills!B6</f>
        <v/>
      </c>
      <c r="C786">
        <f>TRUE</f>
        <v/>
      </c>
      <c r="D786">
        <f>IF(Skills!C6=1,60+Inputs!$B$25+Inputs!$B$29,IF(Skills!C6=2,90+Inputs!$B$26+Inputs!$B$29,IF(Skills!C6=3,120+(Inputs!$B$27+1)+Inputs!$B$29,MAX(0,(Inputs!$B$3-100)*3)+Inputs!$B$28+Inputs!$B$29)))</f>
        <v/>
      </c>
      <c r="E786">
        <f>INDEX(FactorTable!$B$2:$Y$301, MATCH(ROUND(MIN(300,MAX(1,D786)),0), FactorTable!$A$2:$A$301,0), Skills!M6+1)</f>
        <v/>
      </c>
      <c r="F786">
        <f>IF(Skills!N6=TRUE,(Skills!L6/10)*(E786/1000),Skills!L6/10)+Skills!O6</f>
        <v/>
      </c>
      <c r="G786">
        <f>Calc!G6</f>
        <v/>
      </c>
      <c r="H786">
        <f>Calc!H6</f>
        <v/>
      </c>
      <c r="I786">
        <f>IF(Skills!X6&lt;&gt;"",1+(Skills!X6/10)*(Z783/1000)/100,1)</f>
        <v/>
      </c>
      <c r="J786" t="inlineStr"/>
      <c r="K786" t="inlineStr"/>
      <c r="L786" t="inlineStr"/>
      <c r="M786" t="inlineStr"/>
      <c r="N786" t="inlineStr"/>
      <c r="O786">
        <f>(1-Summary!$B$56)*S786+Summary!$B$56*U786</f>
        <v/>
      </c>
      <c r="P786">
        <f>IF(B821=0,0,O786/B821)</f>
        <v/>
      </c>
      <c r="Q786">
        <f>IFERROR(1/IF(Inputs!$B$38="pvp",15,MAX(0.1,Skills!E6-IF(Skills!F6=TRUE,Inputs!$B$32,0))),0)</f>
        <v/>
      </c>
      <c r="R786">
        <f>IF(AND(Inputs!$B$38&lt;&gt;"pvp",Inputs!$B$43&gt;0),IF(Inputs!$B$43&lt;=0,0,(INT(Inputs!$B$43/IF(Inputs!$B$38="pvp",15,MAX(0.1,Skills!E6-IF(Skills!F6=TRUE,Inputs!$B$32,0))))+1)),0)</f>
        <v/>
      </c>
      <c r="S786" t="n">
        <v>0</v>
      </c>
      <c r="U786" t="n">
        <v>0</v>
      </c>
    </row>
    <row r="787">
      <c r="A787">
        <f>Skills!A7</f>
        <v/>
      </c>
      <c r="B787">
        <f>Skills!B7</f>
        <v/>
      </c>
      <c r="C787">
        <f>TRUE</f>
        <v/>
      </c>
      <c r="D787">
        <f>IF(Skills!C7=1,60+Inputs!$B$25+Inputs!$B$29,IF(Skills!C7=2,90+Inputs!$B$26+Inputs!$B$29,IF(Skills!C7=3,120+(Inputs!$B$27+1)+Inputs!$B$29,MAX(0,(Inputs!$B$3-100)*3)+Inputs!$B$28+Inputs!$B$29)))</f>
        <v/>
      </c>
      <c r="E787">
        <f>INDEX(FactorTable!$B$2:$Y$301, MATCH(ROUND(MIN(300,MAX(1,D787)),0), FactorTable!$A$2:$A$301,0), Skills!M7+1)</f>
        <v/>
      </c>
      <c r="F787">
        <f>IF(Skills!N7=TRUE,(Skills!L7/10)*(E787/1000),Skills!L7/10)+Skills!O7</f>
        <v/>
      </c>
      <c r="G787">
        <f>Calc!G7</f>
        <v/>
      </c>
      <c r="H787">
        <f>Calc!H7</f>
        <v/>
      </c>
      <c r="I787">
        <f>IF(Skills!X7&lt;&gt;"",1+(Skills!X7/10)*(Z783/1000)/100,1)</f>
        <v/>
      </c>
      <c r="J787">
        <f>((Inputs!$B$6*(1+Inputs!$B$7/100))+(((Inputs!$B$12*(1+Inputs!$B$13/100))-(Inputs!$B$12*(1+Inputs!$B$13/100)))+0.25*(Inputs!$B$14-Inputs!$B$14))*(1+Inputs!$B$7/100))*(F787/100)</f>
        <v/>
      </c>
      <c r="K787">
        <f>J787*(1+((Inputs!$B$12*(1+Inputs!$B$13/100))*0.01+Inputs!$B$14*0.0025)/100)*(1+Inputs!$B$15/100)*(1+Inputs!$B$16/100)*(5000/(6000+Inputs!$B$42*(1-Inputs!$B$19/100)))*(1+Inputs!$B$24/100)*(1+F803/100)*(1+IF(Inputs!$B$3&gt;=120,F806,0)/100)^5*(1+(IF(Skills!A7="BASIC_ATTACK",Inputs!$B$17,Inputs!$B$18+IF(Inputs!$B$3&gt;=125,F807*5,0)))/100)*(B810*B811*B812*I787)</f>
        <v/>
      </c>
      <c r="L787">
        <f>K787*(MIN(Inputs!$B$22+(F802-Calc!F22),Inputs!$B$23)/100+Inputs!$B$23/100)/2</f>
        <v/>
      </c>
      <c r="M787">
        <f>L787*(1+(Inputs!$B$10+(F801-Calc!F21))/100)</f>
        <v/>
      </c>
      <c r="N787">
        <f>L787*(1-MIN(Inputs!$B$9+(F800-Calc!F20),100)/100)+M787*(MIN(Inputs!$B$9+(F800-Calc!F20),100)/100)</f>
        <v/>
      </c>
      <c r="O787">
        <f>(1-Summary!$B$56)*S787+Summary!$B$56*U787</f>
        <v/>
      </c>
      <c r="P787">
        <f>IF(B821=0,0,O787/B821)</f>
        <v/>
      </c>
      <c r="Q787">
        <f>IFERROR(1/IF(Inputs!$B$38="pvp",15,MAX(0.1,Skills!E7-IF(Skills!F7=TRUE,Inputs!$B$32,0))),0)</f>
        <v/>
      </c>
      <c r="R787">
        <f>IF(AND(Inputs!$B$38&lt;&gt;"pvp",Inputs!$B$43&gt;0),IF(MAX(0,Inputs!$B$43-B818)&lt;=0,0,(INT(MAX(0,Inputs!$B$43-B818)/IF(Inputs!$B$38="pvp",15,MAX(0.1,Skills!E7-IF(Skills!F7=TRUE,Inputs!$B$32,0))))+1)),0)</f>
        <v/>
      </c>
      <c r="S787">
        <f>IF(C787,(H787*N787*IF(AND(Inputs!$B$38&lt;&gt;"pvp",Inputs!$B$43&gt;0),((Skills!G7*((R787-1)*IF(Skills!H7&gt;0,Skills!I7/Skills!H7,1)+IF(Skills!H7&gt;0,MIN(Skills!I7,MAX(0,MAX(0,Inputs!$B$43-B818)-((R787-1)*IF(Inputs!$B$38="pvp",15,MAX(0.1,Skills!E7-IF(Skills!F7=TRUE,Inputs!$B$32,0))))))/Skills!H7,1)))/Inputs!$B$43),G787*Q787))*IF(Inputs!$B$38="pvp",1,1+(Inputs!$B$20+Skills!P7)/100),0)</f>
        <v/>
      </c>
      <c r="U787">
        <f>IF(C787,(H787*N787*IF(AND(Inputs!$B$38&lt;&gt;"pvp",Inputs!$B$43&gt;0),((Skills!G7*((R787-1)*IF(Skills!H7&gt;0,Skills!I7/Skills!H7,1)+IF(Skills!H7&gt;0,MIN(Skills!I7,MAX(0,MAX(0,Inputs!$B$43-B818)-((R787-1)*IF(Inputs!$B$38="pvp",15,MAX(0.1,Skills!E7-IF(Skills!F7=TRUE,Inputs!$B$32,0))))))/Skills!H7,1)))/Inputs!$B$43),G787*Q787))*IF(Inputs!$B$38="pvp",1,(1+(Inputs!$B$21+Skills!Q7)/100)*(MIN(Skills!R7,Inputs!$B$37))),0)</f>
        <v/>
      </c>
    </row>
    <row r="788">
      <c r="A788">
        <f>Skills!A8</f>
        <v/>
      </c>
      <c r="B788">
        <f>Skills!B8</f>
        <v/>
      </c>
      <c r="C788">
        <f>TRUE</f>
        <v/>
      </c>
      <c r="D788">
        <f>IF(Skills!C8=1,60+Inputs!$B$25+Inputs!$B$29,IF(Skills!C8=2,90+Inputs!$B$26+Inputs!$B$29,IF(Skills!C8=3,120+(Inputs!$B$27+1)+Inputs!$B$29,MAX(0,(Inputs!$B$3-100)*3)+Inputs!$B$28+Inputs!$B$29)))</f>
        <v/>
      </c>
      <c r="E788">
        <f>INDEX(FactorTable!$B$2:$Y$301, MATCH(ROUND(MIN(300,MAX(1,D788)),0), FactorTable!$A$2:$A$301,0), Skills!M8+1)</f>
        <v/>
      </c>
      <c r="F788">
        <f>IF(Skills!N8=TRUE,(Skills!L8/10)*(E788/1000),Skills!L8/10)+Skills!O8</f>
        <v/>
      </c>
      <c r="G788">
        <f>Calc!G8</f>
        <v/>
      </c>
      <c r="H788">
        <f>Calc!H8</f>
        <v/>
      </c>
      <c r="I788">
        <f>IF(Skills!X8&lt;&gt;"",1+(Skills!X8/10)*(Z783/1000)/100,1)</f>
        <v/>
      </c>
      <c r="J788">
        <f>((Inputs!$B$6*(1+Inputs!$B$7/100))+(((Inputs!$B$12*(1+Inputs!$B$13/100))-(Inputs!$B$12*(1+Inputs!$B$13/100)))+0.25*(Inputs!$B$14-Inputs!$B$14))*(1+Inputs!$B$7/100))*(F788/100)</f>
        <v/>
      </c>
      <c r="K788">
        <f>J788*(1+((Inputs!$B$12*(1+Inputs!$B$13/100))*0.01+Inputs!$B$14*0.0025)/100)*(1+Inputs!$B$15/100)*(1+Inputs!$B$16/100)*(5000/(6000+Inputs!$B$42*(1-Inputs!$B$19/100)))*(1+Inputs!$B$24/100)*(1+F803/100)*(1+IF(Inputs!$B$3&gt;=120,F806,0)/100)^5*(1+(IF(Skills!A8="BASIC_ATTACK",Inputs!$B$17,Inputs!$B$18+IF(Inputs!$B$3&gt;=125,F807*5,0)))/100)*(B810*B811*B812*I788)</f>
        <v/>
      </c>
      <c r="L788">
        <f>K788*(MIN(Inputs!$B$22+(F802-Calc!F22),Inputs!$B$23)/100+Inputs!$B$23/100)/2</f>
        <v/>
      </c>
      <c r="M788">
        <f>L788*(1+(Inputs!$B$10+(F801-Calc!F21))/100)</f>
        <v/>
      </c>
      <c r="N788">
        <f>L788*(1-MIN(Inputs!$B$9+(F800-Calc!F20),100)/100)+M788*(MIN(Inputs!$B$9+(F800-Calc!F20),100)/100)</f>
        <v/>
      </c>
      <c r="O788">
        <f>(1-Summary!$B$56)*S788+Summary!$B$56*U788</f>
        <v/>
      </c>
      <c r="P788">
        <f>IF(B821=0,0,O788/B821)</f>
        <v/>
      </c>
      <c r="Q788">
        <f>IFERROR(1/IF(Inputs!$B$38="pvp",15,MAX(0.1,Skills!E8-IF(Skills!F8=TRUE,Inputs!$B$32,0))),0)</f>
        <v/>
      </c>
      <c r="R788">
        <f>IF(AND(Inputs!$B$38&lt;&gt;"pvp",Inputs!$B$43&gt;0),IF(MAX(0,Inputs!$B$43-B818)&lt;=0,0,(INT(MAX(0,Inputs!$B$43-B818)/IF(Inputs!$B$38="pvp",15,MAX(0.1,Skills!E8-IF(Skills!F8=TRUE,Inputs!$B$32,0))))+1)),0)</f>
        <v/>
      </c>
      <c r="S788">
        <f>IF(C788,(H788*N788*IF(AND(Inputs!$B$38&lt;&gt;"pvp",Inputs!$B$43&gt;0),((Skills!G8*((R788-1)*IF(Skills!H8&gt;0,Skills!I8/Skills!H8,1)+IF(Skills!H8&gt;0,MIN(Skills!I8,MAX(0,MAX(0,Inputs!$B$43-B818)-((R788-1)*IF(Inputs!$B$38="pvp",15,MAX(0.1,Skills!E8-IF(Skills!F8=TRUE,Inputs!$B$32,0))))))/Skills!H8,1)))/Inputs!$B$43),G788*Q788))*IF(Inputs!$B$38="pvp",1,1+(Inputs!$B$20+Skills!P8)/100),0)</f>
        <v/>
      </c>
      <c r="U788">
        <f>IF(C788,(H788*N788*IF(AND(Inputs!$B$38&lt;&gt;"pvp",Inputs!$B$43&gt;0),((Skills!G8*((R788-1)*IF(Skills!H8&gt;0,Skills!I8/Skills!H8,1)+IF(Skills!H8&gt;0,MIN(Skills!I8,MAX(0,MAX(0,Inputs!$B$43-B818)-((R788-1)*IF(Inputs!$B$38="pvp",15,MAX(0.1,Skills!E8-IF(Skills!F8=TRUE,Inputs!$B$32,0))))))/Skills!H8,1)))/Inputs!$B$43),G788*Q788))*IF(Inputs!$B$38="pvp",1,(1+(Inputs!$B$21+Skills!Q8)/100)*(MIN(Skills!R8,Inputs!$B$37))),0)</f>
        <v/>
      </c>
    </row>
    <row r="789">
      <c r="A789">
        <f>Skills!A9</f>
        <v/>
      </c>
      <c r="B789">
        <f>Skills!B9</f>
        <v/>
      </c>
      <c r="C789">
        <f>Inputs!$B$3&gt;=103</f>
        <v/>
      </c>
      <c r="D789">
        <f>IF(Skills!C9=1,60+Inputs!$B$25+Inputs!$B$29,IF(Skills!C9=2,90+Inputs!$B$26+Inputs!$B$29,IF(Skills!C9=3,120+(Inputs!$B$27+1)+Inputs!$B$29,MAX(0,(Inputs!$B$3-100)*3)+Inputs!$B$28+Inputs!$B$29)))</f>
        <v/>
      </c>
      <c r="E789">
        <f>INDEX(FactorTable!$B$2:$Y$301, MATCH(ROUND(MIN(300,MAX(1,D789)),0), FactorTable!$A$2:$A$301,0), Skills!M9+1)</f>
        <v/>
      </c>
      <c r="F789">
        <f>IF(Skills!N9=TRUE,(Skills!L9/10)*(E789/1000),Skills!L9/10)+Skills!O9</f>
        <v/>
      </c>
      <c r="G789">
        <f>Calc!G9</f>
        <v/>
      </c>
      <c r="H789">
        <f>Calc!H9</f>
        <v/>
      </c>
      <c r="I789">
        <f>IF(Skills!X9&lt;&gt;"",1+(Skills!X9/10)*(Z783/1000)/100,1)</f>
        <v/>
      </c>
      <c r="J789">
        <f>((Inputs!$B$6*(1+Inputs!$B$7/100))+(((Inputs!$B$12*(1+Inputs!$B$13/100))-(Inputs!$B$12*(1+Inputs!$B$13/100)))+0.25*(Inputs!$B$14-Inputs!$B$14))*(1+Inputs!$B$7/100))*(F789/100)</f>
        <v/>
      </c>
      <c r="K789">
        <f>J789*(1+((Inputs!$B$12*(1+Inputs!$B$13/100))*0.01+Inputs!$B$14*0.0025)/100)*(1+Inputs!$B$15/100)*(1+Inputs!$B$16/100)*(5000/(6000+Inputs!$B$42*(1-Inputs!$B$19/100)))*(1+Inputs!$B$24/100)*(1+F803/100)*(1+IF(Inputs!$B$3&gt;=120,F806,0)/100)^5*(1+(IF(Skills!A9="BASIC_ATTACK",Inputs!$B$17,Inputs!$B$18+IF(Inputs!$B$3&gt;=125,F807*5,0)))/100)*(B810*B811*B812*I789)</f>
        <v/>
      </c>
      <c r="L789">
        <f>K789*(MIN(Inputs!$B$22+(F802-Calc!F22),Inputs!$B$23)/100+Inputs!$B$23/100)/2</f>
        <v/>
      </c>
      <c r="M789">
        <f>L789*(1+(Inputs!$B$10+(F801-Calc!F21))/100)</f>
        <v/>
      </c>
      <c r="N789">
        <f>L789*(1-MIN(Inputs!$B$9+(F800-Calc!F20),100)/100)+M789*(MIN(Inputs!$B$9+(F800-Calc!F20),100)/100)</f>
        <v/>
      </c>
      <c r="O789">
        <f>(1-Summary!$B$56)*S789+Summary!$B$56*U789</f>
        <v/>
      </c>
      <c r="P789">
        <f>IF(B821=0,0,O789/B821)</f>
        <v/>
      </c>
      <c r="Q789">
        <f>IFERROR(1/IF(Inputs!$B$38="pvp",15,MAX(0.1,Skills!E9-IF(Skills!F7=TRUE,Inputs!$B$32,0))),0)</f>
        <v/>
      </c>
      <c r="R789">
        <f>IF(AND(Inputs!$B$38&lt;&gt;"pvp",Inputs!$B$43&gt;0),IF(MAX(0,Inputs!$B$43-B818)&lt;=0,0,(INT(MAX(0,Inputs!$B$43-B818)/IF(Inputs!$B$38="pvp",15,MAX(0.1,Skills!E9-IF(Skills!F7=TRUE,Inputs!$B$32,0))))+1)),0)</f>
        <v/>
      </c>
      <c r="S789">
        <f>IF(C789,(H789*N789*IF(AND(Inputs!$B$38&lt;&gt;"pvp",Inputs!$B$43&gt;0),((Skills!G9*((R789-1)*IF(Skills!H9&gt;0,Skills!I9/Skills!H9,1)+IF(Skills!H9&gt;0,MIN(Skills!I9,MAX(0,MAX(0,Inputs!$B$43-B818)-((R789-1)*IF(Inputs!$B$38="pvp",15,MAX(0.1,Skills!E9-IF(Skills!F7=TRUE,Inputs!$B$32,0))))))/Skills!H9,1)))/Inputs!$B$43),G789*Q789))*IF(Inputs!$B$38="pvp",1,1+(Inputs!$B$20+Skills!P9)/100),0)</f>
        <v/>
      </c>
      <c r="U789">
        <f>IF(C789,(H789*N789*IF(AND(Inputs!$B$38&lt;&gt;"pvp",Inputs!$B$43&gt;0),((Skills!G9*((R789-1)*IF(Skills!H9&gt;0,Skills!I9/Skills!H9,1)+IF(Skills!H9&gt;0,MIN(Skills!I9,MAX(0,MAX(0,Inputs!$B$43-B818)-((R789-1)*IF(Inputs!$B$38="pvp",15,MAX(0.1,Skills!E9-IF(Skills!F7=TRUE,Inputs!$B$32,0))))))/Skills!H9,1)))/Inputs!$B$43),G789*Q789))*IF(Inputs!$B$38="pvp",1,(1+(Inputs!$B$21+Skills!Q9)/100)*(MIN(Skills!R9,Inputs!$B$37))),0)</f>
        <v/>
      </c>
    </row>
    <row r="790">
      <c r="A790">
        <f>Skills!A10</f>
        <v/>
      </c>
      <c r="B790">
        <f>Skills!B10</f>
        <v/>
      </c>
      <c r="C790">
        <f>TRUE</f>
        <v/>
      </c>
      <c r="D790">
        <f>IF(Skills!C10=1,60+Inputs!$B$25+Inputs!$B$29,IF(Skills!C10=2,90+Inputs!$B$26+Inputs!$B$29,IF(Skills!C10=3,120+(Inputs!$B$27+1)+Inputs!$B$29,MAX(0,(Inputs!$B$3-100)*3)+Inputs!$B$28+Inputs!$B$29)))</f>
        <v/>
      </c>
      <c r="E790">
        <f>INDEX(FactorTable!$B$2:$Y$301, MATCH(ROUND(MIN(300,MAX(1,D790)),0), FactorTable!$A$2:$A$301,0), Skills!M10+1)</f>
        <v/>
      </c>
      <c r="F790">
        <f>IF(Skills!N10=TRUE,(Skills!L10/10)*(E790/1000),Skills!L10/10)+Skills!O10</f>
        <v/>
      </c>
      <c r="G790">
        <f>Calc!G10</f>
        <v/>
      </c>
      <c r="H790">
        <f>Calc!H10</f>
        <v/>
      </c>
      <c r="I790">
        <f>IF(Skills!X10&lt;&gt;"",1+(Skills!X10/10)*(Z783/1000)/100,1)</f>
        <v/>
      </c>
      <c r="J790">
        <f>((Inputs!$B$6*(1+Inputs!$B$7/100))+(((Inputs!$B$12*(1+Inputs!$B$13/100))-(Inputs!$B$12*(1+Inputs!$B$13/100)))+0.25*(Inputs!$B$14-Inputs!$B$14))*(1+Inputs!$B$7/100))*(F790/100)</f>
        <v/>
      </c>
      <c r="K790">
        <f>J790*(1+((Inputs!$B$12*(1+Inputs!$B$13/100))*0.01+Inputs!$B$14*0.0025)/100)*(1+Inputs!$B$15/100)*(1+Inputs!$B$16/100)*(5000/(6000+Inputs!$B$42*(1-Inputs!$B$19/100)))*(1+Inputs!$B$24/100)*(1+F803/100)*(1+IF(Inputs!$B$3&gt;=120,F806,0)/100)^5*(1+(IF(Skills!A10="BASIC_ATTACK",Inputs!$B$17,Inputs!$B$18+IF(Inputs!$B$3&gt;=125,F807*5,0)))/100)*(B810*B811*B812*I790)</f>
        <v/>
      </c>
      <c r="L790">
        <f>K790*(MIN(Inputs!$B$22+(F802-Calc!F22),Inputs!$B$23)/100+Inputs!$B$23/100)/2</f>
        <v/>
      </c>
      <c r="M790">
        <f>L790*(1+(Inputs!$B$10+(F801-Calc!F21))/100)</f>
        <v/>
      </c>
      <c r="N790">
        <f>L790*(1-MIN(Inputs!$B$9+(F800-Calc!F20),100)/100)+M790*(MIN(Inputs!$B$9+(F800-Calc!F20),100)/100)</f>
        <v/>
      </c>
      <c r="O790">
        <f>(1-Summary!$B$56)*S790+Summary!$B$56*U790</f>
        <v/>
      </c>
      <c r="P790">
        <f>IF(B821=0,0,O790/B821)</f>
        <v/>
      </c>
      <c r="Q790">
        <f>IFERROR(1/IF(Inputs!$B$38="pvp",15,MAX(0.1,Skills!E10-IF(Skills!F10=TRUE,Inputs!$B$32,0))),0)</f>
        <v/>
      </c>
      <c r="R790">
        <f>IF(AND(Inputs!$B$38&lt;&gt;"pvp",Inputs!$B$43&gt;0),IF(MAX(0,Inputs!$B$43-B818)&lt;=0,0,(INT(MAX(0,Inputs!$B$43-B818)/IF(Inputs!$B$38="pvp",15,MAX(0.1,Skills!E10-IF(Skills!F10=TRUE,Inputs!$B$32,0))))+1)),0)</f>
        <v/>
      </c>
      <c r="S790">
        <f>IF(C790,(H790*N790*IF(AND(Inputs!$B$38&lt;&gt;"pvp",Inputs!$B$43&gt;0),((Skills!G10*((R790-1)*IF(Skills!H10&gt;0,Skills!I10/Skills!H10,1)+IF(Skills!H10&gt;0,MIN(Skills!I10,MAX(0,MAX(0,Inputs!$B$43-B818)-((R790-1)*IF(Inputs!$B$38="pvp",15,MAX(0.1,Skills!E10-IF(Skills!F10=TRUE,Inputs!$B$32,0))))))/Skills!H10,1)))/Inputs!$B$43),G790*Q790))*IF(Inputs!$B$38="pvp",1,1+(Inputs!$B$20+Skills!P10)/100),0)</f>
        <v/>
      </c>
      <c r="U790">
        <f>IF(C790,(H790*N790*IF(AND(Inputs!$B$38&lt;&gt;"pvp",Inputs!$B$43&gt;0),((Skills!G10*((R790-1)*IF(Skills!H10&gt;0,Skills!I10/Skills!H10,1)+IF(Skills!H10&gt;0,MIN(Skills!I10,MAX(0,MAX(0,Inputs!$B$43-B818)-((R790-1)*IF(Inputs!$B$38="pvp",15,MAX(0.1,Skills!E10-IF(Skills!F10=TRUE,Inputs!$B$32,0))))))/Skills!H10,1)))/Inputs!$B$43),G790*Q790))*IF(Inputs!$B$38="pvp",1,(1+(Inputs!$B$21+Skills!Q10)/100)*(MIN(Skills!R10,Inputs!$B$37))),0)</f>
        <v/>
      </c>
    </row>
    <row r="791">
      <c r="A791">
        <f>Skills!A11</f>
        <v/>
      </c>
      <c r="B791">
        <f>Skills!B11</f>
        <v/>
      </c>
      <c r="C791">
        <f>TRUE</f>
        <v/>
      </c>
      <c r="D791">
        <f>IF(Skills!C11=1,60+Inputs!$B$25+Inputs!$B$29,IF(Skills!C11=2,90+Inputs!$B$26+Inputs!$B$29,IF(Skills!C11=3,120+(Inputs!$B$27+1)+Inputs!$B$29,MAX(0,(Inputs!$B$3-100)*3)+Inputs!$B$28+Inputs!$B$29)))</f>
        <v/>
      </c>
      <c r="E791">
        <f>INDEX(FactorTable!$B$2:$Y$301, MATCH(ROUND(MIN(300,MAX(1,D791)),0), FactorTable!$A$2:$A$301,0), Skills!M11+1)</f>
        <v/>
      </c>
      <c r="F791">
        <f>IF(Skills!N11=TRUE,(Skills!L11/10)*(E791/1000),Skills!L11/10)+Skills!O11</f>
        <v/>
      </c>
      <c r="G791">
        <f>Calc!G11</f>
        <v/>
      </c>
      <c r="H791">
        <f>Calc!H11</f>
        <v/>
      </c>
      <c r="I791">
        <f>IF(Skills!X11&lt;&gt;"",1+(Skills!X11/10)*(Z783/1000)/100,1)</f>
        <v/>
      </c>
      <c r="J791" t="inlineStr"/>
      <c r="K791" t="inlineStr"/>
      <c r="L791" t="inlineStr"/>
      <c r="M791" t="inlineStr"/>
      <c r="N791" t="inlineStr"/>
      <c r="O791">
        <f>(1-Summary!$B$56)*S791+Summary!$B$56*U791</f>
        <v/>
      </c>
      <c r="P791">
        <f>IF(B821=0,0,O791/B821)</f>
        <v/>
      </c>
      <c r="Q791">
        <f>IFERROR(1/IF(Inputs!$B$38="pvp",15,MAX(0.1,Skills!E11-IF(Skills!F11=TRUE,Inputs!$B$32,0))),0)</f>
        <v/>
      </c>
      <c r="R791" t="n">
        <v>0</v>
      </c>
      <c r="S791" t="n">
        <v>0</v>
      </c>
      <c r="U791" t="n">
        <v>0</v>
      </c>
    </row>
    <row r="792">
      <c r="A792">
        <f>Skills!A12</f>
        <v/>
      </c>
      <c r="B792">
        <f>Skills!B12</f>
        <v/>
      </c>
      <c r="C792">
        <f>TRUE</f>
        <v/>
      </c>
      <c r="D792">
        <f>IF(Skills!C12=1,60+Inputs!$B$25+Inputs!$B$29,IF(Skills!C12=2,90+Inputs!$B$26+Inputs!$B$29,IF(Skills!C12=3,120+(Inputs!$B$27+1)+Inputs!$B$29,MAX(0,(Inputs!$B$3-100)*3)+Inputs!$B$28+Inputs!$B$29)))</f>
        <v/>
      </c>
      <c r="E792">
        <f>INDEX(FactorTable!$B$2:$Y$301, MATCH(ROUND(MIN(300,MAX(1,D792)),0), FactorTable!$A$2:$A$301,0), Skills!M12+1)</f>
        <v/>
      </c>
      <c r="F792">
        <f>IF(Skills!N12=TRUE,(Skills!L12/10)*(E792/1000),Skills!L12/10)+Skills!O12</f>
        <v/>
      </c>
      <c r="G792">
        <f>Calc!G12</f>
        <v/>
      </c>
      <c r="H792">
        <f>Calc!H12</f>
        <v/>
      </c>
      <c r="I792">
        <f>IF(Skills!X12&lt;&gt;"",1+(Skills!X12/10)*(Z783/1000)/100,1)</f>
        <v/>
      </c>
      <c r="J792" t="inlineStr"/>
      <c r="K792" t="inlineStr"/>
      <c r="L792" t="inlineStr"/>
      <c r="M792" t="inlineStr"/>
      <c r="N792" t="inlineStr"/>
      <c r="O792">
        <f>(1-Summary!$B$56)*S792+Summary!$B$56*U792</f>
        <v/>
      </c>
      <c r="P792">
        <f>IF(B821=0,0,O792/B821)</f>
        <v/>
      </c>
      <c r="Q792">
        <f>IFERROR(1/IF(Inputs!$B$38="pvp",15,MAX(0.1,Skills!E12-IF(Skills!F12=TRUE,Inputs!$B$32,0))),0)</f>
        <v/>
      </c>
      <c r="R792" t="n">
        <v>0</v>
      </c>
      <c r="S792" t="n">
        <v>0</v>
      </c>
      <c r="U792" t="n">
        <v>0</v>
      </c>
    </row>
    <row r="793">
      <c r="A793">
        <f>Skills!A13</f>
        <v/>
      </c>
      <c r="B793">
        <f>Skills!B13</f>
        <v/>
      </c>
      <c r="C793">
        <f>Inputs!$B$3&gt;=105</f>
        <v/>
      </c>
      <c r="D793">
        <f>IF(Skills!C13=1,60+Inputs!$B$25+Inputs!$B$29,IF(Skills!C13=2,90+Inputs!$B$26+Inputs!$B$29,IF(Skills!C13=3,120+(Inputs!$B$27+1)+Inputs!$B$29,MAX(0,(Inputs!$B$3-100)*3)+Inputs!$B$28+Inputs!$B$29)))</f>
        <v/>
      </c>
      <c r="E793">
        <f>INDEX(FactorTable!$B$2:$Y$301, MATCH(ROUND(MIN(300,MAX(1,D793)),0), FactorTable!$A$2:$A$301,0), Skills!M13+1)</f>
        <v/>
      </c>
      <c r="F793">
        <f>IF(Skills!N13=TRUE,(Skills!L13/10)*(E793/1000),Skills!L13/10)+Skills!O13</f>
        <v/>
      </c>
      <c r="G793">
        <f>Calc!G13</f>
        <v/>
      </c>
      <c r="H793">
        <f>Calc!H13</f>
        <v/>
      </c>
      <c r="I793">
        <f>IF(Skills!X13&lt;&gt;"",1+(Skills!X13/10)*(Z783/1000)/100,1)</f>
        <v/>
      </c>
      <c r="J793">
        <f>((Inputs!$B$6*(1+Inputs!$B$7/100))+(((Inputs!$B$12*(1+Inputs!$B$13/100))-(Inputs!$B$12*(1+Inputs!$B$13/100)))+0.25*(Inputs!$B$14-Inputs!$B$14))*(1+Inputs!$B$7/100))*(F793/100)</f>
        <v/>
      </c>
      <c r="K793">
        <f>J793*(1+((Inputs!$B$12*(1+Inputs!$B$13/100))*0.01+Inputs!$B$14*0.0025)/100)*(1+Inputs!$B$15/100)*(1+Inputs!$B$16/100)*(5000/(6000+Inputs!$B$42*(1-Inputs!$B$19/100)))*(1+Inputs!$B$24/100)*(1+F803/100)*(1+IF(Inputs!$B$3&gt;=120,F806,0)/100)^5*(1+(IF(Skills!A13="BASIC_ATTACK",Inputs!$B$17,Inputs!$B$18+IF(Inputs!$B$3&gt;=125,F807*5,0)))/100)*(B810*B811*B812*I793)</f>
        <v/>
      </c>
      <c r="L793">
        <f>K793*(MIN(Inputs!$B$22+(F802-Calc!F22),Inputs!$B$23)/100+Inputs!$B$23/100)/2</f>
        <v/>
      </c>
      <c r="M793">
        <f>L793*(1+(Inputs!$B$10+(F801-Calc!F21))/100)</f>
        <v/>
      </c>
      <c r="N793">
        <f>L793*(1-MIN(Inputs!$B$9+(F800-Calc!F20),100)/100)+M793*(MIN(Inputs!$B$9+(F800-Calc!F20),100)/100)</f>
        <v/>
      </c>
      <c r="O793">
        <f>(1-Summary!$B$56)*S793+Summary!$B$56*U793</f>
        <v/>
      </c>
      <c r="P793">
        <f>IF(B821=0,0,O793/B821)</f>
        <v/>
      </c>
      <c r="Q793">
        <f>IFERROR(1/IF(Inputs!$B$38="pvp",15,MAX(0.1,Skills!E13-IF(Skills!F13=TRUE,Inputs!$B$32,0))),0)</f>
        <v/>
      </c>
      <c r="R793">
        <f>IF(AND(Inputs!$B$38&lt;&gt;"pvp",Inputs!$B$43&gt;0),IF(MAX(0,Inputs!$B$43-B818)&lt;=0,0,(INT(MAX(0,Inputs!$B$43-B818)/IF(Inputs!$B$38="pvp",15,MAX(0.1,Skills!E13-IF(Skills!F13=TRUE,Inputs!$B$32,0))))+1)),0)</f>
        <v/>
      </c>
      <c r="S793">
        <f>IF(C793,(H793*N793*IF(AND(Inputs!$B$38&lt;&gt;"pvp",Inputs!$B$43&gt;0),((Skills!G13*((R793-1)*IF(Skills!H13&gt;0,Skills!I13/Skills!H13,1)+IF(Skills!H13&gt;0,MIN(Skills!I13,MAX(0,MAX(0,Inputs!$B$43-B818)-((R793-1)*IF(Inputs!$B$38="pvp",15,MAX(0.1,Skills!E13-IF(Skills!F13=TRUE,Inputs!$B$32,0))))))/Skills!H13,1)))/Inputs!$B$43),G793*Q793))*IF(Inputs!$B$38="pvp",1,1+(Inputs!$B$20+Skills!P13)/100),0)</f>
        <v/>
      </c>
      <c r="U793">
        <f>IF(C793,(H793*N793*IF(AND(Inputs!$B$38&lt;&gt;"pvp",Inputs!$B$43&gt;0),((Skills!G13*((R793-1)*IF(Skills!H13&gt;0,Skills!I13/Skills!H13,1)+IF(Skills!H13&gt;0,MIN(Skills!I13,MAX(0,MAX(0,Inputs!$B$43-B818)-((R793-1)*IF(Inputs!$B$38="pvp",15,MAX(0.1,Skills!E13-IF(Skills!F13=TRUE,Inputs!$B$32,0))))))/Skills!H13,1)))/Inputs!$B$43),G793*Q793))*IF(Inputs!$B$38="pvp",1,(1+(Inputs!$B$21+Skills!Q13)/100)*(MIN(Skills!R13,Inputs!$B$37))),0)</f>
        <v/>
      </c>
    </row>
    <row r="794">
      <c r="A794">
        <f>Skills!A14</f>
        <v/>
      </c>
      <c r="B794">
        <f>Skills!B14</f>
        <v/>
      </c>
      <c r="C794">
        <f>Inputs!$B$3&gt;=113</f>
        <v/>
      </c>
      <c r="D794">
        <f>IF(Skills!C14=1,60+Inputs!$B$25+Inputs!$B$29,IF(Skills!C14=2,90+Inputs!$B$26+Inputs!$B$29,IF(Skills!C14=3,120+(Inputs!$B$27+1)+Inputs!$B$29,MAX(0,(Inputs!$B$3-100)*3)+Inputs!$B$28+Inputs!$B$29)))</f>
        <v/>
      </c>
      <c r="E794">
        <f>INDEX(FactorTable!$B$2:$Y$301, MATCH(ROUND(MIN(300,MAX(1,D794)),0), FactorTable!$A$2:$A$301,0), Skills!M14+1)</f>
        <v/>
      </c>
      <c r="F794">
        <f>IF(Skills!N14=TRUE,(Skills!L14/10)*(E794/1000),Skills!L14/10)+Skills!O14</f>
        <v/>
      </c>
      <c r="G794">
        <f>Calc!G14</f>
        <v/>
      </c>
      <c r="H794">
        <f>Calc!H14</f>
        <v/>
      </c>
      <c r="I794">
        <f>IF(Skills!X14&lt;&gt;"",1+(Skills!X14/10)*(Z783/1000)/100,1)</f>
        <v/>
      </c>
      <c r="J794">
        <f>((Inputs!$B$6*(1+Inputs!$B$7/100))+(((Inputs!$B$12*(1+Inputs!$B$13/100))-(Inputs!$B$12*(1+Inputs!$B$13/100)))+0.25*(Inputs!$B$14-Inputs!$B$14))*(1+Inputs!$B$7/100))*(F794/100)</f>
        <v/>
      </c>
      <c r="K794">
        <f>J794*(1+((Inputs!$B$12*(1+Inputs!$B$13/100))*0.01+Inputs!$B$14*0.0025)/100)*(1+Inputs!$B$15/100)*(1+Inputs!$B$16/100)*(5000/(6000+Inputs!$B$42*(1-Inputs!$B$19/100)))*(1+Inputs!$B$24/100)*(1+F803/100)*(1+IF(Inputs!$B$3&gt;=120,F806,0)/100)^5*(1+(IF(Skills!A14="BASIC_ATTACK",Inputs!$B$17,Inputs!$B$18+IF(Inputs!$B$3&gt;=125,F807*5,0)))/100)*(B810*B811*B812*I794)</f>
        <v/>
      </c>
      <c r="L794">
        <f>K794*(MIN(Inputs!$B$22+(F802-Calc!F22),Inputs!$B$23)/100+Inputs!$B$23/100)/2</f>
        <v/>
      </c>
      <c r="M794">
        <f>L794*(1+(Inputs!$B$10+(F801-Calc!F21))/100)</f>
        <v/>
      </c>
      <c r="N794">
        <f>L794*(1-MIN(Inputs!$B$9+(F800-Calc!F20),100)/100)+M794*(MIN(Inputs!$B$9+(F800-Calc!F20),100)/100)</f>
        <v/>
      </c>
      <c r="O794">
        <f>(1-Summary!$B$56)*S794+Summary!$B$56*U794</f>
        <v/>
      </c>
      <c r="P794">
        <f>IF(B821=0,0,O794/B821)</f>
        <v/>
      </c>
      <c r="Q794">
        <f>IFERROR(1/IF(Inputs!$B$38="pvp",15,MAX(0.1,Skills!E14-IF(Skills!F14=TRUE,Inputs!$B$32,0))),0)</f>
        <v/>
      </c>
      <c r="R794" t="n">
        <v>0</v>
      </c>
      <c r="S794">
        <f>IF(C794,((H794*B817)/(1+Skills!H14*H794*B817)*N794)*IF(Inputs!$B$38="pvp",1,1+(Inputs!$B$20+Skills!P14)/100),0)</f>
        <v/>
      </c>
      <c r="U794">
        <f>IF(C794,((H794*B817)/(1+Skills!H14*H794*B817)*N794)*IF(Inputs!$B$38="pvp",1,(1+(Inputs!$B$21+Skills!Q14)/100)*(MIN(Skills!R14,Inputs!$B$37))),0)</f>
        <v/>
      </c>
    </row>
    <row r="795">
      <c r="A795">
        <f>Skills!A15</f>
        <v/>
      </c>
      <c r="B795">
        <f>Skills!B15</f>
        <v/>
      </c>
      <c r="C795">
        <f>Inputs!$B$3&gt;=107</f>
        <v/>
      </c>
      <c r="D795">
        <f>IF(Skills!C15=1,60+Inputs!$B$25+Inputs!$B$29,IF(Skills!C15=2,90+Inputs!$B$26+Inputs!$B$29,IF(Skills!C15=3,120+(Inputs!$B$27+1)+Inputs!$B$29,MAX(0,(Inputs!$B$3-100)*3)+Inputs!$B$28+Inputs!$B$29)))</f>
        <v/>
      </c>
      <c r="E795">
        <f>INDEX(FactorTable!$B$2:$Y$301, MATCH(ROUND(MIN(300,MAX(1,D795)),0), FactorTable!$A$2:$A$301,0), Skills!M15+1)</f>
        <v/>
      </c>
      <c r="F795">
        <f>IF(Skills!N15=TRUE,(Skills!L15/10)*(E795/1000),Skills!L15/10)+Skills!O15</f>
        <v/>
      </c>
      <c r="G795">
        <f>Calc!G15</f>
        <v/>
      </c>
      <c r="H795">
        <f>Calc!H15</f>
        <v/>
      </c>
      <c r="I795">
        <f>IF(Skills!X15&lt;&gt;"",1+(Skills!X15/10)*(Z783/1000)/100,1)</f>
        <v/>
      </c>
      <c r="J795">
        <f>((Inputs!$B$6*(1+Inputs!$B$7/100))+(((Inputs!$B$12*(1+Inputs!$B$13/100))-(Inputs!$B$12*(1+Inputs!$B$13/100)))+0.25*(Inputs!$B$14-Inputs!$B$14))*(1+Inputs!$B$7/100))*(F795/100)</f>
        <v/>
      </c>
      <c r="K795">
        <f>J795*(1+((Inputs!$B$12*(1+Inputs!$B$13/100))*0.01+Inputs!$B$14*0.0025)/100)*(1+Inputs!$B$15/100)*(1+Inputs!$B$16/100)*(5000/(6000+Inputs!$B$42*(1-Inputs!$B$19/100)))*(1+Inputs!$B$24/100)*(1+F803/100)*(1+IF(Inputs!$B$3&gt;=120,F806,0)/100)^5*(1+(IF(Skills!A15="BASIC_ATTACK",Inputs!$B$17,Inputs!$B$18+IF(Inputs!$B$3&gt;=125,F807*5,0)))/100)*(B810*B811*B812*I795)</f>
        <v/>
      </c>
      <c r="L795">
        <f>K795*(MIN(Inputs!$B$22+(F802-Calc!F22),Inputs!$B$23)/100+Inputs!$B$23/100)/2</f>
        <v/>
      </c>
      <c r="M795">
        <f>L795*(1+(Inputs!$B$10+(F801-Calc!F21))/100)</f>
        <v/>
      </c>
      <c r="N795">
        <f>L795*(1-MIN(Inputs!$B$9+(F800-Calc!F20),100)/100)+M795*(MIN(Inputs!$B$9+(F800-Calc!F20),100)/100)</f>
        <v/>
      </c>
      <c r="O795">
        <f>(1-Summary!$B$56)*S795+Summary!$B$56*U795</f>
        <v/>
      </c>
      <c r="P795">
        <f>IF(B821=0,0,O795/B821)</f>
        <v/>
      </c>
      <c r="Q795">
        <f>IFERROR(1/IF(Inputs!$B$38="pvp",15,MAX(0.1,Skills!E15-IF(Skills!F15=TRUE,Inputs!$B$32,0))),0)</f>
        <v/>
      </c>
      <c r="R795">
        <f>IF(AND(Inputs!$B$38&lt;&gt;"pvp",Inputs!$B$43&gt;0),IF(MAX(0,Inputs!$B$43-B818)&lt;=0,0,(INT(MAX(0,Inputs!$B$43-B818)/IF(Inputs!$B$38="pvp",15,MAX(0.1,Skills!E15-IF(Skills!F15=TRUE,Inputs!$B$32,0))))+1)),0)</f>
        <v/>
      </c>
      <c r="S795">
        <f>IF(C795,(H795*N795*IF(AND(Inputs!$B$38&lt;&gt;"pvp",Inputs!$B$43&gt;0),((Skills!G15*((R795-1)*IF(Skills!H15&gt;0,Skills!I15/Skills!H15,1)+IF(Skills!H15&gt;0,MIN(Skills!I15,MAX(0,MAX(0,Inputs!$B$43-B818)-((R795-1)*IF(Inputs!$B$38="pvp",15,MAX(0.1,Skills!E15-IF(Skills!F15=TRUE,Inputs!$B$32,0))))))/Skills!H15,1)))/Inputs!$B$43),G795*Q795))*IF(Inputs!$B$38="pvp",1,1+(Inputs!$B$20+Skills!P15)/100),0)</f>
        <v/>
      </c>
      <c r="U795">
        <f>IF(C795,(H795*N795*IF(AND(Inputs!$B$38&lt;&gt;"pvp",Inputs!$B$43&gt;0),((Skills!G15*((R795-1)*IF(Skills!H15&gt;0,Skills!I15/Skills!H15,1)+IF(Skills!H15&gt;0,MIN(Skills!I15,MAX(0,MAX(0,Inputs!$B$43-B818)-((R795-1)*IF(Inputs!$B$38="pvp",15,MAX(0.1,Skills!E15-IF(Skills!F15=TRUE,Inputs!$B$32,0))))))/Skills!H15,1)))/Inputs!$B$43),G795*Q795))*IF(Inputs!$B$38="pvp",1,(1+(Inputs!$B$21+Skills!Q15)/100)*(MIN(Skills!R15,Inputs!$B$37))),0)</f>
        <v/>
      </c>
    </row>
    <row r="796">
      <c r="A796">
        <f>Skills!A16</f>
        <v/>
      </c>
      <c r="B796">
        <f>Skills!B16</f>
        <v/>
      </c>
      <c r="C796">
        <f>Inputs!$B$3&gt;=107</f>
        <v/>
      </c>
      <c r="D796">
        <f>IF(Skills!C16=1,60+Inputs!$B$25+Inputs!$B$29,IF(Skills!C16=2,90+Inputs!$B$26+Inputs!$B$29,IF(Skills!C16=3,120+(Inputs!$B$27+1)+Inputs!$B$29,MAX(0,(Inputs!$B$3-100)*3)+Inputs!$B$28+Inputs!$B$29)))</f>
        <v/>
      </c>
      <c r="E796">
        <f>INDEX(FactorTable!$B$2:$Y$301, MATCH(ROUND(MIN(300,MAX(1,D796)),0), FactorTable!$A$2:$A$301,0), Skills!M16+1)</f>
        <v/>
      </c>
      <c r="F796">
        <f>IF(Skills!N16=TRUE,(Skills!L16/10)*(E796/1000),Skills!L16/10)+Skills!O16</f>
        <v/>
      </c>
      <c r="G796">
        <f>Calc!G16</f>
        <v/>
      </c>
      <c r="H796">
        <f>Calc!H16</f>
        <v/>
      </c>
      <c r="I796">
        <f>IF(Skills!X16&lt;&gt;"",1+(Skills!X16/10)*(Z783/1000)/100,1)</f>
        <v/>
      </c>
      <c r="J796">
        <f>((Inputs!$B$6*(1+Inputs!$B$7/100))+(((Inputs!$B$12*(1+Inputs!$B$13/100))-(Inputs!$B$12*(1+Inputs!$B$13/100)))+0.25*(Inputs!$B$14-Inputs!$B$14))*(1+Inputs!$B$7/100))*(F796/100)</f>
        <v/>
      </c>
      <c r="K796">
        <f>J796*(1+((Inputs!$B$12*(1+Inputs!$B$13/100))*0.01+Inputs!$B$14*0.0025)/100)*(1+Inputs!$B$15/100)*(1+Inputs!$B$16/100)*(5000/(6000+Inputs!$B$42*(1-Inputs!$B$19/100)))*(1+Inputs!$B$24/100)*(1+F803/100)*(1+IF(Inputs!$B$3&gt;=120,F806,0)/100)^5*(1+(IF(Skills!A16="BASIC_ATTACK",Inputs!$B$17,Inputs!$B$18+IF(Inputs!$B$3&gt;=125,F807*5,0)))/100)*(B810*B811*B812*I796)</f>
        <v/>
      </c>
      <c r="L796">
        <f>K796*(MIN(Inputs!$B$22+(F802-Calc!F22),Inputs!$B$23)/100+Inputs!$B$23/100)/2</f>
        <v/>
      </c>
      <c r="M796">
        <f>L796*(1+(Inputs!$B$10+(F801-Calc!F21))/100)</f>
        <v/>
      </c>
      <c r="N796">
        <f>L796*(1-MIN(Inputs!$B$9+(F800-Calc!F20),100)/100)+M796*(MIN(Inputs!$B$9+(F800-Calc!F20),100)/100)</f>
        <v/>
      </c>
      <c r="O796">
        <f>(1-Summary!$B$56)*S796+Summary!$B$56*U796</f>
        <v/>
      </c>
      <c r="P796">
        <f>IF(B821=0,0,O796/B821)</f>
        <v/>
      </c>
      <c r="Q796">
        <f>IFERROR(1/IF(Inputs!$B$38="pvp",15,MAX(0.1,Skills!E16-IF(Skills!F16=TRUE,Inputs!$B$32,0))),0)</f>
        <v/>
      </c>
      <c r="R796">
        <f>IF(AND(Inputs!$B$38&lt;&gt;"pvp",Inputs!$B$43&gt;0),IF(MAX(0,Inputs!$B$43-B818)&lt;=0,0,(INT(MAX(0,Inputs!$B$43-B818)/IF(Inputs!$B$38="pvp",15,MAX(0.1,Skills!E16-IF(Skills!F16=TRUE,Inputs!$B$32,0))))+1)),0)</f>
        <v/>
      </c>
      <c r="S796">
        <f>IF(C796,(H796*N796*IF(AND(Inputs!$B$38&lt;&gt;"pvp",Inputs!$B$43&gt;0),((Skills!G16*((R796-1)*IF(Skills!H16&gt;0,Skills!I16/Skills!H16,1)+IF(Skills!H16&gt;0,MIN(Skills!I16,MAX(0,MAX(0,Inputs!$B$43-B818)-((R796-1)*IF(Inputs!$B$38="pvp",15,MAX(0.1,Skills!E16-IF(Skills!F16=TRUE,Inputs!$B$32,0))))))/Skills!H16,1)))/Inputs!$B$43),G796*Q796)*(1+IF(Inputs!$B$3&gt;=126,0.05*(B816+Q793+(H794*B817)/(1+Skills!H14*H794*B817)+Q804),0)*Skills!E15))*IF(Inputs!$B$38="pvp",1,1+(Inputs!$B$20+Skills!P16)/100),0)</f>
        <v/>
      </c>
      <c r="U796">
        <f>IF(C796,(H796*N796*IF(AND(Inputs!$B$38&lt;&gt;"pvp",Inputs!$B$43&gt;0),((Skills!G16*((R796-1)*IF(Skills!H16&gt;0,Skills!I16/Skills!H16,1)+IF(Skills!H16&gt;0,MIN(Skills!I16,MAX(0,MAX(0,Inputs!$B$43-B818)-((R796-1)*IF(Inputs!$B$38="pvp",15,MAX(0.1,Skills!E16-IF(Skills!F16=TRUE,Inputs!$B$32,0))))))/Skills!H16,1)))/Inputs!$B$43),G796*Q796)*(1+IF(Inputs!$B$3&gt;=126,0.05*(B816+Q793+(H794*B817)/(1+Skills!H14*H794*B817)+Q804),0)*Skills!E15))*IF(Inputs!$B$38="pvp",1,(1+(Inputs!$B$21+Skills!Q16)/100)*(MIN(Skills!R16,Inputs!$B$37))),0)</f>
        <v/>
      </c>
    </row>
    <row r="797">
      <c r="A797">
        <f>Skills!A17</f>
        <v/>
      </c>
      <c r="B797">
        <f>Skills!B17</f>
        <v/>
      </c>
      <c r="C797">
        <f>TRUE</f>
        <v/>
      </c>
      <c r="D797">
        <f>IF(Skills!C17=1,60+Inputs!$B$25+Inputs!$B$29,IF(Skills!C17=2,90+Inputs!$B$26+Inputs!$B$29,IF(Skills!C17=3,120+(Inputs!$B$27+1)+Inputs!$B$29,MAX(0,(Inputs!$B$3-100)*3)+Inputs!$B$28+Inputs!$B$29)))</f>
        <v/>
      </c>
      <c r="E797">
        <f>INDEX(FactorTable!$B$2:$Y$301, MATCH(ROUND(MIN(300,MAX(1,D797)),0), FactorTable!$A$2:$A$301,0), Skills!M17+1)</f>
        <v/>
      </c>
      <c r="F797">
        <f>IF(Skills!N17=TRUE,(Skills!L17/10)*(E797/1000),Skills!L17/10)+Skills!O17</f>
        <v/>
      </c>
      <c r="G797">
        <f>Calc!G17</f>
        <v/>
      </c>
      <c r="H797">
        <f>Calc!H17</f>
        <v/>
      </c>
      <c r="I797">
        <f>IF(Skills!X17&lt;&gt;"",1+(Skills!X17/10)*(Z783/1000)/100,1)</f>
        <v/>
      </c>
      <c r="J797" t="inlineStr"/>
      <c r="K797" t="inlineStr"/>
      <c r="L797" t="inlineStr"/>
      <c r="M797" t="inlineStr"/>
      <c r="N797" t="inlineStr"/>
      <c r="O797">
        <f>(1-Summary!$B$56)*S797+Summary!$B$56*U797</f>
        <v/>
      </c>
      <c r="P797">
        <f>IF(B821=0,0,O797/B821)</f>
        <v/>
      </c>
      <c r="Q797">
        <f>IFERROR(1/IF(Inputs!$B$38="pvp",15,MAX(0.1,Skills!E17-IF(Skills!F17=TRUE,Inputs!$B$32,0))),0)</f>
        <v/>
      </c>
      <c r="R797">
        <f>IF(AND(Inputs!$B$38&lt;&gt;"pvp",Inputs!$B$43&gt;0),IF(Inputs!$B$43&lt;=0,0,(INT(Inputs!$B$43/IF(Inputs!$B$38="pvp",15,MAX(0.1,Skills!E17-IF(Skills!F17=TRUE,Inputs!$B$32,0))))+1)),0)</f>
        <v/>
      </c>
      <c r="S797" t="n">
        <v>0</v>
      </c>
      <c r="U797" t="n">
        <v>0</v>
      </c>
    </row>
    <row r="798">
      <c r="A798">
        <f>Skills!A18</f>
        <v/>
      </c>
      <c r="B798">
        <f>Skills!B18</f>
        <v/>
      </c>
      <c r="C798">
        <f>TRUE</f>
        <v/>
      </c>
      <c r="D798">
        <f>IF(Skills!C18=1,60+Inputs!$B$25+Inputs!$B$29,IF(Skills!C18=2,90+Inputs!$B$26+Inputs!$B$29,IF(Skills!C18=3,120+(Inputs!$B$27+1)+Inputs!$B$29,MAX(0,(Inputs!$B$3-100)*3)+Inputs!$B$28+Inputs!$B$29)))</f>
        <v/>
      </c>
      <c r="E798">
        <f>INDEX(FactorTable!$B$2:$Y$301, MATCH(ROUND(MIN(300,MAX(1,D798)),0), FactorTable!$A$2:$A$301,0), Skills!M18+1)</f>
        <v/>
      </c>
      <c r="F798">
        <f>IF(Skills!N18=TRUE,(Skills!L18/10)*(E798/1000),Skills!L18/10)+Skills!O18</f>
        <v/>
      </c>
      <c r="G798">
        <f>Calc!G18</f>
        <v/>
      </c>
      <c r="H798">
        <f>Calc!H18</f>
        <v/>
      </c>
      <c r="I798">
        <f>IF(Skills!X18&lt;&gt;"",1+(Skills!X18/10)*(Z783/1000)/100,1)</f>
        <v/>
      </c>
      <c r="J798" t="inlineStr"/>
      <c r="K798" t="inlineStr"/>
      <c r="L798" t="inlineStr"/>
      <c r="M798" t="inlineStr"/>
      <c r="N798" t="inlineStr"/>
      <c r="O798">
        <f>(1-Summary!$B$56)*S798+Summary!$B$56*U798</f>
        <v/>
      </c>
      <c r="P798">
        <f>IF(B821=0,0,O798/B821)</f>
        <v/>
      </c>
      <c r="Q798">
        <f>IFERROR(1/IF(Inputs!$B$38="pvp",15,MAX(0.1,Skills!E18-IF(Skills!F18=TRUE,Inputs!$B$32,0))),0)</f>
        <v/>
      </c>
      <c r="R798">
        <f>IF(AND(Inputs!$B$38&lt;&gt;"pvp",Inputs!$B$43&gt;0),IF(Inputs!$B$43&lt;=0,0,(INT(Inputs!$B$43/IF(Inputs!$B$38="pvp",15,MAX(0.1,Skills!E18-IF(Skills!F18=TRUE,Inputs!$B$32,0))))+1)),0)</f>
        <v/>
      </c>
      <c r="S798" t="n">
        <v>0</v>
      </c>
      <c r="U798" t="n">
        <v>0</v>
      </c>
    </row>
    <row r="799">
      <c r="A799">
        <f>Skills!A19</f>
        <v/>
      </c>
      <c r="B799">
        <f>Skills!B19</f>
        <v/>
      </c>
      <c r="C799">
        <f>Inputs!$B$3&gt;=110</f>
        <v/>
      </c>
      <c r="D799">
        <f>IF(Skills!C19=1,60+Inputs!$B$25+Inputs!$B$29,IF(Skills!C19=2,90+Inputs!$B$26+Inputs!$B$29,IF(Skills!C19=3,120+(Inputs!$B$27+1)+Inputs!$B$29,MAX(0,(Inputs!$B$3-100)*3)+Inputs!$B$28+Inputs!$B$29)))</f>
        <v/>
      </c>
      <c r="E799">
        <f>INDEX(FactorTable!$B$2:$Y$301, MATCH(ROUND(MIN(300,MAX(1,D799)),0), FactorTable!$A$2:$A$301,0), Skills!M19+1)</f>
        <v/>
      </c>
      <c r="F799">
        <f>IF(Skills!N19=TRUE,(Skills!L19/10)*(E799/1000),Skills!L19/10)+Skills!O19</f>
        <v/>
      </c>
      <c r="G799">
        <f>Calc!G19</f>
        <v/>
      </c>
      <c r="H799">
        <f>Calc!H19</f>
        <v/>
      </c>
      <c r="I799">
        <f>IF(Skills!X19&lt;&gt;"",1+(Skills!X19/10)*(Z783/1000)/100,1)</f>
        <v/>
      </c>
      <c r="J799" t="inlineStr"/>
      <c r="K799" t="inlineStr"/>
      <c r="L799" t="inlineStr"/>
      <c r="M799" t="inlineStr"/>
      <c r="N799" t="inlineStr"/>
      <c r="O799">
        <f>(1-Summary!$B$56)*S799+Summary!$B$56*U799</f>
        <v/>
      </c>
      <c r="P799">
        <f>IF(B821=0,0,O799/B821)</f>
        <v/>
      </c>
      <c r="Q799">
        <f>IFERROR(1/IF(Inputs!$B$38="pvp",15,MAX(0.1,Skills!E19-IF(Skills!F19=TRUE,Inputs!$B$32,0))),0)</f>
        <v/>
      </c>
      <c r="R799">
        <f>IF(AND(Inputs!$B$38&lt;&gt;"pvp",Inputs!$B$43&gt;0),IF(Inputs!$B$43&lt;=0,0,(INT(Inputs!$B$43/IF(Inputs!$B$38="pvp",15,MAX(0.1,Skills!E19-IF(Skills!F19=TRUE,Inputs!$B$32,0))))+1)),0)</f>
        <v/>
      </c>
      <c r="S799" t="n">
        <v>0</v>
      </c>
      <c r="U799" t="n">
        <v>0</v>
      </c>
    </row>
    <row r="800">
      <c r="A800">
        <f>Skills!A20</f>
        <v/>
      </c>
      <c r="B800">
        <f>Skills!B20</f>
        <v/>
      </c>
      <c r="C800">
        <f>TRUE</f>
        <v/>
      </c>
      <c r="D800">
        <f>IF(Skills!C20=1,60+Inputs!$B$25+Inputs!$B$29,IF(Skills!C20=2,90+Inputs!$B$26+Inputs!$B$29,IF(Skills!C20=3,120+(Inputs!$B$27+1)+Inputs!$B$29,MAX(0,(Inputs!$B$3-100)*3)+Inputs!$B$28+Inputs!$B$29)))</f>
        <v/>
      </c>
      <c r="E800">
        <f>INDEX(FactorTable!$B$2:$Y$301, MATCH(ROUND(MIN(300,MAX(1,D800)),0), FactorTable!$A$2:$A$301,0), Skills!M20+1)</f>
        <v/>
      </c>
      <c r="F800">
        <f>IF(Skills!N20=TRUE,(Skills!L20/10)*(E800/1000),Skills!L20/10)+Skills!O20</f>
        <v/>
      </c>
      <c r="G800">
        <f>Calc!G20</f>
        <v/>
      </c>
      <c r="H800">
        <f>Calc!H20</f>
        <v/>
      </c>
      <c r="I800">
        <f>IF(Skills!X20&lt;&gt;"",1+(Skills!X20/10)*(Z783/1000)/100,1)</f>
        <v/>
      </c>
      <c r="J800" t="inlineStr"/>
      <c r="K800" t="inlineStr"/>
      <c r="L800" t="inlineStr"/>
      <c r="M800" t="inlineStr"/>
      <c r="N800" t="inlineStr"/>
      <c r="O800">
        <f>(1-Summary!$B$56)*S800+Summary!$B$56*U800</f>
        <v/>
      </c>
      <c r="P800">
        <f>IF(B821=0,0,O800/B821)</f>
        <v/>
      </c>
      <c r="Q800">
        <f>IFERROR(1/IF(Inputs!$B$38="pvp",15,MAX(0.1,Skills!E20-IF(Skills!F20=TRUE,Inputs!$B$32,0))),0)</f>
        <v/>
      </c>
      <c r="R800" t="n">
        <v>0</v>
      </c>
      <c r="S800" t="n">
        <v>0</v>
      </c>
      <c r="U800" t="n">
        <v>0</v>
      </c>
    </row>
    <row r="801">
      <c r="A801">
        <f>Skills!A21</f>
        <v/>
      </c>
      <c r="B801">
        <f>Skills!B21</f>
        <v/>
      </c>
      <c r="C801">
        <f>TRUE</f>
        <v/>
      </c>
      <c r="D801">
        <f>IF(Skills!C21=1,60+Inputs!$B$25+Inputs!$B$29,IF(Skills!C21=2,90+Inputs!$B$26+Inputs!$B$29,IF(Skills!C21=3,120+(Inputs!$B$27+1)+Inputs!$B$29,MAX(0,(Inputs!$B$3-100)*3)+Inputs!$B$28+Inputs!$B$29)))</f>
        <v/>
      </c>
      <c r="E801">
        <f>INDEX(FactorTable!$B$2:$Y$301, MATCH(ROUND(MIN(300,MAX(1,D801)),0), FactorTable!$A$2:$A$301,0), Skills!M21+1)</f>
        <v/>
      </c>
      <c r="F801">
        <f>IF(Skills!N21=TRUE,(Skills!L21/10)*(E801/1000),Skills!L21/10)+Skills!O21</f>
        <v/>
      </c>
      <c r="G801">
        <f>Calc!G21</f>
        <v/>
      </c>
      <c r="H801">
        <f>Calc!H21</f>
        <v/>
      </c>
      <c r="I801">
        <f>IF(Skills!X21&lt;&gt;"",1+(Skills!X21/10)*(Z783/1000)/100,1)</f>
        <v/>
      </c>
      <c r="J801" t="inlineStr"/>
      <c r="K801" t="inlineStr"/>
      <c r="L801" t="inlineStr"/>
      <c r="M801" t="inlineStr"/>
      <c r="N801" t="inlineStr"/>
      <c r="O801">
        <f>(1-Summary!$B$56)*S801+Summary!$B$56*U801</f>
        <v/>
      </c>
      <c r="P801">
        <f>IF(B821=0,0,O801/B821)</f>
        <v/>
      </c>
      <c r="Q801">
        <f>IFERROR(1/IF(Inputs!$B$38="pvp",15,MAX(0.1,Skills!E21-IF(Skills!F21=TRUE,Inputs!$B$32,0))),0)</f>
        <v/>
      </c>
      <c r="R801" t="n">
        <v>0</v>
      </c>
      <c r="S801" t="n">
        <v>0</v>
      </c>
      <c r="U801" t="n">
        <v>0</v>
      </c>
    </row>
    <row r="802">
      <c r="A802">
        <f>Skills!A22</f>
        <v/>
      </c>
      <c r="B802">
        <f>Skills!B22</f>
        <v/>
      </c>
      <c r="C802">
        <f>TRUE</f>
        <v/>
      </c>
      <c r="D802">
        <f>IF(Skills!C22=1,60+Inputs!$B$25+Inputs!$B$29,IF(Skills!C22=2,90+Inputs!$B$26+Inputs!$B$29,IF(Skills!C22=3,120+(Inputs!$B$27+1)+Inputs!$B$29,MAX(0,(Inputs!$B$3-100)*3)+Inputs!$B$28+Inputs!$B$29)))</f>
        <v/>
      </c>
      <c r="E802">
        <f>INDEX(FactorTable!$B$2:$Y$301, MATCH(ROUND(MIN(300,MAX(1,D802)),0), FactorTable!$A$2:$A$301,0), Skills!M22+1)</f>
        <v/>
      </c>
      <c r="F802">
        <f>IF(Skills!N22=TRUE,(Skills!L22/10)*(E802/1000),Skills!L22/10)+Skills!O22</f>
        <v/>
      </c>
      <c r="G802">
        <f>Calc!G22</f>
        <v/>
      </c>
      <c r="H802">
        <f>Calc!H22</f>
        <v/>
      </c>
      <c r="I802">
        <f>IF(Skills!X22&lt;&gt;"",1+(Skills!X22/10)*(Z783/1000)/100,1)</f>
        <v/>
      </c>
      <c r="J802" t="inlineStr"/>
      <c r="K802" t="inlineStr"/>
      <c r="L802" t="inlineStr"/>
      <c r="M802" t="inlineStr"/>
      <c r="N802" t="inlineStr"/>
      <c r="O802">
        <f>(1-Summary!$B$56)*S802+Summary!$B$56*U802</f>
        <v/>
      </c>
      <c r="P802">
        <f>IF(B821=0,0,O802/B821)</f>
        <v/>
      </c>
      <c r="Q802">
        <f>IFERROR(1/IF(Inputs!$B$38="pvp",15,MAX(0.1,Skills!E22-IF(Skills!F22=TRUE,Inputs!$B$32,0))),0)</f>
        <v/>
      </c>
      <c r="R802" t="n">
        <v>0</v>
      </c>
      <c r="S802" t="n">
        <v>0</v>
      </c>
      <c r="U802" t="n">
        <v>0</v>
      </c>
    </row>
    <row r="803">
      <c r="A803">
        <f>Skills!A23</f>
        <v/>
      </c>
      <c r="B803">
        <f>Skills!B23</f>
        <v/>
      </c>
      <c r="C803">
        <f>TRUE</f>
        <v/>
      </c>
      <c r="D803">
        <f>IF(Skills!C23=1,60+Inputs!$B$25+Inputs!$B$29,IF(Skills!C23=2,90+Inputs!$B$26+Inputs!$B$29,IF(Skills!C23=3,120+(Inputs!$B$27+1)+Inputs!$B$29,MAX(0,(Inputs!$B$3-100)*3)+Inputs!$B$28+Inputs!$B$29)))</f>
        <v/>
      </c>
      <c r="E803">
        <f>INDEX(FactorTable!$B$2:$Y$301, MATCH(ROUND(MIN(300,MAX(1,D803)),0), FactorTable!$A$2:$A$301,0), Skills!M23+1)</f>
        <v/>
      </c>
      <c r="F803">
        <f>IF(Skills!N23=TRUE,(Skills!L23/10)*(E803/1000),Skills!L23/10)+Skills!O23</f>
        <v/>
      </c>
      <c r="G803">
        <f>Calc!G23</f>
        <v/>
      </c>
      <c r="H803">
        <f>Calc!H23</f>
        <v/>
      </c>
      <c r="I803">
        <f>IF(Skills!X23&lt;&gt;"",1+(Skills!X23/10)*(Z783/1000)/100,1)</f>
        <v/>
      </c>
      <c r="J803" t="inlineStr"/>
      <c r="K803" t="inlineStr"/>
      <c r="L803" t="inlineStr"/>
      <c r="M803" t="inlineStr"/>
      <c r="N803" t="inlineStr"/>
      <c r="O803">
        <f>(1-Summary!$B$56)*S803+Summary!$B$56*U803</f>
        <v/>
      </c>
      <c r="P803">
        <f>IF(B821=0,0,O803/B821)</f>
        <v/>
      </c>
      <c r="Q803">
        <f>IFERROR(1/IF(Inputs!$B$38="pvp",15,MAX(0.1,Skills!E23-IF(Skills!F23=TRUE,Inputs!$B$32,0))),0)</f>
        <v/>
      </c>
      <c r="R803" t="n">
        <v>0</v>
      </c>
      <c r="S803" t="n">
        <v>0</v>
      </c>
      <c r="U803" t="n">
        <v>0</v>
      </c>
    </row>
    <row r="804">
      <c r="A804">
        <f>Skills!A24</f>
        <v/>
      </c>
      <c r="B804">
        <f>Skills!B24</f>
        <v/>
      </c>
      <c r="C804">
        <f>Inputs!$B$3&gt;=115</f>
        <v/>
      </c>
      <c r="D804">
        <f>IF(Skills!C24=1,60+Inputs!$B$25+Inputs!$B$29,IF(Skills!C24=2,90+Inputs!$B$26+Inputs!$B$29,IF(Skills!C24=3,120+(Inputs!$B$27+1)+Inputs!$B$29,MAX(0,(Inputs!$B$3-100)*3)+Inputs!$B$28+Inputs!$B$29)))</f>
        <v/>
      </c>
      <c r="E804">
        <f>INDEX(FactorTable!$B$2:$Y$301, MATCH(ROUND(MIN(300,MAX(1,D804)),0), FactorTable!$A$2:$A$301,0), Skills!M24+1)</f>
        <v/>
      </c>
      <c r="F804">
        <f>IF(Skills!N24=TRUE,(Skills!L24/10)*(E804/1000),Skills!L24/10)+Skills!O24</f>
        <v/>
      </c>
      <c r="G804">
        <f>Calc!G24</f>
        <v/>
      </c>
      <c r="H804">
        <f>Calc!H24</f>
        <v/>
      </c>
      <c r="I804">
        <f>IF(Skills!X24&lt;&gt;"",1+(Skills!X24/10)*(Z783/1000)/100,1)</f>
        <v/>
      </c>
      <c r="J804">
        <f>((Inputs!$B$6*(1+Inputs!$B$7/100))+(((Inputs!$B$12*(1+Inputs!$B$13/100))-(Inputs!$B$12*(1+Inputs!$B$13/100)))+0.25*(Inputs!$B$14-Inputs!$B$14))*(1+Inputs!$B$7/100))*(F804/100)</f>
        <v/>
      </c>
      <c r="K804">
        <f>J804*(1+((Inputs!$B$12*(1+Inputs!$B$13/100))*0.01+Inputs!$B$14*0.0025)/100)*(1+Inputs!$B$15/100)*(1+Inputs!$B$16/100)*(5000/(6000+Inputs!$B$42*(1-Inputs!$B$19/100)))*(1+Inputs!$B$24/100)*(1+F803/100)*(1+IF(Inputs!$B$3&gt;=120,F806,0)/100)^5*(1+(IF(Skills!A24="BASIC_ATTACK",Inputs!$B$17,Inputs!$B$18+IF(Inputs!$B$3&gt;=125,F807*5,0)))/100)*(B810*B811*B812*I804)</f>
        <v/>
      </c>
      <c r="L804">
        <f>K804*(MIN(Inputs!$B$22+(F802-Calc!F22),Inputs!$B$23)/100+Inputs!$B$23/100)/2</f>
        <v/>
      </c>
      <c r="M804">
        <f>L804*(1+(Inputs!$B$10+(F801-Calc!F21))/100)</f>
        <v/>
      </c>
      <c r="N804">
        <f>L804*(1-MIN(Inputs!$B$9+(F800-Calc!F20),100)/100)+M804*(MIN(Inputs!$B$9+(F800-Calc!F20),100)/100)</f>
        <v/>
      </c>
      <c r="O804">
        <f>(1-Summary!$B$56)*S804+Summary!$B$56*U804</f>
        <v/>
      </c>
      <c r="P804">
        <f>IF(B821=0,0,O804/B821)</f>
        <v/>
      </c>
      <c r="Q804">
        <f>IFERROR(1/IF(Inputs!$B$38="pvp",15,MAX(0.1,Skills!E24-IF(Skills!F24=TRUE,Inputs!$B$32,0))),0)</f>
        <v/>
      </c>
      <c r="R804">
        <f>IF(AND(Inputs!$B$38&lt;&gt;"pvp",Inputs!$B$43&gt;0),IF(MAX(0,Inputs!$B$43-B818)&lt;=0,0,(INT(MAX(0,Inputs!$B$43-B818)/IF(Inputs!$B$38="pvp",15,MAX(0.1,Skills!E24-IF(Skills!F24=TRUE,Inputs!$B$32,0))))+1)),0)</f>
        <v/>
      </c>
      <c r="S804">
        <f>IF(C804,(H804*N804*IF(AND(Inputs!$B$38&lt;&gt;"pvp",Inputs!$B$43&gt;0),((Skills!G24*((R804-1)*IF(Skills!H24&gt;0,Skills!I24/Skills!H24,1)+IF(Skills!H24&gt;0,MIN(Skills!I24,MAX(0,MAX(0,Inputs!$B$43-B818)-((R804-1)*IF(Inputs!$B$38="pvp",15,MAX(0.1,Skills!E24-IF(Skills!F24=TRUE,Inputs!$B$32,0))))))/Skills!H24,1)))/Inputs!$B$43),G804*Q804)*(1+IF(Inputs!$B$3&gt;=130,0.2*(Skills!I16/Skills!E15+IF(Inputs!$B$3&gt;=126,0.05*(B816+Q793+(H794*B817)/(1+Skills!H14*H794*B817)+Q804),0)*Skills!I16),0)))*IF(Inputs!$B$38="pvp",1,1+(Inputs!$B$20+Skills!P24)/100),0)</f>
        <v/>
      </c>
      <c r="U804">
        <f>IF(C804,(H804*N804*IF(AND(Inputs!$B$38&lt;&gt;"pvp",Inputs!$B$43&gt;0),((Skills!G24*((R804-1)*IF(Skills!H24&gt;0,Skills!I24/Skills!H24,1)+IF(Skills!H24&gt;0,MIN(Skills!I24,MAX(0,MAX(0,Inputs!$B$43-B818)-((R804-1)*IF(Inputs!$B$38="pvp",15,MAX(0.1,Skills!E24-IF(Skills!F24=TRUE,Inputs!$B$32,0))))))/Skills!H24,1)))/Inputs!$B$43),G804*Q804)*(1+IF(Inputs!$B$3&gt;=130,0.2*(Skills!I16/Skills!E15+IF(Inputs!$B$3&gt;=126,0.05*(B816+Q793+(H794*B817)/(1+Skills!H14*H794*B817)+Q804),0)*Skills!I16),0)))*IF(Inputs!$B$38="pvp",1,(1+(Inputs!$B$21+Skills!Q24)/100)*(MIN(Skills!R24,Inputs!$B$37))),0)</f>
        <v/>
      </c>
    </row>
    <row r="805">
      <c r="A805">
        <f>Skills!A25</f>
        <v/>
      </c>
      <c r="B805">
        <f>Skills!B25</f>
        <v/>
      </c>
      <c r="C805">
        <f>Inputs!$B$3&gt;=117</f>
        <v/>
      </c>
      <c r="D805">
        <f>IF(Skills!C25=1,60+Inputs!$B$25+Inputs!$B$29,IF(Skills!C25=2,90+Inputs!$B$26+Inputs!$B$29,IF(Skills!C25=3,120+(Inputs!$B$27+1)+Inputs!$B$29,MAX(0,(Inputs!$B$3-100)*3)+Inputs!$B$28+Inputs!$B$29)))</f>
        <v/>
      </c>
      <c r="E805">
        <f>INDEX(FactorTable!$B$2:$Y$301, MATCH(ROUND(MIN(300,MAX(1,D805)),0), FactorTable!$A$2:$A$301,0), Skills!M25+1)</f>
        <v/>
      </c>
      <c r="F805">
        <f>IF(Skills!N25=TRUE,(Skills!L25/10)*(E805/1000),Skills!L25/10)+Skills!O25</f>
        <v/>
      </c>
      <c r="G805">
        <f>Calc!G25</f>
        <v/>
      </c>
      <c r="H805">
        <f>Calc!H25</f>
        <v/>
      </c>
      <c r="I805">
        <f>IF(Skills!X25&lt;&gt;"",1+(Skills!X25/10)*(Z783/1000)/100,1)</f>
        <v/>
      </c>
      <c r="J805" t="inlineStr"/>
      <c r="K805" t="inlineStr"/>
      <c r="L805" t="inlineStr"/>
      <c r="M805" t="inlineStr"/>
      <c r="N805" t="inlineStr"/>
      <c r="O805">
        <f>(1-Summary!$B$56)*S805+Summary!$B$56*U805</f>
        <v/>
      </c>
      <c r="P805">
        <f>IF(B821=0,0,O805/B821)</f>
        <v/>
      </c>
      <c r="Q805">
        <f>IFERROR(1/IF(Inputs!$B$38="pvp",15,MAX(0.1,Skills!E25-IF(Skills!F25=TRUE,Inputs!$B$32,0))),0)</f>
        <v/>
      </c>
      <c r="R805" t="n">
        <v>0</v>
      </c>
      <c r="S805" t="n">
        <v>0</v>
      </c>
      <c r="U805" t="n">
        <v>0</v>
      </c>
    </row>
    <row r="806">
      <c r="A806">
        <f>Skills!A26</f>
        <v/>
      </c>
      <c r="B806">
        <f>Skills!B26</f>
        <v/>
      </c>
      <c r="C806">
        <f>Inputs!$B$3&gt;=120</f>
        <v/>
      </c>
      <c r="D806">
        <f>IF(Skills!C26=1,60+Inputs!$B$25+Inputs!$B$29,IF(Skills!C26=2,90+Inputs!$B$26+Inputs!$B$29,IF(Skills!C26=3,120+(Inputs!$B$27+1)+Inputs!$B$29,MAX(0,(Inputs!$B$3-100)*3)+Inputs!$B$28+Inputs!$B$29)))</f>
        <v/>
      </c>
      <c r="E806">
        <f>INDEX(FactorTable!$B$2:$Y$301, MATCH(ROUND(MIN(300,MAX(1,D806)),0), FactorTable!$A$2:$A$301,0), Skills!M26+1)</f>
        <v/>
      </c>
      <c r="F806">
        <f>IF(Skills!N26=TRUE,(Skills!L26/10)*(E806/1000),Skills!L26/10)+Skills!O26</f>
        <v/>
      </c>
      <c r="G806">
        <f>Calc!G26</f>
        <v/>
      </c>
      <c r="H806">
        <f>Calc!H26</f>
        <v/>
      </c>
      <c r="I806">
        <f>IF(Skills!X26&lt;&gt;"",1+(Skills!X26/10)*(Z783/1000)/100,1)</f>
        <v/>
      </c>
      <c r="J806" t="inlineStr"/>
      <c r="K806" t="inlineStr"/>
      <c r="L806" t="inlineStr"/>
      <c r="M806" t="inlineStr"/>
      <c r="N806" t="inlineStr"/>
      <c r="O806">
        <f>(1-Summary!$B$56)*S806+Summary!$B$56*U806</f>
        <v/>
      </c>
      <c r="P806">
        <f>IF(B821=0,0,O806/B821)</f>
        <v/>
      </c>
      <c r="Q806">
        <f>IFERROR(1/IF(Inputs!$B$38="pvp",15,MAX(0.1,Skills!E26-IF(Skills!F26=TRUE,Inputs!$B$32,0))),0)</f>
        <v/>
      </c>
      <c r="R806" t="n">
        <v>0</v>
      </c>
      <c r="S806" t="n">
        <v>0</v>
      </c>
      <c r="U806" t="n">
        <v>0</v>
      </c>
    </row>
    <row r="807">
      <c r="A807">
        <f>Skills!A27</f>
        <v/>
      </c>
      <c r="B807">
        <f>Skills!B27</f>
        <v/>
      </c>
      <c r="C807">
        <f>Inputs!$B$3&gt;=125</f>
        <v/>
      </c>
      <c r="D807">
        <f>IF(Skills!C27=1,60+Inputs!$B$25+Inputs!$B$29,IF(Skills!C27=2,90+Inputs!$B$26+Inputs!$B$29,IF(Skills!C27=3,120+(Inputs!$B$27+1)+Inputs!$B$29,MAX(0,(Inputs!$B$3-100)*3)+Inputs!$B$28+Inputs!$B$29)))</f>
        <v/>
      </c>
      <c r="E807">
        <f>INDEX(FactorTable!$B$2:$Y$301, MATCH(ROUND(MIN(300,MAX(1,D807)),0), FactorTable!$A$2:$A$301,0), Skills!M27+1)</f>
        <v/>
      </c>
      <c r="F807">
        <f>IF(Skills!N27=TRUE,(Skills!L27/10)*(E807/1000),Skills!L27/10)+Skills!O27</f>
        <v/>
      </c>
      <c r="G807">
        <f>Calc!G27</f>
        <v/>
      </c>
      <c r="H807">
        <f>Calc!H27</f>
        <v/>
      </c>
      <c r="I807">
        <f>IF(Skills!X27&lt;&gt;"",1+(Skills!X27/10)*(Z783/1000)/100,1)</f>
        <v/>
      </c>
      <c r="J807" t="inlineStr"/>
      <c r="K807" t="inlineStr"/>
      <c r="L807" t="inlineStr"/>
      <c r="M807" t="inlineStr"/>
      <c r="N807" t="inlineStr"/>
      <c r="O807">
        <f>(1-Summary!$B$56)*S807+Summary!$B$56*U807</f>
        <v/>
      </c>
      <c r="P807">
        <f>IF(B821=0,0,O807/B821)</f>
        <v/>
      </c>
      <c r="Q807">
        <f>IFERROR(1/IF(Inputs!$B$38="pvp",15,MAX(0.1,Skills!E27-IF(Skills!F27=TRUE,Inputs!$B$32,0))),0)</f>
        <v/>
      </c>
      <c r="R807" t="n">
        <v>0</v>
      </c>
      <c r="S807" t="n">
        <v>0</v>
      </c>
      <c r="U807" t="n">
        <v>0</v>
      </c>
    </row>
    <row r="808">
      <c r="A808">
        <f>Skills!A28</f>
        <v/>
      </c>
      <c r="B808">
        <f>Skills!B28</f>
        <v/>
      </c>
      <c r="C808">
        <f>Inputs!$B$3&gt;=118</f>
        <v/>
      </c>
      <c r="D808">
        <f>IF(Skills!C28=1,60+Inputs!$B$25+Inputs!$B$29,IF(Skills!C28=2,90+Inputs!$B$26+Inputs!$B$29,IF(Skills!C28=3,120+(Inputs!$B$27+1)+Inputs!$B$29,MAX(0,(Inputs!$B$3-100)*3)+Inputs!$B$28+Inputs!$B$29)))</f>
        <v/>
      </c>
      <c r="E808">
        <f>INDEX(FactorTable!$B$2:$Y$301, MATCH(ROUND(MIN(300,MAX(1,D808)),0), FactorTable!$A$2:$A$301,0), Skills!M28+1)</f>
        <v/>
      </c>
      <c r="F808">
        <f>IF(Skills!N28=TRUE,(Skills!L28/10)*(E808/1000),Skills!L28/10)+Skills!O28</f>
        <v/>
      </c>
      <c r="G808">
        <f>Calc!G28</f>
        <v/>
      </c>
      <c r="H808">
        <f>Calc!H28</f>
        <v/>
      </c>
      <c r="I808">
        <f>IF(Skills!X28&lt;&gt;"",1+(Skills!X28/10)*(Z783/1000)/100,1)</f>
        <v/>
      </c>
      <c r="J808">
        <f>((Inputs!$B$6*(1+Inputs!$B$7/100))+(((Inputs!$B$12*(1+Inputs!$B$13/100))-(Inputs!$B$12*(1+Inputs!$B$13/100)))+0.25*(Inputs!$B$14-Inputs!$B$14))*(1+Inputs!$B$7/100))*(F808/100)</f>
        <v/>
      </c>
      <c r="K808">
        <f>J808*(1+((Inputs!$B$12*(1+Inputs!$B$13/100))*0.01+Inputs!$B$14*0.0025)/100)*(1+Inputs!$B$15/100)*(1+Inputs!$B$16/100)*(5000/(6000+Inputs!$B$42*(1-Inputs!$B$19/100)))*(1+Inputs!$B$24/100)*(1+F803/100)*(1+IF(Inputs!$B$3&gt;=120,F806,0)/100)^5*(1+(IF(Skills!A28="BASIC_ATTACK",Inputs!$B$17,Inputs!$B$18+IF(Inputs!$B$3&gt;=125,F807*5,0)))/100)*(B810*B811*B812*I808)</f>
        <v/>
      </c>
      <c r="L808">
        <f>K808*(MIN(Inputs!$B$22+(F802-Calc!F22),Inputs!$B$23)/100+Inputs!$B$23/100)/2</f>
        <v/>
      </c>
      <c r="M808">
        <f>L808*(1+(Inputs!$B$10+(F801-Calc!F21))/100)</f>
        <v/>
      </c>
      <c r="N808">
        <f>L808*(1-MIN(Inputs!$B$9+(F800-Calc!F20),100)/100)+M808*(MIN(Inputs!$B$9+(F800-Calc!F20),100)/100)</f>
        <v/>
      </c>
      <c r="O808">
        <f>(1-Summary!$B$56)*S808+Summary!$B$56*U808</f>
        <v/>
      </c>
      <c r="P808">
        <f>IF(B821=0,0,O808/B821)</f>
        <v/>
      </c>
      <c r="Q808">
        <f>IFERROR(1/IF(Inputs!$B$38="pvp",15,MAX(0.1,Skills!E28-IF(Skills!F28=TRUE,Inputs!$B$32,0))),0)</f>
        <v/>
      </c>
      <c r="R808">
        <f>IF(AND(Inputs!$B$38&lt;&gt;"pvp",Inputs!$B$43&gt;0),IF(MAX(0,Inputs!$B$43-B818)&lt;=0,0,(INT(MAX(0,Inputs!$B$43-B818)/IF(Inputs!$B$38="pvp",15,MAX(0.1,Skills!E28-IF(Skills!F28=TRUE,Inputs!$B$32,0))))+1)),0)</f>
        <v/>
      </c>
      <c r="S808">
        <f>IF(C808,(H808*N808*IF(AND(Inputs!$B$38&lt;&gt;"pvp",Inputs!$B$43&gt;0),((Skills!G28*((R808-1)*IF(Skills!H28&gt;0,Skills!I28/Skills!H28,1)+IF(Skills!H28&gt;0,MIN(Skills!I28,MAX(0,MAX(0,Inputs!$B$43-B818)-((R808-1)*IF(Inputs!$B$38="pvp",15,MAX(0.1,Skills!E28-IF(Skills!F28=TRUE,Inputs!$B$32,0))))))/Skills!H28,1)))/Inputs!$B$43),G808*Q808))*IF(Inputs!$B$38="pvp",1,1+(Inputs!$B$20+Skills!P28)/100),0)</f>
        <v/>
      </c>
      <c r="U808">
        <f>IF(C808,(H808*N808*IF(AND(Inputs!$B$38&lt;&gt;"pvp",Inputs!$B$43&gt;0),((Skills!G28*((R808-1)*IF(Skills!H28&gt;0,Skills!I28/Skills!H28,1)+IF(Skills!H28&gt;0,MIN(Skills!I28,MAX(0,MAX(0,Inputs!$B$43-B818)-((R808-1)*IF(Inputs!$B$38="pvp",15,MAX(0.1,Skills!E28-IF(Skills!F28=TRUE,Inputs!$B$32,0))))))/Skills!H28,1)))/Inputs!$B$43),G808*Q808))*IF(Inputs!$B$38="pvp",1,(1+(Inputs!$B$21+Skills!Q28)/100)*(MIN(Skills!R28,Inputs!$B$37))),0)</f>
        <v/>
      </c>
    </row>
    <row r="810">
      <c r="A810" t="inlineStr">
        <is>
          <t>Burning Magic Multiplier</t>
        </is>
      </c>
      <c r="B810">
        <f>1+(F791*Skills!Z11)/100</f>
        <v/>
      </c>
    </row>
    <row r="811">
      <c r="A811" t="inlineStr">
        <is>
          <t>Elemental Decrease Multiplier (always-on)</t>
        </is>
      </c>
      <c r="B811">
        <f>1+F792/100</f>
        <v/>
      </c>
    </row>
    <row r="812">
      <c r="A812" t="inlineStr">
        <is>
          <t>Average Buff Multiplier (Magic Guard + Meditation, summed; then Infinity)</t>
        </is>
      </c>
      <c r="B812">
        <f>(1+(F786*IF(AND(Inputs!$B$38&lt;&gt;"pvp",Inputs!$B$43&gt;0),(((R786-1)*(Skills!T6*(1+(Inputs!$B$34+IF(Inputs!$B$3&gt;=117,F805,0))/100))+MIN((Skills!T6*(1+(Inputs!$B$34+IF(Inputs!$B$3&gt;=117,F805,0))/100)),MAX(0,Inputs!$B$43-((R786-1)*Skills!E6))))/Inputs!$B$43),IF(Inputs!$B$38="pvp",MIN((Skills!T6*(1+(Inputs!$B$34+IF(Inputs!$B$3&gt;=117,F805,0))/100)),15)/15,(Skills!T6*(1+(Inputs!$B$34+IF(Inputs!$B$3&gt;=117,F805,0))/100))/Skills!E6))+F797*IF(AND(Inputs!$B$38&lt;&gt;"pvp",Inputs!$B$43&gt;0),(((R797-1)*(Skills!T17*(1+(Inputs!$B$34+IF(Inputs!$B$3&gt;=117,F805,0))/100))+MIN((Skills!T17*(1+(Inputs!$B$34+IF(Inputs!$B$3&gt;=117,F805,0))/100)),MAX(0,Inputs!$B$43-((R797-1)*Skills!E17))))/Inputs!$B$43),IF(Inputs!$B$38="pvp",MIN((Skills!T17*(1+(Inputs!$B$34+IF(Inputs!$B$3&gt;=117,F805,0))/100)),15)/15,(Skills!T17*(1+(Inputs!$B$34+IF(Inputs!$B$3&gt;=117,F805,0))/100))/Skills!E17)))/100)*IF(C799=TRUE,(1+F799*IF(AND(Inputs!$B$38&lt;&gt;"pvp",Inputs!$B$43&gt;0),(((R799-1)*(Skills!T19*(1+(Inputs!$B$34+IF(Inputs!$B$3&gt;=117,F805,0))/100))+MIN((Skills!T19*(1+(Inputs!$B$34+IF(Inputs!$B$3&gt;=117,F805,0))/100)),MAX(0,Inputs!$B$43-((R799-1)*Skills!E19))))/Inputs!$B$43),IF(Inputs!$B$38="pvp",MIN((Skills!T19*(1+(Inputs!$B$34+IF(Inputs!$B$3&gt;=117,F805,0))/100)),15)/15,(Skills!T19*(1+(Inputs!$B$34+IF(Inputs!$B$3&gt;=117,F805,0))/100))/Skills!E19))/100),1)</f>
        <v/>
      </c>
    </row>
    <row r="813">
      <c r="A813" t="inlineStr">
        <is>
          <t>Attack Speed Buff Bonus % (Nimble Feet, averaged)</t>
        </is>
      </c>
      <c r="B813">
        <f>F798*IF(AND(Inputs!$B$38&lt;&gt;"pvp",Inputs!$B$43&gt;0),(((R798-1)*(Skills!T18*(1+(Inputs!$B$34+IF(Inputs!$B$3&gt;=117,F805,0))/100))+MIN((Skills!T18*(1+(Inputs!$B$34+IF(Inputs!$B$3&gt;=117,F805,0))/100)),MAX(0,Inputs!$B$43-((R798-1)*Skills!E18))))/Inputs!$B$43),IF(Inputs!$B$38="pvp",MIN((Skills!T18*(1+(Inputs!$B$34+IF(Inputs!$B$3&gt;=117,F805,0))/100)),15)/15,(Skills!T18*(1+(Inputs!$B$34+IF(Inputs!$B$3&gt;=117,F805,0))/100))/Skills!E18))</f>
        <v/>
      </c>
    </row>
    <row r="814">
      <c r="A814" t="inlineStr">
        <is>
          <t>Actions Per Second</t>
        </is>
      </c>
      <c r="B814">
        <f>1+MIN(150,150*(1-(1-Inputs!$B$11/150)*(1-B813/150)))/100</f>
        <v/>
      </c>
    </row>
    <row r="815">
      <c r="A815" t="inlineStr">
        <is>
          <t>Skill + Buff Cast Rate</t>
        </is>
      </c>
      <c r="B815">
        <f>IF(AND(Inputs!$B$38&lt;&gt;"pvp",Inputs!$B$43&gt;0),SUMPRODUCT((Skills!F2:F28=TRUE)*(C782:C808=TRUE)*R782:R808)/Inputs!$B$43,SUMPRODUCT((Skills!F2:F28=TRUE)*(C782:C808=TRUE)*Q782:Q808))</f>
        <v/>
      </c>
    </row>
    <row r="816">
      <c r="A816" t="inlineStr">
        <is>
          <t>Basic Attacks Per Second</t>
        </is>
      </c>
      <c r="B816">
        <f>MAX(0,B814-B815)</f>
        <v/>
      </c>
    </row>
    <row r="817">
      <c r="A817" t="inlineStr">
        <is>
          <t>Meteor Proc — combined trigger cast rate</t>
        </is>
      </c>
      <c r="B817">
        <f>IF(AND(Inputs!$B$38&lt;&gt;"pvp",Inputs!$B$43&gt;0),SUMPRODUCT((Skills!V2:V28=TRUE)*(C782:C808=TRUE)*R782:R808*Skills!W2:W28)/Inputs!$B$43,SUMPRODUCT((Skills!V2:V28=TRUE)*(C782:C808=TRUE)*Q782:Q808*Skills!W2:W28))+B816</f>
        <v/>
      </c>
    </row>
    <row r="818">
      <c r="A818" t="inlineStr">
        <is>
          <t>Buff-Casting Startup Delay (s, fixed-duration only)</t>
        </is>
      </c>
      <c r="B818">
        <f>IF(AND(Inputs!$B$38&lt;&gt;"pvp",Inputs!$B$43&gt;0),SUMPRODUCT((Skills!T2:T28&gt;0)*(Skills!F2:F28=TRUE)*(C782:C808=TRUE))/B814,0)</f>
        <v/>
      </c>
    </row>
    <row r="819">
      <c r="A819" t="inlineStr">
        <is>
          <t>Boss-Only Total DPS (this block's swept value)</t>
        </is>
      </c>
      <c r="B819">
        <f>SUM(S782:S808)</f>
        <v/>
      </c>
    </row>
    <row r="820">
      <c r="A820" t="inlineStr">
        <is>
          <t>Normal-Only Total DPS (this block's swept value)</t>
        </is>
      </c>
      <c r="B820">
        <f>SUM(U782:U808)</f>
        <v/>
      </c>
    </row>
    <row r="821">
      <c r="A821" s="5" t="inlineStr">
        <is>
          <t>TOTAL DPS</t>
        </is>
      </c>
      <c r="B821" s="5">
        <f>SUM(O782:O808)</f>
        <v/>
      </c>
    </row>
    <row r="824">
      <c r="A824" s="5" t="inlineStr">
        <is>
          <t>Stat: Skill Level Bonus — 4th Job</t>
        </is>
      </c>
    </row>
    <row r="825">
      <c r="A825" s="9" t="inlineStr">
        <is>
          <t>Key</t>
        </is>
      </c>
      <c r="B825" s="9" t="inlineStr">
        <is>
          <t>Name</t>
        </is>
      </c>
      <c r="C825" s="9" t="inlineStr">
        <is>
          <t>Unlocked</t>
        </is>
      </c>
      <c r="D825" s="9" t="inlineStr">
        <is>
          <t>InputLevel</t>
        </is>
      </c>
      <c r="E825" s="9" t="inlineStr">
        <is>
          <t>Factor</t>
        </is>
      </c>
      <c r="F825" s="9" t="inlineStr">
        <is>
          <t>CoefficientPercent</t>
        </is>
      </c>
      <c r="G825" s="9" t="inlineStr">
        <is>
          <t>EffectiveHits</t>
        </is>
      </c>
      <c r="H825" s="9" t="inlineStr">
        <is>
          <t>ProcProbability</t>
        </is>
      </c>
      <c r="I825" s="9" t="inlineStr">
        <is>
          <t>MapleHeroMultiplier</t>
        </is>
      </c>
      <c r="J825" s="9" t="inlineStr">
        <is>
          <t>BaseDamage</t>
        </is>
      </c>
      <c r="K825" s="9" t="inlineStr">
        <is>
          <t>BaseHitDamage</t>
        </is>
      </c>
      <c r="L825" s="9" t="inlineStr">
        <is>
          <t>NonCritAvg</t>
        </is>
      </c>
      <c r="M825" s="9" t="inlineStr">
        <is>
          <t>CritAvg</t>
        </is>
      </c>
      <c r="N825" s="9" t="inlineStr">
        <is>
          <t>ExpectedDamage(perHit)</t>
        </is>
      </c>
      <c r="O825" s="9" t="inlineStr">
        <is>
          <t>DPS</t>
        </is>
      </c>
      <c r="P825" s="9" t="inlineStr">
        <is>
          <t>% of Total</t>
        </is>
      </c>
      <c r="R825" t="inlineStr">
        <is>
          <t>helpers</t>
        </is>
      </c>
    </row>
    <row r="826">
      <c r="A826">
        <f>Skills!A2</f>
        <v/>
      </c>
      <c r="B826">
        <f>Skills!B2</f>
        <v/>
      </c>
      <c r="C826">
        <f>TRUE</f>
        <v/>
      </c>
      <c r="D826" t="inlineStr"/>
      <c r="E826" t="inlineStr"/>
      <c r="F826">
        <f>T828+Skills!O2</f>
        <v/>
      </c>
      <c r="G826">
        <f>Calc!G2</f>
        <v/>
      </c>
      <c r="H826">
        <f>Calc!H2</f>
        <v/>
      </c>
      <c r="I826">
        <f>IF(Skills!X2&lt;&gt;"",1+(Skills!X2/10)*(Z827/1000)/100,1)</f>
        <v/>
      </c>
      <c r="J826">
        <f>((Inputs!$B$6*(1+Inputs!$B$7/100))+(((Inputs!$B$12*(1+Inputs!$B$13/100))-(Inputs!$B$12*(1+Inputs!$B$13/100)))+0.25*(Inputs!$B$14-Inputs!$B$14))*(1+Inputs!$B$7/100))*(F826/100)</f>
        <v/>
      </c>
      <c r="K826">
        <f>J826*(1+((Inputs!$B$12*(1+Inputs!$B$13/100))*0.01+Inputs!$B$14*0.0025)/100)*(1+Inputs!$B$15/100)*(1+Inputs!$B$16/100)*(5000/(6000+Inputs!$B$42*(1-Inputs!$B$19/100)))*(1+Inputs!$B$24/100)*(1+F847/100)*(1+IF(Inputs!$B$3&gt;=120,F850,0)/100)^5*(1+(IF(Skills!A2="BASIC_ATTACK",Inputs!$B$17,Inputs!$B$18+IF(Inputs!$B$3&gt;=125,F851*5,0)))/100)*(B854*B855*B856*I826)</f>
        <v/>
      </c>
      <c r="L826">
        <f>K826*(MIN(Inputs!$B$22+(F846-Calc!F22),Inputs!$B$23)/100+Inputs!$B$23/100)/2</f>
        <v/>
      </c>
      <c r="M826">
        <f>L826*(1+(Inputs!$B$10+(F845-Calc!F21))/100)</f>
        <v/>
      </c>
      <c r="N826">
        <f>L826*(1-MIN(Inputs!$B$9+(F844-Calc!F20),100)/100)+M826*(MIN(Inputs!$B$9+(F844-Calc!F20),100)/100)</f>
        <v/>
      </c>
      <c r="O826">
        <f>(1-Summary!$B$56)*S826+Summary!$B$56*U826</f>
        <v/>
      </c>
      <c r="P826">
        <f>IF(B865=0,0,O826/B865)</f>
        <v/>
      </c>
      <c r="Q826">
        <f>IFERROR(1/IF(Inputs!$B$38="pvp",15,MAX(0.1,Skills!E2-IF(Skills!F2=TRUE,Inputs!$B$32,0))),0)</f>
        <v/>
      </c>
      <c r="R826" t="n">
        <v>0</v>
      </c>
      <c r="S826">
        <f>(Skills!G2*N826*B860)*IF(Inputs!$B$38="pvp",1,1+(Inputs!$B$20+Skills!P2)/100)</f>
        <v/>
      </c>
      <c r="T826">
        <f>MAX(0,(Inputs!$B$3-100)*3)+(Inputs!$B$28+1)+Inputs!$B$29</f>
        <v/>
      </c>
      <c r="U826">
        <f>(Skills!G2*N826*B860)*IF(Inputs!$B$38="pvp",1,(1+(Inputs!$B$21+Skills!Q2)/100)*(MIN((6+Inputs!$B$33+IF(Inputs!$B$3&gt;=136,1,0)),Inputs!$B$37)))</f>
        <v/>
      </c>
      <c r="Z826">
        <f>MAX(0,(Inputs!$B$3-100)*3)+(Inputs!$B$28+1)+Inputs!$B$29</f>
        <v/>
      </c>
    </row>
    <row r="827">
      <c r="A827">
        <f>Skills!A3</f>
        <v/>
      </c>
      <c r="B827">
        <f>Skills!B3</f>
        <v/>
      </c>
      <c r="C827">
        <f>TRUE</f>
        <v/>
      </c>
      <c r="D827">
        <f>IF(Skills!C3=1,60+Inputs!$B$25+Inputs!$B$29,IF(Skills!C3=2,90+Inputs!$B$26+Inputs!$B$29,IF(Skills!C3=3,120+Inputs!$B$27+Inputs!$B$29,MAX(0,(Inputs!$B$3-100)*3)+(Inputs!$B$28+1)+Inputs!$B$29)))</f>
        <v/>
      </c>
      <c r="E827">
        <f>INDEX(FactorTable!$B$2:$Y$301, MATCH(ROUND(MIN(300,MAX(1,D827)),0), FactorTable!$A$2:$A$301,0), Skills!M3+1)</f>
        <v/>
      </c>
      <c r="F827">
        <f>IF(Skills!N3=TRUE,(Skills!L3/10)*(E827/1000),Skills!L3/10)+Skills!O3</f>
        <v/>
      </c>
      <c r="G827">
        <f>Calc!G3</f>
        <v/>
      </c>
      <c r="H827">
        <f>Calc!H3</f>
        <v/>
      </c>
      <c r="I827">
        <f>IF(Skills!X3&lt;&gt;"",1+(Skills!X3/10)*(Z827/1000)/100,1)</f>
        <v/>
      </c>
      <c r="J827">
        <f>((Inputs!$B$6*(1+Inputs!$B$7/100))+(((Inputs!$B$12*(1+Inputs!$B$13/100))-(Inputs!$B$12*(1+Inputs!$B$13/100)))+0.25*(Inputs!$B$14-Inputs!$B$14))*(1+Inputs!$B$7/100))*(F827/100)</f>
        <v/>
      </c>
      <c r="K827">
        <f>J827*(1+((Inputs!$B$12*(1+Inputs!$B$13/100))*0.01+Inputs!$B$14*0.0025)/100)*(1+Inputs!$B$15/100)*(1+Inputs!$B$16/100)*(5000/(6000+Inputs!$B$42*(1-Inputs!$B$19/100)))*(1+Inputs!$B$24/100)*(1+F847/100)*(1+IF(Inputs!$B$3&gt;=120,F850,0)/100)^5*(1+(IF(Skills!A3="BASIC_ATTACK",Inputs!$B$17,Inputs!$B$18+IF(Inputs!$B$3&gt;=125,F851*5,0)))/100)*(B854*B855*B856*I827)</f>
        <v/>
      </c>
      <c r="L827">
        <f>K827*(MIN(Inputs!$B$22+(F846-Calc!F22),Inputs!$B$23)/100+Inputs!$B$23/100)/2</f>
        <v/>
      </c>
      <c r="M827">
        <f>L827*(1+(Inputs!$B$10+(F845-Calc!F21))/100)</f>
        <v/>
      </c>
      <c r="N827">
        <f>L827*(1-MIN(Inputs!$B$9+(F844-Calc!F20),100)/100)+M827*(MIN(Inputs!$B$9+(F844-Calc!F20),100)/100)</f>
        <v/>
      </c>
      <c r="O827">
        <f>(1-Summary!$B$56)*S827+Summary!$B$56*U827</f>
        <v/>
      </c>
      <c r="P827">
        <f>IF(B865=0,0,O827/B865)</f>
        <v/>
      </c>
      <c r="Q827">
        <f>IFERROR(1/IF(Inputs!$B$38="pvp",15,MAX(0.1,Skills!E3-IF(Skills!F3=TRUE,Inputs!$B$32,0))),0)</f>
        <v/>
      </c>
      <c r="R827">
        <f>IF(AND(Inputs!$B$38&lt;&gt;"pvp",Inputs!$B$43&gt;0),IF(MAX(0,Inputs!$B$43-B862)&lt;=0,0,(INT(MAX(0,Inputs!$B$43-B862)/IF(Inputs!$B$38="pvp",15,MAX(0.1,Skills!E3-IF(Skills!F3=TRUE,Inputs!$B$32,0))))+1)),0)</f>
        <v/>
      </c>
      <c r="S827">
        <f>IF(C827,(H827*N827*IF(AND(Inputs!$B$38&lt;&gt;"pvp",Inputs!$B$43&gt;0),((Skills!G3*((R827-1)*IF(Skills!H3&gt;0,Skills!I3/Skills!H3,1)+IF(Skills!H3&gt;0,MIN(Skills!I3,MAX(0,MAX(0,Inputs!$B$43-B862)-((R827-1)*IF(Inputs!$B$38="pvp",15,MAX(0.1,Skills!E3-IF(Skills!F3=TRUE,Inputs!$B$32,0))))))/Skills!H3,1)))/Inputs!$B$43),G827*Q827))*IF(Inputs!$B$38="pvp",1,1+(Inputs!$B$20+Skills!P3)/100),0)</f>
        <v/>
      </c>
      <c r="T827">
        <f>INDEX(FactorTable!$B$2:$Y$301, MATCH(ROUND(MIN(300,MAX(1,T826)),0), FactorTable!$A$2:$A$301,0), 22)</f>
        <v/>
      </c>
      <c r="U827">
        <f>IF(C827,(H827*N827*IF(AND(Inputs!$B$38&lt;&gt;"pvp",Inputs!$B$43&gt;0),((Skills!G3*((R827-1)*IF(Skills!H3&gt;0,Skills!I3/Skills!H3,1)+IF(Skills!H3&gt;0,MIN(Skills!I3,MAX(0,MAX(0,Inputs!$B$43-B862)-((R827-1)*IF(Inputs!$B$38="pvp",15,MAX(0.1,Skills!E3-IF(Skills!F3=TRUE,Inputs!$B$32,0))))))/Skills!H3,1)))/Inputs!$B$43),G827*Q827))*IF(Inputs!$B$38="pvp",1,(1+(Inputs!$B$21+Skills!Q3)/100)*(MIN(Skills!R3,Inputs!$B$37))),0)</f>
        <v/>
      </c>
      <c r="Z827">
        <f>INDEX(FactorTable!$B$2:$Y$301, MATCH(ROUND(MIN(300,MAX(1,Z826)),0), FactorTable!$A$2:$A$301,0), 24)</f>
        <v/>
      </c>
    </row>
    <row r="828">
      <c r="A828">
        <f>Skills!A4</f>
        <v/>
      </c>
      <c r="B828">
        <f>Skills!B4</f>
        <v/>
      </c>
      <c r="C828">
        <f>TRUE</f>
        <v/>
      </c>
      <c r="D828">
        <f>IF(Skills!C4=1,60+Inputs!$B$25+Inputs!$B$29,IF(Skills!C4=2,90+Inputs!$B$26+Inputs!$B$29,IF(Skills!C4=3,120+Inputs!$B$27+Inputs!$B$29,MAX(0,(Inputs!$B$3-100)*3)+(Inputs!$B$28+1)+Inputs!$B$29)))</f>
        <v/>
      </c>
      <c r="E828">
        <f>INDEX(FactorTable!$B$2:$Y$301, MATCH(ROUND(MIN(300,MAX(1,D828)),0), FactorTable!$A$2:$A$301,0), Skills!M4+1)</f>
        <v/>
      </c>
      <c r="F828">
        <f>IF(Skills!N4=TRUE,(Skills!L4/10)*(E828/1000),Skills!L4/10)+Skills!O4</f>
        <v/>
      </c>
      <c r="G828">
        <f>Calc!G4</f>
        <v/>
      </c>
      <c r="H828">
        <f>Calc!H4</f>
        <v/>
      </c>
      <c r="I828">
        <f>IF(Skills!X4&lt;&gt;"",1+(Skills!X4/10)*(Z827/1000)/100,1)</f>
        <v/>
      </c>
      <c r="J828">
        <f>((Inputs!$B$6*(1+Inputs!$B$7/100))+(((Inputs!$B$12*(1+Inputs!$B$13/100))-(Inputs!$B$12*(1+Inputs!$B$13/100)))+0.25*(Inputs!$B$14-Inputs!$B$14))*(1+Inputs!$B$7/100))*(F828/100)</f>
        <v/>
      </c>
      <c r="K828">
        <f>J828*(1+((Inputs!$B$12*(1+Inputs!$B$13/100))*0.01+Inputs!$B$14*0.0025)/100)*(1+Inputs!$B$15/100)*(1+Inputs!$B$16/100)*(5000/(6000+Inputs!$B$42*(1-Inputs!$B$19/100)))*(1+Inputs!$B$24/100)*(1+F847/100)*(1+IF(Inputs!$B$3&gt;=120,F850,0)/100)^5*(1+(IF(Skills!A4="BASIC_ATTACK",Inputs!$B$17,Inputs!$B$18+IF(Inputs!$B$3&gt;=125,F851*5,0)))/100)*(B854*B855*B856*I828)</f>
        <v/>
      </c>
      <c r="L828">
        <f>K828*(MIN(Inputs!$B$22+(F846-Calc!F22),Inputs!$B$23)/100+Inputs!$B$23/100)/2</f>
        <v/>
      </c>
      <c r="M828">
        <f>L828*(1+(Inputs!$B$10+(F845-Calc!F21))/100)</f>
        <v/>
      </c>
      <c r="N828">
        <f>L828*(1-MIN(Inputs!$B$9+(F844-Calc!F20),100)/100)+M828*(MIN(Inputs!$B$9+(F844-Calc!F20),100)/100)</f>
        <v/>
      </c>
      <c r="O828">
        <f>(1-Summary!$B$56)*S828+Summary!$B$56*U828</f>
        <v/>
      </c>
      <c r="P828">
        <f>IF(B865=0,0,O828/B865)</f>
        <v/>
      </c>
      <c r="Q828">
        <f>IFERROR(1/IF(Inputs!$B$38="pvp",15,MAX(0.1,Skills!E4-IF(Skills!F4=TRUE,Inputs!$B$32,0))),0)</f>
        <v/>
      </c>
      <c r="R828">
        <f>IF(AND(Inputs!$B$38&lt;&gt;"pvp",Inputs!$B$43&gt;0),IF(MAX(0,Inputs!$B$43-B862)&lt;=0,0,(INT(MAX(0,Inputs!$B$43-B862)/IF(Inputs!$B$38="pvp",15,MAX(0.1,Skills!E4-IF(Skills!F4=TRUE,Inputs!$B$32,0))))+1)),0)</f>
        <v/>
      </c>
      <c r="S828">
        <f>IF(C828,(H828*N828*IF(AND(Inputs!$B$38&lt;&gt;"pvp",Inputs!$B$43&gt;0),((Skills!G4*((R828-1)*IF(Skills!H4&gt;0,Skills!I4/Skills!H4,1)+IF(Skills!H4&gt;0,MIN(Skills!I4,MAX(0,MAX(0,Inputs!$B$43-B862)-((R828-1)*IF(Inputs!$B$38="pvp",15,MAX(0.1,Skills!E4-IF(Skills!F4=TRUE,Inputs!$B$32,0))))))/Skills!H4,1)))/Inputs!$B$43),G828*Q828))*IF(Inputs!$B$38="pvp",1,1+(Inputs!$B$20+Skills!P4)/100),0)</f>
        <v/>
      </c>
      <c r="T828">
        <f>290*T827/1000</f>
        <v/>
      </c>
      <c r="U828">
        <f>IF(C828,(H828*N828*IF(AND(Inputs!$B$38&lt;&gt;"pvp",Inputs!$B$43&gt;0),((Skills!G4*((R828-1)*IF(Skills!H4&gt;0,Skills!I4/Skills!H4,1)+IF(Skills!H4&gt;0,MIN(Skills!I4,MAX(0,MAX(0,Inputs!$B$43-B862)-((R828-1)*IF(Inputs!$B$38="pvp",15,MAX(0.1,Skills!E4-IF(Skills!F4=TRUE,Inputs!$B$32,0))))))/Skills!H4,1)))/Inputs!$B$43),G828*Q828))*IF(Inputs!$B$38="pvp",1,(1+(Inputs!$B$21+Skills!Q4)/100)*(MIN(Skills!R4,Inputs!$B$37))),0)</f>
        <v/>
      </c>
    </row>
    <row r="829">
      <c r="A829">
        <f>Skills!A5</f>
        <v/>
      </c>
      <c r="B829">
        <f>Skills!B5</f>
        <v/>
      </c>
      <c r="C829">
        <f>TRUE</f>
        <v/>
      </c>
      <c r="D829">
        <f>IF(Skills!C5=1,60+Inputs!$B$25+Inputs!$B$29,IF(Skills!C5=2,90+Inputs!$B$26+Inputs!$B$29,IF(Skills!C5=3,120+Inputs!$B$27+Inputs!$B$29,MAX(0,(Inputs!$B$3-100)*3)+(Inputs!$B$28+1)+Inputs!$B$29)))</f>
        <v/>
      </c>
      <c r="E829">
        <f>INDEX(FactorTable!$B$2:$Y$301, MATCH(ROUND(MIN(300,MAX(1,D829)),0), FactorTable!$A$2:$A$301,0), Skills!M5+1)</f>
        <v/>
      </c>
      <c r="F829">
        <f>IF(Skills!N5=TRUE,(Skills!L5/10)*(E829/1000),Skills!L5/10)+Skills!O5</f>
        <v/>
      </c>
      <c r="G829">
        <f>Calc!G5</f>
        <v/>
      </c>
      <c r="H829">
        <f>Calc!H5</f>
        <v/>
      </c>
      <c r="I829">
        <f>IF(Skills!X5&lt;&gt;"",1+(Skills!X5/10)*(Z827/1000)/100,1)</f>
        <v/>
      </c>
      <c r="J829">
        <f>((Inputs!$B$6*(1+Inputs!$B$7/100))+(((Inputs!$B$12*(1+Inputs!$B$13/100))-(Inputs!$B$12*(1+Inputs!$B$13/100)))+0.25*(Inputs!$B$14-Inputs!$B$14))*(1+Inputs!$B$7/100))*(F829/100)</f>
        <v/>
      </c>
      <c r="K829">
        <f>J829*(1+((Inputs!$B$12*(1+Inputs!$B$13/100))*0.01+Inputs!$B$14*0.0025)/100)*(1+Inputs!$B$15/100)*(1+Inputs!$B$16/100)*(5000/(6000+Inputs!$B$42*(1-Inputs!$B$19/100)))*(1+Inputs!$B$24/100)*(1+F847/100)*(1+IF(Inputs!$B$3&gt;=120,F850,0)/100)^5*(1+(IF(Skills!A5="BASIC_ATTACK",Inputs!$B$17,Inputs!$B$18+IF(Inputs!$B$3&gt;=125,F851*5,0)))/100)*(B854*B855*B856*I829)</f>
        <v/>
      </c>
      <c r="L829">
        <f>K829*(MIN(Inputs!$B$22+(F846-Calc!F22),Inputs!$B$23)/100+Inputs!$B$23/100)/2</f>
        <v/>
      </c>
      <c r="M829">
        <f>L829*(1+(Inputs!$B$10+(F845-Calc!F21))/100)</f>
        <v/>
      </c>
      <c r="N829">
        <f>L829*(1-MIN(Inputs!$B$9+(F844-Calc!F20),100)/100)+M829*(MIN(Inputs!$B$9+(F844-Calc!F20),100)/100)</f>
        <v/>
      </c>
      <c r="O829">
        <f>(1-Summary!$B$56)*S829+Summary!$B$56*U829</f>
        <v/>
      </c>
      <c r="P829">
        <f>IF(B865=0,0,O829/B865)</f>
        <v/>
      </c>
      <c r="Q829">
        <f>IFERROR(1/IF(Inputs!$B$38="pvp",15,MAX(0.1,Skills!E5-IF(Skills!F5=TRUE,Inputs!$B$32,0))),0)</f>
        <v/>
      </c>
      <c r="R829">
        <f>IF(AND(Inputs!$B$38&lt;&gt;"pvp",Inputs!$B$43&gt;0),IF(MAX(0,Inputs!$B$43-B862)&lt;=0,0,(INT(MAX(0,Inputs!$B$43-B862)/IF(Inputs!$B$38="pvp",15,MAX(0.1,Skills!E5-IF(Skills!F5=TRUE,Inputs!$B$32,0))))+1)),0)</f>
        <v/>
      </c>
      <c r="S829">
        <f>IF(C829,(H829*N829*IF(AND(Inputs!$B$38&lt;&gt;"pvp",Inputs!$B$43&gt;0),((Skills!G5*((R829-1)*IF(Skills!H5&gt;0,Skills!I5/Skills!H5,1)+IF(Skills!H5&gt;0,MIN(Skills!I5,MAX(0,MAX(0,Inputs!$B$43-B862)-((R829-1)*IF(Inputs!$B$38="pvp",15,MAX(0.1,Skills!E5-IF(Skills!F5=TRUE,Inputs!$B$32,0))))))/Skills!H5,1)))/Inputs!$B$43),G829*Q829))*IF(Inputs!$B$38="pvp",1,1+(Inputs!$B$20+Skills!P5)/100),0)</f>
        <v/>
      </c>
      <c r="U829">
        <f>IF(C829,(H829*N829*IF(AND(Inputs!$B$38&lt;&gt;"pvp",Inputs!$B$43&gt;0),((Skills!G5*((R829-1)*IF(Skills!H5&gt;0,Skills!I5/Skills!H5,1)+IF(Skills!H5&gt;0,MIN(Skills!I5,MAX(0,MAX(0,Inputs!$B$43-B862)-((R829-1)*IF(Inputs!$B$38="pvp",15,MAX(0.1,Skills!E5-IF(Skills!F5=TRUE,Inputs!$B$32,0))))))/Skills!H5,1)))/Inputs!$B$43),G829*Q829))*IF(Inputs!$B$38="pvp",1,(1+(Inputs!$B$21+Skills!Q5)/100)*(MIN(Skills!R5,Inputs!$B$37))),0)</f>
        <v/>
      </c>
    </row>
    <row r="830">
      <c r="A830">
        <f>Skills!A6</f>
        <v/>
      </c>
      <c r="B830">
        <f>Skills!B6</f>
        <v/>
      </c>
      <c r="C830">
        <f>TRUE</f>
        <v/>
      </c>
      <c r="D830">
        <f>IF(Skills!C6=1,60+Inputs!$B$25+Inputs!$B$29,IF(Skills!C6=2,90+Inputs!$B$26+Inputs!$B$29,IF(Skills!C6=3,120+Inputs!$B$27+Inputs!$B$29,MAX(0,(Inputs!$B$3-100)*3)+(Inputs!$B$28+1)+Inputs!$B$29)))</f>
        <v/>
      </c>
      <c r="E830">
        <f>INDEX(FactorTable!$B$2:$Y$301, MATCH(ROUND(MIN(300,MAX(1,D830)),0), FactorTable!$A$2:$A$301,0), Skills!M6+1)</f>
        <v/>
      </c>
      <c r="F830">
        <f>IF(Skills!N6=TRUE,(Skills!L6/10)*(E830/1000),Skills!L6/10)+Skills!O6</f>
        <v/>
      </c>
      <c r="G830">
        <f>Calc!G6</f>
        <v/>
      </c>
      <c r="H830">
        <f>Calc!H6</f>
        <v/>
      </c>
      <c r="I830">
        <f>IF(Skills!X6&lt;&gt;"",1+(Skills!X6/10)*(Z827/1000)/100,1)</f>
        <v/>
      </c>
      <c r="J830" t="inlineStr"/>
      <c r="K830" t="inlineStr"/>
      <c r="L830" t="inlineStr"/>
      <c r="M830" t="inlineStr"/>
      <c r="N830" t="inlineStr"/>
      <c r="O830">
        <f>(1-Summary!$B$56)*S830+Summary!$B$56*U830</f>
        <v/>
      </c>
      <c r="P830">
        <f>IF(B865=0,0,O830/B865)</f>
        <v/>
      </c>
      <c r="Q830">
        <f>IFERROR(1/IF(Inputs!$B$38="pvp",15,MAX(0.1,Skills!E6-IF(Skills!F6=TRUE,Inputs!$B$32,0))),0)</f>
        <v/>
      </c>
      <c r="R830">
        <f>IF(AND(Inputs!$B$38&lt;&gt;"pvp",Inputs!$B$43&gt;0),IF(Inputs!$B$43&lt;=0,0,(INT(Inputs!$B$43/IF(Inputs!$B$38="pvp",15,MAX(0.1,Skills!E6-IF(Skills!F6=TRUE,Inputs!$B$32,0))))+1)),0)</f>
        <v/>
      </c>
      <c r="S830" t="n">
        <v>0</v>
      </c>
      <c r="U830" t="n">
        <v>0</v>
      </c>
    </row>
    <row r="831">
      <c r="A831">
        <f>Skills!A7</f>
        <v/>
      </c>
      <c r="B831">
        <f>Skills!B7</f>
        <v/>
      </c>
      <c r="C831">
        <f>TRUE</f>
        <v/>
      </c>
      <c r="D831">
        <f>IF(Skills!C7=1,60+Inputs!$B$25+Inputs!$B$29,IF(Skills!C7=2,90+Inputs!$B$26+Inputs!$B$29,IF(Skills!C7=3,120+Inputs!$B$27+Inputs!$B$29,MAX(0,(Inputs!$B$3-100)*3)+(Inputs!$B$28+1)+Inputs!$B$29)))</f>
        <v/>
      </c>
      <c r="E831">
        <f>INDEX(FactorTable!$B$2:$Y$301, MATCH(ROUND(MIN(300,MAX(1,D831)),0), FactorTable!$A$2:$A$301,0), Skills!M7+1)</f>
        <v/>
      </c>
      <c r="F831">
        <f>IF(Skills!N7=TRUE,(Skills!L7/10)*(E831/1000),Skills!L7/10)+Skills!O7</f>
        <v/>
      </c>
      <c r="G831">
        <f>Calc!G7</f>
        <v/>
      </c>
      <c r="H831">
        <f>Calc!H7</f>
        <v/>
      </c>
      <c r="I831">
        <f>IF(Skills!X7&lt;&gt;"",1+(Skills!X7/10)*(Z827/1000)/100,1)</f>
        <v/>
      </c>
      <c r="J831">
        <f>((Inputs!$B$6*(1+Inputs!$B$7/100))+(((Inputs!$B$12*(1+Inputs!$B$13/100))-(Inputs!$B$12*(1+Inputs!$B$13/100)))+0.25*(Inputs!$B$14-Inputs!$B$14))*(1+Inputs!$B$7/100))*(F831/100)</f>
        <v/>
      </c>
      <c r="K831">
        <f>J831*(1+((Inputs!$B$12*(1+Inputs!$B$13/100))*0.01+Inputs!$B$14*0.0025)/100)*(1+Inputs!$B$15/100)*(1+Inputs!$B$16/100)*(5000/(6000+Inputs!$B$42*(1-Inputs!$B$19/100)))*(1+Inputs!$B$24/100)*(1+F847/100)*(1+IF(Inputs!$B$3&gt;=120,F850,0)/100)^5*(1+(IF(Skills!A7="BASIC_ATTACK",Inputs!$B$17,Inputs!$B$18+IF(Inputs!$B$3&gt;=125,F851*5,0)))/100)*(B854*B855*B856*I831)</f>
        <v/>
      </c>
      <c r="L831">
        <f>K831*(MIN(Inputs!$B$22+(F846-Calc!F22),Inputs!$B$23)/100+Inputs!$B$23/100)/2</f>
        <v/>
      </c>
      <c r="M831">
        <f>L831*(1+(Inputs!$B$10+(F845-Calc!F21))/100)</f>
        <v/>
      </c>
      <c r="N831">
        <f>L831*(1-MIN(Inputs!$B$9+(F844-Calc!F20),100)/100)+M831*(MIN(Inputs!$B$9+(F844-Calc!F20),100)/100)</f>
        <v/>
      </c>
      <c r="O831">
        <f>(1-Summary!$B$56)*S831+Summary!$B$56*U831</f>
        <v/>
      </c>
      <c r="P831">
        <f>IF(B865=0,0,O831/B865)</f>
        <v/>
      </c>
      <c r="Q831">
        <f>IFERROR(1/IF(Inputs!$B$38="pvp",15,MAX(0.1,Skills!E7-IF(Skills!F7=TRUE,Inputs!$B$32,0))),0)</f>
        <v/>
      </c>
      <c r="R831">
        <f>IF(AND(Inputs!$B$38&lt;&gt;"pvp",Inputs!$B$43&gt;0),IF(MAX(0,Inputs!$B$43-B862)&lt;=0,0,(INT(MAX(0,Inputs!$B$43-B862)/IF(Inputs!$B$38="pvp",15,MAX(0.1,Skills!E7-IF(Skills!F7=TRUE,Inputs!$B$32,0))))+1)),0)</f>
        <v/>
      </c>
      <c r="S831">
        <f>IF(C831,(H831*N831*IF(AND(Inputs!$B$38&lt;&gt;"pvp",Inputs!$B$43&gt;0),((Skills!G7*((R831-1)*IF(Skills!H7&gt;0,Skills!I7/Skills!H7,1)+IF(Skills!H7&gt;0,MIN(Skills!I7,MAX(0,MAX(0,Inputs!$B$43-B862)-((R831-1)*IF(Inputs!$B$38="pvp",15,MAX(0.1,Skills!E7-IF(Skills!F7=TRUE,Inputs!$B$32,0))))))/Skills!H7,1)))/Inputs!$B$43),G831*Q831))*IF(Inputs!$B$38="pvp",1,1+(Inputs!$B$20+Skills!P7)/100),0)</f>
        <v/>
      </c>
      <c r="U831">
        <f>IF(C831,(H831*N831*IF(AND(Inputs!$B$38&lt;&gt;"pvp",Inputs!$B$43&gt;0),((Skills!G7*((R831-1)*IF(Skills!H7&gt;0,Skills!I7/Skills!H7,1)+IF(Skills!H7&gt;0,MIN(Skills!I7,MAX(0,MAX(0,Inputs!$B$43-B862)-((R831-1)*IF(Inputs!$B$38="pvp",15,MAX(0.1,Skills!E7-IF(Skills!F7=TRUE,Inputs!$B$32,0))))))/Skills!H7,1)))/Inputs!$B$43),G831*Q831))*IF(Inputs!$B$38="pvp",1,(1+(Inputs!$B$21+Skills!Q7)/100)*(MIN(Skills!R7,Inputs!$B$37))),0)</f>
        <v/>
      </c>
    </row>
    <row r="832">
      <c r="A832">
        <f>Skills!A8</f>
        <v/>
      </c>
      <c r="B832">
        <f>Skills!B8</f>
        <v/>
      </c>
      <c r="C832">
        <f>TRUE</f>
        <v/>
      </c>
      <c r="D832">
        <f>IF(Skills!C8=1,60+Inputs!$B$25+Inputs!$B$29,IF(Skills!C8=2,90+Inputs!$B$26+Inputs!$B$29,IF(Skills!C8=3,120+Inputs!$B$27+Inputs!$B$29,MAX(0,(Inputs!$B$3-100)*3)+(Inputs!$B$28+1)+Inputs!$B$29)))</f>
        <v/>
      </c>
      <c r="E832">
        <f>INDEX(FactorTable!$B$2:$Y$301, MATCH(ROUND(MIN(300,MAX(1,D832)),0), FactorTable!$A$2:$A$301,0), Skills!M8+1)</f>
        <v/>
      </c>
      <c r="F832">
        <f>IF(Skills!N8=TRUE,(Skills!L8/10)*(E832/1000),Skills!L8/10)+Skills!O8</f>
        <v/>
      </c>
      <c r="G832">
        <f>Calc!G8</f>
        <v/>
      </c>
      <c r="H832">
        <f>Calc!H8</f>
        <v/>
      </c>
      <c r="I832">
        <f>IF(Skills!X8&lt;&gt;"",1+(Skills!X8/10)*(Z827/1000)/100,1)</f>
        <v/>
      </c>
      <c r="J832">
        <f>((Inputs!$B$6*(1+Inputs!$B$7/100))+(((Inputs!$B$12*(1+Inputs!$B$13/100))-(Inputs!$B$12*(1+Inputs!$B$13/100)))+0.25*(Inputs!$B$14-Inputs!$B$14))*(1+Inputs!$B$7/100))*(F832/100)</f>
        <v/>
      </c>
      <c r="K832">
        <f>J832*(1+((Inputs!$B$12*(1+Inputs!$B$13/100))*0.01+Inputs!$B$14*0.0025)/100)*(1+Inputs!$B$15/100)*(1+Inputs!$B$16/100)*(5000/(6000+Inputs!$B$42*(1-Inputs!$B$19/100)))*(1+Inputs!$B$24/100)*(1+F847/100)*(1+IF(Inputs!$B$3&gt;=120,F850,0)/100)^5*(1+(IF(Skills!A8="BASIC_ATTACK",Inputs!$B$17,Inputs!$B$18+IF(Inputs!$B$3&gt;=125,F851*5,0)))/100)*(B854*B855*B856*I832)</f>
        <v/>
      </c>
      <c r="L832">
        <f>K832*(MIN(Inputs!$B$22+(F846-Calc!F22),Inputs!$B$23)/100+Inputs!$B$23/100)/2</f>
        <v/>
      </c>
      <c r="M832">
        <f>L832*(1+(Inputs!$B$10+(F845-Calc!F21))/100)</f>
        <v/>
      </c>
      <c r="N832">
        <f>L832*(1-MIN(Inputs!$B$9+(F844-Calc!F20),100)/100)+M832*(MIN(Inputs!$B$9+(F844-Calc!F20),100)/100)</f>
        <v/>
      </c>
      <c r="O832">
        <f>(1-Summary!$B$56)*S832+Summary!$B$56*U832</f>
        <v/>
      </c>
      <c r="P832">
        <f>IF(B865=0,0,O832/B865)</f>
        <v/>
      </c>
      <c r="Q832">
        <f>IFERROR(1/IF(Inputs!$B$38="pvp",15,MAX(0.1,Skills!E8-IF(Skills!F8=TRUE,Inputs!$B$32,0))),0)</f>
        <v/>
      </c>
      <c r="R832">
        <f>IF(AND(Inputs!$B$38&lt;&gt;"pvp",Inputs!$B$43&gt;0),IF(MAX(0,Inputs!$B$43-B862)&lt;=0,0,(INT(MAX(0,Inputs!$B$43-B862)/IF(Inputs!$B$38="pvp",15,MAX(0.1,Skills!E8-IF(Skills!F8=TRUE,Inputs!$B$32,0))))+1)),0)</f>
        <v/>
      </c>
      <c r="S832">
        <f>IF(C832,(H832*N832*IF(AND(Inputs!$B$38&lt;&gt;"pvp",Inputs!$B$43&gt;0),((Skills!G8*((R832-1)*IF(Skills!H8&gt;0,Skills!I8/Skills!H8,1)+IF(Skills!H8&gt;0,MIN(Skills!I8,MAX(0,MAX(0,Inputs!$B$43-B862)-((R832-1)*IF(Inputs!$B$38="pvp",15,MAX(0.1,Skills!E8-IF(Skills!F8=TRUE,Inputs!$B$32,0))))))/Skills!H8,1)))/Inputs!$B$43),G832*Q832))*IF(Inputs!$B$38="pvp",1,1+(Inputs!$B$20+Skills!P8)/100),0)</f>
        <v/>
      </c>
      <c r="U832">
        <f>IF(C832,(H832*N832*IF(AND(Inputs!$B$38&lt;&gt;"pvp",Inputs!$B$43&gt;0),((Skills!G8*((R832-1)*IF(Skills!H8&gt;0,Skills!I8/Skills!H8,1)+IF(Skills!H8&gt;0,MIN(Skills!I8,MAX(0,MAX(0,Inputs!$B$43-B862)-((R832-1)*IF(Inputs!$B$38="pvp",15,MAX(0.1,Skills!E8-IF(Skills!F8=TRUE,Inputs!$B$32,0))))))/Skills!H8,1)))/Inputs!$B$43),G832*Q832))*IF(Inputs!$B$38="pvp",1,(1+(Inputs!$B$21+Skills!Q8)/100)*(MIN(Skills!R8,Inputs!$B$37))),0)</f>
        <v/>
      </c>
    </row>
    <row r="833">
      <c r="A833">
        <f>Skills!A9</f>
        <v/>
      </c>
      <c r="B833">
        <f>Skills!B9</f>
        <v/>
      </c>
      <c r="C833">
        <f>Inputs!$B$3&gt;=103</f>
        <v/>
      </c>
      <c r="D833">
        <f>IF(Skills!C9=1,60+Inputs!$B$25+Inputs!$B$29,IF(Skills!C9=2,90+Inputs!$B$26+Inputs!$B$29,IF(Skills!C9=3,120+Inputs!$B$27+Inputs!$B$29,MAX(0,(Inputs!$B$3-100)*3)+(Inputs!$B$28+1)+Inputs!$B$29)))</f>
        <v/>
      </c>
      <c r="E833">
        <f>INDEX(FactorTable!$B$2:$Y$301, MATCH(ROUND(MIN(300,MAX(1,D833)),0), FactorTable!$A$2:$A$301,0), Skills!M9+1)</f>
        <v/>
      </c>
      <c r="F833">
        <f>IF(Skills!N9=TRUE,(Skills!L9/10)*(E833/1000),Skills!L9/10)+Skills!O9</f>
        <v/>
      </c>
      <c r="G833">
        <f>Calc!G9</f>
        <v/>
      </c>
      <c r="H833">
        <f>Calc!H9</f>
        <v/>
      </c>
      <c r="I833">
        <f>IF(Skills!X9&lt;&gt;"",1+(Skills!X9/10)*(Z827/1000)/100,1)</f>
        <v/>
      </c>
      <c r="J833">
        <f>((Inputs!$B$6*(1+Inputs!$B$7/100))+(((Inputs!$B$12*(1+Inputs!$B$13/100))-(Inputs!$B$12*(1+Inputs!$B$13/100)))+0.25*(Inputs!$B$14-Inputs!$B$14))*(1+Inputs!$B$7/100))*(F833/100)</f>
        <v/>
      </c>
      <c r="K833">
        <f>J833*(1+((Inputs!$B$12*(1+Inputs!$B$13/100))*0.01+Inputs!$B$14*0.0025)/100)*(1+Inputs!$B$15/100)*(1+Inputs!$B$16/100)*(5000/(6000+Inputs!$B$42*(1-Inputs!$B$19/100)))*(1+Inputs!$B$24/100)*(1+F847/100)*(1+IF(Inputs!$B$3&gt;=120,F850,0)/100)^5*(1+(IF(Skills!A9="BASIC_ATTACK",Inputs!$B$17,Inputs!$B$18+IF(Inputs!$B$3&gt;=125,F851*5,0)))/100)*(B854*B855*B856*I833)</f>
        <v/>
      </c>
      <c r="L833">
        <f>K833*(MIN(Inputs!$B$22+(F846-Calc!F22),Inputs!$B$23)/100+Inputs!$B$23/100)/2</f>
        <v/>
      </c>
      <c r="M833">
        <f>L833*(1+(Inputs!$B$10+(F845-Calc!F21))/100)</f>
        <v/>
      </c>
      <c r="N833">
        <f>L833*(1-MIN(Inputs!$B$9+(F844-Calc!F20),100)/100)+M833*(MIN(Inputs!$B$9+(F844-Calc!F20),100)/100)</f>
        <v/>
      </c>
      <c r="O833">
        <f>(1-Summary!$B$56)*S833+Summary!$B$56*U833</f>
        <v/>
      </c>
      <c r="P833">
        <f>IF(B865=0,0,O833/B865)</f>
        <v/>
      </c>
      <c r="Q833">
        <f>IFERROR(1/IF(Inputs!$B$38="pvp",15,MAX(0.1,Skills!E9-IF(Skills!F7=TRUE,Inputs!$B$32,0))),0)</f>
        <v/>
      </c>
      <c r="R833">
        <f>IF(AND(Inputs!$B$38&lt;&gt;"pvp",Inputs!$B$43&gt;0),IF(MAX(0,Inputs!$B$43-B862)&lt;=0,0,(INT(MAX(0,Inputs!$B$43-B862)/IF(Inputs!$B$38="pvp",15,MAX(0.1,Skills!E9-IF(Skills!F7=TRUE,Inputs!$B$32,0))))+1)),0)</f>
        <v/>
      </c>
      <c r="S833">
        <f>IF(C833,(H833*N833*IF(AND(Inputs!$B$38&lt;&gt;"pvp",Inputs!$B$43&gt;0),((Skills!G9*((R833-1)*IF(Skills!H9&gt;0,Skills!I9/Skills!H9,1)+IF(Skills!H9&gt;0,MIN(Skills!I9,MAX(0,MAX(0,Inputs!$B$43-B862)-((R833-1)*IF(Inputs!$B$38="pvp",15,MAX(0.1,Skills!E9-IF(Skills!F7=TRUE,Inputs!$B$32,0))))))/Skills!H9,1)))/Inputs!$B$43),G833*Q833))*IF(Inputs!$B$38="pvp",1,1+(Inputs!$B$20+Skills!P9)/100),0)</f>
        <v/>
      </c>
      <c r="U833">
        <f>IF(C833,(H833*N833*IF(AND(Inputs!$B$38&lt;&gt;"pvp",Inputs!$B$43&gt;0),((Skills!G9*((R833-1)*IF(Skills!H9&gt;0,Skills!I9/Skills!H9,1)+IF(Skills!H9&gt;0,MIN(Skills!I9,MAX(0,MAX(0,Inputs!$B$43-B862)-((R833-1)*IF(Inputs!$B$38="pvp",15,MAX(0.1,Skills!E9-IF(Skills!F7=TRUE,Inputs!$B$32,0))))))/Skills!H9,1)))/Inputs!$B$43),G833*Q833))*IF(Inputs!$B$38="pvp",1,(1+(Inputs!$B$21+Skills!Q9)/100)*(MIN(Skills!R9,Inputs!$B$37))),0)</f>
        <v/>
      </c>
    </row>
    <row r="834">
      <c r="A834">
        <f>Skills!A10</f>
        <v/>
      </c>
      <c r="B834">
        <f>Skills!B10</f>
        <v/>
      </c>
      <c r="C834">
        <f>TRUE</f>
        <v/>
      </c>
      <c r="D834">
        <f>IF(Skills!C10=1,60+Inputs!$B$25+Inputs!$B$29,IF(Skills!C10=2,90+Inputs!$B$26+Inputs!$B$29,IF(Skills!C10=3,120+Inputs!$B$27+Inputs!$B$29,MAX(0,(Inputs!$B$3-100)*3)+(Inputs!$B$28+1)+Inputs!$B$29)))</f>
        <v/>
      </c>
      <c r="E834">
        <f>INDEX(FactorTable!$B$2:$Y$301, MATCH(ROUND(MIN(300,MAX(1,D834)),0), FactorTable!$A$2:$A$301,0), Skills!M10+1)</f>
        <v/>
      </c>
      <c r="F834">
        <f>IF(Skills!N10=TRUE,(Skills!L10/10)*(E834/1000),Skills!L10/10)+Skills!O10</f>
        <v/>
      </c>
      <c r="G834">
        <f>Calc!G10</f>
        <v/>
      </c>
      <c r="H834">
        <f>Calc!H10</f>
        <v/>
      </c>
      <c r="I834">
        <f>IF(Skills!X10&lt;&gt;"",1+(Skills!X10/10)*(Z827/1000)/100,1)</f>
        <v/>
      </c>
      <c r="J834">
        <f>((Inputs!$B$6*(1+Inputs!$B$7/100))+(((Inputs!$B$12*(1+Inputs!$B$13/100))-(Inputs!$B$12*(1+Inputs!$B$13/100)))+0.25*(Inputs!$B$14-Inputs!$B$14))*(1+Inputs!$B$7/100))*(F834/100)</f>
        <v/>
      </c>
      <c r="K834">
        <f>J834*(1+((Inputs!$B$12*(1+Inputs!$B$13/100))*0.01+Inputs!$B$14*0.0025)/100)*(1+Inputs!$B$15/100)*(1+Inputs!$B$16/100)*(5000/(6000+Inputs!$B$42*(1-Inputs!$B$19/100)))*(1+Inputs!$B$24/100)*(1+F847/100)*(1+IF(Inputs!$B$3&gt;=120,F850,0)/100)^5*(1+(IF(Skills!A10="BASIC_ATTACK",Inputs!$B$17,Inputs!$B$18+IF(Inputs!$B$3&gt;=125,F851*5,0)))/100)*(B854*B855*B856*I834)</f>
        <v/>
      </c>
      <c r="L834">
        <f>K834*(MIN(Inputs!$B$22+(F846-Calc!F22),Inputs!$B$23)/100+Inputs!$B$23/100)/2</f>
        <v/>
      </c>
      <c r="M834">
        <f>L834*(1+(Inputs!$B$10+(F845-Calc!F21))/100)</f>
        <v/>
      </c>
      <c r="N834">
        <f>L834*(1-MIN(Inputs!$B$9+(F844-Calc!F20),100)/100)+M834*(MIN(Inputs!$B$9+(F844-Calc!F20),100)/100)</f>
        <v/>
      </c>
      <c r="O834">
        <f>(1-Summary!$B$56)*S834+Summary!$B$56*U834</f>
        <v/>
      </c>
      <c r="P834">
        <f>IF(B865=0,0,O834/B865)</f>
        <v/>
      </c>
      <c r="Q834">
        <f>IFERROR(1/IF(Inputs!$B$38="pvp",15,MAX(0.1,Skills!E10-IF(Skills!F10=TRUE,Inputs!$B$32,0))),0)</f>
        <v/>
      </c>
      <c r="R834">
        <f>IF(AND(Inputs!$B$38&lt;&gt;"pvp",Inputs!$B$43&gt;0),IF(MAX(0,Inputs!$B$43-B862)&lt;=0,0,(INT(MAX(0,Inputs!$B$43-B862)/IF(Inputs!$B$38="pvp",15,MAX(0.1,Skills!E10-IF(Skills!F10=TRUE,Inputs!$B$32,0))))+1)),0)</f>
        <v/>
      </c>
      <c r="S834">
        <f>IF(C834,(H834*N834*IF(AND(Inputs!$B$38&lt;&gt;"pvp",Inputs!$B$43&gt;0),((Skills!G10*((R834-1)*IF(Skills!H10&gt;0,Skills!I10/Skills!H10,1)+IF(Skills!H10&gt;0,MIN(Skills!I10,MAX(0,MAX(0,Inputs!$B$43-B862)-((R834-1)*IF(Inputs!$B$38="pvp",15,MAX(0.1,Skills!E10-IF(Skills!F10=TRUE,Inputs!$B$32,0))))))/Skills!H10,1)))/Inputs!$B$43),G834*Q834))*IF(Inputs!$B$38="pvp",1,1+(Inputs!$B$20+Skills!P10)/100),0)</f>
        <v/>
      </c>
      <c r="U834">
        <f>IF(C834,(H834*N834*IF(AND(Inputs!$B$38&lt;&gt;"pvp",Inputs!$B$43&gt;0),((Skills!G10*((R834-1)*IF(Skills!H10&gt;0,Skills!I10/Skills!H10,1)+IF(Skills!H10&gt;0,MIN(Skills!I10,MAX(0,MAX(0,Inputs!$B$43-B862)-((R834-1)*IF(Inputs!$B$38="pvp",15,MAX(0.1,Skills!E10-IF(Skills!F10=TRUE,Inputs!$B$32,0))))))/Skills!H10,1)))/Inputs!$B$43),G834*Q834))*IF(Inputs!$B$38="pvp",1,(1+(Inputs!$B$21+Skills!Q10)/100)*(MIN(Skills!R10,Inputs!$B$37))),0)</f>
        <v/>
      </c>
    </row>
    <row r="835">
      <c r="A835">
        <f>Skills!A11</f>
        <v/>
      </c>
      <c r="B835">
        <f>Skills!B11</f>
        <v/>
      </c>
      <c r="C835">
        <f>TRUE</f>
        <v/>
      </c>
      <c r="D835">
        <f>IF(Skills!C11=1,60+Inputs!$B$25+Inputs!$B$29,IF(Skills!C11=2,90+Inputs!$B$26+Inputs!$B$29,IF(Skills!C11=3,120+Inputs!$B$27+Inputs!$B$29,MAX(0,(Inputs!$B$3-100)*3)+(Inputs!$B$28+1)+Inputs!$B$29)))</f>
        <v/>
      </c>
      <c r="E835">
        <f>INDEX(FactorTable!$B$2:$Y$301, MATCH(ROUND(MIN(300,MAX(1,D835)),0), FactorTable!$A$2:$A$301,0), Skills!M11+1)</f>
        <v/>
      </c>
      <c r="F835">
        <f>IF(Skills!N11=TRUE,(Skills!L11/10)*(E835/1000),Skills!L11/10)+Skills!O11</f>
        <v/>
      </c>
      <c r="G835">
        <f>Calc!G11</f>
        <v/>
      </c>
      <c r="H835">
        <f>Calc!H11</f>
        <v/>
      </c>
      <c r="I835">
        <f>IF(Skills!X11&lt;&gt;"",1+(Skills!X11/10)*(Z827/1000)/100,1)</f>
        <v/>
      </c>
      <c r="J835" t="inlineStr"/>
      <c r="K835" t="inlineStr"/>
      <c r="L835" t="inlineStr"/>
      <c r="M835" t="inlineStr"/>
      <c r="N835" t="inlineStr"/>
      <c r="O835">
        <f>(1-Summary!$B$56)*S835+Summary!$B$56*U835</f>
        <v/>
      </c>
      <c r="P835">
        <f>IF(B865=0,0,O835/B865)</f>
        <v/>
      </c>
      <c r="Q835">
        <f>IFERROR(1/IF(Inputs!$B$38="pvp",15,MAX(0.1,Skills!E11-IF(Skills!F11=TRUE,Inputs!$B$32,0))),0)</f>
        <v/>
      </c>
      <c r="R835" t="n">
        <v>0</v>
      </c>
      <c r="S835" t="n">
        <v>0</v>
      </c>
      <c r="U835" t="n">
        <v>0</v>
      </c>
    </row>
    <row r="836">
      <c r="A836">
        <f>Skills!A12</f>
        <v/>
      </c>
      <c r="B836">
        <f>Skills!B12</f>
        <v/>
      </c>
      <c r="C836">
        <f>TRUE</f>
        <v/>
      </c>
      <c r="D836">
        <f>IF(Skills!C12=1,60+Inputs!$B$25+Inputs!$B$29,IF(Skills!C12=2,90+Inputs!$B$26+Inputs!$B$29,IF(Skills!C12=3,120+Inputs!$B$27+Inputs!$B$29,MAX(0,(Inputs!$B$3-100)*3)+(Inputs!$B$28+1)+Inputs!$B$29)))</f>
        <v/>
      </c>
      <c r="E836">
        <f>INDEX(FactorTable!$B$2:$Y$301, MATCH(ROUND(MIN(300,MAX(1,D836)),0), FactorTable!$A$2:$A$301,0), Skills!M12+1)</f>
        <v/>
      </c>
      <c r="F836">
        <f>IF(Skills!N12=TRUE,(Skills!L12/10)*(E836/1000),Skills!L12/10)+Skills!O12</f>
        <v/>
      </c>
      <c r="G836">
        <f>Calc!G12</f>
        <v/>
      </c>
      <c r="H836">
        <f>Calc!H12</f>
        <v/>
      </c>
      <c r="I836">
        <f>IF(Skills!X12&lt;&gt;"",1+(Skills!X12/10)*(Z827/1000)/100,1)</f>
        <v/>
      </c>
      <c r="J836" t="inlineStr"/>
      <c r="K836" t="inlineStr"/>
      <c r="L836" t="inlineStr"/>
      <c r="M836" t="inlineStr"/>
      <c r="N836" t="inlineStr"/>
      <c r="O836">
        <f>(1-Summary!$B$56)*S836+Summary!$B$56*U836</f>
        <v/>
      </c>
      <c r="P836">
        <f>IF(B865=0,0,O836/B865)</f>
        <v/>
      </c>
      <c r="Q836">
        <f>IFERROR(1/IF(Inputs!$B$38="pvp",15,MAX(0.1,Skills!E12-IF(Skills!F12=TRUE,Inputs!$B$32,0))),0)</f>
        <v/>
      </c>
      <c r="R836" t="n">
        <v>0</v>
      </c>
      <c r="S836" t="n">
        <v>0</v>
      </c>
      <c r="U836" t="n">
        <v>0</v>
      </c>
    </row>
    <row r="837">
      <c r="A837">
        <f>Skills!A13</f>
        <v/>
      </c>
      <c r="B837">
        <f>Skills!B13</f>
        <v/>
      </c>
      <c r="C837">
        <f>Inputs!$B$3&gt;=105</f>
        <v/>
      </c>
      <c r="D837">
        <f>IF(Skills!C13=1,60+Inputs!$B$25+Inputs!$B$29,IF(Skills!C13=2,90+Inputs!$B$26+Inputs!$B$29,IF(Skills!C13=3,120+Inputs!$B$27+Inputs!$B$29,MAX(0,(Inputs!$B$3-100)*3)+(Inputs!$B$28+1)+Inputs!$B$29)))</f>
        <v/>
      </c>
      <c r="E837">
        <f>INDEX(FactorTable!$B$2:$Y$301, MATCH(ROUND(MIN(300,MAX(1,D837)),0), FactorTable!$A$2:$A$301,0), Skills!M13+1)</f>
        <v/>
      </c>
      <c r="F837">
        <f>IF(Skills!N13=TRUE,(Skills!L13/10)*(E837/1000),Skills!L13/10)+Skills!O13</f>
        <v/>
      </c>
      <c r="G837">
        <f>Calc!G13</f>
        <v/>
      </c>
      <c r="H837">
        <f>Calc!H13</f>
        <v/>
      </c>
      <c r="I837">
        <f>IF(Skills!X13&lt;&gt;"",1+(Skills!X13/10)*(Z827/1000)/100,1)</f>
        <v/>
      </c>
      <c r="J837">
        <f>((Inputs!$B$6*(1+Inputs!$B$7/100))+(((Inputs!$B$12*(1+Inputs!$B$13/100))-(Inputs!$B$12*(1+Inputs!$B$13/100)))+0.25*(Inputs!$B$14-Inputs!$B$14))*(1+Inputs!$B$7/100))*(F837/100)</f>
        <v/>
      </c>
      <c r="K837">
        <f>J837*(1+((Inputs!$B$12*(1+Inputs!$B$13/100))*0.01+Inputs!$B$14*0.0025)/100)*(1+Inputs!$B$15/100)*(1+Inputs!$B$16/100)*(5000/(6000+Inputs!$B$42*(1-Inputs!$B$19/100)))*(1+Inputs!$B$24/100)*(1+F847/100)*(1+IF(Inputs!$B$3&gt;=120,F850,0)/100)^5*(1+(IF(Skills!A13="BASIC_ATTACK",Inputs!$B$17,Inputs!$B$18+IF(Inputs!$B$3&gt;=125,F851*5,0)))/100)*(B854*B855*B856*I837)</f>
        <v/>
      </c>
      <c r="L837">
        <f>K837*(MIN(Inputs!$B$22+(F846-Calc!F22),Inputs!$B$23)/100+Inputs!$B$23/100)/2</f>
        <v/>
      </c>
      <c r="M837">
        <f>L837*(1+(Inputs!$B$10+(F845-Calc!F21))/100)</f>
        <v/>
      </c>
      <c r="N837">
        <f>L837*(1-MIN(Inputs!$B$9+(F844-Calc!F20),100)/100)+M837*(MIN(Inputs!$B$9+(F844-Calc!F20),100)/100)</f>
        <v/>
      </c>
      <c r="O837">
        <f>(1-Summary!$B$56)*S837+Summary!$B$56*U837</f>
        <v/>
      </c>
      <c r="P837">
        <f>IF(B865=0,0,O837/B865)</f>
        <v/>
      </c>
      <c r="Q837">
        <f>IFERROR(1/IF(Inputs!$B$38="pvp",15,MAX(0.1,Skills!E13-IF(Skills!F13=TRUE,Inputs!$B$32,0))),0)</f>
        <v/>
      </c>
      <c r="R837">
        <f>IF(AND(Inputs!$B$38&lt;&gt;"pvp",Inputs!$B$43&gt;0),IF(MAX(0,Inputs!$B$43-B862)&lt;=0,0,(INT(MAX(0,Inputs!$B$43-B862)/IF(Inputs!$B$38="pvp",15,MAX(0.1,Skills!E13-IF(Skills!F13=TRUE,Inputs!$B$32,0))))+1)),0)</f>
        <v/>
      </c>
      <c r="S837">
        <f>IF(C837,(H837*N837*IF(AND(Inputs!$B$38&lt;&gt;"pvp",Inputs!$B$43&gt;0),((Skills!G13*((R837-1)*IF(Skills!H13&gt;0,Skills!I13/Skills!H13,1)+IF(Skills!H13&gt;0,MIN(Skills!I13,MAX(0,MAX(0,Inputs!$B$43-B862)-((R837-1)*IF(Inputs!$B$38="pvp",15,MAX(0.1,Skills!E13-IF(Skills!F13=TRUE,Inputs!$B$32,0))))))/Skills!H13,1)))/Inputs!$B$43),G837*Q837))*IF(Inputs!$B$38="pvp",1,1+(Inputs!$B$20+Skills!P13)/100),0)</f>
        <v/>
      </c>
      <c r="U837">
        <f>IF(C837,(H837*N837*IF(AND(Inputs!$B$38&lt;&gt;"pvp",Inputs!$B$43&gt;0),((Skills!G13*((R837-1)*IF(Skills!H13&gt;0,Skills!I13/Skills!H13,1)+IF(Skills!H13&gt;0,MIN(Skills!I13,MAX(0,MAX(0,Inputs!$B$43-B862)-((R837-1)*IF(Inputs!$B$38="pvp",15,MAX(0.1,Skills!E13-IF(Skills!F13=TRUE,Inputs!$B$32,0))))))/Skills!H13,1)))/Inputs!$B$43),G837*Q837))*IF(Inputs!$B$38="pvp",1,(1+(Inputs!$B$21+Skills!Q13)/100)*(MIN(Skills!R13,Inputs!$B$37))),0)</f>
        <v/>
      </c>
    </row>
    <row r="838">
      <c r="A838">
        <f>Skills!A14</f>
        <v/>
      </c>
      <c r="B838">
        <f>Skills!B14</f>
        <v/>
      </c>
      <c r="C838">
        <f>Inputs!$B$3&gt;=113</f>
        <v/>
      </c>
      <c r="D838">
        <f>IF(Skills!C14=1,60+Inputs!$B$25+Inputs!$B$29,IF(Skills!C14=2,90+Inputs!$B$26+Inputs!$B$29,IF(Skills!C14=3,120+Inputs!$B$27+Inputs!$B$29,MAX(0,(Inputs!$B$3-100)*3)+(Inputs!$B$28+1)+Inputs!$B$29)))</f>
        <v/>
      </c>
      <c r="E838">
        <f>INDEX(FactorTable!$B$2:$Y$301, MATCH(ROUND(MIN(300,MAX(1,D838)),0), FactorTable!$A$2:$A$301,0), Skills!M14+1)</f>
        <v/>
      </c>
      <c r="F838">
        <f>IF(Skills!N14=TRUE,(Skills!L14/10)*(E838/1000),Skills!L14/10)+Skills!O14</f>
        <v/>
      </c>
      <c r="G838">
        <f>Calc!G14</f>
        <v/>
      </c>
      <c r="H838">
        <f>Calc!H14</f>
        <v/>
      </c>
      <c r="I838">
        <f>IF(Skills!X14&lt;&gt;"",1+(Skills!X14/10)*(Z827/1000)/100,1)</f>
        <v/>
      </c>
      <c r="J838">
        <f>((Inputs!$B$6*(1+Inputs!$B$7/100))+(((Inputs!$B$12*(1+Inputs!$B$13/100))-(Inputs!$B$12*(1+Inputs!$B$13/100)))+0.25*(Inputs!$B$14-Inputs!$B$14))*(1+Inputs!$B$7/100))*(F838/100)</f>
        <v/>
      </c>
      <c r="K838">
        <f>J838*(1+((Inputs!$B$12*(1+Inputs!$B$13/100))*0.01+Inputs!$B$14*0.0025)/100)*(1+Inputs!$B$15/100)*(1+Inputs!$B$16/100)*(5000/(6000+Inputs!$B$42*(1-Inputs!$B$19/100)))*(1+Inputs!$B$24/100)*(1+F847/100)*(1+IF(Inputs!$B$3&gt;=120,F850,0)/100)^5*(1+(IF(Skills!A14="BASIC_ATTACK",Inputs!$B$17,Inputs!$B$18+IF(Inputs!$B$3&gt;=125,F851*5,0)))/100)*(B854*B855*B856*I838)</f>
        <v/>
      </c>
      <c r="L838">
        <f>K838*(MIN(Inputs!$B$22+(F846-Calc!F22),Inputs!$B$23)/100+Inputs!$B$23/100)/2</f>
        <v/>
      </c>
      <c r="M838">
        <f>L838*(1+(Inputs!$B$10+(F845-Calc!F21))/100)</f>
        <v/>
      </c>
      <c r="N838">
        <f>L838*(1-MIN(Inputs!$B$9+(F844-Calc!F20),100)/100)+M838*(MIN(Inputs!$B$9+(F844-Calc!F20),100)/100)</f>
        <v/>
      </c>
      <c r="O838">
        <f>(1-Summary!$B$56)*S838+Summary!$B$56*U838</f>
        <v/>
      </c>
      <c r="P838">
        <f>IF(B865=0,0,O838/B865)</f>
        <v/>
      </c>
      <c r="Q838">
        <f>IFERROR(1/IF(Inputs!$B$38="pvp",15,MAX(0.1,Skills!E14-IF(Skills!F14=TRUE,Inputs!$B$32,0))),0)</f>
        <v/>
      </c>
      <c r="R838" t="n">
        <v>0</v>
      </c>
      <c r="S838">
        <f>IF(C838,((H838*B861)/(1+Skills!H14*H838*B861)*N838)*IF(Inputs!$B$38="pvp",1,1+(Inputs!$B$20+Skills!P14)/100),0)</f>
        <v/>
      </c>
      <c r="U838">
        <f>IF(C838,((H838*B861)/(1+Skills!H14*H838*B861)*N838)*IF(Inputs!$B$38="pvp",1,(1+(Inputs!$B$21+Skills!Q14)/100)*(MIN(Skills!R14,Inputs!$B$37))),0)</f>
        <v/>
      </c>
    </row>
    <row r="839">
      <c r="A839">
        <f>Skills!A15</f>
        <v/>
      </c>
      <c r="B839">
        <f>Skills!B15</f>
        <v/>
      </c>
      <c r="C839">
        <f>Inputs!$B$3&gt;=107</f>
        <v/>
      </c>
      <c r="D839">
        <f>IF(Skills!C15=1,60+Inputs!$B$25+Inputs!$B$29,IF(Skills!C15=2,90+Inputs!$B$26+Inputs!$B$29,IF(Skills!C15=3,120+Inputs!$B$27+Inputs!$B$29,MAX(0,(Inputs!$B$3-100)*3)+(Inputs!$B$28+1)+Inputs!$B$29)))</f>
        <v/>
      </c>
      <c r="E839">
        <f>INDEX(FactorTable!$B$2:$Y$301, MATCH(ROUND(MIN(300,MAX(1,D839)),0), FactorTable!$A$2:$A$301,0), Skills!M15+1)</f>
        <v/>
      </c>
      <c r="F839">
        <f>IF(Skills!N15=TRUE,(Skills!L15/10)*(E839/1000),Skills!L15/10)+Skills!O15</f>
        <v/>
      </c>
      <c r="G839">
        <f>Calc!G15</f>
        <v/>
      </c>
      <c r="H839">
        <f>Calc!H15</f>
        <v/>
      </c>
      <c r="I839">
        <f>IF(Skills!X15&lt;&gt;"",1+(Skills!X15/10)*(Z827/1000)/100,1)</f>
        <v/>
      </c>
      <c r="J839">
        <f>((Inputs!$B$6*(1+Inputs!$B$7/100))+(((Inputs!$B$12*(1+Inputs!$B$13/100))-(Inputs!$B$12*(1+Inputs!$B$13/100)))+0.25*(Inputs!$B$14-Inputs!$B$14))*(1+Inputs!$B$7/100))*(F839/100)</f>
        <v/>
      </c>
      <c r="K839">
        <f>J839*(1+((Inputs!$B$12*(1+Inputs!$B$13/100))*0.01+Inputs!$B$14*0.0025)/100)*(1+Inputs!$B$15/100)*(1+Inputs!$B$16/100)*(5000/(6000+Inputs!$B$42*(1-Inputs!$B$19/100)))*(1+Inputs!$B$24/100)*(1+F847/100)*(1+IF(Inputs!$B$3&gt;=120,F850,0)/100)^5*(1+(IF(Skills!A15="BASIC_ATTACK",Inputs!$B$17,Inputs!$B$18+IF(Inputs!$B$3&gt;=125,F851*5,0)))/100)*(B854*B855*B856*I839)</f>
        <v/>
      </c>
      <c r="L839">
        <f>K839*(MIN(Inputs!$B$22+(F846-Calc!F22),Inputs!$B$23)/100+Inputs!$B$23/100)/2</f>
        <v/>
      </c>
      <c r="M839">
        <f>L839*(1+(Inputs!$B$10+(F845-Calc!F21))/100)</f>
        <v/>
      </c>
      <c r="N839">
        <f>L839*(1-MIN(Inputs!$B$9+(F844-Calc!F20),100)/100)+M839*(MIN(Inputs!$B$9+(F844-Calc!F20),100)/100)</f>
        <v/>
      </c>
      <c r="O839">
        <f>(1-Summary!$B$56)*S839+Summary!$B$56*U839</f>
        <v/>
      </c>
      <c r="P839">
        <f>IF(B865=0,0,O839/B865)</f>
        <v/>
      </c>
      <c r="Q839">
        <f>IFERROR(1/IF(Inputs!$B$38="pvp",15,MAX(0.1,Skills!E15-IF(Skills!F15=TRUE,Inputs!$B$32,0))),0)</f>
        <v/>
      </c>
      <c r="R839">
        <f>IF(AND(Inputs!$B$38&lt;&gt;"pvp",Inputs!$B$43&gt;0),IF(MAX(0,Inputs!$B$43-B862)&lt;=0,0,(INT(MAX(0,Inputs!$B$43-B862)/IF(Inputs!$B$38="pvp",15,MAX(0.1,Skills!E15-IF(Skills!F15=TRUE,Inputs!$B$32,0))))+1)),0)</f>
        <v/>
      </c>
      <c r="S839">
        <f>IF(C839,(H839*N839*IF(AND(Inputs!$B$38&lt;&gt;"pvp",Inputs!$B$43&gt;0),((Skills!G15*((R839-1)*IF(Skills!H15&gt;0,Skills!I15/Skills!H15,1)+IF(Skills!H15&gt;0,MIN(Skills!I15,MAX(0,MAX(0,Inputs!$B$43-B862)-((R839-1)*IF(Inputs!$B$38="pvp",15,MAX(0.1,Skills!E15-IF(Skills!F15=TRUE,Inputs!$B$32,0))))))/Skills!H15,1)))/Inputs!$B$43),G839*Q839))*IF(Inputs!$B$38="pvp",1,1+(Inputs!$B$20+Skills!P15)/100),0)</f>
        <v/>
      </c>
      <c r="U839">
        <f>IF(C839,(H839*N839*IF(AND(Inputs!$B$38&lt;&gt;"pvp",Inputs!$B$43&gt;0),((Skills!G15*((R839-1)*IF(Skills!H15&gt;0,Skills!I15/Skills!H15,1)+IF(Skills!H15&gt;0,MIN(Skills!I15,MAX(0,MAX(0,Inputs!$B$43-B862)-((R839-1)*IF(Inputs!$B$38="pvp",15,MAX(0.1,Skills!E15-IF(Skills!F15=TRUE,Inputs!$B$32,0))))))/Skills!H15,1)))/Inputs!$B$43),G839*Q839))*IF(Inputs!$B$38="pvp",1,(1+(Inputs!$B$21+Skills!Q15)/100)*(MIN(Skills!R15,Inputs!$B$37))),0)</f>
        <v/>
      </c>
    </row>
    <row r="840">
      <c r="A840">
        <f>Skills!A16</f>
        <v/>
      </c>
      <c r="B840">
        <f>Skills!B16</f>
        <v/>
      </c>
      <c r="C840">
        <f>Inputs!$B$3&gt;=107</f>
        <v/>
      </c>
      <c r="D840">
        <f>IF(Skills!C16=1,60+Inputs!$B$25+Inputs!$B$29,IF(Skills!C16=2,90+Inputs!$B$26+Inputs!$B$29,IF(Skills!C16=3,120+Inputs!$B$27+Inputs!$B$29,MAX(0,(Inputs!$B$3-100)*3)+(Inputs!$B$28+1)+Inputs!$B$29)))</f>
        <v/>
      </c>
      <c r="E840">
        <f>INDEX(FactorTable!$B$2:$Y$301, MATCH(ROUND(MIN(300,MAX(1,D840)),0), FactorTable!$A$2:$A$301,0), Skills!M16+1)</f>
        <v/>
      </c>
      <c r="F840">
        <f>IF(Skills!N16=TRUE,(Skills!L16/10)*(E840/1000),Skills!L16/10)+Skills!O16</f>
        <v/>
      </c>
      <c r="G840">
        <f>Calc!G16</f>
        <v/>
      </c>
      <c r="H840">
        <f>Calc!H16</f>
        <v/>
      </c>
      <c r="I840">
        <f>IF(Skills!X16&lt;&gt;"",1+(Skills!X16/10)*(Z827/1000)/100,1)</f>
        <v/>
      </c>
      <c r="J840">
        <f>((Inputs!$B$6*(1+Inputs!$B$7/100))+(((Inputs!$B$12*(1+Inputs!$B$13/100))-(Inputs!$B$12*(1+Inputs!$B$13/100)))+0.25*(Inputs!$B$14-Inputs!$B$14))*(1+Inputs!$B$7/100))*(F840/100)</f>
        <v/>
      </c>
      <c r="K840">
        <f>J840*(1+((Inputs!$B$12*(1+Inputs!$B$13/100))*0.01+Inputs!$B$14*0.0025)/100)*(1+Inputs!$B$15/100)*(1+Inputs!$B$16/100)*(5000/(6000+Inputs!$B$42*(1-Inputs!$B$19/100)))*(1+Inputs!$B$24/100)*(1+F847/100)*(1+IF(Inputs!$B$3&gt;=120,F850,0)/100)^5*(1+(IF(Skills!A16="BASIC_ATTACK",Inputs!$B$17,Inputs!$B$18+IF(Inputs!$B$3&gt;=125,F851*5,0)))/100)*(B854*B855*B856*I840)</f>
        <v/>
      </c>
      <c r="L840">
        <f>K840*(MIN(Inputs!$B$22+(F846-Calc!F22),Inputs!$B$23)/100+Inputs!$B$23/100)/2</f>
        <v/>
      </c>
      <c r="M840">
        <f>L840*(1+(Inputs!$B$10+(F845-Calc!F21))/100)</f>
        <v/>
      </c>
      <c r="N840">
        <f>L840*(1-MIN(Inputs!$B$9+(F844-Calc!F20),100)/100)+M840*(MIN(Inputs!$B$9+(F844-Calc!F20),100)/100)</f>
        <v/>
      </c>
      <c r="O840">
        <f>(1-Summary!$B$56)*S840+Summary!$B$56*U840</f>
        <v/>
      </c>
      <c r="P840">
        <f>IF(B865=0,0,O840/B865)</f>
        <v/>
      </c>
      <c r="Q840">
        <f>IFERROR(1/IF(Inputs!$B$38="pvp",15,MAX(0.1,Skills!E16-IF(Skills!F16=TRUE,Inputs!$B$32,0))),0)</f>
        <v/>
      </c>
      <c r="R840">
        <f>IF(AND(Inputs!$B$38&lt;&gt;"pvp",Inputs!$B$43&gt;0),IF(MAX(0,Inputs!$B$43-B862)&lt;=0,0,(INT(MAX(0,Inputs!$B$43-B862)/IF(Inputs!$B$38="pvp",15,MAX(0.1,Skills!E16-IF(Skills!F16=TRUE,Inputs!$B$32,0))))+1)),0)</f>
        <v/>
      </c>
      <c r="S840">
        <f>IF(C840,(H840*N840*IF(AND(Inputs!$B$38&lt;&gt;"pvp",Inputs!$B$43&gt;0),((Skills!G16*((R840-1)*IF(Skills!H16&gt;0,Skills!I16/Skills!H16,1)+IF(Skills!H16&gt;0,MIN(Skills!I16,MAX(0,MAX(0,Inputs!$B$43-B862)-((R840-1)*IF(Inputs!$B$38="pvp",15,MAX(0.1,Skills!E16-IF(Skills!F16=TRUE,Inputs!$B$32,0))))))/Skills!H16,1)))/Inputs!$B$43),G840*Q840)*(1+IF(Inputs!$B$3&gt;=126,0.05*(B860+Q837+(H838*B861)/(1+Skills!H14*H838*B861)+Q848),0)*Skills!E15))*IF(Inputs!$B$38="pvp",1,1+(Inputs!$B$20+Skills!P16)/100),0)</f>
        <v/>
      </c>
      <c r="U840">
        <f>IF(C840,(H840*N840*IF(AND(Inputs!$B$38&lt;&gt;"pvp",Inputs!$B$43&gt;0),((Skills!G16*((R840-1)*IF(Skills!H16&gt;0,Skills!I16/Skills!H16,1)+IF(Skills!H16&gt;0,MIN(Skills!I16,MAX(0,MAX(0,Inputs!$B$43-B862)-((R840-1)*IF(Inputs!$B$38="pvp",15,MAX(0.1,Skills!E16-IF(Skills!F16=TRUE,Inputs!$B$32,0))))))/Skills!H16,1)))/Inputs!$B$43),G840*Q840)*(1+IF(Inputs!$B$3&gt;=126,0.05*(B860+Q837+(H838*B861)/(1+Skills!H14*H838*B861)+Q848),0)*Skills!E15))*IF(Inputs!$B$38="pvp",1,(1+(Inputs!$B$21+Skills!Q16)/100)*(MIN(Skills!R16,Inputs!$B$37))),0)</f>
        <v/>
      </c>
    </row>
    <row r="841">
      <c r="A841">
        <f>Skills!A17</f>
        <v/>
      </c>
      <c r="B841">
        <f>Skills!B17</f>
        <v/>
      </c>
      <c r="C841">
        <f>TRUE</f>
        <v/>
      </c>
      <c r="D841">
        <f>IF(Skills!C17=1,60+Inputs!$B$25+Inputs!$B$29,IF(Skills!C17=2,90+Inputs!$B$26+Inputs!$B$29,IF(Skills!C17=3,120+Inputs!$B$27+Inputs!$B$29,MAX(0,(Inputs!$B$3-100)*3)+(Inputs!$B$28+1)+Inputs!$B$29)))</f>
        <v/>
      </c>
      <c r="E841">
        <f>INDEX(FactorTable!$B$2:$Y$301, MATCH(ROUND(MIN(300,MAX(1,D841)),0), FactorTable!$A$2:$A$301,0), Skills!M17+1)</f>
        <v/>
      </c>
      <c r="F841">
        <f>IF(Skills!N17=TRUE,(Skills!L17/10)*(E841/1000),Skills!L17/10)+Skills!O17</f>
        <v/>
      </c>
      <c r="G841">
        <f>Calc!G17</f>
        <v/>
      </c>
      <c r="H841">
        <f>Calc!H17</f>
        <v/>
      </c>
      <c r="I841">
        <f>IF(Skills!X17&lt;&gt;"",1+(Skills!X17/10)*(Z827/1000)/100,1)</f>
        <v/>
      </c>
      <c r="J841" t="inlineStr"/>
      <c r="K841" t="inlineStr"/>
      <c r="L841" t="inlineStr"/>
      <c r="M841" t="inlineStr"/>
      <c r="N841" t="inlineStr"/>
      <c r="O841">
        <f>(1-Summary!$B$56)*S841+Summary!$B$56*U841</f>
        <v/>
      </c>
      <c r="P841">
        <f>IF(B865=0,0,O841/B865)</f>
        <v/>
      </c>
      <c r="Q841">
        <f>IFERROR(1/IF(Inputs!$B$38="pvp",15,MAX(0.1,Skills!E17-IF(Skills!F17=TRUE,Inputs!$B$32,0))),0)</f>
        <v/>
      </c>
      <c r="R841">
        <f>IF(AND(Inputs!$B$38&lt;&gt;"pvp",Inputs!$B$43&gt;0),IF(Inputs!$B$43&lt;=0,0,(INT(Inputs!$B$43/IF(Inputs!$B$38="pvp",15,MAX(0.1,Skills!E17-IF(Skills!F17=TRUE,Inputs!$B$32,0))))+1)),0)</f>
        <v/>
      </c>
      <c r="S841" t="n">
        <v>0</v>
      </c>
      <c r="U841" t="n">
        <v>0</v>
      </c>
    </row>
    <row r="842">
      <c r="A842">
        <f>Skills!A18</f>
        <v/>
      </c>
      <c r="B842">
        <f>Skills!B18</f>
        <v/>
      </c>
      <c r="C842">
        <f>TRUE</f>
        <v/>
      </c>
      <c r="D842">
        <f>IF(Skills!C18=1,60+Inputs!$B$25+Inputs!$B$29,IF(Skills!C18=2,90+Inputs!$B$26+Inputs!$B$29,IF(Skills!C18=3,120+Inputs!$B$27+Inputs!$B$29,MAX(0,(Inputs!$B$3-100)*3)+(Inputs!$B$28+1)+Inputs!$B$29)))</f>
        <v/>
      </c>
      <c r="E842">
        <f>INDEX(FactorTable!$B$2:$Y$301, MATCH(ROUND(MIN(300,MAX(1,D842)),0), FactorTable!$A$2:$A$301,0), Skills!M18+1)</f>
        <v/>
      </c>
      <c r="F842">
        <f>IF(Skills!N18=TRUE,(Skills!L18/10)*(E842/1000),Skills!L18/10)+Skills!O18</f>
        <v/>
      </c>
      <c r="G842">
        <f>Calc!G18</f>
        <v/>
      </c>
      <c r="H842">
        <f>Calc!H18</f>
        <v/>
      </c>
      <c r="I842">
        <f>IF(Skills!X18&lt;&gt;"",1+(Skills!X18/10)*(Z827/1000)/100,1)</f>
        <v/>
      </c>
      <c r="J842" t="inlineStr"/>
      <c r="K842" t="inlineStr"/>
      <c r="L842" t="inlineStr"/>
      <c r="M842" t="inlineStr"/>
      <c r="N842" t="inlineStr"/>
      <c r="O842">
        <f>(1-Summary!$B$56)*S842+Summary!$B$56*U842</f>
        <v/>
      </c>
      <c r="P842">
        <f>IF(B865=0,0,O842/B865)</f>
        <v/>
      </c>
      <c r="Q842">
        <f>IFERROR(1/IF(Inputs!$B$38="pvp",15,MAX(0.1,Skills!E18-IF(Skills!F18=TRUE,Inputs!$B$32,0))),0)</f>
        <v/>
      </c>
      <c r="R842">
        <f>IF(AND(Inputs!$B$38&lt;&gt;"pvp",Inputs!$B$43&gt;0),IF(Inputs!$B$43&lt;=0,0,(INT(Inputs!$B$43/IF(Inputs!$B$38="pvp",15,MAX(0.1,Skills!E18-IF(Skills!F18=TRUE,Inputs!$B$32,0))))+1)),0)</f>
        <v/>
      </c>
      <c r="S842" t="n">
        <v>0</v>
      </c>
      <c r="U842" t="n">
        <v>0</v>
      </c>
    </row>
    <row r="843">
      <c r="A843">
        <f>Skills!A19</f>
        <v/>
      </c>
      <c r="B843">
        <f>Skills!B19</f>
        <v/>
      </c>
      <c r="C843">
        <f>Inputs!$B$3&gt;=110</f>
        <v/>
      </c>
      <c r="D843">
        <f>IF(Skills!C19=1,60+Inputs!$B$25+Inputs!$B$29,IF(Skills!C19=2,90+Inputs!$B$26+Inputs!$B$29,IF(Skills!C19=3,120+Inputs!$B$27+Inputs!$B$29,MAX(0,(Inputs!$B$3-100)*3)+(Inputs!$B$28+1)+Inputs!$B$29)))</f>
        <v/>
      </c>
      <c r="E843">
        <f>INDEX(FactorTable!$B$2:$Y$301, MATCH(ROUND(MIN(300,MAX(1,D843)),0), FactorTable!$A$2:$A$301,0), Skills!M19+1)</f>
        <v/>
      </c>
      <c r="F843">
        <f>IF(Skills!N19=TRUE,(Skills!L19/10)*(E843/1000),Skills!L19/10)+Skills!O19</f>
        <v/>
      </c>
      <c r="G843">
        <f>Calc!G19</f>
        <v/>
      </c>
      <c r="H843">
        <f>Calc!H19</f>
        <v/>
      </c>
      <c r="I843">
        <f>IF(Skills!X19&lt;&gt;"",1+(Skills!X19/10)*(Z827/1000)/100,1)</f>
        <v/>
      </c>
      <c r="J843" t="inlineStr"/>
      <c r="K843" t="inlineStr"/>
      <c r="L843" t="inlineStr"/>
      <c r="M843" t="inlineStr"/>
      <c r="N843" t="inlineStr"/>
      <c r="O843">
        <f>(1-Summary!$B$56)*S843+Summary!$B$56*U843</f>
        <v/>
      </c>
      <c r="P843">
        <f>IF(B865=0,0,O843/B865)</f>
        <v/>
      </c>
      <c r="Q843">
        <f>IFERROR(1/IF(Inputs!$B$38="pvp",15,MAX(0.1,Skills!E19-IF(Skills!F19=TRUE,Inputs!$B$32,0))),0)</f>
        <v/>
      </c>
      <c r="R843">
        <f>IF(AND(Inputs!$B$38&lt;&gt;"pvp",Inputs!$B$43&gt;0),IF(Inputs!$B$43&lt;=0,0,(INT(Inputs!$B$43/IF(Inputs!$B$38="pvp",15,MAX(0.1,Skills!E19-IF(Skills!F19=TRUE,Inputs!$B$32,0))))+1)),0)</f>
        <v/>
      </c>
      <c r="S843" t="n">
        <v>0</v>
      </c>
      <c r="U843" t="n">
        <v>0</v>
      </c>
    </row>
    <row r="844">
      <c r="A844">
        <f>Skills!A20</f>
        <v/>
      </c>
      <c r="B844">
        <f>Skills!B20</f>
        <v/>
      </c>
      <c r="C844">
        <f>TRUE</f>
        <v/>
      </c>
      <c r="D844">
        <f>IF(Skills!C20=1,60+Inputs!$B$25+Inputs!$B$29,IF(Skills!C20=2,90+Inputs!$B$26+Inputs!$B$29,IF(Skills!C20=3,120+Inputs!$B$27+Inputs!$B$29,MAX(0,(Inputs!$B$3-100)*3)+(Inputs!$B$28+1)+Inputs!$B$29)))</f>
        <v/>
      </c>
      <c r="E844">
        <f>INDEX(FactorTable!$B$2:$Y$301, MATCH(ROUND(MIN(300,MAX(1,D844)),0), FactorTable!$A$2:$A$301,0), Skills!M20+1)</f>
        <v/>
      </c>
      <c r="F844">
        <f>IF(Skills!N20=TRUE,(Skills!L20/10)*(E844/1000),Skills!L20/10)+Skills!O20</f>
        <v/>
      </c>
      <c r="G844">
        <f>Calc!G20</f>
        <v/>
      </c>
      <c r="H844">
        <f>Calc!H20</f>
        <v/>
      </c>
      <c r="I844">
        <f>IF(Skills!X20&lt;&gt;"",1+(Skills!X20/10)*(Z827/1000)/100,1)</f>
        <v/>
      </c>
      <c r="J844" t="inlineStr"/>
      <c r="K844" t="inlineStr"/>
      <c r="L844" t="inlineStr"/>
      <c r="M844" t="inlineStr"/>
      <c r="N844" t="inlineStr"/>
      <c r="O844">
        <f>(1-Summary!$B$56)*S844+Summary!$B$56*U844</f>
        <v/>
      </c>
      <c r="P844">
        <f>IF(B865=0,0,O844/B865)</f>
        <v/>
      </c>
      <c r="Q844">
        <f>IFERROR(1/IF(Inputs!$B$38="pvp",15,MAX(0.1,Skills!E20-IF(Skills!F20=TRUE,Inputs!$B$32,0))),0)</f>
        <v/>
      </c>
      <c r="R844" t="n">
        <v>0</v>
      </c>
      <c r="S844" t="n">
        <v>0</v>
      </c>
      <c r="U844" t="n">
        <v>0</v>
      </c>
    </row>
    <row r="845">
      <c r="A845">
        <f>Skills!A21</f>
        <v/>
      </c>
      <c r="B845">
        <f>Skills!B21</f>
        <v/>
      </c>
      <c r="C845">
        <f>TRUE</f>
        <v/>
      </c>
      <c r="D845">
        <f>IF(Skills!C21=1,60+Inputs!$B$25+Inputs!$B$29,IF(Skills!C21=2,90+Inputs!$B$26+Inputs!$B$29,IF(Skills!C21=3,120+Inputs!$B$27+Inputs!$B$29,MAX(0,(Inputs!$B$3-100)*3)+(Inputs!$B$28+1)+Inputs!$B$29)))</f>
        <v/>
      </c>
      <c r="E845">
        <f>INDEX(FactorTable!$B$2:$Y$301, MATCH(ROUND(MIN(300,MAX(1,D845)),0), FactorTable!$A$2:$A$301,0), Skills!M21+1)</f>
        <v/>
      </c>
      <c r="F845">
        <f>IF(Skills!N21=TRUE,(Skills!L21/10)*(E845/1000),Skills!L21/10)+Skills!O21</f>
        <v/>
      </c>
      <c r="G845">
        <f>Calc!G21</f>
        <v/>
      </c>
      <c r="H845">
        <f>Calc!H21</f>
        <v/>
      </c>
      <c r="I845">
        <f>IF(Skills!X21&lt;&gt;"",1+(Skills!X21/10)*(Z827/1000)/100,1)</f>
        <v/>
      </c>
      <c r="J845" t="inlineStr"/>
      <c r="K845" t="inlineStr"/>
      <c r="L845" t="inlineStr"/>
      <c r="M845" t="inlineStr"/>
      <c r="N845" t="inlineStr"/>
      <c r="O845">
        <f>(1-Summary!$B$56)*S845+Summary!$B$56*U845</f>
        <v/>
      </c>
      <c r="P845">
        <f>IF(B865=0,0,O845/B865)</f>
        <v/>
      </c>
      <c r="Q845">
        <f>IFERROR(1/IF(Inputs!$B$38="pvp",15,MAX(0.1,Skills!E21-IF(Skills!F21=TRUE,Inputs!$B$32,0))),0)</f>
        <v/>
      </c>
      <c r="R845" t="n">
        <v>0</v>
      </c>
      <c r="S845" t="n">
        <v>0</v>
      </c>
      <c r="U845" t="n">
        <v>0</v>
      </c>
    </row>
    <row r="846">
      <c r="A846">
        <f>Skills!A22</f>
        <v/>
      </c>
      <c r="B846">
        <f>Skills!B22</f>
        <v/>
      </c>
      <c r="C846">
        <f>TRUE</f>
        <v/>
      </c>
      <c r="D846">
        <f>IF(Skills!C22=1,60+Inputs!$B$25+Inputs!$B$29,IF(Skills!C22=2,90+Inputs!$B$26+Inputs!$B$29,IF(Skills!C22=3,120+Inputs!$B$27+Inputs!$B$29,MAX(0,(Inputs!$B$3-100)*3)+(Inputs!$B$28+1)+Inputs!$B$29)))</f>
        <v/>
      </c>
      <c r="E846">
        <f>INDEX(FactorTable!$B$2:$Y$301, MATCH(ROUND(MIN(300,MAX(1,D846)),0), FactorTable!$A$2:$A$301,0), Skills!M22+1)</f>
        <v/>
      </c>
      <c r="F846">
        <f>IF(Skills!N22=TRUE,(Skills!L22/10)*(E846/1000),Skills!L22/10)+Skills!O22</f>
        <v/>
      </c>
      <c r="G846">
        <f>Calc!G22</f>
        <v/>
      </c>
      <c r="H846">
        <f>Calc!H22</f>
        <v/>
      </c>
      <c r="I846">
        <f>IF(Skills!X22&lt;&gt;"",1+(Skills!X22/10)*(Z827/1000)/100,1)</f>
        <v/>
      </c>
      <c r="J846" t="inlineStr"/>
      <c r="K846" t="inlineStr"/>
      <c r="L846" t="inlineStr"/>
      <c r="M846" t="inlineStr"/>
      <c r="N846" t="inlineStr"/>
      <c r="O846">
        <f>(1-Summary!$B$56)*S846+Summary!$B$56*U846</f>
        <v/>
      </c>
      <c r="P846">
        <f>IF(B865=0,0,O846/B865)</f>
        <v/>
      </c>
      <c r="Q846">
        <f>IFERROR(1/IF(Inputs!$B$38="pvp",15,MAX(0.1,Skills!E22-IF(Skills!F22=TRUE,Inputs!$B$32,0))),0)</f>
        <v/>
      </c>
      <c r="R846" t="n">
        <v>0</v>
      </c>
      <c r="S846" t="n">
        <v>0</v>
      </c>
      <c r="U846" t="n">
        <v>0</v>
      </c>
    </row>
    <row r="847">
      <c r="A847">
        <f>Skills!A23</f>
        <v/>
      </c>
      <c r="B847">
        <f>Skills!B23</f>
        <v/>
      </c>
      <c r="C847">
        <f>TRUE</f>
        <v/>
      </c>
      <c r="D847">
        <f>IF(Skills!C23=1,60+Inputs!$B$25+Inputs!$B$29,IF(Skills!C23=2,90+Inputs!$B$26+Inputs!$B$29,IF(Skills!C23=3,120+Inputs!$B$27+Inputs!$B$29,MAX(0,(Inputs!$B$3-100)*3)+(Inputs!$B$28+1)+Inputs!$B$29)))</f>
        <v/>
      </c>
      <c r="E847">
        <f>INDEX(FactorTable!$B$2:$Y$301, MATCH(ROUND(MIN(300,MAX(1,D847)),0), FactorTable!$A$2:$A$301,0), Skills!M23+1)</f>
        <v/>
      </c>
      <c r="F847">
        <f>IF(Skills!N23=TRUE,(Skills!L23/10)*(E847/1000),Skills!L23/10)+Skills!O23</f>
        <v/>
      </c>
      <c r="G847">
        <f>Calc!G23</f>
        <v/>
      </c>
      <c r="H847">
        <f>Calc!H23</f>
        <v/>
      </c>
      <c r="I847">
        <f>IF(Skills!X23&lt;&gt;"",1+(Skills!X23/10)*(Z827/1000)/100,1)</f>
        <v/>
      </c>
      <c r="J847" t="inlineStr"/>
      <c r="K847" t="inlineStr"/>
      <c r="L847" t="inlineStr"/>
      <c r="M847" t="inlineStr"/>
      <c r="N847" t="inlineStr"/>
      <c r="O847">
        <f>(1-Summary!$B$56)*S847+Summary!$B$56*U847</f>
        <v/>
      </c>
      <c r="P847">
        <f>IF(B865=0,0,O847/B865)</f>
        <v/>
      </c>
      <c r="Q847">
        <f>IFERROR(1/IF(Inputs!$B$38="pvp",15,MAX(0.1,Skills!E23-IF(Skills!F23=TRUE,Inputs!$B$32,0))),0)</f>
        <v/>
      </c>
      <c r="R847" t="n">
        <v>0</v>
      </c>
      <c r="S847" t="n">
        <v>0</v>
      </c>
      <c r="U847" t="n">
        <v>0</v>
      </c>
    </row>
    <row r="848">
      <c r="A848">
        <f>Skills!A24</f>
        <v/>
      </c>
      <c r="B848">
        <f>Skills!B24</f>
        <v/>
      </c>
      <c r="C848">
        <f>Inputs!$B$3&gt;=115</f>
        <v/>
      </c>
      <c r="D848">
        <f>IF(Skills!C24=1,60+Inputs!$B$25+Inputs!$B$29,IF(Skills!C24=2,90+Inputs!$B$26+Inputs!$B$29,IF(Skills!C24=3,120+Inputs!$B$27+Inputs!$B$29,MAX(0,(Inputs!$B$3-100)*3)+(Inputs!$B$28+1)+Inputs!$B$29)))</f>
        <v/>
      </c>
      <c r="E848">
        <f>INDEX(FactorTable!$B$2:$Y$301, MATCH(ROUND(MIN(300,MAX(1,D848)),0), FactorTable!$A$2:$A$301,0), Skills!M24+1)</f>
        <v/>
      </c>
      <c r="F848">
        <f>IF(Skills!N24=TRUE,(Skills!L24/10)*(E848/1000),Skills!L24/10)+Skills!O24</f>
        <v/>
      </c>
      <c r="G848">
        <f>Calc!G24</f>
        <v/>
      </c>
      <c r="H848">
        <f>Calc!H24</f>
        <v/>
      </c>
      <c r="I848">
        <f>IF(Skills!X24&lt;&gt;"",1+(Skills!X24/10)*(Z827/1000)/100,1)</f>
        <v/>
      </c>
      <c r="J848">
        <f>((Inputs!$B$6*(1+Inputs!$B$7/100))+(((Inputs!$B$12*(1+Inputs!$B$13/100))-(Inputs!$B$12*(1+Inputs!$B$13/100)))+0.25*(Inputs!$B$14-Inputs!$B$14))*(1+Inputs!$B$7/100))*(F848/100)</f>
        <v/>
      </c>
      <c r="K848">
        <f>J848*(1+((Inputs!$B$12*(1+Inputs!$B$13/100))*0.01+Inputs!$B$14*0.0025)/100)*(1+Inputs!$B$15/100)*(1+Inputs!$B$16/100)*(5000/(6000+Inputs!$B$42*(1-Inputs!$B$19/100)))*(1+Inputs!$B$24/100)*(1+F847/100)*(1+IF(Inputs!$B$3&gt;=120,F850,0)/100)^5*(1+(IF(Skills!A24="BASIC_ATTACK",Inputs!$B$17,Inputs!$B$18+IF(Inputs!$B$3&gt;=125,F851*5,0)))/100)*(B854*B855*B856*I848)</f>
        <v/>
      </c>
      <c r="L848">
        <f>K848*(MIN(Inputs!$B$22+(F846-Calc!F22),Inputs!$B$23)/100+Inputs!$B$23/100)/2</f>
        <v/>
      </c>
      <c r="M848">
        <f>L848*(1+(Inputs!$B$10+(F845-Calc!F21))/100)</f>
        <v/>
      </c>
      <c r="N848">
        <f>L848*(1-MIN(Inputs!$B$9+(F844-Calc!F20),100)/100)+M848*(MIN(Inputs!$B$9+(F844-Calc!F20),100)/100)</f>
        <v/>
      </c>
      <c r="O848">
        <f>(1-Summary!$B$56)*S848+Summary!$B$56*U848</f>
        <v/>
      </c>
      <c r="P848">
        <f>IF(B865=0,0,O848/B865)</f>
        <v/>
      </c>
      <c r="Q848">
        <f>IFERROR(1/IF(Inputs!$B$38="pvp",15,MAX(0.1,Skills!E24-IF(Skills!F24=TRUE,Inputs!$B$32,0))),0)</f>
        <v/>
      </c>
      <c r="R848">
        <f>IF(AND(Inputs!$B$38&lt;&gt;"pvp",Inputs!$B$43&gt;0),IF(MAX(0,Inputs!$B$43-B862)&lt;=0,0,(INT(MAX(0,Inputs!$B$43-B862)/IF(Inputs!$B$38="pvp",15,MAX(0.1,Skills!E24-IF(Skills!F24=TRUE,Inputs!$B$32,0))))+1)),0)</f>
        <v/>
      </c>
      <c r="S848">
        <f>IF(C848,(H848*N848*IF(AND(Inputs!$B$38&lt;&gt;"pvp",Inputs!$B$43&gt;0),((Skills!G24*((R848-1)*IF(Skills!H24&gt;0,Skills!I24/Skills!H24,1)+IF(Skills!H24&gt;0,MIN(Skills!I24,MAX(0,MAX(0,Inputs!$B$43-B862)-((R848-1)*IF(Inputs!$B$38="pvp",15,MAX(0.1,Skills!E24-IF(Skills!F24=TRUE,Inputs!$B$32,0))))))/Skills!H24,1)))/Inputs!$B$43),G848*Q848)*(1+IF(Inputs!$B$3&gt;=130,0.2*(Skills!I16/Skills!E15+IF(Inputs!$B$3&gt;=126,0.05*(B860+Q837+(H838*B861)/(1+Skills!H14*H838*B861)+Q848),0)*Skills!I16),0)))*IF(Inputs!$B$38="pvp",1,1+(Inputs!$B$20+Skills!P24)/100),0)</f>
        <v/>
      </c>
      <c r="U848">
        <f>IF(C848,(H848*N848*IF(AND(Inputs!$B$38&lt;&gt;"pvp",Inputs!$B$43&gt;0),((Skills!G24*((R848-1)*IF(Skills!H24&gt;0,Skills!I24/Skills!H24,1)+IF(Skills!H24&gt;0,MIN(Skills!I24,MAX(0,MAX(0,Inputs!$B$43-B862)-((R848-1)*IF(Inputs!$B$38="pvp",15,MAX(0.1,Skills!E24-IF(Skills!F24=TRUE,Inputs!$B$32,0))))))/Skills!H24,1)))/Inputs!$B$43),G848*Q848)*(1+IF(Inputs!$B$3&gt;=130,0.2*(Skills!I16/Skills!E15+IF(Inputs!$B$3&gt;=126,0.05*(B860+Q837+(H838*B861)/(1+Skills!H14*H838*B861)+Q848),0)*Skills!I16),0)))*IF(Inputs!$B$38="pvp",1,(1+(Inputs!$B$21+Skills!Q24)/100)*(MIN(Skills!R24,Inputs!$B$37))),0)</f>
        <v/>
      </c>
    </row>
    <row r="849">
      <c r="A849">
        <f>Skills!A25</f>
        <v/>
      </c>
      <c r="B849">
        <f>Skills!B25</f>
        <v/>
      </c>
      <c r="C849">
        <f>Inputs!$B$3&gt;=117</f>
        <v/>
      </c>
      <c r="D849">
        <f>IF(Skills!C25=1,60+Inputs!$B$25+Inputs!$B$29,IF(Skills!C25=2,90+Inputs!$B$26+Inputs!$B$29,IF(Skills!C25=3,120+Inputs!$B$27+Inputs!$B$29,MAX(0,(Inputs!$B$3-100)*3)+(Inputs!$B$28+1)+Inputs!$B$29)))</f>
        <v/>
      </c>
      <c r="E849">
        <f>INDEX(FactorTable!$B$2:$Y$301, MATCH(ROUND(MIN(300,MAX(1,D849)),0), FactorTable!$A$2:$A$301,0), Skills!M25+1)</f>
        <v/>
      </c>
      <c r="F849">
        <f>IF(Skills!N25=TRUE,(Skills!L25/10)*(E849/1000),Skills!L25/10)+Skills!O25</f>
        <v/>
      </c>
      <c r="G849">
        <f>Calc!G25</f>
        <v/>
      </c>
      <c r="H849">
        <f>Calc!H25</f>
        <v/>
      </c>
      <c r="I849">
        <f>IF(Skills!X25&lt;&gt;"",1+(Skills!X25/10)*(Z827/1000)/100,1)</f>
        <v/>
      </c>
      <c r="J849" t="inlineStr"/>
      <c r="K849" t="inlineStr"/>
      <c r="L849" t="inlineStr"/>
      <c r="M849" t="inlineStr"/>
      <c r="N849" t="inlineStr"/>
      <c r="O849">
        <f>(1-Summary!$B$56)*S849+Summary!$B$56*U849</f>
        <v/>
      </c>
      <c r="P849">
        <f>IF(B865=0,0,O849/B865)</f>
        <v/>
      </c>
      <c r="Q849">
        <f>IFERROR(1/IF(Inputs!$B$38="pvp",15,MAX(0.1,Skills!E25-IF(Skills!F25=TRUE,Inputs!$B$32,0))),0)</f>
        <v/>
      </c>
      <c r="R849" t="n">
        <v>0</v>
      </c>
      <c r="S849" t="n">
        <v>0</v>
      </c>
      <c r="U849" t="n">
        <v>0</v>
      </c>
    </row>
    <row r="850">
      <c r="A850">
        <f>Skills!A26</f>
        <v/>
      </c>
      <c r="B850">
        <f>Skills!B26</f>
        <v/>
      </c>
      <c r="C850">
        <f>Inputs!$B$3&gt;=120</f>
        <v/>
      </c>
      <c r="D850">
        <f>IF(Skills!C26=1,60+Inputs!$B$25+Inputs!$B$29,IF(Skills!C26=2,90+Inputs!$B$26+Inputs!$B$29,IF(Skills!C26=3,120+Inputs!$B$27+Inputs!$B$29,MAX(0,(Inputs!$B$3-100)*3)+(Inputs!$B$28+1)+Inputs!$B$29)))</f>
        <v/>
      </c>
      <c r="E850">
        <f>INDEX(FactorTable!$B$2:$Y$301, MATCH(ROUND(MIN(300,MAX(1,D850)),0), FactorTable!$A$2:$A$301,0), Skills!M26+1)</f>
        <v/>
      </c>
      <c r="F850">
        <f>IF(Skills!N26=TRUE,(Skills!L26/10)*(E850/1000),Skills!L26/10)+Skills!O26</f>
        <v/>
      </c>
      <c r="G850">
        <f>Calc!G26</f>
        <v/>
      </c>
      <c r="H850">
        <f>Calc!H26</f>
        <v/>
      </c>
      <c r="I850">
        <f>IF(Skills!X26&lt;&gt;"",1+(Skills!X26/10)*(Z827/1000)/100,1)</f>
        <v/>
      </c>
      <c r="J850" t="inlineStr"/>
      <c r="K850" t="inlineStr"/>
      <c r="L850" t="inlineStr"/>
      <c r="M850" t="inlineStr"/>
      <c r="N850" t="inlineStr"/>
      <c r="O850">
        <f>(1-Summary!$B$56)*S850+Summary!$B$56*U850</f>
        <v/>
      </c>
      <c r="P850">
        <f>IF(B865=0,0,O850/B865)</f>
        <v/>
      </c>
      <c r="Q850">
        <f>IFERROR(1/IF(Inputs!$B$38="pvp",15,MAX(0.1,Skills!E26-IF(Skills!F26=TRUE,Inputs!$B$32,0))),0)</f>
        <v/>
      </c>
      <c r="R850" t="n">
        <v>0</v>
      </c>
      <c r="S850" t="n">
        <v>0</v>
      </c>
      <c r="U850" t="n">
        <v>0</v>
      </c>
    </row>
    <row r="851">
      <c r="A851">
        <f>Skills!A27</f>
        <v/>
      </c>
      <c r="B851">
        <f>Skills!B27</f>
        <v/>
      </c>
      <c r="C851">
        <f>Inputs!$B$3&gt;=125</f>
        <v/>
      </c>
      <c r="D851">
        <f>IF(Skills!C27=1,60+Inputs!$B$25+Inputs!$B$29,IF(Skills!C27=2,90+Inputs!$B$26+Inputs!$B$29,IF(Skills!C27=3,120+Inputs!$B$27+Inputs!$B$29,MAX(0,(Inputs!$B$3-100)*3)+(Inputs!$B$28+1)+Inputs!$B$29)))</f>
        <v/>
      </c>
      <c r="E851">
        <f>INDEX(FactorTable!$B$2:$Y$301, MATCH(ROUND(MIN(300,MAX(1,D851)),0), FactorTable!$A$2:$A$301,0), Skills!M27+1)</f>
        <v/>
      </c>
      <c r="F851">
        <f>IF(Skills!N27=TRUE,(Skills!L27/10)*(E851/1000),Skills!L27/10)+Skills!O27</f>
        <v/>
      </c>
      <c r="G851">
        <f>Calc!G27</f>
        <v/>
      </c>
      <c r="H851">
        <f>Calc!H27</f>
        <v/>
      </c>
      <c r="I851">
        <f>IF(Skills!X27&lt;&gt;"",1+(Skills!X27/10)*(Z827/1000)/100,1)</f>
        <v/>
      </c>
      <c r="J851" t="inlineStr"/>
      <c r="K851" t="inlineStr"/>
      <c r="L851" t="inlineStr"/>
      <c r="M851" t="inlineStr"/>
      <c r="N851" t="inlineStr"/>
      <c r="O851">
        <f>(1-Summary!$B$56)*S851+Summary!$B$56*U851</f>
        <v/>
      </c>
      <c r="P851">
        <f>IF(B865=0,0,O851/B865)</f>
        <v/>
      </c>
      <c r="Q851">
        <f>IFERROR(1/IF(Inputs!$B$38="pvp",15,MAX(0.1,Skills!E27-IF(Skills!F27=TRUE,Inputs!$B$32,0))),0)</f>
        <v/>
      </c>
      <c r="R851" t="n">
        <v>0</v>
      </c>
      <c r="S851" t="n">
        <v>0</v>
      </c>
      <c r="U851" t="n">
        <v>0</v>
      </c>
    </row>
    <row r="852">
      <c r="A852">
        <f>Skills!A28</f>
        <v/>
      </c>
      <c r="B852">
        <f>Skills!B28</f>
        <v/>
      </c>
      <c r="C852">
        <f>Inputs!$B$3&gt;=118</f>
        <v/>
      </c>
      <c r="D852">
        <f>IF(Skills!C28=1,60+Inputs!$B$25+Inputs!$B$29,IF(Skills!C28=2,90+Inputs!$B$26+Inputs!$B$29,IF(Skills!C28=3,120+Inputs!$B$27+Inputs!$B$29,MAX(0,(Inputs!$B$3-100)*3)+(Inputs!$B$28+1)+Inputs!$B$29)))</f>
        <v/>
      </c>
      <c r="E852">
        <f>INDEX(FactorTable!$B$2:$Y$301, MATCH(ROUND(MIN(300,MAX(1,D852)),0), FactorTable!$A$2:$A$301,0), Skills!M28+1)</f>
        <v/>
      </c>
      <c r="F852">
        <f>IF(Skills!N28=TRUE,(Skills!L28/10)*(E852/1000),Skills!L28/10)+Skills!O28</f>
        <v/>
      </c>
      <c r="G852">
        <f>Calc!G28</f>
        <v/>
      </c>
      <c r="H852">
        <f>Calc!H28</f>
        <v/>
      </c>
      <c r="I852">
        <f>IF(Skills!X28&lt;&gt;"",1+(Skills!X28/10)*(Z827/1000)/100,1)</f>
        <v/>
      </c>
      <c r="J852">
        <f>((Inputs!$B$6*(1+Inputs!$B$7/100))+(((Inputs!$B$12*(1+Inputs!$B$13/100))-(Inputs!$B$12*(1+Inputs!$B$13/100)))+0.25*(Inputs!$B$14-Inputs!$B$14))*(1+Inputs!$B$7/100))*(F852/100)</f>
        <v/>
      </c>
      <c r="K852">
        <f>J852*(1+((Inputs!$B$12*(1+Inputs!$B$13/100))*0.01+Inputs!$B$14*0.0025)/100)*(1+Inputs!$B$15/100)*(1+Inputs!$B$16/100)*(5000/(6000+Inputs!$B$42*(1-Inputs!$B$19/100)))*(1+Inputs!$B$24/100)*(1+F847/100)*(1+IF(Inputs!$B$3&gt;=120,F850,0)/100)^5*(1+(IF(Skills!A28="BASIC_ATTACK",Inputs!$B$17,Inputs!$B$18+IF(Inputs!$B$3&gt;=125,F851*5,0)))/100)*(B854*B855*B856*I852)</f>
        <v/>
      </c>
      <c r="L852">
        <f>K852*(MIN(Inputs!$B$22+(F846-Calc!F22),Inputs!$B$23)/100+Inputs!$B$23/100)/2</f>
        <v/>
      </c>
      <c r="M852">
        <f>L852*(1+(Inputs!$B$10+(F845-Calc!F21))/100)</f>
        <v/>
      </c>
      <c r="N852">
        <f>L852*(1-MIN(Inputs!$B$9+(F844-Calc!F20),100)/100)+M852*(MIN(Inputs!$B$9+(F844-Calc!F20),100)/100)</f>
        <v/>
      </c>
      <c r="O852">
        <f>(1-Summary!$B$56)*S852+Summary!$B$56*U852</f>
        <v/>
      </c>
      <c r="P852">
        <f>IF(B865=0,0,O852/B865)</f>
        <v/>
      </c>
      <c r="Q852">
        <f>IFERROR(1/IF(Inputs!$B$38="pvp",15,MAX(0.1,Skills!E28-IF(Skills!F28=TRUE,Inputs!$B$32,0))),0)</f>
        <v/>
      </c>
      <c r="R852">
        <f>IF(AND(Inputs!$B$38&lt;&gt;"pvp",Inputs!$B$43&gt;0),IF(MAX(0,Inputs!$B$43-B862)&lt;=0,0,(INT(MAX(0,Inputs!$B$43-B862)/IF(Inputs!$B$38="pvp",15,MAX(0.1,Skills!E28-IF(Skills!F28=TRUE,Inputs!$B$32,0))))+1)),0)</f>
        <v/>
      </c>
      <c r="S852">
        <f>IF(C852,(H852*N852*IF(AND(Inputs!$B$38&lt;&gt;"pvp",Inputs!$B$43&gt;0),((Skills!G28*((R852-1)*IF(Skills!H28&gt;0,Skills!I28/Skills!H28,1)+IF(Skills!H28&gt;0,MIN(Skills!I28,MAX(0,MAX(0,Inputs!$B$43-B862)-((R852-1)*IF(Inputs!$B$38="pvp",15,MAX(0.1,Skills!E28-IF(Skills!F28=TRUE,Inputs!$B$32,0))))))/Skills!H28,1)))/Inputs!$B$43),G852*Q852))*IF(Inputs!$B$38="pvp",1,1+(Inputs!$B$20+Skills!P28)/100),0)</f>
        <v/>
      </c>
      <c r="U852">
        <f>IF(C852,(H852*N852*IF(AND(Inputs!$B$38&lt;&gt;"pvp",Inputs!$B$43&gt;0),((Skills!G28*((R852-1)*IF(Skills!H28&gt;0,Skills!I28/Skills!H28,1)+IF(Skills!H28&gt;0,MIN(Skills!I28,MAX(0,MAX(0,Inputs!$B$43-B862)-((R852-1)*IF(Inputs!$B$38="pvp",15,MAX(0.1,Skills!E28-IF(Skills!F28=TRUE,Inputs!$B$32,0))))))/Skills!H28,1)))/Inputs!$B$43),G852*Q852))*IF(Inputs!$B$38="pvp",1,(1+(Inputs!$B$21+Skills!Q28)/100)*(MIN(Skills!R28,Inputs!$B$37))),0)</f>
        <v/>
      </c>
    </row>
    <row r="854">
      <c r="A854" t="inlineStr">
        <is>
          <t>Burning Magic Multiplier</t>
        </is>
      </c>
      <c r="B854">
        <f>1+(F835*Skills!Z11)/100</f>
        <v/>
      </c>
    </row>
    <row r="855">
      <c r="A855" t="inlineStr">
        <is>
          <t>Elemental Decrease Multiplier (always-on)</t>
        </is>
      </c>
      <c r="B855">
        <f>1+F836/100</f>
        <v/>
      </c>
    </row>
    <row r="856">
      <c r="A856" t="inlineStr">
        <is>
          <t>Average Buff Multiplier (Magic Guard + Meditation, summed; then Infinity)</t>
        </is>
      </c>
      <c r="B856">
        <f>(1+(F830*IF(AND(Inputs!$B$38&lt;&gt;"pvp",Inputs!$B$43&gt;0),(((R830-1)*(Skills!T6*(1+(Inputs!$B$34+IF(Inputs!$B$3&gt;=117,F849,0))/100))+MIN((Skills!T6*(1+(Inputs!$B$34+IF(Inputs!$B$3&gt;=117,F849,0))/100)),MAX(0,Inputs!$B$43-((R830-1)*Skills!E6))))/Inputs!$B$43),IF(Inputs!$B$38="pvp",MIN((Skills!T6*(1+(Inputs!$B$34+IF(Inputs!$B$3&gt;=117,F849,0))/100)),15)/15,(Skills!T6*(1+(Inputs!$B$34+IF(Inputs!$B$3&gt;=117,F849,0))/100))/Skills!E6))+F841*IF(AND(Inputs!$B$38&lt;&gt;"pvp",Inputs!$B$43&gt;0),(((R841-1)*(Skills!T17*(1+(Inputs!$B$34+IF(Inputs!$B$3&gt;=117,F849,0))/100))+MIN((Skills!T17*(1+(Inputs!$B$34+IF(Inputs!$B$3&gt;=117,F849,0))/100)),MAX(0,Inputs!$B$43-((R841-1)*Skills!E17))))/Inputs!$B$43),IF(Inputs!$B$38="pvp",MIN((Skills!T17*(1+(Inputs!$B$34+IF(Inputs!$B$3&gt;=117,F849,0))/100)),15)/15,(Skills!T17*(1+(Inputs!$B$34+IF(Inputs!$B$3&gt;=117,F849,0))/100))/Skills!E17)))/100)*IF(C843=TRUE,(1+F843*IF(AND(Inputs!$B$38&lt;&gt;"pvp",Inputs!$B$43&gt;0),(((R843-1)*(Skills!T19*(1+(Inputs!$B$34+IF(Inputs!$B$3&gt;=117,F849,0))/100))+MIN((Skills!T19*(1+(Inputs!$B$34+IF(Inputs!$B$3&gt;=117,F849,0))/100)),MAX(0,Inputs!$B$43-((R843-1)*Skills!E19))))/Inputs!$B$43),IF(Inputs!$B$38="pvp",MIN((Skills!T19*(1+(Inputs!$B$34+IF(Inputs!$B$3&gt;=117,F849,0))/100)),15)/15,(Skills!T19*(1+(Inputs!$B$34+IF(Inputs!$B$3&gt;=117,F849,0))/100))/Skills!E19))/100),1)</f>
        <v/>
      </c>
    </row>
    <row r="857">
      <c r="A857" t="inlineStr">
        <is>
          <t>Attack Speed Buff Bonus % (Nimble Feet, averaged)</t>
        </is>
      </c>
      <c r="B857">
        <f>F842*IF(AND(Inputs!$B$38&lt;&gt;"pvp",Inputs!$B$43&gt;0),(((R842-1)*(Skills!T18*(1+(Inputs!$B$34+IF(Inputs!$B$3&gt;=117,F849,0))/100))+MIN((Skills!T18*(1+(Inputs!$B$34+IF(Inputs!$B$3&gt;=117,F849,0))/100)),MAX(0,Inputs!$B$43-((R842-1)*Skills!E18))))/Inputs!$B$43),IF(Inputs!$B$38="pvp",MIN((Skills!T18*(1+(Inputs!$B$34+IF(Inputs!$B$3&gt;=117,F849,0))/100)),15)/15,(Skills!T18*(1+(Inputs!$B$34+IF(Inputs!$B$3&gt;=117,F849,0))/100))/Skills!E18))</f>
        <v/>
      </c>
    </row>
    <row r="858">
      <c r="A858" t="inlineStr">
        <is>
          <t>Actions Per Second</t>
        </is>
      </c>
      <c r="B858">
        <f>1+MIN(150,150*(1-(1-Inputs!$B$11/150)*(1-B857/150)))/100</f>
        <v/>
      </c>
    </row>
    <row r="859">
      <c r="A859" t="inlineStr">
        <is>
          <t>Skill + Buff Cast Rate</t>
        </is>
      </c>
      <c r="B859">
        <f>IF(AND(Inputs!$B$38&lt;&gt;"pvp",Inputs!$B$43&gt;0),SUMPRODUCT((Skills!F2:F28=TRUE)*(C826:C852=TRUE)*R826:R852)/Inputs!$B$43,SUMPRODUCT((Skills!F2:F28=TRUE)*(C826:C852=TRUE)*Q826:Q852))</f>
        <v/>
      </c>
    </row>
    <row r="860">
      <c r="A860" t="inlineStr">
        <is>
          <t>Basic Attacks Per Second</t>
        </is>
      </c>
      <c r="B860">
        <f>MAX(0,B858-B859)</f>
        <v/>
      </c>
    </row>
    <row r="861">
      <c r="A861" t="inlineStr">
        <is>
          <t>Meteor Proc — combined trigger cast rate</t>
        </is>
      </c>
      <c r="B861">
        <f>IF(AND(Inputs!$B$38&lt;&gt;"pvp",Inputs!$B$43&gt;0),SUMPRODUCT((Skills!V2:V28=TRUE)*(C826:C852=TRUE)*R826:R852*Skills!W2:W28)/Inputs!$B$43,SUMPRODUCT((Skills!V2:V28=TRUE)*(C826:C852=TRUE)*Q826:Q852*Skills!W2:W28))+B860</f>
        <v/>
      </c>
    </row>
    <row r="862">
      <c r="A862" t="inlineStr">
        <is>
          <t>Buff-Casting Startup Delay (s, fixed-duration only)</t>
        </is>
      </c>
      <c r="B862">
        <f>IF(AND(Inputs!$B$38&lt;&gt;"pvp",Inputs!$B$43&gt;0),SUMPRODUCT((Skills!T2:T28&gt;0)*(Skills!F2:F28=TRUE)*(C826:C852=TRUE))/B858,0)</f>
        <v/>
      </c>
    </row>
    <row r="863">
      <c r="A863" t="inlineStr">
        <is>
          <t>Boss-Only Total DPS (this block's swept value)</t>
        </is>
      </c>
      <c r="B863">
        <f>SUM(S826:S852)</f>
        <v/>
      </c>
    </row>
    <row r="864">
      <c r="A864" t="inlineStr">
        <is>
          <t>Normal-Only Total DPS (this block's swept value)</t>
        </is>
      </c>
      <c r="B864">
        <f>SUM(U826:U852)</f>
        <v/>
      </c>
    </row>
    <row r="865">
      <c r="A865" s="5" t="inlineStr">
        <is>
          <t>TOTAL DPS</t>
        </is>
      </c>
      <c r="B865" s="5">
        <f>SUM(O826:O852)</f>
        <v/>
      </c>
    </row>
    <row r="868">
      <c r="A868" s="5" t="inlineStr">
        <is>
          <t>Stat: Skill Level Bonus — All Skills</t>
        </is>
      </c>
    </row>
    <row r="869">
      <c r="A869" s="9" t="inlineStr">
        <is>
          <t>Key</t>
        </is>
      </c>
      <c r="B869" s="9" t="inlineStr">
        <is>
          <t>Name</t>
        </is>
      </c>
      <c r="C869" s="9" t="inlineStr">
        <is>
          <t>Unlocked</t>
        </is>
      </c>
      <c r="D869" s="9" t="inlineStr">
        <is>
          <t>InputLevel</t>
        </is>
      </c>
      <c r="E869" s="9" t="inlineStr">
        <is>
          <t>Factor</t>
        </is>
      </c>
      <c r="F869" s="9" t="inlineStr">
        <is>
          <t>CoefficientPercent</t>
        </is>
      </c>
      <c r="G869" s="9" t="inlineStr">
        <is>
          <t>EffectiveHits</t>
        </is>
      </c>
      <c r="H869" s="9" t="inlineStr">
        <is>
          <t>ProcProbability</t>
        </is>
      </c>
      <c r="I869" s="9" t="inlineStr">
        <is>
          <t>MapleHeroMultiplier</t>
        </is>
      </c>
      <c r="J869" s="9" t="inlineStr">
        <is>
          <t>BaseDamage</t>
        </is>
      </c>
      <c r="K869" s="9" t="inlineStr">
        <is>
          <t>BaseHitDamage</t>
        </is>
      </c>
      <c r="L869" s="9" t="inlineStr">
        <is>
          <t>NonCritAvg</t>
        </is>
      </c>
      <c r="M869" s="9" t="inlineStr">
        <is>
          <t>CritAvg</t>
        </is>
      </c>
      <c r="N869" s="9" t="inlineStr">
        <is>
          <t>ExpectedDamage(perHit)</t>
        </is>
      </c>
      <c r="O869" s="9" t="inlineStr">
        <is>
          <t>DPS</t>
        </is>
      </c>
      <c r="P869" s="9" t="inlineStr">
        <is>
          <t>% of Total</t>
        </is>
      </c>
      <c r="R869" t="inlineStr">
        <is>
          <t>helpers</t>
        </is>
      </c>
    </row>
    <row r="870">
      <c r="A870">
        <f>Skills!A2</f>
        <v/>
      </c>
      <c r="B870">
        <f>Skills!B2</f>
        <v/>
      </c>
      <c r="C870">
        <f>TRUE</f>
        <v/>
      </c>
      <c r="D870" t="inlineStr"/>
      <c r="E870" t="inlineStr"/>
      <c r="F870">
        <f>T872+Skills!O2</f>
        <v/>
      </c>
      <c r="G870">
        <f>Calc!G2</f>
        <v/>
      </c>
      <c r="H870">
        <f>Calc!H2</f>
        <v/>
      </c>
      <c r="I870">
        <f>IF(Skills!X2&lt;&gt;"",1+(Skills!X2/10)*(Z871/1000)/100,1)</f>
        <v/>
      </c>
      <c r="J870">
        <f>((Inputs!$B$6*(1+Inputs!$B$7/100))+(((Inputs!$B$12*(1+Inputs!$B$13/100))-(Inputs!$B$12*(1+Inputs!$B$13/100)))+0.25*(Inputs!$B$14-Inputs!$B$14))*(1+Inputs!$B$7/100))*(F870/100)</f>
        <v/>
      </c>
      <c r="K870">
        <f>J870*(1+((Inputs!$B$12*(1+Inputs!$B$13/100))*0.01+Inputs!$B$14*0.0025)/100)*(1+Inputs!$B$15/100)*(1+Inputs!$B$16/100)*(5000/(6000+Inputs!$B$42*(1-Inputs!$B$19/100)))*(1+Inputs!$B$24/100)*(1+F891/100)*(1+IF(Inputs!$B$3&gt;=120,F894,0)/100)^5*(1+(IF(Skills!A2="BASIC_ATTACK",Inputs!$B$17,Inputs!$B$18+IF(Inputs!$B$3&gt;=125,F895*5,0)))/100)*(B898*B899*B900*I870)</f>
        <v/>
      </c>
      <c r="L870">
        <f>K870*(MIN(Inputs!$B$22+(F890-Calc!F22),Inputs!$B$23)/100+Inputs!$B$23/100)/2</f>
        <v/>
      </c>
      <c r="M870">
        <f>L870*(1+(Inputs!$B$10+(F889-Calc!F21))/100)</f>
        <v/>
      </c>
      <c r="N870">
        <f>L870*(1-MIN(Inputs!$B$9+(F888-Calc!F20),100)/100)+M870*(MIN(Inputs!$B$9+(F888-Calc!F20),100)/100)</f>
        <v/>
      </c>
      <c r="O870">
        <f>(1-Summary!$B$56)*S870+Summary!$B$56*U870</f>
        <v/>
      </c>
      <c r="P870">
        <f>IF(B909=0,0,O870/B909)</f>
        <v/>
      </c>
      <c r="Q870">
        <f>IFERROR(1/IF(Inputs!$B$38="pvp",15,MAX(0.1,Skills!E2-IF(Skills!F2=TRUE,Inputs!$B$32,0))),0)</f>
        <v/>
      </c>
      <c r="R870" t="n">
        <v>0</v>
      </c>
      <c r="S870">
        <f>(Skills!G2*N870*B904)*IF(Inputs!$B$38="pvp",1,1+(Inputs!$B$20+Skills!P2)/100)</f>
        <v/>
      </c>
      <c r="T870">
        <f>MAX(0,(Inputs!$B$3-100)*3)+Inputs!$B$28+(Inputs!$B$29+1)</f>
        <v/>
      </c>
      <c r="U870">
        <f>(Skills!G2*N870*B904)*IF(Inputs!$B$38="pvp",1,(1+(Inputs!$B$21+Skills!Q2)/100)*(MIN((6+Inputs!$B$33+IF(Inputs!$B$3&gt;=136,1,0)),Inputs!$B$37)))</f>
        <v/>
      </c>
      <c r="Z870">
        <f>MAX(0,(Inputs!$B$3-100)*3)+Inputs!$B$28+(Inputs!$B$29+1)</f>
        <v/>
      </c>
    </row>
    <row r="871">
      <c r="A871">
        <f>Skills!A3</f>
        <v/>
      </c>
      <c r="B871">
        <f>Skills!B3</f>
        <v/>
      </c>
      <c r="C871">
        <f>TRUE</f>
        <v/>
      </c>
      <c r="D871">
        <f>IF(Skills!C3=1,60+Inputs!$B$25+(Inputs!$B$29+1),IF(Skills!C3=2,90+Inputs!$B$26+(Inputs!$B$29+1),IF(Skills!C3=3,120+Inputs!$B$27+(Inputs!$B$29+1),MAX(0,(Inputs!$B$3-100)*3)+Inputs!$B$28+(Inputs!$B$29+1))))</f>
        <v/>
      </c>
      <c r="E871">
        <f>INDEX(FactorTable!$B$2:$Y$301, MATCH(ROUND(MIN(300,MAX(1,D871)),0), FactorTable!$A$2:$A$301,0), Skills!M3+1)</f>
        <v/>
      </c>
      <c r="F871">
        <f>IF(Skills!N3=TRUE,(Skills!L3/10)*(E871/1000),Skills!L3/10)+Skills!O3</f>
        <v/>
      </c>
      <c r="G871">
        <f>Calc!G3</f>
        <v/>
      </c>
      <c r="H871">
        <f>Calc!H3</f>
        <v/>
      </c>
      <c r="I871">
        <f>IF(Skills!X3&lt;&gt;"",1+(Skills!X3/10)*(Z871/1000)/100,1)</f>
        <v/>
      </c>
      <c r="J871">
        <f>((Inputs!$B$6*(1+Inputs!$B$7/100))+(((Inputs!$B$12*(1+Inputs!$B$13/100))-(Inputs!$B$12*(1+Inputs!$B$13/100)))+0.25*(Inputs!$B$14-Inputs!$B$14))*(1+Inputs!$B$7/100))*(F871/100)</f>
        <v/>
      </c>
      <c r="K871">
        <f>J871*(1+((Inputs!$B$12*(1+Inputs!$B$13/100))*0.01+Inputs!$B$14*0.0025)/100)*(1+Inputs!$B$15/100)*(1+Inputs!$B$16/100)*(5000/(6000+Inputs!$B$42*(1-Inputs!$B$19/100)))*(1+Inputs!$B$24/100)*(1+F891/100)*(1+IF(Inputs!$B$3&gt;=120,F894,0)/100)^5*(1+(IF(Skills!A3="BASIC_ATTACK",Inputs!$B$17,Inputs!$B$18+IF(Inputs!$B$3&gt;=125,F895*5,0)))/100)*(B898*B899*B900*I871)</f>
        <v/>
      </c>
      <c r="L871">
        <f>K871*(MIN(Inputs!$B$22+(F890-Calc!F22),Inputs!$B$23)/100+Inputs!$B$23/100)/2</f>
        <v/>
      </c>
      <c r="M871">
        <f>L871*(1+(Inputs!$B$10+(F889-Calc!F21))/100)</f>
        <v/>
      </c>
      <c r="N871">
        <f>L871*(1-MIN(Inputs!$B$9+(F888-Calc!F20),100)/100)+M871*(MIN(Inputs!$B$9+(F888-Calc!F20),100)/100)</f>
        <v/>
      </c>
      <c r="O871">
        <f>(1-Summary!$B$56)*S871+Summary!$B$56*U871</f>
        <v/>
      </c>
      <c r="P871">
        <f>IF(B909=0,0,O871/B909)</f>
        <v/>
      </c>
      <c r="Q871">
        <f>IFERROR(1/IF(Inputs!$B$38="pvp",15,MAX(0.1,Skills!E3-IF(Skills!F3=TRUE,Inputs!$B$32,0))),0)</f>
        <v/>
      </c>
      <c r="R871">
        <f>IF(AND(Inputs!$B$38&lt;&gt;"pvp",Inputs!$B$43&gt;0),IF(MAX(0,Inputs!$B$43-B906)&lt;=0,0,(INT(MAX(0,Inputs!$B$43-B906)/IF(Inputs!$B$38="pvp",15,MAX(0.1,Skills!E3-IF(Skills!F3=TRUE,Inputs!$B$32,0))))+1)),0)</f>
        <v/>
      </c>
      <c r="S871">
        <f>IF(C871,(H871*N871*IF(AND(Inputs!$B$38&lt;&gt;"pvp",Inputs!$B$43&gt;0),((Skills!G3*((R871-1)*IF(Skills!H3&gt;0,Skills!I3/Skills!H3,1)+IF(Skills!H3&gt;0,MIN(Skills!I3,MAX(0,MAX(0,Inputs!$B$43-B906)-((R871-1)*IF(Inputs!$B$38="pvp",15,MAX(0.1,Skills!E3-IF(Skills!F3=TRUE,Inputs!$B$32,0))))))/Skills!H3,1)))/Inputs!$B$43),G871*Q871))*IF(Inputs!$B$38="pvp",1,1+(Inputs!$B$20+Skills!P3)/100),0)</f>
        <v/>
      </c>
      <c r="T871">
        <f>INDEX(FactorTable!$B$2:$Y$301, MATCH(ROUND(MIN(300,MAX(1,T870)),0), FactorTable!$A$2:$A$301,0), 22)</f>
        <v/>
      </c>
      <c r="U871">
        <f>IF(C871,(H871*N871*IF(AND(Inputs!$B$38&lt;&gt;"pvp",Inputs!$B$43&gt;0),((Skills!G3*((R871-1)*IF(Skills!H3&gt;0,Skills!I3/Skills!H3,1)+IF(Skills!H3&gt;0,MIN(Skills!I3,MAX(0,MAX(0,Inputs!$B$43-B906)-((R871-1)*IF(Inputs!$B$38="pvp",15,MAX(0.1,Skills!E3-IF(Skills!F3=TRUE,Inputs!$B$32,0))))))/Skills!H3,1)))/Inputs!$B$43),G871*Q871))*IF(Inputs!$B$38="pvp",1,(1+(Inputs!$B$21+Skills!Q3)/100)*(MIN(Skills!R3,Inputs!$B$37))),0)</f>
        <v/>
      </c>
      <c r="Z871">
        <f>INDEX(FactorTable!$B$2:$Y$301, MATCH(ROUND(MIN(300,MAX(1,Z870)),0), FactorTable!$A$2:$A$301,0), 24)</f>
        <v/>
      </c>
    </row>
    <row r="872">
      <c r="A872">
        <f>Skills!A4</f>
        <v/>
      </c>
      <c r="B872">
        <f>Skills!B4</f>
        <v/>
      </c>
      <c r="C872">
        <f>TRUE</f>
        <v/>
      </c>
      <c r="D872">
        <f>IF(Skills!C4=1,60+Inputs!$B$25+(Inputs!$B$29+1),IF(Skills!C4=2,90+Inputs!$B$26+(Inputs!$B$29+1),IF(Skills!C4=3,120+Inputs!$B$27+(Inputs!$B$29+1),MAX(0,(Inputs!$B$3-100)*3)+Inputs!$B$28+(Inputs!$B$29+1))))</f>
        <v/>
      </c>
      <c r="E872">
        <f>INDEX(FactorTable!$B$2:$Y$301, MATCH(ROUND(MIN(300,MAX(1,D872)),0), FactorTable!$A$2:$A$301,0), Skills!M4+1)</f>
        <v/>
      </c>
      <c r="F872">
        <f>IF(Skills!N4=TRUE,(Skills!L4/10)*(E872/1000),Skills!L4/10)+Skills!O4</f>
        <v/>
      </c>
      <c r="G872">
        <f>Calc!G4</f>
        <v/>
      </c>
      <c r="H872">
        <f>Calc!H4</f>
        <v/>
      </c>
      <c r="I872">
        <f>IF(Skills!X4&lt;&gt;"",1+(Skills!X4/10)*(Z871/1000)/100,1)</f>
        <v/>
      </c>
      <c r="J872">
        <f>((Inputs!$B$6*(1+Inputs!$B$7/100))+(((Inputs!$B$12*(1+Inputs!$B$13/100))-(Inputs!$B$12*(1+Inputs!$B$13/100)))+0.25*(Inputs!$B$14-Inputs!$B$14))*(1+Inputs!$B$7/100))*(F872/100)</f>
        <v/>
      </c>
      <c r="K872">
        <f>J872*(1+((Inputs!$B$12*(1+Inputs!$B$13/100))*0.01+Inputs!$B$14*0.0025)/100)*(1+Inputs!$B$15/100)*(1+Inputs!$B$16/100)*(5000/(6000+Inputs!$B$42*(1-Inputs!$B$19/100)))*(1+Inputs!$B$24/100)*(1+F891/100)*(1+IF(Inputs!$B$3&gt;=120,F894,0)/100)^5*(1+(IF(Skills!A4="BASIC_ATTACK",Inputs!$B$17,Inputs!$B$18+IF(Inputs!$B$3&gt;=125,F895*5,0)))/100)*(B898*B899*B900*I872)</f>
        <v/>
      </c>
      <c r="L872">
        <f>K872*(MIN(Inputs!$B$22+(F890-Calc!F22),Inputs!$B$23)/100+Inputs!$B$23/100)/2</f>
        <v/>
      </c>
      <c r="M872">
        <f>L872*(1+(Inputs!$B$10+(F889-Calc!F21))/100)</f>
        <v/>
      </c>
      <c r="N872">
        <f>L872*(1-MIN(Inputs!$B$9+(F888-Calc!F20),100)/100)+M872*(MIN(Inputs!$B$9+(F888-Calc!F20),100)/100)</f>
        <v/>
      </c>
      <c r="O872">
        <f>(1-Summary!$B$56)*S872+Summary!$B$56*U872</f>
        <v/>
      </c>
      <c r="P872">
        <f>IF(B909=0,0,O872/B909)</f>
        <v/>
      </c>
      <c r="Q872">
        <f>IFERROR(1/IF(Inputs!$B$38="pvp",15,MAX(0.1,Skills!E4-IF(Skills!F4=TRUE,Inputs!$B$32,0))),0)</f>
        <v/>
      </c>
      <c r="R872">
        <f>IF(AND(Inputs!$B$38&lt;&gt;"pvp",Inputs!$B$43&gt;0),IF(MAX(0,Inputs!$B$43-B906)&lt;=0,0,(INT(MAX(0,Inputs!$B$43-B906)/IF(Inputs!$B$38="pvp",15,MAX(0.1,Skills!E4-IF(Skills!F4=TRUE,Inputs!$B$32,0))))+1)),0)</f>
        <v/>
      </c>
      <c r="S872">
        <f>IF(C872,(H872*N872*IF(AND(Inputs!$B$38&lt;&gt;"pvp",Inputs!$B$43&gt;0),((Skills!G4*((R872-1)*IF(Skills!H4&gt;0,Skills!I4/Skills!H4,1)+IF(Skills!H4&gt;0,MIN(Skills!I4,MAX(0,MAX(0,Inputs!$B$43-B906)-((R872-1)*IF(Inputs!$B$38="pvp",15,MAX(0.1,Skills!E4-IF(Skills!F4=TRUE,Inputs!$B$32,0))))))/Skills!H4,1)))/Inputs!$B$43),G872*Q872))*IF(Inputs!$B$38="pvp",1,1+(Inputs!$B$20+Skills!P4)/100),0)</f>
        <v/>
      </c>
      <c r="T872">
        <f>290*T871/1000</f>
        <v/>
      </c>
      <c r="U872">
        <f>IF(C872,(H872*N872*IF(AND(Inputs!$B$38&lt;&gt;"pvp",Inputs!$B$43&gt;0),((Skills!G4*((R872-1)*IF(Skills!H4&gt;0,Skills!I4/Skills!H4,1)+IF(Skills!H4&gt;0,MIN(Skills!I4,MAX(0,MAX(0,Inputs!$B$43-B906)-((R872-1)*IF(Inputs!$B$38="pvp",15,MAX(0.1,Skills!E4-IF(Skills!F4=TRUE,Inputs!$B$32,0))))))/Skills!H4,1)))/Inputs!$B$43),G872*Q872))*IF(Inputs!$B$38="pvp",1,(1+(Inputs!$B$21+Skills!Q4)/100)*(MIN(Skills!R4,Inputs!$B$37))),0)</f>
        <v/>
      </c>
    </row>
    <row r="873">
      <c r="A873">
        <f>Skills!A5</f>
        <v/>
      </c>
      <c r="B873">
        <f>Skills!B5</f>
        <v/>
      </c>
      <c r="C873">
        <f>TRUE</f>
        <v/>
      </c>
      <c r="D873">
        <f>IF(Skills!C5=1,60+Inputs!$B$25+(Inputs!$B$29+1),IF(Skills!C5=2,90+Inputs!$B$26+(Inputs!$B$29+1),IF(Skills!C5=3,120+Inputs!$B$27+(Inputs!$B$29+1),MAX(0,(Inputs!$B$3-100)*3)+Inputs!$B$28+(Inputs!$B$29+1))))</f>
        <v/>
      </c>
      <c r="E873">
        <f>INDEX(FactorTable!$B$2:$Y$301, MATCH(ROUND(MIN(300,MAX(1,D873)),0), FactorTable!$A$2:$A$301,0), Skills!M5+1)</f>
        <v/>
      </c>
      <c r="F873">
        <f>IF(Skills!N5=TRUE,(Skills!L5/10)*(E873/1000),Skills!L5/10)+Skills!O5</f>
        <v/>
      </c>
      <c r="G873">
        <f>Calc!G5</f>
        <v/>
      </c>
      <c r="H873">
        <f>Calc!H5</f>
        <v/>
      </c>
      <c r="I873">
        <f>IF(Skills!X5&lt;&gt;"",1+(Skills!X5/10)*(Z871/1000)/100,1)</f>
        <v/>
      </c>
      <c r="J873">
        <f>((Inputs!$B$6*(1+Inputs!$B$7/100))+(((Inputs!$B$12*(1+Inputs!$B$13/100))-(Inputs!$B$12*(1+Inputs!$B$13/100)))+0.25*(Inputs!$B$14-Inputs!$B$14))*(1+Inputs!$B$7/100))*(F873/100)</f>
        <v/>
      </c>
      <c r="K873">
        <f>J873*(1+((Inputs!$B$12*(1+Inputs!$B$13/100))*0.01+Inputs!$B$14*0.0025)/100)*(1+Inputs!$B$15/100)*(1+Inputs!$B$16/100)*(5000/(6000+Inputs!$B$42*(1-Inputs!$B$19/100)))*(1+Inputs!$B$24/100)*(1+F891/100)*(1+IF(Inputs!$B$3&gt;=120,F894,0)/100)^5*(1+(IF(Skills!A5="BASIC_ATTACK",Inputs!$B$17,Inputs!$B$18+IF(Inputs!$B$3&gt;=125,F895*5,0)))/100)*(B898*B899*B900*I873)</f>
        <v/>
      </c>
      <c r="L873">
        <f>K873*(MIN(Inputs!$B$22+(F890-Calc!F22),Inputs!$B$23)/100+Inputs!$B$23/100)/2</f>
        <v/>
      </c>
      <c r="M873">
        <f>L873*(1+(Inputs!$B$10+(F889-Calc!F21))/100)</f>
        <v/>
      </c>
      <c r="N873">
        <f>L873*(1-MIN(Inputs!$B$9+(F888-Calc!F20),100)/100)+M873*(MIN(Inputs!$B$9+(F888-Calc!F20),100)/100)</f>
        <v/>
      </c>
      <c r="O873">
        <f>(1-Summary!$B$56)*S873+Summary!$B$56*U873</f>
        <v/>
      </c>
      <c r="P873">
        <f>IF(B909=0,0,O873/B909)</f>
        <v/>
      </c>
      <c r="Q873">
        <f>IFERROR(1/IF(Inputs!$B$38="pvp",15,MAX(0.1,Skills!E5-IF(Skills!F5=TRUE,Inputs!$B$32,0))),0)</f>
        <v/>
      </c>
      <c r="R873">
        <f>IF(AND(Inputs!$B$38&lt;&gt;"pvp",Inputs!$B$43&gt;0),IF(MAX(0,Inputs!$B$43-B906)&lt;=0,0,(INT(MAX(0,Inputs!$B$43-B906)/IF(Inputs!$B$38="pvp",15,MAX(0.1,Skills!E5-IF(Skills!F5=TRUE,Inputs!$B$32,0))))+1)),0)</f>
        <v/>
      </c>
      <c r="S873">
        <f>IF(C873,(H873*N873*IF(AND(Inputs!$B$38&lt;&gt;"pvp",Inputs!$B$43&gt;0),((Skills!G5*((R873-1)*IF(Skills!H5&gt;0,Skills!I5/Skills!H5,1)+IF(Skills!H5&gt;0,MIN(Skills!I5,MAX(0,MAX(0,Inputs!$B$43-B906)-((R873-1)*IF(Inputs!$B$38="pvp",15,MAX(0.1,Skills!E5-IF(Skills!F5=TRUE,Inputs!$B$32,0))))))/Skills!H5,1)))/Inputs!$B$43),G873*Q873))*IF(Inputs!$B$38="pvp",1,1+(Inputs!$B$20+Skills!P5)/100),0)</f>
        <v/>
      </c>
      <c r="U873">
        <f>IF(C873,(H873*N873*IF(AND(Inputs!$B$38&lt;&gt;"pvp",Inputs!$B$43&gt;0),((Skills!G5*((R873-1)*IF(Skills!H5&gt;0,Skills!I5/Skills!H5,1)+IF(Skills!H5&gt;0,MIN(Skills!I5,MAX(0,MAX(0,Inputs!$B$43-B906)-((R873-1)*IF(Inputs!$B$38="pvp",15,MAX(0.1,Skills!E5-IF(Skills!F5=TRUE,Inputs!$B$32,0))))))/Skills!H5,1)))/Inputs!$B$43),G873*Q873))*IF(Inputs!$B$38="pvp",1,(1+(Inputs!$B$21+Skills!Q5)/100)*(MIN(Skills!R5,Inputs!$B$37))),0)</f>
        <v/>
      </c>
    </row>
    <row r="874">
      <c r="A874">
        <f>Skills!A6</f>
        <v/>
      </c>
      <c r="B874">
        <f>Skills!B6</f>
        <v/>
      </c>
      <c r="C874">
        <f>TRUE</f>
        <v/>
      </c>
      <c r="D874">
        <f>IF(Skills!C6=1,60+Inputs!$B$25+(Inputs!$B$29+1),IF(Skills!C6=2,90+Inputs!$B$26+(Inputs!$B$29+1),IF(Skills!C6=3,120+Inputs!$B$27+(Inputs!$B$29+1),MAX(0,(Inputs!$B$3-100)*3)+Inputs!$B$28+(Inputs!$B$29+1))))</f>
        <v/>
      </c>
      <c r="E874">
        <f>INDEX(FactorTable!$B$2:$Y$301, MATCH(ROUND(MIN(300,MAX(1,D874)),0), FactorTable!$A$2:$A$301,0), Skills!M6+1)</f>
        <v/>
      </c>
      <c r="F874">
        <f>IF(Skills!N6=TRUE,(Skills!L6/10)*(E874/1000),Skills!L6/10)+Skills!O6</f>
        <v/>
      </c>
      <c r="G874">
        <f>Calc!G6</f>
        <v/>
      </c>
      <c r="H874">
        <f>Calc!H6</f>
        <v/>
      </c>
      <c r="I874">
        <f>IF(Skills!X6&lt;&gt;"",1+(Skills!X6/10)*(Z871/1000)/100,1)</f>
        <v/>
      </c>
      <c r="J874" t="inlineStr"/>
      <c r="K874" t="inlineStr"/>
      <c r="L874" t="inlineStr"/>
      <c r="M874" t="inlineStr"/>
      <c r="N874" t="inlineStr"/>
      <c r="O874">
        <f>(1-Summary!$B$56)*S874+Summary!$B$56*U874</f>
        <v/>
      </c>
      <c r="P874">
        <f>IF(B909=0,0,O874/B909)</f>
        <v/>
      </c>
      <c r="Q874">
        <f>IFERROR(1/IF(Inputs!$B$38="pvp",15,MAX(0.1,Skills!E6-IF(Skills!F6=TRUE,Inputs!$B$32,0))),0)</f>
        <v/>
      </c>
      <c r="R874">
        <f>IF(AND(Inputs!$B$38&lt;&gt;"pvp",Inputs!$B$43&gt;0),IF(Inputs!$B$43&lt;=0,0,(INT(Inputs!$B$43/IF(Inputs!$B$38="pvp",15,MAX(0.1,Skills!E6-IF(Skills!F6=TRUE,Inputs!$B$32,0))))+1)),0)</f>
        <v/>
      </c>
      <c r="S874" t="n">
        <v>0</v>
      </c>
      <c r="U874" t="n">
        <v>0</v>
      </c>
    </row>
    <row r="875">
      <c r="A875">
        <f>Skills!A7</f>
        <v/>
      </c>
      <c r="B875">
        <f>Skills!B7</f>
        <v/>
      </c>
      <c r="C875">
        <f>TRUE</f>
        <v/>
      </c>
      <c r="D875">
        <f>IF(Skills!C7=1,60+Inputs!$B$25+(Inputs!$B$29+1),IF(Skills!C7=2,90+Inputs!$B$26+(Inputs!$B$29+1),IF(Skills!C7=3,120+Inputs!$B$27+(Inputs!$B$29+1),MAX(0,(Inputs!$B$3-100)*3)+Inputs!$B$28+(Inputs!$B$29+1))))</f>
        <v/>
      </c>
      <c r="E875">
        <f>INDEX(FactorTable!$B$2:$Y$301, MATCH(ROUND(MIN(300,MAX(1,D875)),0), FactorTable!$A$2:$A$301,0), Skills!M7+1)</f>
        <v/>
      </c>
      <c r="F875">
        <f>IF(Skills!N7=TRUE,(Skills!L7/10)*(E875/1000),Skills!L7/10)+Skills!O7</f>
        <v/>
      </c>
      <c r="G875">
        <f>Calc!G7</f>
        <v/>
      </c>
      <c r="H875">
        <f>Calc!H7</f>
        <v/>
      </c>
      <c r="I875">
        <f>IF(Skills!X7&lt;&gt;"",1+(Skills!X7/10)*(Z871/1000)/100,1)</f>
        <v/>
      </c>
      <c r="J875">
        <f>((Inputs!$B$6*(1+Inputs!$B$7/100))+(((Inputs!$B$12*(1+Inputs!$B$13/100))-(Inputs!$B$12*(1+Inputs!$B$13/100)))+0.25*(Inputs!$B$14-Inputs!$B$14))*(1+Inputs!$B$7/100))*(F875/100)</f>
        <v/>
      </c>
      <c r="K875">
        <f>J875*(1+((Inputs!$B$12*(1+Inputs!$B$13/100))*0.01+Inputs!$B$14*0.0025)/100)*(1+Inputs!$B$15/100)*(1+Inputs!$B$16/100)*(5000/(6000+Inputs!$B$42*(1-Inputs!$B$19/100)))*(1+Inputs!$B$24/100)*(1+F891/100)*(1+IF(Inputs!$B$3&gt;=120,F894,0)/100)^5*(1+(IF(Skills!A7="BASIC_ATTACK",Inputs!$B$17,Inputs!$B$18+IF(Inputs!$B$3&gt;=125,F895*5,0)))/100)*(B898*B899*B900*I875)</f>
        <v/>
      </c>
      <c r="L875">
        <f>K875*(MIN(Inputs!$B$22+(F890-Calc!F22),Inputs!$B$23)/100+Inputs!$B$23/100)/2</f>
        <v/>
      </c>
      <c r="M875">
        <f>L875*(1+(Inputs!$B$10+(F889-Calc!F21))/100)</f>
        <v/>
      </c>
      <c r="N875">
        <f>L875*(1-MIN(Inputs!$B$9+(F888-Calc!F20),100)/100)+M875*(MIN(Inputs!$B$9+(F888-Calc!F20),100)/100)</f>
        <v/>
      </c>
      <c r="O875">
        <f>(1-Summary!$B$56)*S875+Summary!$B$56*U875</f>
        <v/>
      </c>
      <c r="P875">
        <f>IF(B909=0,0,O875/B909)</f>
        <v/>
      </c>
      <c r="Q875">
        <f>IFERROR(1/IF(Inputs!$B$38="pvp",15,MAX(0.1,Skills!E7-IF(Skills!F7=TRUE,Inputs!$B$32,0))),0)</f>
        <v/>
      </c>
      <c r="R875">
        <f>IF(AND(Inputs!$B$38&lt;&gt;"pvp",Inputs!$B$43&gt;0),IF(MAX(0,Inputs!$B$43-B906)&lt;=0,0,(INT(MAX(0,Inputs!$B$43-B906)/IF(Inputs!$B$38="pvp",15,MAX(0.1,Skills!E7-IF(Skills!F7=TRUE,Inputs!$B$32,0))))+1)),0)</f>
        <v/>
      </c>
      <c r="S875">
        <f>IF(C875,(H875*N875*IF(AND(Inputs!$B$38&lt;&gt;"pvp",Inputs!$B$43&gt;0),((Skills!G7*((R875-1)*IF(Skills!H7&gt;0,Skills!I7/Skills!H7,1)+IF(Skills!H7&gt;0,MIN(Skills!I7,MAX(0,MAX(0,Inputs!$B$43-B906)-((R875-1)*IF(Inputs!$B$38="pvp",15,MAX(0.1,Skills!E7-IF(Skills!F7=TRUE,Inputs!$B$32,0))))))/Skills!H7,1)))/Inputs!$B$43),G875*Q875))*IF(Inputs!$B$38="pvp",1,1+(Inputs!$B$20+Skills!P7)/100),0)</f>
        <v/>
      </c>
      <c r="U875">
        <f>IF(C875,(H875*N875*IF(AND(Inputs!$B$38&lt;&gt;"pvp",Inputs!$B$43&gt;0),((Skills!G7*((R875-1)*IF(Skills!H7&gt;0,Skills!I7/Skills!H7,1)+IF(Skills!H7&gt;0,MIN(Skills!I7,MAX(0,MAX(0,Inputs!$B$43-B906)-((R875-1)*IF(Inputs!$B$38="pvp",15,MAX(0.1,Skills!E7-IF(Skills!F7=TRUE,Inputs!$B$32,0))))))/Skills!H7,1)))/Inputs!$B$43),G875*Q875))*IF(Inputs!$B$38="pvp",1,(1+(Inputs!$B$21+Skills!Q7)/100)*(MIN(Skills!R7,Inputs!$B$37))),0)</f>
        <v/>
      </c>
    </row>
    <row r="876">
      <c r="A876">
        <f>Skills!A8</f>
        <v/>
      </c>
      <c r="B876">
        <f>Skills!B8</f>
        <v/>
      </c>
      <c r="C876">
        <f>TRUE</f>
        <v/>
      </c>
      <c r="D876">
        <f>IF(Skills!C8=1,60+Inputs!$B$25+(Inputs!$B$29+1),IF(Skills!C8=2,90+Inputs!$B$26+(Inputs!$B$29+1),IF(Skills!C8=3,120+Inputs!$B$27+(Inputs!$B$29+1),MAX(0,(Inputs!$B$3-100)*3)+Inputs!$B$28+(Inputs!$B$29+1))))</f>
        <v/>
      </c>
      <c r="E876">
        <f>INDEX(FactorTable!$B$2:$Y$301, MATCH(ROUND(MIN(300,MAX(1,D876)),0), FactorTable!$A$2:$A$301,0), Skills!M8+1)</f>
        <v/>
      </c>
      <c r="F876">
        <f>IF(Skills!N8=TRUE,(Skills!L8/10)*(E876/1000),Skills!L8/10)+Skills!O8</f>
        <v/>
      </c>
      <c r="G876">
        <f>Calc!G8</f>
        <v/>
      </c>
      <c r="H876">
        <f>Calc!H8</f>
        <v/>
      </c>
      <c r="I876">
        <f>IF(Skills!X8&lt;&gt;"",1+(Skills!X8/10)*(Z871/1000)/100,1)</f>
        <v/>
      </c>
      <c r="J876">
        <f>((Inputs!$B$6*(1+Inputs!$B$7/100))+(((Inputs!$B$12*(1+Inputs!$B$13/100))-(Inputs!$B$12*(1+Inputs!$B$13/100)))+0.25*(Inputs!$B$14-Inputs!$B$14))*(1+Inputs!$B$7/100))*(F876/100)</f>
        <v/>
      </c>
      <c r="K876">
        <f>J876*(1+((Inputs!$B$12*(1+Inputs!$B$13/100))*0.01+Inputs!$B$14*0.0025)/100)*(1+Inputs!$B$15/100)*(1+Inputs!$B$16/100)*(5000/(6000+Inputs!$B$42*(1-Inputs!$B$19/100)))*(1+Inputs!$B$24/100)*(1+F891/100)*(1+IF(Inputs!$B$3&gt;=120,F894,0)/100)^5*(1+(IF(Skills!A8="BASIC_ATTACK",Inputs!$B$17,Inputs!$B$18+IF(Inputs!$B$3&gt;=125,F895*5,0)))/100)*(B898*B899*B900*I876)</f>
        <v/>
      </c>
      <c r="L876">
        <f>K876*(MIN(Inputs!$B$22+(F890-Calc!F22),Inputs!$B$23)/100+Inputs!$B$23/100)/2</f>
        <v/>
      </c>
      <c r="M876">
        <f>L876*(1+(Inputs!$B$10+(F889-Calc!F21))/100)</f>
        <v/>
      </c>
      <c r="N876">
        <f>L876*(1-MIN(Inputs!$B$9+(F888-Calc!F20),100)/100)+M876*(MIN(Inputs!$B$9+(F888-Calc!F20),100)/100)</f>
        <v/>
      </c>
      <c r="O876">
        <f>(1-Summary!$B$56)*S876+Summary!$B$56*U876</f>
        <v/>
      </c>
      <c r="P876">
        <f>IF(B909=0,0,O876/B909)</f>
        <v/>
      </c>
      <c r="Q876">
        <f>IFERROR(1/IF(Inputs!$B$38="pvp",15,MAX(0.1,Skills!E8-IF(Skills!F8=TRUE,Inputs!$B$32,0))),0)</f>
        <v/>
      </c>
      <c r="R876">
        <f>IF(AND(Inputs!$B$38&lt;&gt;"pvp",Inputs!$B$43&gt;0),IF(MAX(0,Inputs!$B$43-B906)&lt;=0,0,(INT(MAX(0,Inputs!$B$43-B906)/IF(Inputs!$B$38="pvp",15,MAX(0.1,Skills!E8-IF(Skills!F8=TRUE,Inputs!$B$32,0))))+1)),0)</f>
        <v/>
      </c>
      <c r="S876">
        <f>IF(C876,(H876*N876*IF(AND(Inputs!$B$38&lt;&gt;"pvp",Inputs!$B$43&gt;0),((Skills!G8*((R876-1)*IF(Skills!H8&gt;0,Skills!I8/Skills!H8,1)+IF(Skills!H8&gt;0,MIN(Skills!I8,MAX(0,MAX(0,Inputs!$B$43-B906)-((R876-1)*IF(Inputs!$B$38="pvp",15,MAX(0.1,Skills!E8-IF(Skills!F8=TRUE,Inputs!$B$32,0))))))/Skills!H8,1)))/Inputs!$B$43),G876*Q876))*IF(Inputs!$B$38="pvp",1,1+(Inputs!$B$20+Skills!P8)/100),0)</f>
        <v/>
      </c>
      <c r="U876">
        <f>IF(C876,(H876*N876*IF(AND(Inputs!$B$38&lt;&gt;"pvp",Inputs!$B$43&gt;0),((Skills!G8*((R876-1)*IF(Skills!H8&gt;0,Skills!I8/Skills!H8,1)+IF(Skills!H8&gt;0,MIN(Skills!I8,MAX(0,MAX(0,Inputs!$B$43-B906)-((R876-1)*IF(Inputs!$B$38="pvp",15,MAX(0.1,Skills!E8-IF(Skills!F8=TRUE,Inputs!$B$32,0))))))/Skills!H8,1)))/Inputs!$B$43),G876*Q876))*IF(Inputs!$B$38="pvp",1,(1+(Inputs!$B$21+Skills!Q8)/100)*(MIN(Skills!R8,Inputs!$B$37))),0)</f>
        <v/>
      </c>
    </row>
    <row r="877">
      <c r="A877">
        <f>Skills!A9</f>
        <v/>
      </c>
      <c r="B877">
        <f>Skills!B9</f>
        <v/>
      </c>
      <c r="C877">
        <f>Inputs!$B$3&gt;=103</f>
        <v/>
      </c>
      <c r="D877">
        <f>IF(Skills!C9=1,60+Inputs!$B$25+(Inputs!$B$29+1),IF(Skills!C9=2,90+Inputs!$B$26+(Inputs!$B$29+1),IF(Skills!C9=3,120+Inputs!$B$27+(Inputs!$B$29+1),MAX(0,(Inputs!$B$3-100)*3)+Inputs!$B$28+(Inputs!$B$29+1))))</f>
        <v/>
      </c>
      <c r="E877">
        <f>INDEX(FactorTable!$B$2:$Y$301, MATCH(ROUND(MIN(300,MAX(1,D877)),0), FactorTable!$A$2:$A$301,0), Skills!M9+1)</f>
        <v/>
      </c>
      <c r="F877">
        <f>IF(Skills!N9=TRUE,(Skills!L9/10)*(E877/1000),Skills!L9/10)+Skills!O9</f>
        <v/>
      </c>
      <c r="G877">
        <f>Calc!G9</f>
        <v/>
      </c>
      <c r="H877">
        <f>Calc!H9</f>
        <v/>
      </c>
      <c r="I877">
        <f>IF(Skills!X9&lt;&gt;"",1+(Skills!X9/10)*(Z871/1000)/100,1)</f>
        <v/>
      </c>
      <c r="J877">
        <f>((Inputs!$B$6*(1+Inputs!$B$7/100))+(((Inputs!$B$12*(1+Inputs!$B$13/100))-(Inputs!$B$12*(1+Inputs!$B$13/100)))+0.25*(Inputs!$B$14-Inputs!$B$14))*(1+Inputs!$B$7/100))*(F877/100)</f>
        <v/>
      </c>
      <c r="K877">
        <f>J877*(1+((Inputs!$B$12*(1+Inputs!$B$13/100))*0.01+Inputs!$B$14*0.0025)/100)*(1+Inputs!$B$15/100)*(1+Inputs!$B$16/100)*(5000/(6000+Inputs!$B$42*(1-Inputs!$B$19/100)))*(1+Inputs!$B$24/100)*(1+F891/100)*(1+IF(Inputs!$B$3&gt;=120,F894,0)/100)^5*(1+(IF(Skills!A9="BASIC_ATTACK",Inputs!$B$17,Inputs!$B$18+IF(Inputs!$B$3&gt;=125,F895*5,0)))/100)*(B898*B899*B900*I877)</f>
        <v/>
      </c>
      <c r="L877">
        <f>K877*(MIN(Inputs!$B$22+(F890-Calc!F22),Inputs!$B$23)/100+Inputs!$B$23/100)/2</f>
        <v/>
      </c>
      <c r="M877">
        <f>L877*(1+(Inputs!$B$10+(F889-Calc!F21))/100)</f>
        <v/>
      </c>
      <c r="N877">
        <f>L877*(1-MIN(Inputs!$B$9+(F888-Calc!F20),100)/100)+M877*(MIN(Inputs!$B$9+(F888-Calc!F20),100)/100)</f>
        <v/>
      </c>
      <c r="O877">
        <f>(1-Summary!$B$56)*S877+Summary!$B$56*U877</f>
        <v/>
      </c>
      <c r="P877">
        <f>IF(B909=0,0,O877/B909)</f>
        <v/>
      </c>
      <c r="Q877">
        <f>IFERROR(1/IF(Inputs!$B$38="pvp",15,MAX(0.1,Skills!E9-IF(Skills!F7=TRUE,Inputs!$B$32,0))),0)</f>
        <v/>
      </c>
      <c r="R877">
        <f>IF(AND(Inputs!$B$38&lt;&gt;"pvp",Inputs!$B$43&gt;0),IF(MAX(0,Inputs!$B$43-B906)&lt;=0,0,(INT(MAX(0,Inputs!$B$43-B906)/IF(Inputs!$B$38="pvp",15,MAX(0.1,Skills!E9-IF(Skills!F7=TRUE,Inputs!$B$32,0))))+1)),0)</f>
        <v/>
      </c>
      <c r="S877">
        <f>IF(C877,(H877*N877*IF(AND(Inputs!$B$38&lt;&gt;"pvp",Inputs!$B$43&gt;0),((Skills!G9*((R877-1)*IF(Skills!H9&gt;0,Skills!I9/Skills!H9,1)+IF(Skills!H9&gt;0,MIN(Skills!I9,MAX(0,MAX(0,Inputs!$B$43-B906)-((R877-1)*IF(Inputs!$B$38="pvp",15,MAX(0.1,Skills!E9-IF(Skills!F7=TRUE,Inputs!$B$32,0))))))/Skills!H9,1)))/Inputs!$B$43),G877*Q877))*IF(Inputs!$B$38="pvp",1,1+(Inputs!$B$20+Skills!P9)/100),0)</f>
        <v/>
      </c>
      <c r="U877">
        <f>IF(C877,(H877*N877*IF(AND(Inputs!$B$38&lt;&gt;"pvp",Inputs!$B$43&gt;0),((Skills!G9*((R877-1)*IF(Skills!H9&gt;0,Skills!I9/Skills!H9,1)+IF(Skills!H9&gt;0,MIN(Skills!I9,MAX(0,MAX(0,Inputs!$B$43-B906)-((R877-1)*IF(Inputs!$B$38="pvp",15,MAX(0.1,Skills!E9-IF(Skills!F7=TRUE,Inputs!$B$32,0))))))/Skills!H9,1)))/Inputs!$B$43),G877*Q877))*IF(Inputs!$B$38="pvp",1,(1+(Inputs!$B$21+Skills!Q9)/100)*(MIN(Skills!R9,Inputs!$B$37))),0)</f>
        <v/>
      </c>
    </row>
    <row r="878">
      <c r="A878">
        <f>Skills!A10</f>
        <v/>
      </c>
      <c r="B878">
        <f>Skills!B10</f>
        <v/>
      </c>
      <c r="C878">
        <f>TRUE</f>
        <v/>
      </c>
      <c r="D878">
        <f>IF(Skills!C10=1,60+Inputs!$B$25+(Inputs!$B$29+1),IF(Skills!C10=2,90+Inputs!$B$26+(Inputs!$B$29+1),IF(Skills!C10=3,120+Inputs!$B$27+(Inputs!$B$29+1),MAX(0,(Inputs!$B$3-100)*3)+Inputs!$B$28+(Inputs!$B$29+1))))</f>
        <v/>
      </c>
      <c r="E878">
        <f>INDEX(FactorTable!$B$2:$Y$301, MATCH(ROUND(MIN(300,MAX(1,D878)),0), FactorTable!$A$2:$A$301,0), Skills!M10+1)</f>
        <v/>
      </c>
      <c r="F878">
        <f>IF(Skills!N10=TRUE,(Skills!L10/10)*(E878/1000),Skills!L10/10)+Skills!O10</f>
        <v/>
      </c>
      <c r="G878">
        <f>Calc!G10</f>
        <v/>
      </c>
      <c r="H878">
        <f>Calc!H10</f>
        <v/>
      </c>
      <c r="I878">
        <f>IF(Skills!X10&lt;&gt;"",1+(Skills!X10/10)*(Z871/1000)/100,1)</f>
        <v/>
      </c>
      <c r="J878">
        <f>((Inputs!$B$6*(1+Inputs!$B$7/100))+(((Inputs!$B$12*(1+Inputs!$B$13/100))-(Inputs!$B$12*(1+Inputs!$B$13/100)))+0.25*(Inputs!$B$14-Inputs!$B$14))*(1+Inputs!$B$7/100))*(F878/100)</f>
        <v/>
      </c>
      <c r="K878">
        <f>J878*(1+((Inputs!$B$12*(1+Inputs!$B$13/100))*0.01+Inputs!$B$14*0.0025)/100)*(1+Inputs!$B$15/100)*(1+Inputs!$B$16/100)*(5000/(6000+Inputs!$B$42*(1-Inputs!$B$19/100)))*(1+Inputs!$B$24/100)*(1+F891/100)*(1+IF(Inputs!$B$3&gt;=120,F894,0)/100)^5*(1+(IF(Skills!A10="BASIC_ATTACK",Inputs!$B$17,Inputs!$B$18+IF(Inputs!$B$3&gt;=125,F895*5,0)))/100)*(B898*B899*B900*I878)</f>
        <v/>
      </c>
      <c r="L878">
        <f>K878*(MIN(Inputs!$B$22+(F890-Calc!F22),Inputs!$B$23)/100+Inputs!$B$23/100)/2</f>
        <v/>
      </c>
      <c r="M878">
        <f>L878*(1+(Inputs!$B$10+(F889-Calc!F21))/100)</f>
        <v/>
      </c>
      <c r="N878">
        <f>L878*(1-MIN(Inputs!$B$9+(F888-Calc!F20),100)/100)+M878*(MIN(Inputs!$B$9+(F888-Calc!F20),100)/100)</f>
        <v/>
      </c>
      <c r="O878">
        <f>(1-Summary!$B$56)*S878+Summary!$B$56*U878</f>
        <v/>
      </c>
      <c r="P878">
        <f>IF(B909=0,0,O878/B909)</f>
        <v/>
      </c>
      <c r="Q878">
        <f>IFERROR(1/IF(Inputs!$B$38="pvp",15,MAX(0.1,Skills!E10-IF(Skills!F10=TRUE,Inputs!$B$32,0))),0)</f>
        <v/>
      </c>
      <c r="R878">
        <f>IF(AND(Inputs!$B$38&lt;&gt;"pvp",Inputs!$B$43&gt;0),IF(MAX(0,Inputs!$B$43-B906)&lt;=0,0,(INT(MAX(0,Inputs!$B$43-B906)/IF(Inputs!$B$38="pvp",15,MAX(0.1,Skills!E10-IF(Skills!F10=TRUE,Inputs!$B$32,0))))+1)),0)</f>
        <v/>
      </c>
      <c r="S878">
        <f>IF(C878,(H878*N878*IF(AND(Inputs!$B$38&lt;&gt;"pvp",Inputs!$B$43&gt;0),((Skills!G10*((R878-1)*IF(Skills!H10&gt;0,Skills!I10/Skills!H10,1)+IF(Skills!H10&gt;0,MIN(Skills!I10,MAX(0,MAX(0,Inputs!$B$43-B906)-((R878-1)*IF(Inputs!$B$38="pvp",15,MAX(0.1,Skills!E10-IF(Skills!F10=TRUE,Inputs!$B$32,0))))))/Skills!H10,1)))/Inputs!$B$43),G878*Q878))*IF(Inputs!$B$38="pvp",1,1+(Inputs!$B$20+Skills!P10)/100),0)</f>
        <v/>
      </c>
      <c r="U878">
        <f>IF(C878,(H878*N878*IF(AND(Inputs!$B$38&lt;&gt;"pvp",Inputs!$B$43&gt;0),((Skills!G10*((R878-1)*IF(Skills!H10&gt;0,Skills!I10/Skills!H10,1)+IF(Skills!H10&gt;0,MIN(Skills!I10,MAX(0,MAX(0,Inputs!$B$43-B906)-((R878-1)*IF(Inputs!$B$38="pvp",15,MAX(0.1,Skills!E10-IF(Skills!F10=TRUE,Inputs!$B$32,0))))))/Skills!H10,1)))/Inputs!$B$43),G878*Q878))*IF(Inputs!$B$38="pvp",1,(1+(Inputs!$B$21+Skills!Q10)/100)*(MIN(Skills!R10,Inputs!$B$37))),0)</f>
        <v/>
      </c>
    </row>
    <row r="879">
      <c r="A879">
        <f>Skills!A11</f>
        <v/>
      </c>
      <c r="B879">
        <f>Skills!B11</f>
        <v/>
      </c>
      <c r="C879">
        <f>TRUE</f>
        <v/>
      </c>
      <c r="D879">
        <f>IF(Skills!C11=1,60+Inputs!$B$25+(Inputs!$B$29+1),IF(Skills!C11=2,90+Inputs!$B$26+(Inputs!$B$29+1),IF(Skills!C11=3,120+Inputs!$B$27+(Inputs!$B$29+1),MAX(0,(Inputs!$B$3-100)*3)+Inputs!$B$28+(Inputs!$B$29+1))))</f>
        <v/>
      </c>
      <c r="E879">
        <f>INDEX(FactorTable!$B$2:$Y$301, MATCH(ROUND(MIN(300,MAX(1,D879)),0), FactorTable!$A$2:$A$301,0), Skills!M11+1)</f>
        <v/>
      </c>
      <c r="F879">
        <f>IF(Skills!N11=TRUE,(Skills!L11/10)*(E879/1000),Skills!L11/10)+Skills!O11</f>
        <v/>
      </c>
      <c r="G879">
        <f>Calc!G11</f>
        <v/>
      </c>
      <c r="H879">
        <f>Calc!H11</f>
        <v/>
      </c>
      <c r="I879">
        <f>IF(Skills!X11&lt;&gt;"",1+(Skills!X11/10)*(Z871/1000)/100,1)</f>
        <v/>
      </c>
      <c r="J879" t="inlineStr"/>
      <c r="K879" t="inlineStr"/>
      <c r="L879" t="inlineStr"/>
      <c r="M879" t="inlineStr"/>
      <c r="N879" t="inlineStr"/>
      <c r="O879">
        <f>(1-Summary!$B$56)*S879+Summary!$B$56*U879</f>
        <v/>
      </c>
      <c r="P879">
        <f>IF(B909=0,0,O879/B909)</f>
        <v/>
      </c>
      <c r="Q879">
        <f>IFERROR(1/IF(Inputs!$B$38="pvp",15,MAX(0.1,Skills!E11-IF(Skills!F11=TRUE,Inputs!$B$32,0))),0)</f>
        <v/>
      </c>
      <c r="R879" t="n">
        <v>0</v>
      </c>
      <c r="S879" t="n">
        <v>0</v>
      </c>
      <c r="U879" t="n">
        <v>0</v>
      </c>
    </row>
    <row r="880">
      <c r="A880">
        <f>Skills!A12</f>
        <v/>
      </c>
      <c r="B880">
        <f>Skills!B12</f>
        <v/>
      </c>
      <c r="C880">
        <f>TRUE</f>
        <v/>
      </c>
      <c r="D880">
        <f>IF(Skills!C12=1,60+Inputs!$B$25+(Inputs!$B$29+1),IF(Skills!C12=2,90+Inputs!$B$26+(Inputs!$B$29+1),IF(Skills!C12=3,120+Inputs!$B$27+(Inputs!$B$29+1),MAX(0,(Inputs!$B$3-100)*3)+Inputs!$B$28+(Inputs!$B$29+1))))</f>
        <v/>
      </c>
      <c r="E880">
        <f>INDEX(FactorTable!$B$2:$Y$301, MATCH(ROUND(MIN(300,MAX(1,D880)),0), FactorTable!$A$2:$A$301,0), Skills!M12+1)</f>
        <v/>
      </c>
      <c r="F880">
        <f>IF(Skills!N12=TRUE,(Skills!L12/10)*(E880/1000),Skills!L12/10)+Skills!O12</f>
        <v/>
      </c>
      <c r="G880">
        <f>Calc!G12</f>
        <v/>
      </c>
      <c r="H880">
        <f>Calc!H12</f>
        <v/>
      </c>
      <c r="I880">
        <f>IF(Skills!X12&lt;&gt;"",1+(Skills!X12/10)*(Z871/1000)/100,1)</f>
        <v/>
      </c>
      <c r="J880" t="inlineStr"/>
      <c r="K880" t="inlineStr"/>
      <c r="L880" t="inlineStr"/>
      <c r="M880" t="inlineStr"/>
      <c r="N880" t="inlineStr"/>
      <c r="O880">
        <f>(1-Summary!$B$56)*S880+Summary!$B$56*U880</f>
        <v/>
      </c>
      <c r="P880">
        <f>IF(B909=0,0,O880/B909)</f>
        <v/>
      </c>
      <c r="Q880">
        <f>IFERROR(1/IF(Inputs!$B$38="pvp",15,MAX(0.1,Skills!E12-IF(Skills!F12=TRUE,Inputs!$B$32,0))),0)</f>
        <v/>
      </c>
      <c r="R880" t="n">
        <v>0</v>
      </c>
      <c r="S880" t="n">
        <v>0</v>
      </c>
      <c r="U880" t="n">
        <v>0</v>
      </c>
    </row>
    <row r="881">
      <c r="A881">
        <f>Skills!A13</f>
        <v/>
      </c>
      <c r="B881">
        <f>Skills!B13</f>
        <v/>
      </c>
      <c r="C881">
        <f>Inputs!$B$3&gt;=105</f>
        <v/>
      </c>
      <c r="D881">
        <f>IF(Skills!C13=1,60+Inputs!$B$25+(Inputs!$B$29+1),IF(Skills!C13=2,90+Inputs!$B$26+(Inputs!$B$29+1),IF(Skills!C13=3,120+Inputs!$B$27+(Inputs!$B$29+1),MAX(0,(Inputs!$B$3-100)*3)+Inputs!$B$28+(Inputs!$B$29+1))))</f>
        <v/>
      </c>
      <c r="E881">
        <f>INDEX(FactorTable!$B$2:$Y$301, MATCH(ROUND(MIN(300,MAX(1,D881)),0), FactorTable!$A$2:$A$301,0), Skills!M13+1)</f>
        <v/>
      </c>
      <c r="F881">
        <f>IF(Skills!N13=TRUE,(Skills!L13/10)*(E881/1000),Skills!L13/10)+Skills!O13</f>
        <v/>
      </c>
      <c r="G881">
        <f>Calc!G13</f>
        <v/>
      </c>
      <c r="H881">
        <f>Calc!H13</f>
        <v/>
      </c>
      <c r="I881">
        <f>IF(Skills!X13&lt;&gt;"",1+(Skills!X13/10)*(Z871/1000)/100,1)</f>
        <v/>
      </c>
      <c r="J881">
        <f>((Inputs!$B$6*(1+Inputs!$B$7/100))+(((Inputs!$B$12*(1+Inputs!$B$13/100))-(Inputs!$B$12*(1+Inputs!$B$13/100)))+0.25*(Inputs!$B$14-Inputs!$B$14))*(1+Inputs!$B$7/100))*(F881/100)</f>
        <v/>
      </c>
      <c r="K881">
        <f>J881*(1+((Inputs!$B$12*(1+Inputs!$B$13/100))*0.01+Inputs!$B$14*0.0025)/100)*(1+Inputs!$B$15/100)*(1+Inputs!$B$16/100)*(5000/(6000+Inputs!$B$42*(1-Inputs!$B$19/100)))*(1+Inputs!$B$24/100)*(1+F891/100)*(1+IF(Inputs!$B$3&gt;=120,F894,0)/100)^5*(1+(IF(Skills!A13="BASIC_ATTACK",Inputs!$B$17,Inputs!$B$18+IF(Inputs!$B$3&gt;=125,F895*5,0)))/100)*(B898*B899*B900*I881)</f>
        <v/>
      </c>
      <c r="L881">
        <f>K881*(MIN(Inputs!$B$22+(F890-Calc!F22),Inputs!$B$23)/100+Inputs!$B$23/100)/2</f>
        <v/>
      </c>
      <c r="M881">
        <f>L881*(1+(Inputs!$B$10+(F889-Calc!F21))/100)</f>
        <v/>
      </c>
      <c r="N881">
        <f>L881*(1-MIN(Inputs!$B$9+(F888-Calc!F20),100)/100)+M881*(MIN(Inputs!$B$9+(F888-Calc!F20),100)/100)</f>
        <v/>
      </c>
      <c r="O881">
        <f>(1-Summary!$B$56)*S881+Summary!$B$56*U881</f>
        <v/>
      </c>
      <c r="P881">
        <f>IF(B909=0,0,O881/B909)</f>
        <v/>
      </c>
      <c r="Q881">
        <f>IFERROR(1/IF(Inputs!$B$38="pvp",15,MAX(0.1,Skills!E13-IF(Skills!F13=TRUE,Inputs!$B$32,0))),0)</f>
        <v/>
      </c>
      <c r="R881">
        <f>IF(AND(Inputs!$B$38&lt;&gt;"pvp",Inputs!$B$43&gt;0),IF(MAX(0,Inputs!$B$43-B906)&lt;=0,0,(INT(MAX(0,Inputs!$B$43-B906)/IF(Inputs!$B$38="pvp",15,MAX(0.1,Skills!E13-IF(Skills!F13=TRUE,Inputs!$B$32,0))))+1)),0)</f>
        <v/>
      </c>
      <c r="S881">
        <f>IF(C881,(H881*N881*IF(AND(Inputs!$B$38&lt;&gt;"pvp",Inputs!$B$43&gt;0),((Skills!G13*((R881-1)*IF(Skills!H13&gt;0,Skills!I13/Skills!H13,1)+IF(Skills!H13&gt;0,MIN(Skills!I13,MAX(0,MAX(0,Inputs!$B$43-B906)-((R881-1)*IF(Inputs!$B$38="pvp",15,MAX(0.1,Skills!E13-IF(Skills!F13=TRUE,Inputs!$B$32,0))))))/Skills!H13,1)))/Inputs!$B$43),G881*Q881))*IF(Inputs!$B$38="pvp",1,1+(Inputs!$B$20+Skills!P13)/100),0)</f>
        <v/>
      </c>
      <c r="U881">
        <f>IF(C881,(H881*N881*IF(AND(Inputs!$B$38&lt;&gt;"pvp",Inputs!$B$43&gt;0),((Skills!G13*((R881-1)*IF(Skills!H13&gt;0,Skills!I13/Skills!H13,1)+IF(Skills!H13&gt;0,MIN(Skills!I13,MAX(0,MAX(0,Inputs!$B$43-B906)-((R881-1)*IF(Inputs!$B$38="pvp",15,MAX(0.1,Skills!E13-IF(Skills!F13=TRUE,Inputs!$B$32,0))))))/Skills!H13,1)))/Inputs!$B$43),G881*Q881))*IF(Inputs!$B$38="pvp",1,(1+(Inputs!$B$21+Skills!Q13)/100)*(MIN(Skills!R13,Inputs!$B$37))),0)</f>
        <v/>
      </c>
    </row>
    <row r="882">
      <c r="A882">
        <f>Skills!A14</f>
        <v/>
      </c>
      <c r="B882">
        <f>Skills!B14</f>
        <v/>
      </c>
      <c r="C882">
        <f>Inputs!$B$3&gt;=113</f>
        <v/>
      </c>
      <c r="D882">
        <f>IF(Skills!C14=1,60+Inputs!$B$25+(Inputs!$B$29+1),IF(Skills!C14=2,90+Inputs!$B$26+(Inputs!$B$29+1),IF(Skills!C14=3,120+Inputs!$B$27+(Inputs!$B$29+1),MAX(0,(Inputs!$B$3-100)*3)+Inputs!$B$28+(Inputs!$B$29+1))))</f>
        <v/>
      </c>
      <c r="E882">
        <f>INDEX(FactorTable!$B$2:$Y$301, MATCH(ROUND(MIN(300,MAX(1,D882)),0), FactorTable!$A$2:$A$301,0), Skills!M14+1)</f>
        <v/>
      </c>
      <c r="F882">
        <f>IF(Skills!N14=TRUE,(Skills!L14/10)*(E882/1000),Skills!L14/10)+Skills!O14</f>
        <v/>
      </c>
      <c r="G882">
        <f>Calc!G14</f>
        <v/>
      </c>
      <c r="H882">
        <f>Calc!H14</f>
        <v/>
      </c>
      <c r="I882">
        <f>IF(Skills!X14&lt;&gt;"",1+(Skills!X14/10)*(Z871/1000)/100,1)</f>
        <v/>
      </c>
      <c r="J882">
        <f>((Inputs!$B$6*(1+Inputs!$B$7/100))+(((Inputs!$B$12*(1+Inputs!$B$13/100))-(Inputs!$B$12*(1+Inputs!$B$13/100)))+0.25*(Inputs!$B$14-Inputs!$B$14))*(1+Inputs!$B$7/100))*(F882/100)</f>
        <v/>
      </c>
      <c r="K882">
        <f>J882*(1+((Inputs!$B$12*(1+Inputs!$B$13/100))*0.01+Inputs!$B$14*0.0025)/100)*(1+Inputs!$B$15/100)*(1+Inputs!$B$16/100)*(5000/(6000+Inputs!$B$42*(1-Inputs!$B$19/100)))*(1+Inputs!$B$24/100)*(1+F891/100)*(1+IF(Inputs!$B$3&gt;=120,F894,0)/100)^5*(1+(IF(Skills!A14="BASIC_ATTACK",Inputs!$B$17,Inputs!$B$18+IF(Inputs!$B$3&gt;=125,F895*5,0)))/100)*(B898*B899*B900*I882)</f>
        <v/>
      </c>
      <c r="L882">
        <f>K882*(MIN(Inputs!$B$22+(F890-Calc!F22),Inputs!$B$23)/100+Inputs!$B$23/100)/2</f>
        <v/>
      </c>
      <c r="M882">
        <f>L882*(1+(Inputs!$B$10+(F889-Calc!F21))/100)</f>
        <v/>
      </c>
      <c r="N882">
        <f>L882*(1-MIN(Inputs!$B$9+(F888-Calc!F20),100)/100)+M882*(MIN(Inputs!$B$9+(F888-Calc!F20),100)/100)</f>
        <v/>
      </c>
      <c r="O882">
        <f>(1-Summary!$B$56)*S882+Summary!$B$56*U882</f>
        <v/>
      </c>
      <c r="P882">
        <f>IF(B909=0,0,O882/B909)</f>
        <v/>
      </c>
      <c r="Q882">
        <f>IFERROR(1/IF(Inputs!$B$38="pvp",15,MAX(0.1,Skills!E14-IF(Skills!F14=TRUE,Inputs!$B$32,0))),0)</f>
        <v/>
      </c>
      <c r="R882" t="n">
        <v>0</v>
      </c>
      <c r="S882">
        <f>IF(C882,((H882*B905)/(1+Skills!H14*H882*B905)*N882)*IF(Inputs!$B$38="pvp",1,1+(Inputs!$B$20+Skills!P14)/100),0)</f>
        <v/>
      </c>
      <c r="U882">
        <f>IF(C882,((H882*B905)/(1+Skills!H14*H882*B905)*N882)*IF(Inputs!$B$38="pvp",1,(1+(Inputs!$B$21+Skills!Q14)/100)*(MIN(Skills!R14,Inputs!$B$37))),0)</f>
        <v/>
      </c>
    </row>
    <row r="883">
      <c r="A883">
        <f>Skills!A15</f>
        <v/>
      </c>
      <c r="B883">
        <f>Skills!B15</f>
        <v/>
      </c>
      <c r="C883">
        <f>Inputs!$B$3&gt;=107</f>
        <v/>
      </c>
      <c r="D883">
        <f>IF(Skills!C15=1,60+Inputs!$B$25+(Inputs!$B$29+1),IF(Skills!C15=2,90+Inputs!$B$26+(Inputs!$B$29+1),IF(Skills!C15=3,120+Inputs!$B$27+(Inputs!$B$29+1),MAX(0,(Inputs!$B$3-100)*3)+Inputs!$B$28+(Inputs!$B$29+1))))</f>
        <v/>
      </c>
      <c r="E883">
        <f>INDEX(FactorTable!$B$2:$Y$301, MATCH(ROUND(MIN(300,MAX(1,D883)),0), FactorTable!$A$2:$A$301,0), Skills!M15+1)</f>
        <v/>
      </c>
      <c r="F883">
        <f>IF(Skills!N15=TRUE,(Skills!L15/10)*(E883/1000),Skills!L15/10)+Skills!O15</f>
        <v/>
      </c>
      <c r="G883">
        <f>Calc!G15</f>
        <v/>
      </c>
      <c r="H883">
        <f>Calc!H15</f>
        <v/>
      </c>
      <c r="I883">
        <f>IF(Skills!X15&lt;&gt;"",1+(Skills!X15/10)*(Z871/1000)/100,1)</f>
        <v/>
      </c>
      <c r="J883">
        <f>((Inputs!$B$6*(1+Inputs!$B$7/100))+(((Inputs!$B$12*(1+Inputs!$B$13/100))-(Inputs!$B$12*(1+Inputs!$B$13/100)))+0.25*(Inputs!$B$14-Inputs!$B$14))*(1+Inputs!$B$7/100))*(F883/100)</f>
        <v/>
      </c>
      <c r="K883">
        <f>J883*(1+((Inputs!$B$12*(1+Inputs!$B$13/100))*0.01+Inputs!$B$14*0.0025)/100)*(1+Inputs!$B$15/100)*(1+Inputs!$B$16/100)*(5000/(6000+Inputs!$B$42*(1-Inputs!$B$19/100)))*(1+Inputs!$B$24/100)*(1+F891/100)*(1+IF(Inputs!$B$3&gt;=120,F894,0)/100)^5*(1+(IF(Skills!A15="BASIC_ATTACK",Inputs!$B$17,Inputs!$B$18+IF(Inputs!$B$3&gt;=125,F895*5,0)))/100)*(B898*B899*B900*I883)</f>
        <v/>
      </c>
      <c r="L883">
        <f>K883*(MIN(Inputs!$B$22+(F890-Calc!F22),Inputs!$B$23)/100+Inputs!$B$23/100)/2</f>
        <v/>
      </c>
      <c r="M883">
        <f>L883*(1+(Inputs!$B$10+(F889-Calc!F21))/100)</f>
        <v/>
      </c>
      <c r="N883">
        <f>L883*(1-MIN(Inputs!$B$9+(F888-Calc!F20),100)/100)+M883*(MIN(Inputs!$B$9+(F888-Calc!F20),100)/100)</f>
        <v/>
      </c>
      <c r="O883">
        <f>(1-Summary!$B$56)*S883+Summary!$B$56*U883</f>
        <v/>
      </c>
      <c r="P883">
        <f>IF(B909=0,0,O883/B909)</f>
        <v/>
      </c>
      <c r="Q883">
        <f>IFERROR(1/IF(Inputs!$B$38="pvp",15,MAX(0.1,Skills!E15-IF(Skills!F15=TRUE,Inputs!$B$32,0))),0)</f>
        <v/>
      </c>
      <c r="R883">
        <f>IF(AND(Inputs!$B$38&lt;&gt;"pvp",Inputs!$B$43&gt;0),IF(MAX(0,Inputs!$B$43-B906)&lt;=0,0,(INT(MAX(0,Inputs!$B$43-B906)/IF(Inputs!$B$38="pvp",15,MAX(0.1,Skills!E15-IF(Skills!F15=TRUE,Inputs!$B$32,0))))+1)),0)</f>
        <v/>
      </c>
      <c r="S883">
        <f>IF(C883,(H883*N883*IF(AND(Inputs!$B$38&lt;&gt;"pvp",Inputs!$B$43&gt;0),((Skills!G15*((R883-1)*IF(Skills!H15&gt;0,Skills!I15/Skills!H15,1)+IF(Skills!H15&gt;0,MIN(Skills!I15,MAX(0,MAX(0,Inputs!$B$43-B906)-((R883-1)*IF(Inputs!$B$38="pvp",15,MAX(0.1,Skills!E15-IF(Skills!F15=TRUE,Inputs!$B$32,0))))))/Skills!H15,1)))/Inputs!$B$43),G883*Q883))*IF(Inputs!$B$38="pvp",1,1+(Inputs!$B$20+Skills!P15)/100),0)</f>
        <v/>
      </c>
      <c r="U883">
        <f>IF(C883,(H883*N883*IF(AND(Inputs!$B$38&lt;&gt;"pvp",Inputs!$B$43&gt;0),((Skills!G15*((R883-1)*IF(Skills!H15&gt;0,Skills!I15/Skills!H15,1)+IF(Skills!H15&gt;0,MIN(Skills!I15,MAX(0,MAX(0,Inputs!$B$43-B906)-((R883-1)*IF(Inputs!$B$38="pvp",15,MAX(0.1,Skills!E15-IF(Skills!F15=TRUE,Inputs!$B$32,0))))))/Skills!H15,1)))/Inputs!$B$43),G883*Q883))*IF(Inputs!$B$38="pvp",1,(1+(Inputs!$B$21+Skills!Q15)/100)*(MIN(Skills!R15,Inputs!$B$37))),0)</f>
        <v/>
      </c>
    </row>
    <row r="884">
      <c r="A884">
        <f>Skills!A16</f>
        <v/>
      </c>
      <c r="B884">
        <f>Skills!B16</f>
        <v/>
      </c>
      <c r="C884">
        <f>Inputs!$B$3&gt;=107</f>
        <v/>
      </c>
      <c r="D884">
        <f>IF(Skills!C16=1,60+Inputs!$B$25+(Inputs!$B$29+1),IF(Skills!C16=2,90+Inputs!$B$26+(Inputs!$B$29+1),IF(Skills!C16=3,120+Inputs!$B$27+(Inputs!$B$29+1),MAX(0,(Inputs!$B$3-100)*3)+Inputs!$B$28+(Inputs!$B$29+1))))</f>
        <v/>
      </c>
      <c r="E884">
        <f>INDEX(FactorTable!$B$2:$Y$301, MATCH(ROUND(MIN(300,MAX(1,D884)),0), FactorTable!$A$2:$A$301,0), Skills!M16+1)</f>
        <v/>
      </c>
      <c r="F884">
        <f>IF(Skills!N16=TRUE,(Skills!L16/10)*(E884/1000),Skills!L16/10)+Skills!O16</f>
        <v/>
      </c>
      <c r="G884">
        <f>Calc!G16</f>
        <v/>
      </c>
      <c r="H884">
        <f>Calc!H16</f>
        <v/>
      </c>
      <c r="I884">
        <f>IF(Skills!X16&lt;&gt;"",1+(Skills!X16/10)*(Z871/1000)/100,1)</f>
        <v/>
      </c>
      <c r="J884">
        <f>((Inputs!$B$6*(1+Inputs!$B$7/100))+(((Inputs!$B$12*(1+Inputs!$B$13/100))-(Inputs!$B$12*(1+Inputs!$B$13/100)))+0.25*(Inputs!$B$14-Inputs!$B$14))*(1+Inputs!$B$7/100))*(F884/100)</f>
        <v/>
      </c>
      <c r="K884">
        <f>J884*(1+((Inputs!$B$12*(1+Inputs!$B$13/100))*0.01+Inputs!$B$14*0.0025)/100)*(1+Inputs!$B$15/100)*(1+Inputs!$B$16/100)*(5000/(6000+Inputs!$B$42*(1-Inputs!$B$19/100)))*(1+Inputs!$B$24/100)*(1+F891/100)*(1+IF(Inputs!$B$3&gt;=120,F894,0)/100)^5*(1+(IF(Skills!A16="BASIC_ATTACK",Inputs!$B$17,Inputs!$B$18+IF(Inputs!$B$3&gt;=125,F895*5,0)))/100)*(B898*B899*B900*I884)</f>
        <v/>
      </c>
      <c r="L884">
        <f>K884*(MIN(Inputs!$B$22+(F890-Calc!F22),Inputs!$B$23)/100+Inputs!$B$23/100)/2</f>
        <v/>
      </c>
      <c r="M884">
        <f>L884*(1+(Inputs!$B$10+(F889-Calc!F21))/100)</f>
        <v/>
      </c>
      <c r="N884">
        <f>L884*(1-MIN(Inputs!$B$9+(F888-Calc!F20),100)/100)+M884*(MIN(Inputs!$B$9+(F888-Calc!F20),100)/100)</f>
        <v/>
      </c>
      <c r="O884">
        <f>(1-Summary!$B$56)*S884+Summary!$B$56*U884</f>
        <v/>
      </c>
      <c r="P884">
        <f>IF(B909=0,0,O884/B909)</f>
        <v/>
      </c>
      <c r="Q884">
        <f>IFERROR(1/IF(Inputs!$B$38="pvp",15,MAX(0.1,Skills!E16-IF(Skills!F16=TRUE,Inputs!$B$32,0))),0)</f>
        <v/>
      </c>
      <c r="R884">
        <f>IF(AND(Inputs!$B$38&lt;&gt;"pvp",Inputs!$B$43&gt;0),IF(MAX(0,Inputs!$B$43-B906)&lt;=0,0,(INT(MAX(0,Inputs!$B$43-B906)/IF(Inputs!$B$38="pvp",15,MAX(0.1,Skills!E16-IF(Skills!F16=TRUE,Inputs!$B$32,0))))+1)),0)</f>
        <v/>
      </c>
      <c r="S884">
        <f>IF(C884,(H884*N884*IF(AND(Inputs!$B$38&lt;&gt;"pvp",Inputs!$B$43&gt;0),((Skills!G16*((R884-1)*IF(Skills!H16&gt;0,Skills!I16/Skills!H16,1)+IF(Skills!H16&gt;0,MIN(Skills!I16,MAX(0,MAX(0,Inputs!$B$43-B906)-((R884-1)*IF(Inputs!$B$38="pvp",15,MAX(0.1,Skills!E16-IF(Skills!F16=TRUE,Inputs!$B$32,0))))))/Skills!H16,1)))/Inputs!$B$43),G884*Q884)*(1+IF(Inputs!$B$3&gt;=126,0.05*(B904+Q881+(H882*B905)/(1+Skills!H14*H882*B905)+Q892),0)*Skills!E15))*IF(Inputs!$B$38="pvp",1,1+(Inputs!$B$20+Skills!P16)/100),0)</f>
        <v/>
      </c>
      <c r="U884">
        <f>IF(C884,(H884*N884*IF(AND(Inputs!$B$38&lt;&gt;"pvp",Inputs!$B$43&gt;0),((Skills!G16*((R884-1)*IF(Skills!H16&gt;0,Skills!I16/Skills!H16,1)+IF(Skills!H16&gt;0,MIN(Skills!I16,MAX(0,MAX(0,Inputs!$B$43-B906)-((R884-1)*IF(Inputs!$B$38="pvp",15,MAX(0.1,Skills!E16-IF(Skills!F16=TRUE,Inputs!$B$32,0))))))/Skills!H16,1)))/Inputs!$B$43),G884*Q884)*(1+IF(Inputs!$B$3&gt;=126,0.05*(B904+Q881+(H882*B905)/(1+Skills!H14*H882*B905)+Q892),0)*Skills!E15))*IF(Inputs!$B$38="pvp",1,(1+(Inputs!$B$21+Skills!Q16)/100)*(MIN(Skills!R16,Inputs!$B$37))),0)</f>
        <v/>
      </c>
    </row>
    <row r="885">
      <c r="A885">
        <f>Skills!A17</f>
        <v/>
      </c>
      <c r="B885">
        <f>Skills!B17</f>
        <v/>
      </c>
      <c r="C885">
        <f>TRUE</f>
        <v/>
      </c>
      <c r="D885">
        <f>IF(Skills!C17=1,60+Inputs!$B$25+(Inputs!$B$29+1),IF(Skills!C17=2,90+Inputs!$B$26+(Inputs!$B$29+1),IF(Skills!C17=3,120+Inputs!$B$27+(Inputs!$B$29+1),MAX(0,(Inputs!$B$3-100)*3)+Inputs!$B$28+(Inputs!$B$29+1))))</f>
        <v/>
      </c>
      <c r="E885">
        <f>INDEX(FactorTable!$B$2:$Y$301, MATCH(ROUND(MIN(300,MAX(1,D885)),0), FactorTable!$A$2:$A$301,0), Skills!M17+1)</f>
        <v/>
      </c>
      <c r="F885">
        <f>IF(Skills!N17=TRUE,(Skills!L17/10)*(E885/1000),Skills!L17/10)+Skills!O17</f>
        <v/>
      </c>
      <c r="G885">
        <f>Calc!G17</f>
        <v/>
      </c>
      <c r="H885">
        <f>Calc!H17</f>
        <v/>
      </c>
      <c r="I885">
        <f>IF(Skills!X17&lt;&gt;"",1+(Skills!X17/10)*(Z871/1000)/100,1)</f>
        <v/>
      </c>
      <c r="J885" t="inlineStr"/>
      <c r="K885" t="inlineStr"/>
      <c r="L885" t="inlineStr"/>
      <c r="M885" t="inlineStr"/>
      <c r="N885" t="inlineStr"/>
      <c r="O885">
        <f>(1-Summary!$B$56)*S885+Summary!$B$56*U885</f>
        <v/>
      </c>
      <c r="P885">
        <f>IF(B909=0,0,O885/B909)</f>
        <v/>
      </c>
      <c r="Q885">
        <f>IFERROR(1/IF(Inputs!$B$38="pvp",15,MAX(0.1,Skills!E17-IF(Skills!F17=TRUE,Inputs!$B$32,0))),0)</f>
        <v/>
      </c>
      <c r="R885">
        <f>IF(AND(Inputs!$B$38&lt;&gt;"pvp",Inputs!$B$43&gt;0),IF(Inputs!$B$43&lt;=0,0,(INT(Inputs!$B$43/IF(Inputs!$B$38="pvp",15,MAX(0.1,Skills!E17-IF(Skills!F17=TRUE,Inputs!$B$32,0))))+1)),0)</f>
        <v/>
      </c>
      <c r="S885" t="n">
        <v>0</v>
      </c>
      <c r="U885" t="n">
        <v>0</v>
      </c>
    </row>
    <row r="886">
      <c r="A886">
        <f>Skills!A18</f>
        <v/>
      </c>
      <c r="B886">
        <f>Skills!B18</f>
        <v/>
      </c>
      <c r="C886">
        <f>TRUE</f>
        <v/>
      </c>
      <c r="D886">
        <f>IF(Skills!C18=1,60+Inputs!$B$25+(Inputs!$B$29+1),IF(Skills!C18=2,90+Inputs!$B$26+(Inputs!$B$29+1),IF(Skills!C18=3,120+Inputs!$B$27+(Inputs!$B$29+1),MAX(0,(Inputs!$B$3-100)*3)+Inputs!$B$28+(Inputs!$B$29+1))))</f>
        <v/>
      </c>
      <c r="E886">
        <f>INDEX(FactorTable!$B$2:$Y$301, MATCH(ROUND(MIN(300,MAX(1,D886)),0), FactorTable!$A$2:$A$301,0), Skills!M18+1)</f>
        <v/>
      </c>
      <c r="F886">
        <f>IF(Skills!N18=TRUE,(Skills!L18/10)*(E886/1000),Skills!L18/10)+Skills!O18</f>
        <v/>
      </c>
      <c r="G886">
        <f>Calc!G18</f>
        <v/>
      </c>
      <c r="H886">
        <f>Calc!H18</f>
        <v/>
      </c>
      <c r="I886">
        <f>IF(Skills!X18&lt;&gt;"",1+(Skills!X18/10)*(Z871/1000)/100,1)</f>
        <v/>
      </c>
      <c r="J886" t="inlineStr"/>
      <c r="K886" t="inlineStr"/>
      <c r="L886" t="inlineStr"/>
      <c r="M886" t="inlineStr"/>
      <c r="N886" t="inlineStr"/>
      <c r="O886">
        <f>(1-Summary!$B$56)*S886+Summary!$B$56*U886</f>
        <v/>
      </c>
      <c r="P886">
        <f>IF(B909=0,0,O886/B909)</f>
        <v/>
      </c>
      <c r="Q886">
        <f>IFERROR(1/IF(Inputs!$B$38="pvp",15,MAX(0.1,Skills!E18-IF(Skills!F18=TRUE,Inputs!$B$32,0))),0)</f>
        <v/>
      </c>
      <c r="R886">
        <f>IF(AND(Inputs!$B$38&lt;&gt;"pvp",Inputs!$B$43&gt;0),IF(Inputs!$B$43&lt;=0,0,(INT(Inputs!$B$43/IF(Inputs!$B$38="pvp",15,MAX(0.1,Skills!E18-IF(Skills!F18=TRUE,Inputs!$B$32,0))))+1)),0)</f>
        <v/>
      </c>
      <c r="S886" t="n">
        <v>0</v>
      </c>
      <c r="U886" t="n">
        <v>0</v>
      </c>
    </row>
    <row r="887">
      <c r="A887">
        <f>Skills!A19</f>
        <v/>
      </c>
      <c r="B887">
        <f>Skills!B19</f>
        <v/>
      </c>
      <c r="C887">
        <f>Inputs!$B$3&gt;=110</f>
        <v/>
      </c>
      <c r="D887">
        <f>IF(Skills!C19=1,60+Inputs!$B$25+(Inputs!$B$29+1),IF(Skills!C19=2,90+Inputs!$B$26+(Inputs!$B$29+1),IF(Skills!C19=3,120+Inputs!$B$27+(Inputs!$B$29+1),MAX(0,(Inputs!$B$3-100)*3)+Inputs!$B$28+(Inputs!$B$29+1))))</f>
        <v/>
      </c>
      <c r="E887">
        <f>INDEX(FactorTable!$B$2:$Y$301, MATCH(ROUND(MIN(300,MAX(1,D887)),0), FactorTable!$A$2:$A$301,0), Skills!M19+1)</f>
        <v/>
      </c>
      <c r="F887">
        <f>IF(Skills!N19=TRUE,(Skills!L19/10)*(E887/1000),Skills!L19/10)+Skills!O19</f>
        <v/>
      </c>
      <c r="G887">
        <f>Calc!G19</f>
        <v/>
      </c>
      <c r="H887">
        <f>Calc!H19</f>
        <v/>
      </c>
      <c r="I887">
        <f>IF(Skills!X19&lt;&gt;"",1+(Skills!X19/10)*(Z871/1000)/100,1)</f>
        <v/>
      </c>
      <c r="J887" t="inlineStr"/>
      <c r="K887" t="inlineStr"/>
      <c r="L887" t="inlineStr"/>
      <c r="M887" t="inlineStr"/>
      <c r="N887" t="inlineStr"/>
      <c r="O887">
        <f>(1-Summary!$B$56)*S887+Summary!$B$56*U887</f>
        <v/>
      </c>
      <c r="P887">
        <f>IF(B909=0,0,O887/B909)</f>
        <v/>
      </c>
      <c r="Q887">
        <f>IFERROR(1/IF(Inputs!$B$38="pvp",15,MAX(0.1,Skills!E19-IF(Skills!F19=TRUE,Inputs!$B$32,0))),0)</f>
        <v/>
      </c>
      <c r="R887">
        <f>IF(AND(Inputs!$B$38&lt;&gt;"pvp",Inputs!$B$43&gt;0),IF(Inputs!$B$43&lt;=0,0,(INT(Inputs!$B$43/IF(Inputs!$B$38="pvp",15,MAX(0.1,Skills!E19-IF(Skills!F19=TRUE,Inputs!$B$32,0))))+1)),0)</f>
        <v/>
      </c>
      <c r="S887" t="n">
        <v>0</v>
      </c>
      <c r="U887" t="n">
        <v>0</v>
      </c>
    </row>
    <row r="888">
      <c r="A888">
        <f>Skills!A20</f>
        <v/>
      </c>
      <c r="B888">
        <f>Skills!B20</f>
        <v/>
      </c>
      <c r="C888">
        <f>TRUE</f>
        <v/>
      </c>
      <c r="D888">
        <f>IF(Skills!C20=1,60+Inputs!$B$25+(Inputs!$B$29+1),IF(Skills!C20=2,90+Inputs!$B$26+(Inputs!$B$29+1),IF(Skills!C20=3,120+Inputs!$B$27+(Inputs!$B$29+1),MAX(0,(Inputs!$B$3-100)*3)+Inputs!$B$28+(Inputs!$B$29+1))))</f>
        <v/>
      </c>
      <c r="E888">
        <f>INDEX(FactorTable!$B$2:$Y$301, MATCH(ROUND(MIN(300,MAX(1,D888)),0), FactorTable!$A$2:$A$301,0), Skills!M20+1)</f>
        <v/>
      </c>
      <c r="F888">
        <f>IF(Skills!N20=TRUE,(Skills!L20/10)*(E888/1000),Skills!L20/10)+Skills!O20</f>
        <v/>
      </c>
      <c r="G888">
        <f>Calc!G20</f>
        <v/>
      </c>
      <c r="H888">
        <f>Calc!H20</f>
        <v/>
      </c>
      <c r="I888">
        <f>IF(Skills!X20&lt;&gt;"",1+(Skills!X20/10)*(Z871/1000)/100,1)</f>
        <v/>
      </c>
      <c r="J888" t="inlineStr"/>
      <c r="K888" t="inlineStr"/>
      <c r="L888" t="inlineStr"/>
      <c r="M888" t="inlineStr"/>
      <c r="N888" t="inlineStr"/>
      <c r="O888">
        <f>(1-Summary!$B$56)*S888+Summary!$B$56*U888</f>
        <v/>
      </c>
      <c r="P888">
        <f>IF(B909=0,0,O888/B909)</f>
        <v/>
      </c>
      <c r="Q888">
        <f>IFERROR(1/IF(Inputs!$B$38="pvp",15,MAX(0.1,Skills!E20-IF(Skills!F20=TRUE,Inputs!$B$32,0))),0)</f>
        <v/>
      </c>
      <c r="R888" t="n">
        <v>0</v>
      </c>
      <c r="S888" t="n">
        <v>0</v>
      </c>
      <c r="U888" t="n">
        <v>0</v>
      </c>
    </row>
    <row r="889">
      <c r="A889">
        <f>Skills!A21</f>
        <v/>
      </c>
      <c r="B889">
        <f>Skills!B21</f>
        <v/>
      </c>
      <c r="C889">
        <f>TRUE</f>
        <v/>
      </c>
      <c r="D889">
        <f>IF(Skills!C21=1,60+Inputs!$B$25+(Inputs!$B$29+1),IF(Skills!C21=2,90+Inputs!$B$26+(Inputs!$B$29+1),IF(Skills!C21=3,120+Inputs!$B$27+(Inputs!$B$29+1),MAX(0,(Inputs!$B$3-100)*3)+Inputs!$B$28+(Inputs!$B$29+1))))</f>
        <v/>
      </c>
      <c r="E889">
        <f>INDEX(FactorTable!$B$2:$Y$301, MATCH(ROUND(MIN(300,MAX(1,D889)),0), FactorTable!$A$2:$A$301,0), Skills!M21+1)</f>
        <v/>
      </c>
      <c r="F889">
        <f>IF(Skills!N21=TRUE,(Skills!L21/10)*(E889/1000),Skills!L21/10)+Skills!O21</f>
        <v/>
      </c>
      <c r="G889">
        <f>Calc!G21</f>
        <v/>
      </c>
      <c r="H889">
        <f>Calc!H21</f>
        <v/>
      </c>
      <c r="I889">
        <f>IF(Skills!X21&lt;&gt;"",1+(Skills!X21/10)*(Z871/1000)/100,1)</f>
        <v/>
      </c>
      <c r="J889" t="inlineStr"/>
      <c r="K889" t="inlineStr"/>
      <c r="L889" t="inlineStr"/>
      <c r="M889" t="inlineStr"/>
      <c r="N889" t="inlineStr"/>
      <c r="O889">
        <f>(1-Summary!$B$56)*S889+Summary!$B$56*U889</f>
        <v/>
      </c>
      <c r="P889">
        <f>IF(B909=0,0,O889/B909)</f>
        <v/>
      </c>
      <c r="Q889">
        <f>IFERROR(1/IF(Inputs!$B$38="pvp",15,MAX(0.1,Skills!E21-IF(Skills!F21=TRUE,Inputs!$B$32,0))),0)</f>
        <v/>
      </c>
      <c r="R889" t="n">
        <v>0</v>
      </c>
      <c r="S889" t="n">
        <v>0</v>
      </c>
      <c r="U889" t="n">
        <v>0</v>
      </c>
    </row>
    <row r="890">
      <c r="A890">
        <f>Skills!A22</f>
        <v/>
      </c>
      <c r="B890">
        <f>Skills!B22</f>
        <v/>
      </c>
      <c r="C890">
        <f>TRUE</f>
        <v/>
      </c>
      <c r="D890">
        <f>IF(Skills!C22=1,60+Inputs!$B$25+(Inputs!$B$29+1),IF(Skills!C22=2,90+Inputs!$B$26+(Inputs!$B$29+1),IF(Skills!C22=3,120+Inputs!$B$27+(Inputs!$B$29+1),MAX(0,(Inputs!$B$3-100)*3)+Inputs!$B$28+(Inputs!$B$29+1))))</f>
        <v/>
      </c>
      <c r="E890">
        <f>INDEX(FactorTable!$B$2:$Y$301, MATCH(ROUND(MIN(300,MAX(1,D890)),0), FactorTable!$A$2:$A$301,0), Skills!M22+1)</f>
        <v/>
      </c>
      <c r="F890">
        <f>IF(Skills!N22=TRUE,(Skills!L22/10)*(E890/1000),Skills!L22/10)+Skills!O22</f>
        <v/>
      </c>
      <c r="G890">
        <f>Calc!G22</f>
        <v/>
      </c>
      <c r="H890">
        <f>Calc!H22</f>
        <v/>
      </c>
      <c r="I890">
        <f>IF(Skills!X22&lt;&gt;"",1+(Skills!X22/10)*(Z871/1000)/100,1)</f>
        <v/>
      </c>
      <c r="J890" t="inlineStr"/>
      <c r="K890" t="inlineStr"/>
      <c r="L890" t="inlineStr"/>
      <c r="M890" t="inlineStr"/>
      <c r="N890" t="inlineStr"/>
      <c r="O890">
        <f>(1-Summary!$B$56)*S890+Summary!$B$56*U890</f>
        <v/>
      </c>
      <c r="P890">
        <f>IF(B909=0,0,O890/B909)</f>
        <v/>
      </c>
      <c r="Q890">
        <f>IFERROR(1/IF(Inputs!$B$38="pvp",15,MAX(0.1,Skills!E22-IF(Skills!F22=TRUE,Inputs!$B$32,0))),0)</f>
        <v/>
      </c>
      <c r="R890" t="n">
        <v>0</v>
      </c>
      <c r="S890" t="n">
        <v>0</v>
      </c>
      <c r="U890" t="n">
        <v>0</v>
      </c>
    </row>
    <row r="891">
      <c r="A891">
        <f>Skills!A23</f>
        <v/>
      </c>
      <c r="B891">
        <f>Skills!B23</f>
        <v/>
      </c>
      <c r="C891">
        <f>TRUE</f>
        <v/>
      </c>
      <c r="D891">
        <f>IF(Skills!C23=1,60+Inputs!$B$25+(Inputs!$B$29+1),IF(Skills!C23=2,90+Inputs!$B$26+(Inputs!$B$29+1),IF(Skills!C23=3,120+Inputs!$B$27+(Inputs!$B$29+1),MAX(0,(Inputs!$B$3-100)*3)+Inputs!$B$28+(Inputs!$B$29+1))))</f>
        <v/>
      </c>
      <c r="E891">
        <f>INDEX(FactorTable!$B$2:$Y$301, MATCH(ROUND(MIN(300,MAX(1,D891)),0), FactorTable!$A$2:$A$301,0), Skills!M23+1)</f>
        <v/>
      </c>
      <c r="F891">
        <f>IF(Skills!N23=TRUE,(Skills!L23/10)*(E891/1000),Skills!L23/10)+Skills!O23</f>
        <v/>
      </c>
      <c r="G891">
        <f>Calc!G23</f>
        <v/>
      </c>
      <c r="H891">
        <f>Calc!H23</f>
        <v/>
      </c>
      <c r="I891">
        <f>IF(Skills!X23&lt;&gt;"",1+(Skills!X23/10)*(Z871/1000)/100,1)</f>
        <v/>
      </c>
      <c r="J891" t="inlineStr"/>
      <c r="K891" t="inlineStr"/>
      <c r="L891" t="inlineStr"/>
      <c r="M891" t="inlineStr"/>
      <c r="N891" t="inlineStr"/>
      <c r="O891">
        <f>(1-Summary!$B$56)*S891+Summary!$B$56*U891</f>
        <v/>
      </c>
      <c r="P891">
        <f>IF(B909=0,0,O891/B909)</f>
        <v/>
      </c>
      <c r="Q891">
        <f>IFERROR(1/IF(Inputs!$B$38="pvp",15,MAX(0.1,Skills!E23-IF(Skills!F23=TRUE,Inputs!$B$32,0))),0)</f>
        <v/>
      </c>
      <c r="R891" t="n">
        <v>0</v>
      </c>
      <c r="S891" t="n">
        <v>0</v>
      </c>
      <c r="U891" t="n">
        <v>0</v>
      </c>
    </row>
    <row r="892">
      <c r="A892">
        <f>Skills!A24</f>
        <v/>
      </c>
      <c r="B892">
        <f>Skills!B24</f>
        <v/>
      </c>
      <c r="C892">
        <f>Inputs!$B$3&gt;=115</f>
        <v/>
      </c>
      <c r="D892">
        <f>IF(Skills!C24=1,60+Inputs!$B$25+(Inputs!$B$29+1),IF(Skills!C24=2,90+Inputs!$B$26+(Inputs!$B$29+1),IF(Skills!C24=3,120+Inputs!$B$27+(Inputs!$B$29+1),MAX(0,(Inputs!$B$3-100)*3)+Inputs!$B$28+(Inputs!$B$29+1))))</f>
        <v/>
      </c>
      <c r="E892">
        <f>INDEX(FactorTable!$B$2:$Y$301, MATCH(ROUND(MIN(300,MAX(1,D892)),0), FactorTable!$A$2:$A$301,0), Skills!M24+1)</f>
        <v/>
      </c>
      <c r="F892">
        <f>IF(Skills!N24=TRUE,(Skills!L24/10)*(E892/1000),Skills!L24/10)+Skills!O24</f>
        <v/>
      </c>
      <c r="G892">
        <f>Calc!G24</f>
        <v/>
      </c>
      <c r="H892">
        <f>Calc!H24</f>
        <v/>
      </c>
      <c r="I892">
        <f>IF(Skills!X24&lt;&gt;"",1+(Skills!X24/10)*(Z871/1000)/100,1)</f>
        <v/>
      </c>
      <c r="J892">
        <f>((Inputs!$B$6*(1+Inputs!$B$7/100))+(((Inputs!$B$12*(1+Inputs!$B$13/100))-(Inputs!$B$12*(1+Inputs!$B$13/100)))+0.25*(Inputs!$B$14-Inputs!$B$14))*(1+Inputs!$B$7/100))*(F892/100)</f>
        <v/>
      </c>
      <c r="K892">
        <f>J892*(1+((Inputs!$B$12*(1+Inputs!$B$13/100))*0.01+Inputs!$B$14*0.0025)/100)*(1+Inputs!$B$15/100)*(1+Inputs!$B$16/100)*(5000/(6000+Inputs!$B$42*(1-Inputs!$B$19/100)))*(1+Inputs!$B$24/100)*(1+F891/100)*(1+IF(Inputs!$B$3&gt;=120,F894,0)/100)^5*(1+(IF(Skills!A24="BASIC_ATTACK",Inputs!$B$17,Inputs!$B$18+IF(Inputs!$B$3&gt;=125,F895*5,0)))/100)*(B898*B899*B900*I892)</f>
        <v/>
      </c>
      <c r="L892">
        <f>K892*(MIN(Inputs!$B$22+(F890-Calc!F22),Inputs!$B$23)/100+Inputs!$B$23/100)/2</f>
        <v/>
      </c>
      <c r="M892">
        <f>L892*(1+(Inputs!$B$10+(F889-Calc!F21))/100)</f>
        <v/>
      </c>
      <c r="N892">
        <f>L892*(1-MIN(Inputs!$B$9+(F888-Calc!F20),100)/100)+M892*(MIN(Inputs!$B$9+(F888-Calc!F20),100)/100)</f>
        <v/>
      </c>
      <c r="O892">
        <f>(1-Summary!$B$56)*S892+Summary!$B$56*U892</f>
        <v/>
      </c>
      <c r="P892">
        <f>IF(B909=0,0,O892/B909)</f>
        <v/>
      </c>
      <c r="Q892">
        <f>IFERROR(1/IF(Inputs!$B$38="pvp",15,MAX(0.1,Skills!E24-IF(Skills!F24=TRUE,Inputs!$B$32,0))),0)</f>
        <v/>
      </c>
      <c r="R892">
        <f>IF(AND(Inputs!$B$38&lt;&gt;"pvp",Inputs!$B$43&gt;0),IF(MAX(0,Inputs!$B$43-B906)&lt;=0,0,(INT(MAX(0,Inputs!$B$43-B906)/IF(Inputs!$B$38="pvp",15,MAX(0.1,Skills!E24-IF(Skills!F24=TRUE,Inputs!$B$32,0))))+1)),0)</f>
        <v/>
      </c>
      <c r="S892">
        <f>IF(C892,(H892*N892*IF(AND(Inputs!$B$38&lt;&gt;"pvp",Inputs!$B$43&gt;0),((Skills!G24*((R892-1)*IF(Skills!H24&gt;0,Skills!I24/Skills!H24,1)+IF(Skills!H24&gt;0,MIN(Skills!I24,MAX(0,MAX(0,Inputs!$B$43-B906)-((R892-1)*IF(Inputs!$B$38="pvp",15,MAX(0.1,Skills!E24-IF(Skills!F24=TRUE,Inputs!$B$32,0))))))/Skills!H24,1)))/Inputs!$B$43),G892*Q892)*(1+IF(Inputs!$B$3&gt;=130,0.2*(Skills!I16/Skills!E15+IF(Inputs!$B$3&gt;=126,0.05*(B904+Q881+(H882*B905)/(1+Skills!H14*H882*B905)+Q892),0)*Skills!I16),0)))*IF(Inputs!$B$38="pvp",1,1+(Inputs!$B$20+Skills!P24)/100),0)</f>
        <v/>
      </c>
      <c r="U892">
        <f>IF(C892,(H892*N892*IF(AND(Inputs!$B$38&lt;&gt;"pvp",Inputs!$B$43&gt;0),((Skills!G24*((R892-1)*IF(Skills!H24&gt;0,Skills!I24/Skills!H24,1)+IF(Skills!H24&gt;0,MIN(Skills!I24,MAX(0,MAX(0,Inputs!$B$43-B906)-((R892-1)*IF(Inputs!$B$38="pvp",15,MAX(0.1,Skills!E24-IF(Skills!F24=TRUE,Inputs!$B$32,0))))))/Skills!H24,1)))/Inputs!$B$43),G892*Q892)*(1+IF(Inputs!$B$3&gt;=130,0.2*(Skills!I16/Skills!E15+IF(Inputs!$B$3&gt;=126,0.05*(B904+Q881+(H882*B905)/(1+Skills!H14*H882*B905)+Q892),0)*Skills!I16),0)))*IF(Inputs!$B$38="pvp",1,(1+(Inputs!$B$21+Skills!Q24)/100)*(MIN(Skills!R24,Inputs!$B$37))),0)</f>
        <v/>
      </c>
    </row>
    <row r="893">
      <c r="A893">
        <f>Skills!A25</f>
        <v/>
      </c>
      <c r="B893">
        <f>Skills!B25</f>
        <v/>
      </c>
      <c r="C893">
        <f>Inputs!$B$3&gt;=117</f>
        <v/>
      </c>
      <c r="D893">
        <f>IF(Skills!C25=1,60+Inputs!$B$25+(Inputs!$B$29+1),IF(Skills!C25=2,90+Inputs!$B$26+(Inputs!$B$29+1),IF(Skills!C25=3,120+Inputs!$B$27+(Inputs!$B$29+1),MAX(0,(Inputs!$B$3-100)*3)+Inputs!$B$28+(Inputs!$B$29+1))))</f>
        <v/>
      </c>
      <c r="E893">
        <f>INDEX(FactorTable!$B$2:$Y$301, MATCH(ROUND(MIN(300,MAX(1,D893)),0), FactorTable!$A$2:$A$301,0), Skills!M25+1)</f>
        <v/>
      </c>
      <c r="F893">
        <f>IF(Skills!N25=TRUE,(Skills!L25/10)*(E893/1000),Skills!L25/10)+Skills!O25</f>
        <v/>
      </c>
      <c r="G893">
        <f>Calc!G25</f>
        <v/>
      </c>
      <c r="H893">
        <f>Calc!H25</f>
        <v/>
      </c>
      <c r="I893">
        <f>IF(Skills!X25&lt;&gt;"",1+(Skills!X25/10)*(Z871/1000)/100,1)</f>
        <v/>
      </c>
      <c r="J893" t="inlineStr"/>
      <c r="K893" t="inlineStr"/>
      <c r="L893" t="inlineStr"/>
      <c r="M893" t="inlineStr"/>
      <c r="N893" t="inlineStr"/>
      <c r="O893">
        <f>(1-Summary!$B$56)*S893+Summary!$B$56*U893</f>
        <v/>
      </c>
      <c r="P893">
        <f>IF(B909=0,0,O893/B909)</f>
        <v/>
      </c>
      <c r="Q893">
        <f>IFERROR(1/IF(Inputs!$B$38="pvp",15,MAX(0.1,Skills!E25-IF(Skills!F25=TRUE,Inputs!$B$32,0))),0)</f>
        <v/>
      </c>
      <c r="R893" t="n">
        <v>0</v>
      </c>
      <c r="S893" t="n">
        <v>0</v>
      </c>
      <c r="U893" t="n">
        <v>0</v>
      </c>
    </row>
    <row r="894">
      <c r="A894">
        <f>Skills!A26</f>
        <v/>
      </c>
      <c r="B894">
        <f>Skills!B26</f>
        <v/>
      </c>
      <c r="C894">
        <f>Inputs!$B$3&gt;=120</f>
        <v/>
      </c>
      <c r="D894">
        <f>IF(Skills!C26=1,60+Inputs!$B$25+(Inputs!$B$29+1),IF(Skills!C26=2,90+Inputs!$B$26+(Inputs!$B$29+1),IF(Skills!C26=3,120+Inputs!$B$27+(Inputs!$B$29+1),MAX(0,(Inputs!$B$3-100)*3)+Inputs!$B$28+(Inputs!$B$29+1))))</f>
        <v/>
      </c>
      <c r="E894">
        <f>INDEX(FactorTable!$B$2:$Y$301, MATCH(ROUND(MIN(300,MAX(1,D894)),0), FactorTable!$A$2:$A$301,0), Skills!M26+1)</f>
        <v/>
      </c>
      <c r="F894">
        <f>IF(Skills!N26=TRUE,(Skills!L26/10)*(E894/1000),Skills!L26/10)+Skills!O26</f>
        <v/>
      </c>
      <c r="G894">
        <f>Calc!G26</f>
        <v/>
      </c>
      <c r="H894">
        <f>Calc!H26</f>
        <v/>
      </c>
      <c r="I894">
        <f>IF(Skills!X26&lt;&gt;"",1+(Skills!X26/10)*(Z871/1000)/100,1)</f>
        <v/>
      </c>
      <c r="J894" t="inlineStr"/>
      <c r="K894" t="inlineStr"/>
      <c r="L894" t="inlineStr"/>
      <c r="M894" t="inlineStr"/>
      <c r="N894" t="inlineStr"/>
      <c r="O894">
        <f>(1-Summary!$B$56)*S894+Summary!$B$56*U894</f>
        <v/>
      </c>
      <c r="P894">
        <f>IF(B909=0,0,O894/B909)</f>
        <v/>
      </c>
      <c r="Q894">
        <f>IFERROR(1/IF(Inputs!$B$38="pvp",15,MAX(0.1,Skills!E26-IF(Skills!F26=TRUE,Inputs!$B$32,0))),0)</f>
        <v/>
      </c>
      <c r="R894" t="n">
        <v>0</v>
      </c>
      <c r="S894" t="n">
        <v>0</v>
      </c>
      <c r="U894" t="n">
        <v>0</v>
      </c>
    </row>
    <row r="895">
      <c r="A895">
        <f>Skills!A27</f>
        <v/>
      </c>
      <c r="B895">
        <f>Skills!B27</f>
        <v/>
      </c>
      <c r="C895">
        <f>Inputs!$B$3&gt;=125</f>
        <v/>
      </c>
      <c r="D895">
        <f>IF(Skills!C27=1,60+Inputs!$B$25+(Inputs!$B$29+1),IF(Skills!C27=2,90+Inputs!$B$26+(Inputs!$B$29+1),IF(Skills!C27=3,120+Inputs!$B$27+(Inputs!$B$29+1),MAX(0,(Inputs!$B$3-100)*3)+Inputs!$B$28+(Inputs!$B$29+1))))</f>
        <v/>
      </c>
      <c r="E895">
        <f>INDEX(FactorTable!$B$2:$Y$301, MATCH(ROUND(MIN(300,MAX(1,D895)),0), FactorTable!$A$2:$A$301,0), Skills!M27+1)</f>
        <v/>
      </c>
      <c r="F895">
        <f>IF(Skills!N27=TRUE,(Skills!L27/10)*(E895/1000),Skills!L27/10)+Skills!O27</f>
        <v/>
      </c>
      <c r="G895">
        <f>Calc!G27</f>
        <v/>
      </c>
      <c r="H895">
        <f>Calc!H27</f>
        <v/>
      </c>
      <c r="I895">
        <f>IF(Skills!X27&lt;&gt;"",1+(Skills!X27/10)*(Z871/1000)/100,1)</f>
        <v/>
      </c>
      <c r="J895" t="inlineStr"/>
      <c r="K895" t="inlineStr"/>
      <c r="L895" t="inlineStr"/>
      <c r="M895" t="inlineStr"/>
      <c r="N895" t="inlineStr"/>
      <c r="O895">
        <f>(1-Summary!$B$56)*S895+Summary!$B$56*U895</f>
        <v/>
      </c>
      <c r="P895">
        <f>IF(B909=0,0,O895/B909)</f>
        <v/>
      </c>
      <c r="Q895">
        <f>IFERROR(1/IF(Inputs!$B$38="pvp",15,MAX(0.1,Skills!E27-IF(Skills!F27=TRUE,Inputs!$B$32,0))),0)</f>
        <v/>
      </c>
      <c r="R895" t="n">
        <v>0</v>
      </c>
      <c r="S895" t="n">
        <v>0</v>
      </c>
      <c r="U895" t="n">
        <v>0</v>
      </c>
    </row>
    <row r="896">
      <c r="A896">
        <f>Skills!A28</f>
        <v/>
      </c>
      <c r="B896">
        <f>Skills!B28</f>
        <v/>
      </c>
      <c r="C896">
        <f>Inputs!$B$3&gt;=118</f>
        <v/>
      </c>
      <c r="D896">
        <f>IF(Skills!C28=1,60+Inputs!$B$25+(Inputs!$B$29+1),IF(Skills!C28=2,90+Inputs!$B$26+(Inputs!$B$29+1),IF(Skills!C28=3,120+Inputs!$B$27+(Inputs!$B$29+1),MAX(0,(Inputs!$B$3-100)*3)+Inputs!$B$28+(Inputs!$B$29+1))))</f>
        <v/>
      </c>
      <c r="E896">
        <f>INDEX(FactorTable!$B$2:$Y$301, MATCH(ROUND(MIN(300,MAX(1,D896)),0), FactorTable!$A$2:$A$301,0), Skills!M28+1)</f>
        <v/>
      </c>
      <c r="F896">
        <f>IF(Skills!N28=TRUE,(Skills!L28/10)*(E896/1000),Skills!L28/10)+Skills!O28</f>
        <v/>
      </c>
      <c r="G896">
        <f>Calc!G28</f>
        <v/>
      </c>
      <c r="H896">
        <f>Calc!H28</f>
        <v/>
      </c>
      <c r="I896">
        <f>IF(Skills!X28&lt;&gt;"",1+(Skills!X28/10)*(Z871/1000)/100,1)</f>
        <v/>
      </c>
      <c r="J896">
        <f>((Inputs!$B$6*(1+Inputs!$B$7/100))+(((Inputs!$B$12*(1+Inputs!$B$13/100))-(Inputs!$B$12*(1+Inputs!$B$13/100)))+0.25*(Inputs!$B$14-Inputs!$B$14))*(1+Inputs!$B$7/100))*(F896/100)</f>
        <v/>
      </c>
      <c r="K896">
        <f>J896*(1+((Inputs!$B$12*(1+Inputs!$B$13/100))*0.01+Inputs!$B$14*0.0025)/100)*(1+Inputs!$B$15/100)*(1+Inputs!$B$16/100)*(5000/(6000+Inputs!$B$42*(1-Inputs!$B$19/100)))*(1+Inputs!$B$24/100)*(1+F891/100)*(1+IF(Inputs!$B$3&gt;=120,F894,0)/100)^5*(1+(IF(Skills!A28="BASIC_ATTACK",Inputs!$B$17,Inputs!$B$18+IF(Inputs!$B$3&gt;=125,F895*5,0)))/100)*(B898*B899*B900*I896)</f>
        <v/>
      </c>
      <c r="L896">
        <f>K896*(MIN(Inputs!$B$22+(F890-Calc!F22),Inputs!$B$23)/100+Inputs!$B$23/100)/2</f>
        <v/>
      </c>
      <c r="M896">
        <f>L896*(1+(Inputs!$B$10+(F889-Calc!F21))/100)</f>
        <v/>
      </c>
      <c r="N896">
        <f>L896*(1-MIN(Inputs!$B$9+(F888-Calc!F20),100)/100)+M896*(MIN(Inputs!$B$9+(F888-Calc!F20),100)/100)</f>
        <v/>
      </c>
      <c r="O896">
        <f>(1-Summary!$B$56)*S896+Summary!$B$56*U896</f>
        <v/>
      </c>
      <c r="P896">
        <f>IF(B909=0,0,O896/B909)</f>
        <v/>
      </c>
      <c r="Q896">
        <f>IFERROR(1/IF(Inputs!$B$38="pvp",15,MAX(0.1,Skills!E28-IF(Skills!F28=TRUE,Inputs!$B$32,0))),0)</f>
        <v/>
      </c>
      <c r="R896">
        <f>IF(AND(Inputs!$B$38&lt;&gt;"pvp",Inputs!$B$43&gt;0),IF(MAX(0,Inputs!$B$43-B906)&lt;=0,0,(INT(MAX(0,Inputs!$B$43-B906)/IF(Inputs!$B$38="pvp",15,MAX(0.1,Skills!E28-IF(Skills!F28=TRUE,Inputs!$B$32,0))))+1)),0)</f>
        <v/>
      </c>
      <c r="S896">
        <f>IF(C896,(H896*N896*IF(AND(Inputs!$B$38&lt;&gt;"pvp",Inputs!$B$43&gt;0),((Skills!G28*((R896-1)*IF(Skills!H28&gt;0,Skills!I28/Skills!H28,1)+IF(Skills!H28&gt;0,MIN(Skills!I28,MAX(0,MAX(0,Inputs!$B$43-B906)-((R896-1)*IF(Inputs!$B$38="pvp",15,MAX(0.1,Skills!E28-IF(Skills!F28=TRUE,Inputs!$B$32,0))))))/Skills!H28,1)))/Inputs!$B$43),G896*Q896))*IF(Inputs!$B$38="pvp",1,1+(Inputs!$B$20+Skills!P28)/100),0)</f>
        <v/>
      </c>
      <c r="U896">
        <f>IF(C896,(H896*N896*IF(AND(Inputs!$B$38&lt;&gt;"pvp",Inputs!$B$43&gt;0),((Skills!G28*((R896-1)*IF(Skills!H28&gt;0,Skills!I28/Skills!H28,1)+IF(Skills!H28&gt;0,MIN(Skills!I28,MAX(0,MAX(0,Inputs!$B$43-B906)-((R896-1)*IF(Inputs!$B$38="pvp",15,MAX(0.1,Skills!E28-IF(Skills!F28=TRUE,Inputs!$B$32,0))))))/Skills!H28,1)))/Inputs!$B$43),G896*Q896))*IF(Inputs!$B$38="pvp",1,(1+(Inputs!$B$21+Skills!Q28)/100)*(MIN(Skills!R28,Inputs!$B$37))),0)</f>
        <v/>
      </c>
    </row>
    <row r="898">
      <c r="A898" t="inlineStr">
        <is>
          <t>Burning Magic Multiplier</t>
        </is>
      </c>
      <c r="B898">
        <f>1+(F879*Skills!Z11)/100</f>
        <v/>
      </c>
    </row>
    <row r="899">
      <c r="A899" t="inlineStr">
        <is>
          <t>Elemental Decrease Multiplier (always-on)</t>
        </is>
      </c>
      <c r="B899">
        <f>1+F880/100</f>
        <v/>
      </c>
    </row>
    <row r="900">
      <c r="A900" t="inlineStr">
        <is>
          <t>Average Buff Multiplier (Magic Guard + Meditation, summed; then Infinity)</t>
        </is>
      </c>
      <c r="B900">
        <f>(1+(F874*IF(AND(Inputs!$B$38&lt;&gt;"pvp",Inputs!$B$43&gt;0),(((R874-1)*(Skills!T6*(1+(Inputs!$B$34+IF(Inputs!$B$3&gt;=117,F893,0))/100))+MIN((Skills!T6*(1+(Inputs!$B$34+IF(Inputs!$B$3&gt;=117,F893,0))/100)),MAX(0,Inputs!$B$43-((R874-1)*Skills!E6))))/Inputs!$B$43),IF(Inputs!$B$38="pvp",MIN((Skills!T6*(1+(Inputs!$B$34+IF(Inputs!$B$3&gt;=117,F893,0))/100)),15)/15,(Skills!T6*(1+(Inputs!$B$34+IF(Inputs!$B$3&gt;=117,F893,0))/100))/Skills!E6))+F885*IF(AND(Inputs!$B$38&lt;&gt;"pvp",Inputs!$B$43&gt;0),(((R885-1)*(Skills!T17*(1+(Inputs!$B$34+IF(Inputs!$B$3&gt;=117,F893,0))/100))+MIN((Skills!T17*(1+(Inputs!$B$34+IF(Inputs!$B$3&gt;=117,F893,0))/100)),MAX(0,Inputs!$B$43-((R885-1)*Skills!E17))))/Inputs!$B$43),IF(Inputs!$B$38="pvp",MIN((Skills!T17*(1+(Inputs!$B$34+IF(Inputs!$B$3&gt;=117,F893,0))/100)),15)/15,(Skills!T17*(1+(Inputs!$B$34+IF(Inputs!$B$3&gt;=117,F893,0))/100))/Skills!E17)))/100)*IF(C887=TRUE,(1+F887*IF(AND(Inputs!$B$38&lt;&gt;"pvp",Inputs!$B$43&gt;0),(((R887-1)*(Skills!T19*(1+(Inputs!$B$34+IF(Inputs!$B$3&gt;=117,F893,0))/100))+MIN((Skills!T19*(1+(Inputs!$B$34+IF(Inputs!$B$3&gt;=117,F893,0))/100)),MAX(0,Inputs!$B$43-((R887-1)*Skills!E19))))/Inputs!$B$43),IF(Inputs!$B$38="pvp",MIN((Skills!T19*(1+(Inputs!$B$34+IF(Inputs!$B$3&gt;=117,F893,0))/100)),15)/15,(Skills!T19*(1+(Inputs!$B$34+IF(Inputs!$B$3&gt;=117,F893,0))/100))/Skills!E19))/100),1)</f>
        <v/>
      </c>
    </row>
    <row r="901">
      <c r="A901" t="inlineStr">
        <is>
          <t>Attack Speed Buff Bonus % (Nimble Feet, averaged)</t>
        </is>
      </c>
      <c r="B901">
        <f>F886*IF(AND(Inputs!$B$38&lt;&gt;"pvp",Inputs!$B$43&gt;0),(((R886-1)*(Skills!T18*(1+(Inputs!$B$34+IF(Inputs!$B$3&gt;=117,F893,0))/100))+MIN((Skills!T18*(1+(Inputs!$B$34+IF(Inputs!$B$3&gt;=117,F893,0))/100)),MAX(0,Inputs!$B$43-((R886-1)*Skills!E18))))/Inputs!$B$43),IF(Inputs!$B$38="pvp",MIN((Skills!T18*(1+(Inputs!$B$34+IF(Inputs!$B$3&gt;=117,F893,0))/100)),15)/15,(Skills!T18*(1+(Inputs!$B$34+IF(Inputs!$B$3&gt;=117,F893,0))/100))/Skills!E18))</f>
        <v/>
      </c>
    </row>
    <row r="902">
      <c r="A902" t="inlineStr">
        <is>
          <t>Actions Per Second</t>
        </is>
      </c>
      <c r="B902">
        <f>1+MIN(150,150*(1-(1-Inputs!$B$11/150)*(1-B901/150)))/100</f>
        <v/>
      </c>
    </row>
    <row r="903">
      <c r="A903" t="inlineStr">
        <is>
          <t>Skill + Buff Cast Rate</t>
        </is>
      </c>
      <c r="B903">
        <f>IF(AND(Inputs!$B$38&lt;&gt;"pvp",Inputs!$B$43&gt;0),SUMPRODUCT((Skills!F2:F28=TRUE)*(C870:C896=TRUE)*R870:R896)/Inputs!$B$43,SUMPRODUCT((Skills!F2:F28=TRUE)*(C870:C896=TRUE)*Q870:Q896))</f>
        <v/>
      </c>
    </row>
    <row r="904">
      <c r="A904" t="inlineStr">
        <is>
          <t>Basic Attacks Per Second</t>
        </is>
      </c>
      <c r="B904">
        <f>MAX(0,B902-B903)</f>
        <v/>
      </c>
    </row>
    <row r="905">
      <c r="A905" t="inlineStr">
        <is>
          <t>Meteor Proc — combined trigger cast rate</t>
        </is>
      </c>
      <c r="B905">
        <f>IF(AND(Inputs!$B$38&lt;&gt;"pvp",Inputs!$B$43&gt;0),SUMPRODUCT((Skills!V2:V28=TRUE)*(C870:C896=TRUE)*R870:R896*Skills!W2:W28)/Inputs!$B$43,SUMPRODUCT((Skills!V2:V28=TRUE)*(C870:C896=TRUE)*Q870:Q896*Skills!W2:W28))+B904</f>
        <v/>
      </c>
    </row>
    <row r="906">
      <c r="A906" t="inlineStr">
        <is>
          <t>Buff-Casting Startup Delay (s, fixed-duration only)</t>
        </is>
      </c>
      <c r="B906">
        <f>IF(AND(Inputs!$B$38&lt;&gt;"pvp",Inputs!$B$43&gt;0),SUMPRODUCT((Skills!T2:T28&gt;0)*(Skills!F2:F28=TRUE)*(C870:C896=TRUE))/B902,0)</f>
        <v/>
      </c>
    </row>
    <row r="907">
      <c r="A907" t="inlineStr">
        <is>
          <t>Boss-Only Total DPS (this block's swept value)</t>
        </is>
      </c>
      <c r="B907">
        <f>SUM(S870:S896)</f>
        <v/>
      </c>
    </row>
    <row r="908">
      <c r="A908" t="inlineStr">
        <is>
          <t>Normal-Only Total DPS (this block's swept value)</t>
        </is>
      </c>
      <c r="B908">
        <f>SUM(U870:U896)</f>
        <v/>
      </c>
    </row>
    <row r="909">
      <c r="A909" s="5" t="inlineStr">
        <is>
          <t>TOTAL DPS</t>
        </is>
      </c>
      <c r="B909" s="5">
        <f>SUM(O870:O896)</f>
        <v/>
      </c>
    </row>
    <row r="912">
      <c r="A912" s="5" t="inlineStr">
        <is>
          <t>Stat: Flat ATTACK</t>
        </is>
      </c>
    </row>
    <row r="913">
      <c r="A913" s="9" t="inlineStr">
        <is>
          <t>Key</t>
        </is>
      </c>
      <c r="B913" s="9" t="inlineStr">
        <is>
          <t>Name</t>
        </is>
      </c>
      <c r="C913" s="9" t="inlineStr">
        <is>
          <t>Unlocked</t>
        </is>
      </c>
      <c r="D913" s="9" t="inlineStr">
        <is>
          <t>InputLevel</t>
        </is>
      </c>
      <c r="E913" s="9" t="inlineStr">
        <is>
          <t>Factor</t>
        </is>
      </c>
      <c r="F913" s="9" t="inlineStr">
        <is>
          <t>CoefficientPercent</t>
        </is>
      </c>
      <c r="G913" s="9" t="inlineStr">
        <is>
          <t>EffectiveHits</t>
        </is>
      </c>
      <c r="H913" s="9" t="inlineStr">
        <is>
          <t>ProcProbability</t>
        </is>
      </c>
      <c r="I913" s="9" t="inlineStr">
        <is>
          <t>MapleHeroMultiplier</t>
        </is>
      </c>
      <c r="J913" s="9" t="inlineStr">
        <is>
          <t>BaseDamage</t>
        </is>
      </c>
      <c r="K913" s="9" t="inlineStr">
        <is>
          <t>BaseHitDamage</t>
        </is>
      </c>
      <c r="L913" s="9" t="inlineStr">
        <is>
          <t>NonCritAvg</t>
        </is>
      </c>
      <c r="M913" s="9" t="inlineStr">
        <is>
          <t>CritAvg</t>
        </is>
      </c>
      <c r="N913" s="9" t="inlineStr">
        <is>
          <t>ExpectedDamage(perHit)</t>
        </is>
      </c>
      <c r="O913" s="9" t="inlineStr">
        <is>
          <t>DPS</t>
        </is>
      </c>
      <c r="P913" s="9" t="inlineStr">
        <is>
          <t>% of Total</t>
        </is>
      </c>
      <c r="R913" t="inlineStr">
        <is>
          <t>helpers</t>
        </is>
      </c>
    </row>
    <row r="914">
      <c r="A914">
        <f>Skills!A2</f>
        <v/>
      </c>
      <c r="B914">
        <f>Skills!B2</f>
        <v/>
      </c>
      <c r="C914">
        <f>TRUE</f>
        <v/>
      </c>
      <c r="D914" t="inlineStr"/>
      <c r="E914" t="inlineStr"/>
      <c r="F914">
        <f>T916+Skills!O2</f>
        <v/>
      </c>
      <c r="G914">
        <f>Calc!G2</f>
        <v/>
      </c>
      <c r="H914">
        <f>Calc!H2</f>
        <v/>
      </c>
      <c r="I914">
        <f>IF(Skills!X2&lt;&gt;"",1+(Skills!X2/10)*(Z915/1000)/100,1)</f>
        <v/>
      </c>
      <c r="J914">
        <f>(((Inputs!$B$6+1)*(1+Inputs!$B$7/100))+(((Inputs!$B$12*(1+Inputs!$B$13/100))-(Inputs!$B$12*(1+Inputs!$B$13/100)))+0.25*(Inputs!$B$14-Inputs!$B$14))*(1+Inputs!$B$7/100))*(F914/100)</f>
        <v/>
      </c>
      <c r="K914">
        <f>J914*(1+((Inputs!$B$12*(1+Inputs!$B$13/100))*0.01+Inputs!$B$14*0.0025)/100)*(1+Inputs!$B$15/100)*(1+Inputs!$B$16/100)*(5000/(6000+Inputs!$B$42*(1-Inputs!$B$19/100)))*(1+Inputs!$B$24/100)*(1+F935/100)*(1+IF(Inputs!$B$3&gt;=120,F938,0)/100)^5*(1+(IF(Skills!A2="BASIC_ATTACK",Inputs!$B$17,Inputs!$B$18+IF(Inputs!$B$3&gt;=125,F939*5,0)))/100)*(B942*B943*B944*I914)</f>
        <v/>
      </c>
      <c r="L914">
        <f>K914*(MIN(Inputs!$B$22+(F934-Calc!F22),Inputs!$B$23)/100+Inputs!$B$23/100)/2</f>
        <v/>
      </c>
      <c r="M914">
        <f>L914*(1+(Inputs!$B$10+(F933-Calc!F21))/100)</f>
        <v/>
      </c>
      <c r="N914">
        <f>L914*(1-MIN(Inputs!$B$9+(F932-Calc!F20),100)/100)+M914*(MIN(Inputs!$B$9+(F932-Calc!F20),100)/100)</f>
        <v/>
      </c>
      <c r="O914">
        <f>(1-Summary!$B$56)*S914+Summary!$B$56*U914</f>
        <v/>
      </c>
      <c r="P914">
        <f>IF(B953=0,0,O914/B953)</f>
        <v/>
      </c>
      <c r="Q914">
        <f>IFERROR(1/IF(Inputs!$B$38="pvp",15,MAX(0.1,Skills!E2-IF(Skills!F2=TRUE,Inputs!$B$32,0))),0)</f>
        <v/>
      </c>
      <c r="R914" t="n">
        <v>0</v>
      </c>
      <c r="S914">
        <f>(Skills!G2*N914*B948)*IF(Inputs!$B$38="pvp",1,1+(Inputs!$B$20+Skills!P2)/100)</f>
        <v/>
      </c>
      <c r="T914">
        <f>MAX(0,(Inputs!$B$3-100)*3)+Inputs!$B$28+Inputs!$B$29</f>
        <v/>
      </c>
      <c r="U914">
        <f>(Skills!G2*N914*B948)*IF(Inputs!$B$38="pvp",1,(1+(Inputs!$B$21+Skills!Q2)/100)*(MIN((6+Inputs!$B$33+IF(Inputs!$B$3&gt;=136,1,0)),Inputs!$B$37)))</f>
        <v/>
      </c>
      <c r="Z914">
        <f>MAX(0,(Inputs!$B$3-100)*3)+Inputs!$B$28+Inputs!$B$29</f>
        <v/>
      </c>
    </row>
    <row r="915">
      <c r="A915">
        <f>Skills!A3</f>
        <v/>
      </c>
      <c r="B915">
        <f>Skills!B3</f>
        <v/>
      </c>
      <c r="C915">
        <f>TRUE</f>
        <v/>
      </c>
      <c r="D915">
        <f>IF(Skills!C3=1,60+Inputs!$B$25+Inputs!$B$29,IF(Skills!C3=2,90+Inputs!$B$26+Inputs!$B$29,IF(Skills!C3=3,120+Inputs!$B$27+Inputs!$B$29,MAX(0,(Inputs!$B$3-100)*3)+Inputs!$B$28+Inputs!$B$29)))</f>
        <v/>
      </c>
      <c r="E915">
        <f>INDEX(FactorTable!$B$2:$Y$301, MATCH(ROUND(MIN(300,MAX(1,D915)),0), FactorTable!$A$2:$A$301,0), Skills!M3+1)</f>
        <v/>
      </c>
      <c r="F915">
        <f>IF(Skills!N3=TRUE,(Skills!L3/10)*(E915/1000),Skills!L3/10)+Skills!O3</f>
        <v/>
      </c>
      <c r="G915">
        <f>Calc!G3</f>
        <v/>
      </c>
      <c r="H915">
        <f>Calc!H3</f>
        <v/>
      </c>
      <c r="I915">
        <f>IF(Skills!X3&lt;&gt;"",1+(Skills!X3/10)*(Z915/1000)/100,1)</f>
        <v/>
      </c>
      <c r="J915">
        <f>(((Inputs!$B$6+1)*(1+Inputs!$B$7/100))+(((Inputs!$B$12*(1+Inputs!$B$13/100))-(Inputs!$B$12*(1+Inputs!$B$13/100)))+0.25*(Inputs!$B$14-Inputs!$B$14))*(1+Inputs!$B$7/100))*(F915/100)</f>
        <v/>
      </c>
      <c r="K915">
        <f>J915*(1+((Inputs!$B$12*(1+Inputs!$B$13/100))*0.01+Inputs!$B$14*0.0025)/100)*(1+Inputs!$B$15/100)*(1+Inputs!$B$16/100)*(5000/(6000+Inputs!$B$42*(1-Inputs!$B$19/100)))*(1+Inputs!$B$24/100)*(1+F935/100)*(1+IF(Inputs!$B$3&gt;=120,F938,0)/100)^5*(1+(IF(Skills!A3="BASIC_ATTACK",Inputs!$B$17,Inputs!$B$18+IF(Inputs!$B$3&gt;=125,F939*5,0)))/100)*(B942*B943*B944*I915)</f>
        <v/>
      </c>
      <c r="L915">
        <f>K915*(MIN(Inputs!$B$22+(F934-Calc!F22),Inputs!$B$23)/100+Inputs!$B$23/100)/2</f>
        <v/>
      </c>
      <c r="M915">
        <f>L915*(1+(Inputs!$B$10+(F933-Calc!F21))/100)</f>
        <v/>
      </c>
      <c r="N915">
        <f>L915*(1-MIN(Inputs!$B$9+(F932-Calc!F20),100)/100)+M915*(MIN(Inputs!$B$9+(F932-Calc!F20),100)/100)</f>
        <v/>
      </c>
      <c r="O915">
        <f>(1-Summary!$B$56)*S915+Summary!$B$56*U915</f>
        <v/>
      </c>
      <c r="P915">
        <f>IF(B953=0,0,O915/B953)</f>
        <v/>
      </c>
      <c r="Q915">
        <f>IFERROR(1/IF(Inputs!$B$38="pvp",15,MAX(0.1,Skills!E3-IF(Skills!F3=TRUE,Inputs!$B$32,0))),0)</f>
        <v/>
      </c>
      <c r="R915">
        <f>IF(AND(Inputs!$B$38&lt;&gt;"pvp",Inputs!$B$43&gt;0),IF(MAX(0,Inputs!$B$43-B950)&lt;=0,0,(INT(MAX(0,Inputs!$B$43-B950)/IF(Inputs!$B$38="pvp",15,MAX(0.1,Skills!E3-IF(Skills!F3=TRUE,Inputs!$B$32,0))))+1)),0)</f>
        <v/>
      </c>
      <c r="S915">
        <f>IF(C915,(H915*N915*IF(AND(Inputs!$B$38&lt;&gt;"pvp",Inputs!$B$43&gt;0),((Skills!G3*((R915-1)*IF(Skills!H3&gt;0,Skills!I3/Skills!H3,1)+IF(Skills!H3&gt;0,MIN(Skills!I3,MAX(0,MAX(0,Inputs!$B$43-B950)-((R915-1)*IF(Inputs!$B$38="pvp",15,MAX(0.1,Skills!E3-IF(Skills!F3=TRUE,Inputs!$B$32,0))))))/Skills!H3,1)))/Inputs!$B$43),G915*Q915))*IF(Inputs!$B$38="pvp",1,1+(Inputs!$B$20+Skills!P3)/100),0)</f>
        <v/>
      </c>
      <c r="T915">
        <f>INDEX(FactorTable!$B$2:$Y$301, MATCH(ROUND(MIN(300,MAX(1,T914)),0), FactorTable!$A$2:$A$301,0), 22)</f>
        <v/>
      </c>
      <c r="U915">
        <f>IF(C915,(H915*N915*IF(AND(Inputs!$B$38&lt;&gt;"pvp",Inputs!$B$43&gt;0),((Skills!G3*((R915-1)*IF(Skills!H3&gt;0,Skills!I3/Skills!H3,1)+IF(Skills!H3&gt;0,MIN(Skills!I3,MAX(0,MAX(0,Inputs!$B$43-B950)-((R915-1)*IF(Inputs!$B$38="pvp",15,MAX(0.1,Skills!E3-IF(Skills!F3=TRUE,Inputs!$B$32,0))))))/Skills!H3,1)))/Inputs!$B$43),G915*Q915))*IF(Inputs!$B$38="pvp",1,(1+(Inputs!$B$21+Skills!Q3)/100)*(MIN(Skills!R3,Inputs!$B$37))),0)</f>
        <v/>
      </c>
      <c r="Z915">
        <f>INDEX(FactorTable!$B$2:$Y$301, MATCH(ROUND(MIN(300,MAX(1,Z914)),0), FactorTable!$A$2:$A$301,0), 24)</f>
        <v/>
      </c>
    </row>
    <row r="916">
      <c r="A916">
        <f>Skills!A4</f>
        <v/>
      </c>
      <c r="B916">
        <f>Skills!B4</f>
        <v/>
      </c>
      <c r="C916">
        <f>TRUE</f>
        <v/>
      </c>
      <c r="D916">
        <f>IF(Skills!C4=1,60+Inputs!$B$25+Inputs!$B$29,IF(Skills!C4=2,90+Inputs!$B$26+Inputs!$B$29,IF(Skills!C4=3,120+Inputs!$B$27+Inputs!$B$29,MAX(0,(Inputs!$B$3-100)*3)+Inputs!$B$28+Inputs!$B$29)))</f>
        <v/>
      </c>
      <c r="E916">
        <f>INDEX(FactorTable!$B$2:$Y$301, MATCH(ROUND(MIN(300,MAX(1,D916)),0), FactorTable!$A$2:$A$301,0), Skills!M4+1)</f>
        <v/>
      </c>
      <c r="F916">
        <f>IF(Skills!N4=TRUE,(Skills!L4/10)*(E916/1000),Skills!L4/10)+Skills!O4</f>
        <v/>
      </c>
      <c r="G916">
        <f>Calc!G4</f>
        <v/>
      </c>
      <c r="H916">
        <f>Calc!H4</f>
        <v/>
      </c>
      <c r="I916">
        <f>IF(Skills!X4&lt;&gt;"",1+(Skills!X4/10)*(Z915/1000)/100,1)</f>
        <v/>
      </c>
      <c r="J916">
        <f>(((Inputs!$B$6+1)*(1+Inputs!$B$7/100))+(((Inputs!$B$12*(1+Inputs!$B$13/100))-(Inputs!$B$12*(1+Inputs!$B$13/100)))+0.25*(Inputs!$B$14-Inputs!$B$14))*(1+Inputs!$B$7/100))*(F916/100)</f>
        <v/>
      </c>
      <c r="K916">
        <f>J916*(1+((Inputs!$B$12*(1+Inputs!$B$13/100))*0.01+Inputs!$B$14*0.0025)/100)*(1+Inputs!$B$15/100)*(1+Inputs!$B$16/100)*(5000/(6000+Inputs!$B$42*(1-Inputs!$B$19/100)))*(1+Inputs!$B$24/100)*(1+F935/100)*(1+IF(Inputs!$B$3&gt;=120,F938,0)/100)^5*(1+(IF(Skills!A4="BASIC_ATTACK",Inputs!$B$17,Inputs!$B$18+IF(Inputs!$B$3&gt;=125,F939*5,0)))/100)*(B942*B943*B944*I916)</f>
        <v/>
      </c>
      <c r="L916">
        <f>K916*(MIN(Inputs!$B$22+(F934-Calc!F22),Inputs!$B$23)/100+Inputs!$B$23/100)/2</f>
        <v/>
      </c>
      <c r="M916">
        <f>L916*(1+(Inputs!$B$10+(F933-Calc!F21))/100)</f>
        <v/>
      </c>
      <c r="N916">
        <f>L916*(1-MIN(Inputs!$B$9+(F932-Calc!F20),100)/100)+M916*(MIN(Inputs!$B$9+(F932-Calc!F20),100)/100)</f>
        <v/>
      </c>
      <c r="O916">
        <f>(1-Summary!$B$56)*S916+Summary!$B$56*U916</f>
        <v/>
      </c>
      <c r="P916">
        <f>IF(B953=0,0,O916/B953)</f>
        <v/>
      </c>
      <c r="Q916">
        <f>IFERROR(1/IF(Inputs!$B$38="pvp",15,MAX(0.1,Skills!E4-IF(Skills!F4=TRUE,Inputs!$B$32,0))),0)</f>
        <v/>
      </c>
      <c r="R916">
        <f>IF(AND(Inputs!$B$38&lt;&gt;"pvp",Inputs!$B$43&gt;0),IF(MAX(0,Inputs!$B$43-B950)&lt;=0,0,(INT(MAX(0,Inputs!$B$43-B950)/IF(Inputs!$B$38="pvp",15,MAX(0.1,Skills!E4-IF(Skills!F4=TRUE,Inputs!$B$32,0))))+1)),0)</f>
        <v/>
      </c>
      <c r="S916">
        <f>IF(C916,(H916*N916*IF(AND(Inputs!$B$38&lt;&gt;"pvp",Inputs!$B$43&gt;0),((Skills!G4*((R916-1)*IF(Skills!H4&gt;0,Skills!I4/Skills!H4,1)+IF(Skills!H4&gt;0,MIN(Skills!I4,MAX(0,MAX(0,Inputs!$B$43-B950)-((R916-1)*IF(Inputs!$B$38="pvp",15,MAX(0.1,Skills!E4-IF(Skills!F4=TRUE,Inputs!$B$32,0))))))/Skills!H4,1)))/Inputs!$B$43),G916*Q916))*IF(Inputs!$B$38="pvp",1,1+(Inputs!$B$20+Skills!P4)/100),0)</f>
        <v/>
      </c>
      <c r="T916">
        <f>290*T915/1000</f>
        <v/>
      </c>
      <c r="U916">
        <f>IF(C916,(H916*N916*IF(AND(Inputs!$B$38&lt;&gt;"pvp",Inputs!$B$43&gt;0),((Skills!G4*((R916-1)*IF(Skills!H4&gt;0,Skills!I4/Skills!H4,1)+IF(Skills!H4&gt;0,MIN(Skills!I4,MAX(0,MAX(0,Inputs!$B$43-B950)-((R916-1)*IF(Inputs!$B$38="pvp",15,MAX(0.1,Skills!E4-IF(Skills!F4=TRUE,Inputs!$B$32,0))))))/Skills!H4,1)))/Inputs!$B$43),G916*Q916))*IF(Inputs!$B$38="pvp",1,(1+(Inputs!$B$21+Skills!Q4)/100)*(MIN(Skills!R4,Inputs!$B$37))),0)</f>
        <v/>
      </c>
    </row>
    <row r="917">
      <c r="A917">
        <f>Skills!A5</f>
        <v/>
      </c>
      <c r="B917">
        <f>Skills!B5</f>
        <v/>
      </c>
      <c r="C917">
        <f>TRUE</f>
        <v/>
      </c>
      <c r="D917">
        <f>IF(Skills!C5=1,60+Inputs!$B$25+Inputs!$B$29,IF(Skills!C5=2,90+Inputs!$B$26+Inputs!$B$29,IF(Skills!C5=3,120+Inputs!$B$27+Inputs!$B$29,MAX(0,(Inputs!$B$3-100)*3)+Inputs!$B$28+Inputs!$B$29)))</f>
        <v/>
      </c>
      <c r="E917">
        <f>INDEX(FactorTable!$B$2:$Y$301, MATCH(ROUND(MIN(300,MAX(1,D917)),0), FactorTable!$A$2:$A$301,0), Skills!M5+1)</f>
        <v/>
      </c>
      <c r="F917">
        <f>IF(Skills!N5=TRUE,(Skills!L5/10)*(E917/1000),Skills!L5/10)+Skills!O5</f>
        <v/>
      </c>
      <c r="G917">
        <f>Calc!G5</f>
        <v/>
      </c>
      <c r="H917">
        <f>Calc!H5</f>
        <v/>
      </c>
      <c r="I917">
        <f>IF(Skills!X5&lt;&gt;"",1+(Skills!X5/10)*(Z915/1000)/100,1)</f>
        <v/>
      </c>
      <c r="J917">
        <f>(((Inputs!$B$6+1)*(1+Inputs!$B$7/100))+(((Inputs!$B$12*(1+Inputs!$B$13/100))-(Inputs!$B$12*(1+Inputs!$B$13/100)))+0.25*(Inputs!$B$14-Inputs!$B$14))*(1+Inputs!$B$7/100))*(F917/100)</f>
        <v/>
      </c>
      <c r="K917">
        <f>J917*(1+((Inputs!$B$12*(1+Inputs!$B$13/100))*0.01+Inputs!$B$14*0.0025)/100)*(1+Inputs!$B$15/100)*(1+Inputs!$B$16/100)*(5000/(6000+Inputs!$B$42*(1-Inputs!$B$19/100)))*(1+Inputs!$B$24/100)*(1+F935/100)*(1+IF(Inputs!$B$3&gt;=120,F938,0)/100)^5*(1+(IF(Skills!A5="BASIC_ATTACK",Inputs!$B$17,Inputs!$B$18+IF(Inputs!$B$3&gt;=125,F939*5,0)))/100)*(B942*B943*B944*I917)</f>
        <v/>
      </c>
      <c r="L917">
        <f>K917*(MIN(Inputs!$B$22+(F934-Calc!F22),Inputs!$B$23)/100+Inputs!$B$23/100)/2</f>
        <v/>
      </c>
      <c r="M917">
        <f>L917*(1+(Inputs!$B$10+(F933-Calc!F21))/100)</f>
        <v/>
      </c>
      <c r="N917">
        <f>L917*(1-MIN(Inputs!$B$9+(F932-Calc!F20),100)/100)+M917*(MIN(Inputs!$B$9+(F932-Calc!F20),100)/100)</f>
        <v/>
      </c>
      <c r="O917">
        <f>(1-Summary!$B$56)*S917+Summary!$B$56*U917</f>
        <v/>
      </c>
      <c r="P917">
        <f>IF(B953=0,0,O917/B953)</f>
        <v/>
      </c>
      <c r="Q917">
        <f>IFERROR(1/IF(Inputs!$B$38="pvp",15,MAX(0.1,Skills!E5-IF(Skills!F5=TRUE,Inputs!$B$32,0))),0)</f>
        <v/>
      </c>
      <c r="R917">
        <f>IF(AND(Inputs!$B$38&lt;&gt;"pvp",Inputs!$B$43&gt;0),IF(MAX(0,Inputs!$B$43-B950)&lt;=0,0,(INT(MAX(0,Inputs!$B$43-B950)/IF(Inputs!$B$38="pvp",15,MAX(0.1,Skills!E5-IF(Skills!F5=TRUE,Inputs!$B$32,0))))+1)),0)</f>
        <v/>
      </c>
      <c r="S917">
        <f>IF(C917,(H917*N917*IF(AND(Inputs!$B$38&lt;&gt;"pvp",Inputs!$B$43&gt;0),((Skills!G5*((R917-1)*IF(Skills!H5&gt;0,Skills!I5/Skills!H5,1)+IF(Skills!H5&gt;0,MIN(Skills!I5,MAX(0,MAX(0,Inputs!$B$43-B950)-((R917-1)*IF(Inputs!$B$38="pvp",15,MAX(0.1,Skills!E5-IF(Skills!F5=TRUE,Inputs!$B$32,0))))))/Skills!H5,1)))/Inputs!$B$43),G917*Q917))*IF(Inputs!$B$38="pvp",1,1+(Inputs!$B$20+Skills!P5)/100),0)</f>
        <v/>
      </c>
      <c r="U917">
        <f>IF(C917,(H917*N917*IF(AND(Inputs!$B$38&lt;&gt;"pvp",Inputs!$B$43&gt;0),((Skills!G5*((R917-1)*IF(Skills!H5&gt;0,Skills!I5/Skills!H5,1)+IF(Skills!H5&gt;0,MIN(Skills!I5,MAX(0,MAX(0,Inputs!$B$43-B950)-((R917-1)*IF(Inputs!$B$38="pvp",15,MAX(0.1,Skills!E5-IF(Skills!F5=TRUE,Inputs!$B$32,0))))))/Skills!H5,1)))/Inputs!$B$43),G917*Q917))*IF(Inputs!$B$38="pvp",1,(1+(Inputs!$B$21+Skills!Q5)/100)*(MIN(Skills!R5,Inputs!$B$37))),0)</f>
        <v/>
      </c>
    </row>
    <row r="918">
      <c r="A918">
        <f>Skills!A6</f>
        <v/>
      </c>
      <c r="B918">
        <f>Skills!B6</f>
        <v/>
      </c>
      <c r="C918">
        <f>TRUE</f>
        <v/>
      </c>
      <c r="D918">
        <f>IF(Skills!C6=1,60+Inputs!$B$25+Inputs!$B$29,IF(Skills!C6=2,90+Inputs!$B$26+Inputs!$B$29,IF(Skills!C6=3,120+Inputs!$B$27+Inputs!$B$29,MAX(0,(Inputs!$B$3-100)*3)+Inputs!$B$28+Inputs!$B$29)))</f>
        <v/>
      </c>
      <c r="E918">
        <f>INDEX(FactorTable!$B$2:$Y$301, MATCH(ROUND(MIN(300,MAX(1,D918)),0), FactorTable!$A$2:$A$301,0), Skills!M6+1)</f>
        <v/>
      </c>
      <c r="F918">
        <f>IF(Skills!N6=TRUE,(Skills!L6/10)*(E918/1000),Skills!L6/10)+Skills!O6</f>
        <v/>
      </c>
      <c r="G918">
        <f>Calc!G6</f>
        <v/>
      </c>
      <c r="H918">
        <f>Calc!H6</f>
        <v/>
      </c>
      <c r="I918">
        <f>IF(Skills!X6&lt;&gt;"",1+(Skills!X6/10)*(Z915/1000)/100,1)</f>
        <v/>
      </c>
      <c r="J918" t="inlineStr"/>
      <c r="K918" t="inlineStr"/>
      <c r="L918" t="inlineStr"/>
      <c r="M918" t="inlineStr"/>
      <c r="N918" t="inlineStr"/>
      <c r="O918">
        <f>(1-Summary!$B$56)*S918+Summary!$B$56*U918</f>
        <v/>
      </c>
      <c r="P918">
        <f>IF(B953=0,0,O918/B953)</f>
        <v/>
      </c>
      <c r="Q918">
        <f>IFERROR(1/IF(Inputs!$B$38="pvp",15,MAX(0.1,Skills!E6-IF(Skills!F6=TRUE,Inputs!$B$32,0))),0)</f>
        <v/>
      </c>
      <c r="R918">
        <f>IF(AND(Inputs!$B$38&lt;&gt;"pvp",Inputs!$B$43&gt;0),IF(Inputs!$B$43&lt;=0,0,(INT(Inputs!$B$43/IF(Inputs!$B$38="pvp",15,MAX(0.1,Skills!E6-IF(Skills!F6=TRUE,Inputs!$B$32,0))))+1)),0)</f>
        <v/>
      </c>
      <c r="S918" t="n">
        <v>0</v>
      </c>
      <c r="U918" t="n">
        <v>0</v>
      </c>
    </row>
    <row r="919">
      <c r="A919">
        <f>Skills!A7</f>
        <v/>
      </c>
      <c r="B919">
        <f>Skills!B7</f>
        <v/>
      </c>
      <c r="C919">
        <f>TRUE</f>
        <v/>
      </c>
      <c r="D919">
        <f>IF(Skills!C7=1,60+Inputs!$B$25+Inputs!$B$29,IF(Skills!C7=2,90+Inputs!$B$26+Inputs!$B$29,IF(Skills!C7=3,120+Inputs!$B$27+Inputs!$B$29,MAX(0,(Inputs!$B$3-100)*3)+Inputs!$B$28+Inputs!$B$29)))</f>
        <v/>
      </c>
      <c r="E919">
        <f>INDEX(FactorTable!$B$2:$Y$301, MATCH(ROUND(MIN(300,MAX(1,D919)),0), FactorTable!$A$2:$A$301,0), Skills!M7+1)</f>
        <v/>
      </c>
      <c r="F919">
        <f>IF(Skills!N7=TRUE,(Skills!L7/10)*(E919/1000),Skills!L7/10)+Skills!O7</f>
        <v/>
      </c>
      <c r="G919">
        <f>Calc!G7</f>
        <v/>
      </c>
      <c r="H919">
        <f>Calc!H7</f>
        <v/>
      </c>
      <c r="I919">
        <f>IF(Skills!X7&lt;&gt;"",1+(Skills!X7/10)*(Z915/1000)/100,1)</f>
        <v/>
      </c>
      <c r="J919">
        <f>(((Inputs!$B$6+1)*(1+Inputs!$B$7/100))+(((Inputs!$B$12*(1+Inputs!$B$13/100))-(Inputs!$B$12*(1+Inputs!$B$13/100)))+0.25*(Inputs!$B$14-Inputs!$B$14))*(1+Inputs!$B$7/100))*(F919/100)</f>
        <v/>
      </c>
      <c r="K919">
        <f>J919*(1+((Inputs!$B$12*(1+Inputs!$B$13/100))*0.01+Inputs!$B$14*0.0025)/100)*(1+Inputs!$B$15/100)*(1+Inputs!$B$16/100)*(5000/(6000+Inputs!$B$42*(1-Inputs!$B$19/100)))*(1+Inputs!$B$24/100)*(1+F935/100)*(1+IF(Inputs!$B$3&gt;=120,F938,0)/100)^5*(1+(IF(Skills!A7="BASIC_ATTACK",Inputs!$B$17,Inputs!$B$18+IF(Inputs!$B$3&gt;=125,F939*5,0)))/100)*(B942*B943*B944*I919)</f>
        <v/>
      </c>
      <c r="L919">
        <f>K919*(MIN(Inputs!$B$22+(F934-Calc!F22),Inputs!$B$23)/100+Inputs!$B$23/100)/2</f>
        <v/>
      </c>
      <c r="M919">
        <f>L919*(1+(Inputs!$B$10+(F933-Calc!F21))/100)</f>
        <v/>
      </c>
      <c r="N919">
        <f>L919*(1-MIN(Inputs!$B$9+(F932-Calc!F20),100)/100)+M919*(MIN(Inputs!$B$9+(F932-Calc!F20),100)/100)</f>
        <v/>
      </c>
      <c r="O919">
        <f>(1-Summary!$B$56)*S919+Summary!$B$56*U919</f>
        <v/>
      </c>
      <c r="P919">
        <f>IF(B953=0,0,O919/B953)</f>
        <v/>
      </c>
      <c r="Q919">
        <f>IFERROR(1/IF(Inputs!$B$38="pvp",15,MAX(0.1,Skills!E7-IF(Skills!F7=TRUE,Inputs!$B$32,0))),0)</f>
        <v/>
      </c>
      <c r="R919">
        <f>IF(AND(Inputs!$B$38&lt;&gt;"pvp",Inputs!$B$43&gt;0),IF(MAX(0,Inputs!$B$43-B950)&lt;=0,0,(INT(MAX(0,Inputs!$B$43-B950)/IF(Inputs!$B$38="pvp",15,MAX(0.1,Skills!E7-IF(Skills!F7=TRUE,Inputs!$B$32,0))))+1)),0)</f>
        <v/>
      </c>
      <c r="S919">
        <f>IF(C919,(H919*N919*IF(AND(Inputs!$B$38&lt;&gt;"pvp",Inputs!$B$43&gt;0),((Skills!G7*((R919-1)*IF(Skills!H7&gt;0,Skills!I7/Skills!H7,1)+IF(Skills!H7&gt;0,MIN(Skills!I7,MAX(0,MAX(0,Inputs!$B$43-B950)-((R919-1)*IF(Inputs!$B$38="pvp",15,MAX(0.1,Skills!E7-IF(Skills!F7=TRUE,Inputs!$B$32,0))))))/Skills!H7,1)))/Inputs!$B$43),G919*Q919))*IF(Inputs!$B$38="pvp",1,1+(Inputs!$B$20+Skills!P7)/100),0)</f>
        <v/>
      </c>
      <c r="U919">
        <f>IF(C919,(H919*N919*IF(AND(Inputs!$B$38&lt;&gt;"pvp",Inputs!$B$43&gt;0),((Skills!G7*((R919-1)*IF(Skills!H7&gt;0,Skills!I7/Skills!H7,1)+IF(Skills!H7&gt;0,MIN(Skills!I7,MAX(0,MAX(0,Inputs!$B$43-B950)-((R919-1)*IF(Inputs!$B$38="pvp",15,MAX(0.1,Skills!E7-IF(Skills!F7=TRUE,Inputs!$B$32,0))))))/Skills!H7,1)))/Inputs!$B$43),G919*Q919))*IF(Inputs!$B$38="pvp",1,(1+(Inputs!$B$21+Skills!Q7)/100)*(MIN(Skills!R7,Inputs!$B$37))),0)</f>
        <v/>
      </c>
    </row>
    <row r="920">
      <c r="A920">
        <f>Skills!A8</f>
        <v/>
      </c>
      <c r="B920">
        <f>Skills!B8</f>
        <v/>
      </c>
      <c r="C920">
        <f>TRUE</f>
        <v/>
      </c>
      <c r="D920">
        <f>IF(Skills!C8=1,60+Inputs!$B$25+Inputs!$B$29,IF(Skills!C8=2,90+Inputs!$B$26+Inputs!$B$29,IF(Skills!C8=3,120+Inputs!$B$27+Inputs!$B$29,MAX(0,(Inputs!$B$3-100)*3)+Inputs!$B$28+Inputs!$B$29)))</f>
        <v/>
      </c>
      <c r="E920">
        <f>INDEX(FactorTable!$B$2:$Y$301, MATCH(ROUND(MIN(300,MAX(1,D920)),0), FactorTable!$A$2:$A$301,0), Skills!M8+1)</f>
        <v/>
      </c>
      <c r="F920">
        <f>IF(Skills!N8=TRUE,(Skills!L8/10)*(E920/1000),Skills!L8/10)+Skills!O8</f>
        <v/>
      </c>
      <c r="G920">
        <f>Calc!G8</f>
        <v/>
      </c>
      <c r="H920">
        <f>Calc!H8</f>
        <v/>
      </c>
      <c r="I920">
        <f>IF(Skills!X8&lt;&gt;"",1+(Skills!X8/10)*(Z915/1000)/100,1)</f>
        <v/>
      </c>
      <c r="J920">
        <f>(((Inputs!$B$6+1)*(1+Inputs!$B$7/100))+(((Inputs!$B$12*(1+Inputs!$B$13/100))-(Inputs!$B$12*(1+Inputs!$B$13/100)))+0.25*(Inputs!$B$14-Inputs!$B$14))*(1+Inputs!$B$7/100))*(F920/100)</f>
        <v/>
      </c>
      <c r="K920">
        <f>J920*(1+((Inputs!$B$12*(1+Inputs!$B$13/100))*0.01+Inputs!$B$14*0.0025)/100)*(1+Inputs!$B$15/100)*(1+Inputs!$B$16/100)*(5000/(6000+Inputs!$B$42*(1-Inputs!$B$19/100)))*(1+Inputs!$B$24/100)*(1+F935/100)*(1+IF(Inputs!$B$3&gt;=120,F938,0)/100)^5*(1+(IF(Skills!A8="BASIC_ATTACK",Inputs!$B$17,Inputs!$B$18+IF(Inputs!$B$3&gt;=125,F939*5,0)))/100)*(B942*B943*B944*I920)</f>
        <v/>
      </c>
      <c r="L920">
        <f>K920*(MIN(Inputs!$B$22+(F934-Calc!F22),Inputs!$B$23)/100+Inputs!$B$23/100)/2</f>
        <v/>
      </c>
      <c r="M920">
        <f>L920*(1+(Inputs!$B$10+(F933-Calc!F21))/100)</f>
        <v/>
      </c>
      <c r="N920">
        <f>L920*(1-MIN(Inputs!$B$9+(F932-Calc!F20),100)/100)+M920*(MIN(Inputs!$B$9+(F932-Calc!F20),100)/100)</f>
        <v/>
      </c>
      <c r="O920">
        <f>(1-Summary!$B$56)*S920+Summary!$B$56*U920</f>
        <v/>
      </c>
      <c r="P920">
        <f>IF(B953=0,0,O920/B953)</f>
        <v/>
      </c>
      <c r="Q920">
        <f>IFERROR(1/IF(Inputs!$B$38="pvp",15,MAX(0.1,Skills!E8-IF(Skills!F8=TRUE,Inputs!$B$32,0))),0)</f>
        <v/>
      </c>
      <c r="R920">
        <f>IF(AND(Inputs!$B$38&lt;&gt;"pvp",Inputs!$B$43&gt;0),IF(MAX(0,Inputs!$B$43-B950)&lt;=0,0,(INT(MAX(0,Inputs!$B$43-B950)/IF(Inputs!$B$38="pvp",15,MAX(0.1,Skills!E8-IF(Skills!F8=TRUE,Inputs!$B$32,0))))+1)),0)</f>
        <v/>
      </c>
      <c r="S920">
        <f>IF(C920,(H920*N920*IF(AND(Inputs!$B$38&lt;&gt;"pvp",Inputs!$B$43&gt;0),((Skills!G8*((R920-1)*IF(Skills!H8&gt;0,Skills!I8/Skills!H8,1)+IF(Skills!H8&gt;0,MIN(Skills!I8,MAX(0,MAX(0,Inputs!$B$43-B950)-((R920-1)*IF(Inputs!$B$38="pvp",15,MAX(0.1,Skills!E8-IF(Skills!F8=TRUE,Inputs!$B$32,0))))))/Skills!H8,1)))/Inputs!$B$43),G920*Q920))*IF(Inputs!$B$38="pvp",1,1+(Inputs!$B$20+Skills!P8)/100),0)</f>
        <v/>
      </c>
      <c r="U920">
        <f>IF(C920,(H920*N920*IF(AND(Inputs!$B$38&lt;&gt;"pvp",Inputs!$B$43&gt;0),((Skills!G8*((R920-1)*IF(Skills!H8&gt;0,Skills!I8/Skills!H8,1)+IF(Skills!H8&gt;0,MIN(Skills!I8,MAX(0,MAX(0,Inputs!$B$43-B950)-((R920-1)*IF(Inputs!$B$38="pvp",15,MAX(0.1,Skills!E8-IF(Skills!F8=TRUE,Inputs!$B$32,0))))))/Skills!H8,1)))/Inputs!$B$43),G920*Q920))*IF(Inputs!$B$38="pvp",1,(1+(Inputs!$B$21+Skills!Q8)/100)*(MIN(Skills!R8,Inputs!$B$37))),0)</f>
        <v/>
      </c>
    </row>
    <row r="921">
      <c r="A921">
        <f>Skills!A9</f>
        <v/>
      </c>
      <c r="B921">
        <f>Skills!B9</f>
        <v/>
      </c>
      <c r="C921">
        <f>Inputs!$B$3&gt;=103</f>
        <v/>
      </c>
      <c r="D921">
        <f>IF(Skills!C9=1,60+Inputs!$B$25+Inputs!$B$29,IF(Skills!C9=2,90+Inputs!$B$26+Inputs!$B$29,IF(Skills!C9=3,120+Inputs!$B$27+Inputs!$B$29,MAX(0,(Inputs!$B$3-100)*3)+Inputs!$B$28+Inputs!$B$29)))</f>
        <v/>
      </c>
      <c r="E921">
        <f>INDEX(FactorTable!$B$2:$Y$301, MATCH(ROUND(MIN(300,MAX(1,D921)),0), FactorTable!$A$2:$A$301,0), Skills!M9+1)</f>
        <v/>
      </c>
      <c r="F921">
        <f>IF(Skills!N9=TRUE,(Skills!L9/10)*(E921/1000),Skills!L9/10)+Skills!O9</f>
        <v/>
      </c>
      <c r="G921">
        <f>Calc!G9</f>
        <v/>
      </c>
      <c r="H921">
        <f>Calc!H9</f>
        <v/>
      </c>
      <c r="I921">
        <f>IF(Skills!X9&lt;&gt;"",1+(Skills!X9/10)*(Z915/1000)/100,1)</f>
        <v/>
      </c>
      <c r="J921">
        <f>(((Inputs!$B$6+1)*(1+Inputs!$B$7/100))+(((Inputs!$B$12*(1+Inputs!$B$13/100))-(Inputs!$B$12*(1+Inputs!$B$13/100)))+0.25*(Inputs!$B$14-Inputs!$B$14))*(1+Inputs!$B$7/100))*(F921/100)</f>
        <v/>
      </c>
      <c r="K921">
        <f>J921*(1+((Inputs!$B$12*(1+Inputs!$B$13/100))*0.01+Inputs!$B$14*0.0025)/100)*(1+Inputs!$B$15/100)*(1+Inputs!$B$16/100)*(5000/(6000+Inputs!$B$42*(1-Inputs!$B$19/100)))*(1+Inputs!$B$24/100)*(1+F935/100)*(1+IF(Inputs!$B$3&gt;=120,F938,0)/100)^5*(1+(IF(Skills!A9="BASIC_ATTACK",Inputs!$B$17,Inputs!$B$18+IF(Inputs!$B$3&gt;=125,F939*5,0)))/100)*(B942*B943*B944*I921)</f>
        <v/>
      </c>
      <c r="L921">
        <f>K921*(MIN(Inputs!$B$22+(F934-Calc!F22),Inputs!$B$23)/100+Inputs!$B$23/100)/2</f>
        <v/>
      </c>
      <c r="M921">
        <f>L921*(1+(Inputs!$B$10+(F933-Calc!F21))/100)</f>
        <v/>
      </c>
      <c r="N921">
        <f>L921*(1-MIN(Inputs!$B$9+(F932-Calc!F20),100)/100)+M921*(MIN(Inputs!$B$9+(F932-Calc!F20),100)/100)</f>
        <v/>
      </c>
      <c r="O921">
        <f>(1-Summary!$B$56)*S921+Summary!$B$56*U921</f>
        <v/>
      </c>
      <c r="P921">
        <f>IF(B953=0,0,O921/B953)</f>
        <v/>
      </c>
      <c r="Q921">
        <f>IFERROR(1/IF(Inputs!$B$38="pvp",15,MAX(0.1,Skills!E9-IF(Skills!F7=TRUE,Inputs!$B$32,0))),0)</f>
        <v/>
      </c>
      <c r="R921">
        <f>IF(AND(Inputs!$B$38&lt;&gt;"pvp",Inputs!$B$43&gt;0),IF(MAX(0,Inputs!$B$43-B950)&lt;=0,0,(INT(MAX(0,Inputs!$B$43-B950)/IF(Inputs!$B$38="pvp",15,MAX(0.1,Skills!E9-IF(Skills!F7=TRUE,Inputs!$B$32,0))))+1)),0)</f>
        <v/>
      </c>
      <c r="S921">
        <f>IF(C921,(H921*N921*IF(AND(Inputs!$B$38&lt;&gt;"pvp",Inputs!$B$43&gt;0),((Skills!G9*((R921-1)*IF(Skills!H9&gt;0,Skills!I9/Skills!H9,1)+IF(Skills!H9&gt;0,MIN(Skills!I9,MAX(0,MAX(0,Inputs!$B$43-B950)-((R921-1)*IF(Inputs!$B$38="pvp",15,MAX(0.1,Skills!E9-IF(Skills!F7=TRUE,Inputs!$B$32,0))))))/Skills!H9,1)))/Inputs!$B$43),G921*Q921))*IF(Inputs!$B$38="pvp",1,1+(Inputs!$B$20+Skills!P9)/100),0)</f>
        <v/>
      </c>
      <c r="U921">
        <f>IF(C921,(H921*N921*IF(AND(Inputs!$B$38&lt;&gt;"pvp",Inputs!$B$43&gt;0),((Skills!G9*((R921-1)*IF(Skills!H9&gt;0,Skills!I9/Skills!H9,1)+IF(Skills!H9&gt;0,MIN(Skills!I9,MAX(0,MAX(0,Inputs!$B$43-B950)-((R921-1)*IF(Inputs!$B$38="pvp",15,MAX(0.1,Skills!E9-IF(Skills!F7=TRUE,Inputs!$B$32,0))))))/Skills!H9,1)))/Inputs!$B$43),G921*Q921))*IF(Inputs!$B$38="pvp",1,(1+(Inputs!$B$21+Skills!Q9)/100)*(MIN(Skills!R9,Inputs!$B$37))),0)</f>
        <v/>
      </c>
    </row>
    <row r="922">
      <c r="A922">
        <f>Skills!A10</f>
        <v/>
      </c>
      <c r="B922">
        <f>Skills!B10</f>
        <v/>
      </c>
      <c r="C922">
        <f>TRUE</f>
        <v/>
      </c>
      <c r="D922">
        <f>IF(Skills!C10=1,60+Inputs!$B$25+Inputs!$B$29,IF(Skills!C10=2,90+Inputs!$B$26+Inputs!$B$29,IF(Skills!C10=3,120+Inputs!$B$27+Inputs!$B$29,MAX(0,(Inputs!$B$3-100)*3)+Inputs!$B$28+Inputs!$B$29)))</f>
        <v/>
      </c>
      <c r="E922">
        <f>INDEX(FactorTable!$B$2:$Y$301, MATCH(ROUND(MIN(300,MAX(1,D922)),0), FactorTable!$A$2:$A$301,0), Skills!M10+1)</f>
        <v/>
      </c>
      <c r="F922">
        <f>IF(Skills!N10=TRUE,(Skills!L10/10)*(E922/1000),Skills!L10/10)+Skills!O10</f>
        <v/>
      </c>
      <c r="G922">
        <f>Calc!G10</f>
        <v/>
      </c>
      <c r="H922">
        <f>Calc!H10</f>
        <v/>
      </c>
      <c r="I922">
        <f>IF(Skills!X10&lt;&gt;"",1+(Skills!X10/10)*(Z915/1000)/100,1)</f>
        <v/>
      </c>
      <c r="J922">
        <f>(((Inputs!$B$6+1)*(1+Inputs!$B$7/100))+(((Inputs!$B$12*(1+Inputs!$B$13/100))-(Inputs!$B$12*(1+Inputs!$B$13/100)))+0.25*(Inputs!$B$14-Inputs!$B$14))*(1+Inputs!$B$7/100))*(F922/100)</f>
        <v/>
      </c>
      <c r="K922">
        <f>J922*(1+((Inputs!$B$12*(1+Inputs!$B$13/100))*0.01+Inputs!$B$14*0.0025)/100)*(1+Inputs!$B$15/100)*(1+Inputs!$B$16/100)*(5000/(6000+Inputs!$B$42*(1-Inputs!$B$19/100)))*(1+Inputs!$B$24/100)*(1+F935/100)*(1+IF(Inputs!$B$3&gt;=120,F938,0)/100)^5*(1+(IF(Skills!A10="BASIC_ATTACK",Inputs!$B$17,Inputs!$B$18+IF(Inputs!$B$3&gt;=125,F939*5,0)))/100)*(B942*B943*B944*I922)</f>
        <v/>
      </c>
      <c r="L922">
        <f>K922*(MIN(Inputs!$B$22+(F934-Calc!F22),Inputs!$B$23)/100+Inputs!$B$23/100)/2</f>
        <v/>
      </c>
      <c r="M922">
        <f>L922*(1+(Inputs!$B$10+(F933-Calc!F21))/100)</f>
        <v/>
      </c>
      <c r="N922">
        <f>L922*(1-MIN(Inputs!$B$9+(F932-Calc!F20),100)/100)+M922*(MIN(Inputs!$B$9+(F932-Calc!F20),100)/100)</f>
        <v/>
      </c>
      <c r="O922">
        <f>(1-Summary!$B$56)*S922+Summary!$B$56*U922</f>
        <v/>
      </c>
      <c r="P922">
        <f>IF(B953=0,0,O922/B953)</f>
        <v/>
      </c>
      <c r="Q922">
        <f>IFERROR(1/IF(Inputs!$B$38="pvp",15,MAX(0.1,Skills!E10-IF(Skills!F10=TRUE,Inputs!$B$32,0))),0)</f>
        <v/>
      </c>
      <c r="R922">
        <f>IF(AND(Inputs!$B$38&lt;&gt;"pvp",Inputs!$B$43&gt;0),IF(MAX(0,Inputs!$B$43-B950)&lt;=0,0,(INT(MAX(0,Inputs!$B$43-B950)/IF(Inputs!$B$38="pvp",15,MAX(0.1,Skills!E10-IF(Skills!F10=TRUE,Inputs!$B$32,0))))+1)),0)</f>
        <v/>
      </c>
      <c r="S922">
        <f>IF(C922,(H922*N922*IF(AND(Inputs!$B$38&lt;&gt;"pvp",Inputs!$B$43&gt;0),((Skills!G10*((R922-1)*IF(Skills!H10&gt;0,Skills!I10/Skills!H10,1)+IF(Skills!H10&gt;0,MIN(Skills!I10,MAX(0,MAX(0,Inputs!$B$43-B950)-((R922-1)*IF(Inputs!$B$38="pvp",15,MAX(0.1,Skills!E10-IF(Skills!F10=TRUE,Inputs!$B$32,0))))))/Skills!H10,1)))/Inputs!$B$43),G922*Q922))*IF(Inputs!$B$38="pvp",1,1+(Inputs!$B$20+Skills!P10)/100),0)</f>
        <v/>
      </c>
      <c r="U922">
        <f>IF(C922,(H922*N922*IF(AND(Inputs!$B$38&lt;&gt;"pvp",Inputs!$B$43&gt;0),((Skills!G10*((R922-1)*IF(Skills!H10&gt;0,Skills!I10/Skills!H10,1)+IF(Skills!H10&gt;0,MIN(Skills!I10,MAX(0,MAX(0,Inputs!$B$43-B950)-((R922-1)*IF(Inputs!$B$38="pvp",15,MAX(0.1,Skills!E10-IF(Skills!F10=TRUE,Inputs!$B$32,0))))))/Skills!H10,1)))/Inputs!$B$43),G922*Q922))*IF(Inputs!$B$38="pvp",1,(1+(Inputs!$B$21+Skills!Q10)/100)*(MIN(Skills!R10,Inputs!$B$37))),0)</f>
        <v/>
      </c>
    </row>
    <row r="923">
      <c r="A923">
        <f>Skills!A11</f>
        <v/>
      </c>
      <c r="B923">
        <f>Skills!B11</f>
        <v/>
      </c>
      <c r="C923">
        <f>TRUE</f>
        <v/>
      </c>
      <c r="D923">
        <f>IF(Skills!C11=1,60+Inputs!$B$25+Inputs!$B$29,IF(Skills!C11=2,90+Inputs!$B$26+Inputs!$B$29,IF(Skills!C11=3,120+Inputs!$B$27+Inputs!$B$29,MAX(0,(Inputs!$B$3-100)*3)+Inputs!$B$28+Inputs!$B$29)))</f>
        <v/>
      </c>
      <c r="E923">
        <f>INDEX(FactorTable!$B$2:$Y$301, MATCH(ROUND(MIN(300,MAX(1,D923)),0), FactorTable!$A$2:$A$301,0), Skills!M11+1)</f>
        <v/>
      </c>
      <c r="F923">
        <f>IF(Skills!N11=TRUE,(Skills!L11/10)*(E923/1000),Skills!L11/10)+Skills!O11</f>
        <v/>
      </c>
      <c r="G923">
        <f>Calc!G11</f>
        <v/>
      </c>
      <c r="H923">
        <f>Calc!H11</f>
        <v/>
      </c>
      <c r="I923">
        <f>IF(Skills!X11&lt;&gt;"",1+(Skills!X11/10)*(Z915/1000)/100,1)</f>
        <v/>
      </c>
      <c r="J923" t="inlineStr"/>
      <c r="K923" t="inlineStr"/>
      <c r="L923" t="inlineStr"/>
      <c r="M923" t="inlineStr"/>
      <c r="N923" t="inlineStr"/>
      <c r="O923">
        <f>(1-Summary!$B$56)*S923+Summary!$B$56*U923</f>
        <v/>
      </c>
      <c r="P923">
        <f>IF(B953=0,0,O923/B953)</f>
        <v/>
      </c>
      <c r="Q923">
        <f>IFERROR(1/IF(Inputs!$B$38="pvp",15,MAX(0.1,Skills!E11-IF(Skills!F11=TRUE,Inputs!$B$32,0))),0)</f>
        <v/>
      </c>
      <c r="R923" t="n">
        <v>0</v>
      </c>
      <c r="S923" t="n">
        <v>0</v>
      </c>
      <c r="U923" t="n">
        <v>0</v>
      </c>
    </row>
    <row r="924">
      <c r="A924">
        <f>Skills!A12</f>
        <v/>
      </c>
      <c r="B924">
        <f>Skills!B12</f>
        <v/>
      </c>
      <c r="C924">
        <f>TRUE</f>
        <v/>
      </c>
      <c r="D924">
        <f>IF(Skills!C12=1,60+Inputs!$B$25+Inputs!$B$29,IF(Skills!C12=2,90+Inputs!$B$26+Inputs!$B$29,IF(Skills!C12=3,120+Inputs!$B$27+Inputs!$B$29,MAX(0,(Inputs!$B$3-100)*3)+Inputs!$B$28+Inputs!$B$29)))</f>
        <v/>
      </c>
      <c r="E924">
        <f>INDEX(FactorTable!$B$2:$Y$301, MATCH(ROUND(MIN(300,MAX(1,D924)),0), FactorTable!$A$2:$A$301,0), Skills!M12+1)</f>
        <v/>
      </c>
      <c r="F924">
        <f>IF(Skills!N12=TRUE,(Skills!L12/10)*(E924/1000),Skills!L12/10)+Skills!O12</f>
        <v/>
      </c>
      <c r="G924">
        <f>Calc!G12</f>
        <v/>
      </c>
      <c r="H924">
        <f>Calc!H12</f>
        <v/>
      </c>
      <c r="I924">
        <f>IF(Skills!X12&lt;&gt;"",1+(Skills!X12/10)*(Z915/1000)/100,1)</f>
        <v/>
      </c>
      <c r="J924" t="inlineStr"/>
      <c r="K924" t="inlineStr"/>
      <c r="L924" t="inlineStr"/>
      <c r="M924" t="inlineStr"/>
      <c r="N924" t="inlineStr"/>
      <c r="O924">
        <f>(1-Summary!$B$56)*S924+Summary!$B$56*U924</f>
        <v/>
      </c>
      <c r="P924">
        <f>IF(B953=0,0,O924/B953)</f>
        <v/>
      </c>
      <c r="Q924">
        <f>IFERROR(1/IF(Inputs!$B$38="pvp",15,MAX(0.1,Skills!E12-IF(Skills!F12=TRUE,Inputs!$B$32,0))),0)</f>
        <v/>
      </c>
      <c r="R924" t="n">
        <v>0</v>
      </c>
      <c r="S924" t="n">
        <v>0</v>
      </c>
      <c r="U924" t="n">
        <v>0</v>
      </c>
    </row>
    <row r="925">
      <c r="A925">
        <f>Skills!A13</f>
        <v/>
      </c>
      <c r="B925">
        <f>Skills!B13</f>
        <v/>
      </c>
      <c r="C925">
        <f>Inputs!$B$3&gt;=105</f>
        <v/>
      </c>
      <c r="D925">
        <f>IF(Skills!C13=1,60+Inputs!$B$25+Inputs!$B$29,IF(Skills!C13=2,90+Inputs!$B$26+Inputs!$B$29,IF(Skills!C13=3,120+Inputs!$B$27+Inputs!$B$29,MAX(0,(Inputs!$B$3-100)*3)+Inputs!$B$28+Inputs!$B$29)))</f>
        <v/>
      </c>
      <c r="E925">
        <f>INDEX(FactorTable!$B$2:$Y$301, MATCH(ROUND(MIN(300,MAX(1,D925)),0), FactorTable!$A$2:$A$301,0), Skills!M13+1)</f>
        <v/>
      </c>
      <c r="F925">
        <f>IF(Skills!N13=TRUE,(Skills!L13/10)*(E925/1000),Skills!L13/10)+Skills!O13</f>
        <v/>
      </c>
      <c r="G925">
        <f>Calc!G13</f>
        <v/>
      </c>
      <c r="H925">
        <f>Calc!H13</f>
        <v/>
      </c>
      <c r="I925">
        <f>IF(Skills!X13&lt;&gt;"",1+(Skills!X13/10)*(Z915/1000)/100,1)</f>
        <v/>
      </c>
      <c r="J925">
        <f>(((Inputs!$B$6+1)*(1+Inputs!$B$7/100))+(((Inputs!$B$12*(1+Inputs!$B$13/100))-(Inputs!$B$12*(1+Inputs!$B$13/100)))+0.25*(Inputs!$B$14-Inputs!$B$14))*(1+Inputs!$B$7/100))*(F925/100)</f>
        <v/>
      </c>
      <c r="K925">
        <f>J925*(1+((Inputs!$B$12*(1+Inputs!$B$13/100))*0.01+Inputs!$B$14*0.0025)/100)*(1+Inputs!$B$15/100)*(1+Inputs!$B$16/100)*(5000/(6000+Inputs!$B$42*(1-Inputs!$B$19/100)))*(1+Inputs!$B$24/100)*(1+F935/100)*(1+IF(Inputs!$B$3&gt;=120,F938,0)/100)^5*(1+(IF(Skills!A13="BASIC_ATTACK",Inputs!$B$17,Inputs!$B$18+IF(Inputs!$B$3&gt;=125,F939*5,0)))/100)*(B942*B943*B944*I925)</f>
        <v/>
      </c>
      <c r="L925">
        <f>K925*(MIN(Inputs!$B$22+(F934-Calc!F22),Inputs!$B$23)/100+Inputs!$B$23/100)/2</f>
        <v/>
      </c>
      <c r="M925">
        <f>L925*(1+(Inputs!$B$10+(F933-Calc!F21))/100)</f>
        <v/>
      </c>
      <c r="N925">
        <f>L925*(1-MIN(Inputs!$B$9+(F932-Calc!F20),100)/100)+M925*(MIN(Inputs!$B$9+(F932-Calc!F20),100)/100)</f>
        <v/>
      </c>
      <c r="O925">
        <f>(1-Summary!$B$56)*S925+Summary!$B$56*U925</f>
        <v/>
      </c>
      <c r="P925">
        <f>IF(B953=0,0,O925/B953)</f>
        <v/>
      </c>
      <c r="Q925">
        <f>IFERROR(1/IF(Inputs!$B$38="pvp",15,MAX(0.1,Skills!E13-IF(Skills!F13=TRUE,Inputs!$B$32,0))),0)</f>
        <v/>
      </c>
      <c r="R925">
        <f>IF(AND(Inputs!$B$38&lt;&gt;"pvp",Inputs!$B$43&gt;0),IF(MAX(0,Inputs!$B$43-B950)&lt;=0,0,(INT(MAX(0,Inputs!$B$43-B950)/IF(Inputs!$B$38="pvp",15,MAX(0.1,Skills!E13-IF(Skills!F13=TRUE,Inputs!$B$32,0))))+1)),0)</f>
        <v/>
      </c>
      <c r="S925">
        <f>IF(C925,(H925*N925*IF(AND(Inputs!$B$38&lt;&gt;"pvp",Inputs!$B$43&gt;0),((Skills!G13*((R925-1)*IF(Skills!H13&gt;0,Skills!I13/Skills!H13,1)+IF(Skills!H13&gt;0,MIN(Skills!I13,MAX(0,MAX(0,Inputs!$B$43-B950)-((R925-1)*IF(Inputs!$B$38="pvp",15,MAX(0.1,Skills!E13-IF(Skills!F13=TRUE,Inputs!$B$32,0))))))/Skills!H13,1)))/Inputs!$B$43),G925*Q925))*IF(Inputs!$B$38="pvp",1,1+(Inputs!$B$20+Skills!P13)/100),0)</f>
        <v/>
      </c>
      <c r="U925">
        <f>IF(C925,(H925*N925*IF(AND(Inputs!$B$38&lt;&gt;"pvp",Inputs!$B$43&gt;0),((Skills!G13*((R925-1)*IF(Skills!H13&gt;0,Skills!I13/Skills!H13,1)+IF(Skills!H13&gt;0,MIN(Skills!I13,MAX(0,MAX(0,Inputs!$B$43-B950)-((R925-1)*IF(Inputs!$B$38="pvp",15,MAX(0.1,Skills!E13-IF(Skills!F13=TRUE,Inputs!$B$32,0))))))/Skills!H13,1)))/Inputs!$B$43),G925*Q925))*IF(Inputs!$B$38="pvp",1,(1+(Inputs!$B$21+Skills!Q13)/100)*(MIN(Skills!R13,Inputs!$B$37))),0)</f>
        <v/>
      </c>
    </row>
    <row r="926">
      <c r="A926">
        <f>Skills!A14</f>
        <v/>
      </c>
      <c r="B926">
        <f>Skills!B14</f>
        <v/>
      </c>
      <c r="C926">
        <f>Inputs!$B$3&gt;=113</f>
        <v/>
      </c>
      <c r="D926">
        <f>IF(Skills!C14=1,60+Inputs!$B$25+Inputs!$B$29,IF(Skills!C14=2,90+Inputs!$B$26+Inputs!$B$29,IF(Skills!C14=3,120+Inputs!$B$27+Inputs!$B$29,MAX(0,(Inputs!$B$3-100)*3)+Inputs!$B$28+Inputs!$B$29)))</f>
        <v/>
      </c>
      <c r="E926">
        <f>INDEX(FactorTable!$B$2:$Y$301, MATCH(ROUND(MIN(300,MAX(1,D926)),0), FactorTable!$A$2:$A$301,0), Skills!M14+1)</f>
        <v/>
      </c>
      <c r="F926">
        <f>IF(Skills!N14=TRUE,(Skills!L14/10)*(E926/1000),Skills!L14/10)+Skills!O14</f>
        <v/>
      </c>
      <c r="G926">
        <f>Calc!G14</f>
        <v/>
      </c>
      <c r="H926">
        <f>Calc!H14</f>
        <v/>
      </c>
      <c r="I926">
        <f>IF(Skills!X14&lt;&gt;"",1+(Skills!X14/10)*(Z915/1000)/100,1)</f>
        <v/>
      </c>
      <c r="J926">
        <f>(((Inputs!$B$6+1)*(1+Inputs!$B$7/100))+(((Inputs!$B$12*(1+Inputs!$B$13/100))-(Inputs!$B$12*(1+Inputs!$B$13/100)))+0.25*(Inputs!$B$14-Inputs!$B$14))*(1+Inputs!$B$7/100))*(F926/100)</f>
        <v/>
      </c>
      <c r="K926">
        <f>J926*(1+((Inputs!$B$12*(1+Inputs!$B$13/100))*0.01+Inputs!$B$14*0.0025)/100)*(1+Inputs!$B$15/100)*(1+Inputs!$B$16/100)*(5000/(6000+Inputs!$B$42*(1-Inputs!$B$19/100)))*(1+Inputs!$B$24/100)*(1+F935/100)*(1+IF(Inputs!$B$3&gt;=120,F938,0)/100)^5*(1+(IF(Skills!A14="BASIC_ATTACK",Inputs!$B$17,Inputs!$B$18+IF(Inputs!$B$3&gt;=125,F939*5,0)))/100)*(B942*B943*B944*I926)</f>
        <v/>
      </c>
      <c r="L926">
        <f>K926*(MIN(Inputs!$B$22+(F934-Calc!F22),Inputs!$B$23)/100+Inputs!$B$23/100)/2</f>
        <v/>
      </c>
      <c r="M926">
        <f>L926*(1+(Inputs!$B$10+(F933-Calc!F21))/100)</f>
        <v/>
      </c>
      <c r="N926">
        <f>L926*(1-MIN(Inputs!$B$9+(F932-Calc!F20),100)/100)+M926*(MIN(Inputs!$B$9+(F932-Calc!F20),100)/100)</f>
        <v/>
      </c>
      <c r="O926">
        <f>(1-Summary!$B$56)*S926+Summary!$B$56*U926</f>
        <v/>
      </c>
      <c r="P926">
        <f>IF(B953=0,0,O926/B953)</f>
        <v/>
      </c>
      <c r="Q926">
        <f>IFERROR(1/IF(Inputs!$B$38="pvp",15,MAX(0.1,Skills!E14-IF(Skills!F14=TRUE,Inputs!$B$32,0))),0)</f>
        <v/>
      </c>
      <c r="R926" t="n">
        <v>0</v>
      </c>
      <c r="S926">
        <f>IF(C926,((H926*B949)/(1+Skills!H14*H926*B949)*N926)*IF(Inputs!$B$38="pvp",1,1+(Inputs!$B$20+Skills!P14)/100),0)</f>
        <v/>
      </c>
      <c r="U926">
        <f>IF(C926,((H926*B949)/(1+Skills!H14*H926*B949)*N926)*IF(Inputs!$B$38="pvp",1,(1+(Inputs!$B$21+Skills!Q14)/100)*(MIN(Skills!R14,Inputs!$B$37))),0)</f>
        <v/>
      </c>
    </row>
    <row r="927">
      <c r="A927">
        <f>Skills!A15</f>
        <v/>
      </c>
      <c r="B927">
        <f>Skills!B15</f>
        <v/>
      </c>
      <c r="C927">
        <f>Inputs!$B$3&gt;=107</f>
        <v/>
      </c>
      <c r="D927">
        <f>IF(Skills!C15=1,60+Inputs!$B$25+Inputs!$B$29,IF(Skills!C15=2,90+Inputs!$B$26+Inputs!$B$29,IF(Skills!C15=3,120+Inputs!$B$27+Inputs!$B$29,MAX(0,(Inputs!$B$3-100)*3)+Inputs!$B$28+Inputs!$B$29)))</f>
        <v/>
      </c>
      <c r="E927">
        <f>INDEX(FactorTable!$B$2:$Y$301, MATCH(ROUND(MIN(300,MAX(1,D927)),0), FactorTable!$A$2:$A$301,0), Skills!M15+1)</f>
        <v/>
      </c>
      <c r="F927">
        <f>IF(Skills!N15=TRUE,(Skills!L15/10)*(E927/1000),Skills!L15/10)+Skills!O15</f>
        <v/>
      </c>
      <c r="G927">
        <f>Calc!G15</f>
        <v/>
      </c>
      <c r="H927">
        <f>Calc!H15</f>
        <v/>
      </c>
      <c r="I927">
        <f>IF(Skills!X15&lt;&gt;"",1+(Skills!X15/10)*(Z915/1000)/100,1)</f>
        <v/>
      </c>
      <c r="J927">
        <f>(((Inputs!$B$6+1)*(1+Inputs!$B$7/100))+(((Inputs!$B$12*(1+Inputs!$B$13/100))-(Inputs!$B$12*(1+Inputs!$B$13/100)))+0.25*(Inputs!$B$14-Inputs!$B$14))*(1+Inputs!$B$7/100))*(F927/100)</f>
        <v/>
      </c>
      <c r="K927">
        <f>J927*(1+((Inputs!$B$12*(1+Inputs!$B$13/100))*0.01+Inputs!$B$14*0.0025)/100)*(1+Inputs!$B$15/100)*(1+Inputs!$B$16/100)*(5000/(6000+Inputs!$B$42*(1-Inputs!$B$19/100)))*(1+Inputs!$B$24/100)*(1+F935/100)*(1+IF(Inputs!$B$3&gt;=120,F938,0)/100)^5*(1+(IF(Skills!A15="BASIC_ATTACK",Inputs!$B$17,Inputs!$B$18+IF(Inputs!$B$3&gt;=125,F939*5,0)))/100)*(B942*B943*B944*I927)</f>
        <v/>
      </c>
      <c r="L927">
        <f>K927*(MIN(Inputs!$B$22+(F934-Calc!F22),Inputs!$B$23)/100+Inputs!$B$23/100)/2</f>
        <v/>
      </c>
      <c r="M927">
        <f>L927*(1+(Inputs!$B$10+(F933-Calc!F21))/100)</f>
        <v/>
      </c>
      <c r="N927">
        <f>L927*(1-MIN(Inputs!$B$9+(F932-Calc!F20),100)/100)+M927*(MIN(Inputs!$B$9+(F932-Calc!F20),100)/100)</f>
        <v/>
      </c>
      <c r="O927">
        <f>(1-Summary!$B$56)*S927+Summary!$B$56*U927</f>
        <v/>
      </c>
      <c r="P927">
        <f>IF(B953=0,0,O927/B953)</f>
        <v/>
      </c>
      <c r="Q927">
        <f>IFERROR(1/IF(Inputs!$B$38="pvp",15,MAX(0.1,Skills!E15-IF(Skills!F15=TRUE,Inputs!$B$32,0))),0)</f>
        <v/>
      </c>
      <c r="R927">
        <f>IF(AND(Inputs!$B$38&lt;&gt;"pvp",Inputs!$B$43&gt;0),IF(MAX(0,Inputs!$B$43-B950)&lt;=0,0,(INT(MAX(0,Inputs!$B$43-B950)/IF(Inputs!$B$38="pvp",15,MAX(0.1,Skills!E15-IF(Skills!F15=TRUE,Inputs!$B$32,0))))+1)),0)</f>
        <v/>
      </c>
      <c r="S927">
        <f>IF(C927,(H927*N927*IF(AND(Inputs!$B$38&lt;&gt;"pvp",Inputs!$B$43&gt;0),((Skills!G15*((R927-1)*IF(Skills!H15&gt;0,Skills!I15/Skills!H15,1)+IF(Skills!H15&gt;0,MIN(Skills!I15,MAX(0,MAX(0,Inputs!$B$43-B950)-((R927-1)*IF(Inputs!$B$38="pvp",15,MAX(0.1,Skills!E15-IF(Skills!F15=TRUE,Inputs!$B$32,0))))))/Skills!H15,1)))/Inputs!$B$43),G927*Q927))*IF(Inputs!$B$38="pvp",1,1+(Inputs!$B$20+Skills!P15)/100),0)</f>
        <v/>
      </c>
      <c r="U927">
        <f>IF(C927,(H927*N927*IF(AND(Inputs!$B$38&lt;&gt;"pvp",Inputs!$B$43&gt;0),((Skills!G15*((R927-1)*IF(Skills!H15&gt;0,Skills!I15/Skills!H15,1)+IF(Skills!H15&gt;0,MIN(Skills!I15,MAX(0,MAX(0,Inputs!$B$43-B950)-((R927-1)*IF(Inputs!$B$38="pvp",15,MAX(0.1,Skills!E15-IF(Skills!F15=TRUE,Inputs!$B$32,0))))))/Skills!H15,1)))/Inputs!$B$43),G927*Q927))*IF(Inputs!$B$38="pvp",1,(1+(Inputs!$B$21+Skills!Q15)/100)*(MIN(Skills!R15,Inputs!$B$37))),0)</f>
        <v/>
      </c>
    </row>
    <row r="928">
      <c r="A928">
        <f>Skills!A16</f>
        <v/>
      </c>
      <c r="B928">
        <f>Skills!B16</f>
        <v/>
      </c>
      <c r="C928">
        <f>Inputs!$B$3&gt;=107</f>
        <v/>
      </c>
      <c r="D928">
        <f>IF(Skills!C16=1,60+Inputs!$B$25+Inputs!$B$29,IF(Skills!C16=2,90+Inputs!$B$26+Inputs!$B$29,IF(Skills!C16=3,120+Inputs!$B$27+Inputs!$B$29,MAX(0,(Inputs!$B$3-100)*3)+Inputs!$B$28+Inputs!$B$29)))</f>
        <v/>
      </c>
      <c r="E928">
        <f>INDEX(FactorTable!$B$2:$Y$301, MATCH(ROUND(MIN(300,MAX(1,D928)),0), FactorTable!$A$2:$A$301,0), Skills!M16+1)</f>
        <v/>
      </c>
      <c r="F928">
        <f>IF(Skills!N16=TRUE,(Skills!L16/10)*(E928/1000),Skills!L16/10)+Skills!O16</f>
        <v/>
      </c>
      <c r="G928">
        <f>Calc!G16</f>
        <v/>
      </c>
      <c r="H928">
        <f>Calc!H16</f>
        <v/>
      </c>
      <c r="I928">
        <f>IF(Skills!X16&lt;&gt;"",1+(Skills!X16/10)*(Z915/1000)/100,1)</f>
        <v/>
      </c>
      <c r="J928">
        <f>(((Inputs!$B$6+1)*(1+Inputs!$B$7/100))+(((Inputs!$B$12*(1+Inputs!$B$13/100))-(Inputs!$B$12*(1+Inputs!$B$13/100)))+0.25*(Inputs!$B$14-Inputs!$B$14))*(1+Inputs!$B$7/100))*(F928/100)</f>
        <v/>
      </c>
      <c r="K928">
        <f>J928*(1+((Inputs!$B$12*(1+Inputs!$B$13/100))*0.01+Inputs!$B$14*0.0025)/100)*(1+Inputs!$B$15/100)*(1+Inputs!$B$16/100)*(5000/(6000+Inputs!$B$42*(1-Inputs!$B$19/100)))*(1+Inputs!$B$24/100)*(1+F935/100)*(1+IF(Inputs!$B$3&gt;=120,F938,0)/100)^5*(1+(IF(Skills!A16="BASIC_ATTACK",Inputs!$B$17,Inputs!$B$18+IF(Inputs!$B$3&gt;=125,F939*5,0)))/100)*(B942*B943*B944*I928)</f>
        <v/>
      </c>
      <c r="L928">
        <f>K928*(MIN(Inputs!$B$22+(F934-Calc!F22),Inputs!$B$23)/100+Inputs!$B$23/100)/2</f>
        <v/>
      </c>
      <c r="M928">
        <f>L928*(1+(Inputs!$B$10+(F933-Calc!F21))/100)</f>
        <v/>
      </c>
      <c r="N928">
        <f>L928*(1-MIN(Inputs!$B$9+(F932-Calc!F20),100)/100)+M928*(MIN(Inputs!$B$9+(F932-Calc!F20),100)/100)</f>
        <v/>
      </c>
      <c r="O928">
        <f>(1-Summary!$B$56)*S928+Summary!$B$56*U928</f>
        <v/>
      </c>
      <c r="P928">
        <f>IF(B953=0,0,O928/B953)</f>
        <v/>
      </c>
      <c r="Q928">
        <f>IFERROR(1/IF(Inputs!$B$38="pvp",15,MAX(0.1,Skills!E16-IF(Skills!F16=TRUE,Inputs!$B$32,0))),0)</f>
        <v/>
      </c>
      <c r="R928">
        <f>IF(AND(Inputs!$B$38&lt;&gt;"pvp",Inputs!$B$43&gt;0),IF(MAX(0,Inputs!$B$43-B950)&lt;=0,0,(INT(MAX(0,Inputs!$B$43-B950)/IF(Inputs!$B$38="pvp",15,MAX(0.1,Skills!E16-IF(Skills!F16=TRUE,Inputs!$B$32,0))))+1)),0)</f>
        <v/>
      </c>
      <c r="S928">
        <f>IF(C928,(H928*N928*IF(AND(Inputs!$B$38&lt;&gt;"pvp",Inputs!$B$43&gt;0),((Skills!G16*((R928-1)*IF(Skills!H16&gt;0,Skills!I16/Skills!H16,1)+IF(Skills!H16&gt;0,MIN(Skills!I16,MAX(0,MAX(0,Inputs!$B$43-B950)-((R928-1)*IF(Inputs!$B$38="pvp",15,MAX(0.1,Skills!E16-IF(Skills!F16=TRUE,Inputs!$B$32,0))))))/Skills!H16,1)))/Inputs!$B$43),G928*Q928)*(1+IF(Inputs!$B$3&gt;=126,0.05*(B948+Q925+(H926*B949)/(1+Skills!H14*H926*B949)+Q936),0)*Skills!E15))*IF(Inputs!$B$38="pvp",1,1+(Inputs!$B$20+Skills!P16)/100),0)</f>
        <v/>
      </c>
      <c r="U928">
        <f>IF(C928,(H928*N928*IF(AND(Inputs!$B$38&lt;&gt;"pvp",Inputs!$B$43&gt;0),((Skills!G16*((R928-1)*IF(Skills!H16&gt;0,Skills!I16/Skills!H16,1)+IF(Skills!H16&gt;0,MIN(Skills!I16,MAX(0,MAX(0,Inputs!$B$43-B950)-((R928-1)*IF(Inputs!$B$38="pvp",15,MAX(0.1,Skills!E16-IF(Skills!F16=TRUE,Inputs!$B$32,0))))))/Skills!H16,1)))/Inputs!$B$43),G928*Q928)*(1+IF(Inputs!$B$3&gt;=126,0.05*(B948+Q925+(H926*B949)/(1+Skills!H14*H926*B949)+Q936),0)*Skills!E15))*IF(Inputs!$B$38="pvp",1,(1+(Inputs!$B$21+Skills!Q16)/100)*(MIN(Skills!R16,Inputs!$B$37))),0)</f>
        <v/>
      </c>
    </row>
    <row r="929">
      <c r="A929">
        <f>Skills!A17</f>
        <v/>
      </c>
      <c r="B929">
        <f>Skills!B17</f>
        <v/>
      </c>
      <c r="C929">
        <f>TRUE</f>
        <v/>
      </c>
      <c r="D929">
        <f>IF(Skills!C17=1,60+Inputs!$B$25+Inputs!$B$29,IF(Skills!C17=2,90+Inputs!$B$26+Inputs!$B$29,IF(Skills!C17=3,120+Inputs!$B$27+Inputs!$B$29,MAX(0,(Inputs!$B$3-100)*3)+Inputs!$B$28+Inputs!$B$29)))</f>
        <v/>
      </c>
      <c r="E929">
        <f>INDEX(FactorTable!$B$2:$Y$301, MATCH(ROUND(MIN(300,MAX(1,D929)),0), FactorTable!$A$2:$A$301,0), Skills!M17+1)</f>
        <v/>
      </c>
      <c r="F929">
        <f>IF(Skills!N17=TRUE,(Skills!L17/10)*(E929/1000),Skills!L17/10)+Skills!O17</f>
        <v/>
      </c>
      <c r="G929">
        <f>Calc!G17</f>
        <v/>
      </c>
      <c r="H929">
        <f>Calc!H17</f>
        <v/>
      </c>
      <c r="I929">
        <f>IF(Skills!X17&lt;&gt;"",1+(Skills!X17/10)*(Z915/1000)/100,1)</f>
        <v/>
      </c>
      <c r="J929" t="inlineStr"/>
      <c r="K929" t="inlineStr"/>
      <c r="L929" t="inlineStr"/>
      <c r="M929" t="inlineStr"/>
      <c r="N929" t="inlineStr"/>
      <c r="O929">
        <f>(1-Summary!$B$56)*S929+Summary!$B$56*U929</f>
        <v/>
      </c>
      <c r="P929">
        <f>IF(B953=0,0,O929/B953)</f>
        <v/>
      </c>
      <c r="Q929">
        <f>IFERROR(1/IF(Inputs!$B$38="pvp",15,MAX(0.1,Skills!E17-IF(Skills!F17=TRUE,Inputs!$B$32,0))),0)</f>
        <v/>
      </c>
      <c r="R929">
        <f>IF(AND(Inputs!$B$38&lt;&gt;"pvp",Inputs!$B$43&gt;0),IF(Inputs!$B$43&lt;=0,0,(INT(Inputs!$B$43/IF(Inputs!$B$38="pvp",15,MAX(0.1,Skills!E17-IF(Skills!F17=TRUE,Inputs!$B$32,0))))+1)),0)</f>
        <v/>
      </c>
      <c r="S929" t="n">
        <v>0</v>
      </c>
      <c r="U929" t="n">
        <v>0</v>
      </c>
    </row>
    <row r="930">
      <c r="A930">
        <f>Skills!A18</f>
        <v/>
      </c>
      <c r="B930">
        <f>Skills!B18</f>
        <v/>
      </c>
      <c r="C930">
        <f>TRUE</f>
        <v/>
      </c>
      <c r="D930">
        <f>IF(Skills!C18=1,60+Inputs!$B$25+Inputs!$B$29,IF(Skills!C18=2,90+Inputs!$B$26+Inputs!$B$29,IF(Skills!C18=3,120+Inputs!$B$27+Inputs!$B$29,MAX(0,(Inputs!$B$3-100)*3)+Inputs!$B$28+Inputs!$B$29)))</f>
        <v/>
      </c>
      <c r="E930">
        <f>INDEX(FactorTable!$B$2:$Y$301, MATCH(ROUND(MIN(300,MAX(1,D930)),0), FactorTable!$A$2:$A$301,0), Skills!M18+1)</f>
        <v/>
      </c>
      <c r="F930">
        <f>IF(Skills!N18=TRUE,(Skills!L18/10)*(E930/1000),Skills!L18/10)+Skills!O18</f>
        <v/>
      </c>
      <c r="G930">
        <f>Calc!G18</f>
        <v/>
      </c>
      <c r="H930">
        <f>Calc!H18</f>
        <v/>
      </c>
      <c r="I930">
        <f>IF(Skills!X18&lt;&gt;"",1+(Skills!X18/10)*(Z915/1000)/100,1)</f>
        <v/>
      </c>
      <c r="J930" t="inlineStr"/>
      <c r="K930" t="inlineStr"/>
      <c r="L930" t="inlineStr"/>
      <c r="M930" t="inlineStr"/>
      <c r="N930" t="inlineStr"/>
      <c r="O930">
        <f>(1-Summary!$B$56)*S930+Summary!$B$56*U930</f>
        <v/>
      </c>
      <c r="P930">
        <f>IF(B953=0,0,O930/B953)</f>
        <v/>
      </c>
      <c r="Q930">
        <f>IFERROR(1/IF(Inputs!$B$38="pvp",15,MAX(0.1,Skills!E18-IF(Skills!F18=TRUE,Inputs!$B$32,0))),0)</f>
        <v/>
      </c>
      <c r="R930">
        <f>IF(AND(Inputs!$B$38&lt;&gt;"pvp",Inputs!$B$43&gt;0),IF(Inputs!$B$43&lt;=0,0,(INT(Inputs!$B$43/IF(Inputs!$B$38="pvp",15,MAX(0.1,Skills!E18-IF(Skills!F18=TRUE,Inputs!$B$32,0))))+1)),0)</f>
        <v/>
      </c>
      <c r="S930" t="n">
        <v>0</v>
      </c>
      <c r="U930" t="n">
        <v>0</v>
      </c>
    </row>
    <row r="931">
      <c r="A931">
        <f>Skills!A19</f>
        <v/>
      </c>
      <c r="B931">
        <f>Skills!B19</f>
        <v/>
      </c>
      <c r="C931">
        <f>Inputs!$B$3&gt;=110</f>
        <v/>
      </c>
      <c r="D931">
        <f>IF(Skills!C19=1,60+Inputs!$B$25+Inputs!$B$29,IF(Skills!C19=2,90+Inputs!$B$26+Inputs!$B$29,IF(Skills!C19=3,120+Inputs!$B$27+Inputs!$B$29,MAX(0,(Inputs!$B$3-100)*3)+Inputs!$B$28+Inputs!$B$29)))</f>
        <v/>
      </c>
      <c r="E931">
        <f>INDEX(FactorTable!$B$2:$Y$301, MATCH(ROUND(MIN(300,MAX(1,D931)),0), FactorTable!$A$2:$A$301,0), Skills!M19+1)</f>
        <v/>
      </c>
      <c r="F931">
        <f>IF(Skills!N19=TRUE,(Skills!L19/10)*(E931/1000),Skills!L19/10)+Skills!O19</f>
        <v/>
      </c>
      <c r="G931">
        <f>Calc!G19</f>
        <v/>
      </c>
      <c r="H931">
        <f>Calc!H19</f>
        <v/>
      </c>
      <c r="I931">
        <f>IF(Skills!X19&lt;&gt;"",1+(Skills!X19/10)*(Z915/1000)/100,1)</f>
        <v/>
      </c>
      <c r="J931" t="inlineStr"/>
      <c r="K931" t="inlineStr"/>
      <c r="L931" t="inlineStr"/>
      <c r="M931" t="inlineStr"/>
      <c r="N931" t="inlineStr"/>
      <c r="O931">
        <f>(1-Summary!$B$56)*S931+Summary!$B$56*U931</f>
        <v/>
      </c>
      <c r="P931">
        <f>IF(B953=0,0,O931/B953)</f>
        <v/>
      </c>
      <c r="Q931">
        <f>IFERROR(1/IF(Inputs!$B$38="pvp",15,MAX(0.1,Skills!E19-IF(Skills!F19=TRUE,Inputs!$B$32,0))),0)</f>
        <v/>
      </c>
      <c r="R931">
        <f>IF(AND(Inputs!$B$38&lt;&gt;"pvp",Inputs!$B$43&gt;0),IF(Inputs!$B$43&lt;=0,0,(INT(Inputs!$B$43/IF(Inputs!$B$38="pvp",15,MAX(0.1,Skills!E19-IF(Skills!F19=TRUE,Inputs!$B$32,0))))+1)),0)</f>
        <v/>
      </c>
      <c r="S931" t="n">
        <v>0</v>
      </c>
      <c r="U931" t="n">
        <v>0</v>
      </c>
    </row>
    <row r="932">
      <c r="A932">
        <f>Skills!A20</f>
        <v/>
      </c>
      <c r="B932">
        <f>Skills!B20</f>
        <v/>
      </c>
      <c r="C932">
        <f>TRUE</f>
        <v/>
      </c>
      <c r="D932">
        <f>IF(Skills!C20=1,60+Inputs!$B$25+Inputs!$B$29,IF(Skills!C20=2,90+Inputs!$B$26+Inputs!$B$29,IF(Skills!C20=3,120+Inputs!$B$27+Inputs!$B$29,MAX(0,(Inputs!$B$3-100)*3)+Inputs!$B$28+Inputs!$B$29)))</f>
        <v/>
      </c>
      <c r="E932">
        <f>INDEX(FactorTable!$B$2:$Y$301, MATCH(ROUND(MIN(300,MAX(1,D932)),0), FactorTable!$A$2:$A$301,0), Skills!M20+1)</f>
        <v/>
      </c>
      <c r="F932">
        <f>IF(Skills!N20=TRUE,(Skills!L20/10)*(E932/1000),Skills!L20/10)+Skills!O20</f>
        <v/>
      </c>
      <c r="G932">
        <f>Calc!G20</f>
        <v/>
      </c>
      <c r="H932">
        <f>Calc!H20</f>
        <v/>
      </c>
      <c r="I932">
        <f>IF(Skills!X20&lt;&gt;"",1+(Skills!X20/10)*(Z915/1000)/100,1)</f>
        <v/>
      </c>
      <c r="J932" t="inlineStr"/>
      <c r="K932" t="inlineStr"/>
      <c r="L932" t="inlineStr"/>
      <c r="M932" t="inlineStr"/>
      <c r="N932" t="inlineStr"/>
      <c r="O932">
        <f>(1-Summary!$B$56)*S932+Summary!$B$56*U932</f>
        <v/>
      </c>
      <c r="P932">
        <f>IF(B953=0,0,O932/B953)</f>
        <v/>
      </c>
      <c r="Q932">
        <f>IFERROR(1/IF(Inputs!$B$38="pvp",15,MAX(0.1,Skills!E20-IF(Skills!F20=TRUE,Inputs!$B$32,0))),0)</f>
        <v/>
      </c>
      <c r="R932" t="n">
        <v>0</v>
      </c>
      <c r="S932" t="n">
        <v>0</v>
      </c>
      <c r="U932" t="n">
        <v>0</v>
      </c>
    </row>
    <row r="933">
      <c r="A933">
        <f>Skills!A21</f>
        <v/>
      </c>
      <c r="B933">
        <f>Skills!B21</f>
        <v/>
      </c>
      <c r="C933">
        <f>TRUE</f>
        <v/>
      </c>
      <c r="D933">
        <f>IF(Skills!C21=1,60+Inputs!$B$25+Inputs!$B$29,IF(Skills!C21=2,90+Inputs!$B$26+Inputs!$B$29,IF(Skills!C21=3,120+Inputs!$B$27+Inputs!$B$29,MAX(0,(Inputs!$B$3-100)*3)+Inputs!$B$28+Inputs!$B$29)))</f>
        <v/>
      </c>
      <c r="E933">
        <f>INDEX(FactorTable!$B$2:$Y$301, MATCH(ROUND(MIN(300,MAX(1,D933)),0), FactorTable!$A$2:$A$301,0), Skills!M21+1)</f>
        <v/>
      </c>
      <c r="F933">
        <f>IF(Skills!N21=TRUE,(Skills!L21/10)*(E933/1000),Skills!L21/10)+Skills!O21</f>
        <v/>
      </c>
      <c r="G933">
        <f>Calc!G21</f>
        <v/>
      </c>
      <c r="H933">
        <f>Calc!H21</f>
        <v/>
      </c>
      <c r="I933">
        <f>IF(Skills!X21&lt;&gt;"",1+(Skills!X21/10)*(Z915/1000)/100,1)</f>
        <v/>
      </c>
      <c r="J933" t="inlineStr"/>
      <c r="K933" t="inlineStr"/>
      <c r="L933" t="inlineStr"/>
      <c r="M933" t="inlineStr"/>
      <c r="N933" t="inlineStr"/>
      <c r="O933">
        <f>(1-Summary!$B$56)*S933+Summary!$B$56*U933</f>
        <v/>
      </c>
      <c r="P933">
        <f>IF(B953=0,0,O933/B953)</f>
        <v/>
      </c>
      <c r="Q933">
        <f>IFERROR(1/IF(Inputs!$B$38="pvp",15,MAX(0.1,Skills!E21-IF(Skills!F21=TRUE,Inputs!$B$32,0))),0)</f>
        <v/>
      </c>
      <c r="R933" t="n">
        <v>0</v>
      </c>
      <c r="S933" t="n">
        <v>0</v>
      </c>
      <c r="U933" t="n">
        <v>0</v>
      </c>
    </row>
    <row r="934">
      <c r="A934">
        <f>Skills!A22</f>
        <v/>
      </c>
      <c r="B934">
        <f>Skills!B22</f>
        <v/>
      </c>
      <c r="C934">
        <f>TRUE</f>
        <v/>
      </c>
      <c r="D934">
        <f>IF(Skills!C22=1,60+Inputs!$B$25+Inputs!$B$29,IF(Skills!C22=2,90+Inputs!$B$26+Inputs!$B$29,IF(Skills!C22=3,120+Inputs!$B$27+Inputs!$B$29,MAX(0,(Inputs!$B$3-100)*3)+Inputs!$B$28+Inputs!$B$29)))</f>
        <v/>
      </c>
      <c r="E934">
        <f>INDEX(FactorTable!$B$2:$Y$301, MATCH(ROUND(MIN(300,MAX(1,D934)),0), FactorTable!$A$2:$A$301,0), Skills!M22+1)</f>
        <v/>
      </c>
      <c r="F934">
        <f>IF(Skills!N22=TRUE,(Skills!L22/10)*(E934/1000),Skills!L22/10)+Skills!O22</f>
        <v/>
      </c>
      <c r="G934">
        <f>Calc!G22</f>
        <v/>
      </c>
      <c r="H934">
        <f>Calc!H22</f>
        <v/>
      </c>
      <c r="I934">
        <f>IF(Skills!X22&lt;&gt;"",1+(Skills!X22/10)*(Z915/1000)/100,1)</f>
        <v/>
      </c>
      <c r="J934" t="inlineStr"/>
      <c r="K934" t="inlineStr"/>
      <c r="L934" t="inlineStr"/>
      <c r="M934" t="inlineStr"/>
      <c r="N934" t="inlineStr"/>
      <c r="O934">
        <f>(1-Summary!$B$56)*S934+Summary!$B$56*U934</f>
        <v/>
      </c>
      <c r="P934">
        <f>IF(B953=0,0,O934/B953)</f>
        <v/>
      </c>
      <c r="Q934">
        <f>IFERROR(1/IF(Inputs!$B$38="pvp",15,MAX(0.1,Skills!E22-IF(Skills!F22=TRUE,Inputs!$B$32,0))),0)</f>
        <v/>
      </c>
      <c r="R934" t="n">
        <v>0</v>
      </c>
      <c r="S934" t="n">
        <v>0</v>
      </c>
      <c r="U934" t="n">
        <v>0</v>
      </c>
    </row>
    <row r="935">
      <c r="A935">
        <f>Skills!A23</f>
        <v/>
      </c>
      <c r="B935">
        <f>Skills!B23</f>
        <v/>
      </c>
      <c r="C935">
        <f>TRUE</f>
        <v/>
      </c>
      <c r="D935">
        <f>IF(Skills!C23=1,60+Inputs!$B$25+Inputs!$B$29,IF(Skills!C23=2,90+Inputs!$B$26+Inputs!$B$29,IF(Skills!C23=3,120+Inputs!$B$27+Inputs!$B$29,MAX(0,(Inputs!$B$3-100)*3)+Inputs!$B$28+Inputs!$B$29)))</f>
        <v/>
      </c>
      <c r="E935">
        <f>INDEX(FactorTable!$B$2:$Y$301, MATCH(ROUND(MIN(300,MAX(1,D935)),0), FactorTable!$A$2:$A$301,0), Skills!M23+1)</f>
        <v/>
      </c>
      <c r="F935">
        <f>IF(Skills!N23=TRUE,(Skills!L23/10)*(E935/1000),Skills!L23/10)+Skills!O23</f>
        <v/>
      </c>
      <c r="G935">
        <f>Calc!G23</f>
        <v/>
      </c>
      <c r="H935">
        <f>Calc!H23</f>
        <v/>
      </c>
      <c r="I935">
        <f>IF(Skills!X23&lt;&gt;"",1+(Skills!X23/10)*(Z915/1000)/100,1)</f>
        <v/>
      </c>
      <c r="J935" t="inlineStr"/>
      <c r="K935" t="inlineStr"/>
      <c r="L935" t="inlineStr"/>
      <c r="M935" t="inlineStr"/>
      <c r="N935" t="inlineStr"/>
      <c r="O935">
        <f>(1-Summary!$B$56)*S935+Summary!$B$56*U935</f>
        <v/>
      </c>
      <c r="P935">
        <f>IF(B953=0,0,O935/B953)</f>
        <v/>
      </c>
      <c r="Q935">
        <f>IFERROR(1/IF(Inputs!$B$38="pvp",15,MAX(0.1,Skills!E23-IF(Skills!F23=TRUE,Inputs!$B$32,0))),0)</f>
        <v/>
      </c>
      <c r="R935" t="n">
        <v>0</v>
      </c>
      <c r="S935" t="n">
        <v>0</v>
      </c>
      <c r="U935" t="n">
        <v>0</v>
      </c>
    </row>
    <row r="936">
      <c r="A936">
        <f>Skills!A24</f>
        <v/>
      </c>
      <c r="B936">
        <f>Skills!B24</f>
        <v/>
      </c>
      <c r="C936">
        <f>Inputs!$B$3&gt;=115</f>
        <v/>
      </c>
      <c r="D936">
        <f>IF(Skills!C24=1,60+Inputs!$B$25+Inputs!$B$29,IF(Skills!C24=2,90+Inputs!$B$26+Inputs!$B$29,IF(Skills!C24=3,120+Inputs!$B$27+Inputs!$B$29,MAX(0,(Inputs!$B$3-100)*3)+Inputs!$B$28+Inputs!$B$29)))</f>
        <v/>
      </c>
      <c r="E936">
        <f>INDEX(FactorTable!$B$2:$Y$301, MATCH(ROUND(MIN(300,MAX(1,D936)),0), FactorTable!$A$2:$A$301,0), Skills!M24+1)</f>
        <v/>
      </c>
      <c r="F936">
        <f>IF(Skills!N24=TRUE,(Skills!L24/10)*(E936/1000),Skills!L24/10)+Skills!O24</f>
        <v/>
      </c>
      <c r="G936">
        <f>Calc!G24</f>
        <v/>
      </c>
      <c r="H936">
        <f>Calc!H24</f>
        <v/>
      </c>
      <c r="I936">
        <f>IF(Skills!X24&lt;&gt;"",1+(Skills!X24/10)*(Z915/1000)/100,1)</f>
        <v/>
      </c>
      <c r="J936">
        <f>(((Inputs!$B$6+1)*(1+Inputs!$B$7/100))+(((Inputs!$B$12*(1+Inputs!$B$13/100))-(Inputs!$B$12*(1+Inputs!$B$13/100)))+0.25*(Inputs!$B$14-Inputs!$B$14))*(1+Inputs!$B$7/100))*(F936/100)</f>
        <v/>
      </c>
      <c r="K936">
        <f>J936*(1+((Inputs!$B$12*(1+Inputs!$B$13/100))*0.01+Inputs!$B$14*0.0025)/100)*(1+Inputs!$B$15/100)*(1+Inputs!$B$16/100)*(5000/(6000+Inputs!$B$42*(1-Inputs!$B$19/100)))*(1+Inputs!$B$24/100)*(1+F935/100)*(1+IF(Inputs!$B$3&gt;=120,F938,0)/100)^5*(1+(IF(Skills!A24="BASIC_ATTACK",Inputs!$B$17,Inputs!$B$18+IF(Inputs!$B$3&gt;=125,F939*5,0)))/100)*(B942*B943*B944*I936)</f>
        <v/>
      </c>
      <c r="L936">
        <f>K936*(MIN(Inputs!$B$22+(F934-Calc!F22),Inputs!$B$23)/100+Inputs!$B$23/100)/2</f>
        <v/>
      </c>
      <c r="M936">
        <f>L936*(1+(Inputs!$B$10+(F933-Calc!F21))/100)</f>
        <v/>
      </c>
      <c r="N936">
        <f>L936*(1-MIN(Inputs!$B$9+(F932-Calc!F20),100)/100)+M936*(MIN(Inputs!$B$9+(F932-Calc!F20),100)/100)</f>
        <v/>
      </c>
      <c r="O936">
        <f>(1-Summary!$B$56)*S936+Summary!$B$56*U936</f>
        <v/>
      </c>
      <c r="P936">
        <f>IF(B953=0,0,O936/B953)</f>
        <v/>
      </c>
      <c r="Q936">
        <f>IFERROR(1/IF(Inputs!$B$38="pvp",15,MAX(0.1,Skills!E24-IF(Skills!F24=TRUE,Inputs!$B$32,0))),0)</f>
        <v/>
      </c>
      <c r="R936">
        <f>IF(AND(Inputs!$B$38&lt;&gt;"pvp",Inputs!$B$43&gt;0),IF(MAX(0,Inputs!$B$43-B950)&lt;=0,0,(INT(MAX(0,Inputs!$B$43-B950)/IF(Inputs!$B$38="pvp",15,MAX(0.1,Skills!E24-IF(Skills!F24=TRUE,Inputs!$B$32,0))))+1)),0)</f>
        <v/>
      </c>
      <c r="S936">
        <f>IF(C936,(H936*N936*IF(AND(Inputs!$B$38&lt;&gt;"pvp",Inputs!$B$43&gt;0),((Skills!G24*((R936-1)*IF(Skills!H24&gt;0,Skills!I24/Skills!H24,1)+IF(Skills!H24&gt;0,MIN(Skills!I24,MAX(0,MAX(0,Inputs!$B$43-B950)-((R936-1)*IF(Inputs!$B$38="pvp",15,MAX(0.1,Skills!E24-IF(Skills!F24=TRUE,Inputs!$B$32,0))))))/Skills!H24,1)))/Inputs!$B$43),G936*Q936)*(1+IF(Inputs!$B$3&gt;=130,0.2*(Skills!I16/Skills!E15+IF(Inputs!$B$3&gt;=126,0.05*(B948+Q925+(H926*B949)/(1+Skills!H14*H926*B949)+Q936),0)*Skills!I16),0)))*IF(Inputs!$B$38="pvp",1,1+(Inputs!$B$20+Skills!P24)/100),0)</f>
        <v/>
      </c>
      <c r="U936">
        <f>IF(C936,(H936*N936*IF(AND(Inputs!$B$38&lt;&gt;"pvp",Inputs!$B$43&gt;0),((Skills!G24*((R936-1)*IF(Skills!H24&gt;0,Skills!I24/Skills!H24,1)+IF(Skills!H24&gt;0,MIN(Skills!I24,MAX(0,MAX(0,Inputs!$B$43-B950)-((R936-1)*IF(Inputs!$B$38="pvp",15,MAX(0.1,Skills!E24-IF(Skills!F24=TRUE,Inputs!$B$32,0))))))/Skills!H24,1)))/Inputs!$B$43),G936*Q936)*(1+IF(Inputs!$B$3&gt;=130,0.2*(Skills!I16/Skills!E15+IF(Inputs!$B$3&gt;=126,0.05*(B948+Q925+(H926*B949)/(1+Skills!H14*H926*B949)+Q936),0)*Skills!I16),0)))*IF(Inputs!$B$38="pvp",1,(1+(Inputs!$B$21+Skills!Q24)/100)*(MIN(Skills!R24,Inputs!$B$37))),0)</f>
        <v/>
      </c>
    </row>
    <row r="937">
      <c r="A937">
        <f>Skills!A25</f>
        <v/>
      </c>
      <c r="B937">
        <f>Skills!B25</f>
        <v/>
      </c>
      <c r="C937">
        <f>Inputs!$B$3&gt;=117</f>
        <v/>
      </c>
      <c r="D937">
        <f>IF(Skills!C25=1,60+Inputs!$B$25+Inputs!$B$29,IF(Skills!C25=2,90+Inputs!$B$26+Inputs!$B$29,IF(Skills!C25=3,120+Inputs!$B$27+Inputs!$B$29,MAX(0,(Inputs!$B$3-100)*3)+Inputs!$B$28+Inputs!$B$29)))</f>
        <v/>
      </c>
      <c r="E937">
        <f>INDEX(FactorTable!$B$2:$Y$301, MATCH(ROUND(MIN(300,MAX(1,D937)),0), FactorTable!$A$2:$A$301,0), Skills!M25+1)</f>
        <v/>
      </c>
      <c r="F937">
        <f>IF(Skills!N25=TRUE,(Skills!L25/10)*(E937/1000),Skills!L25/10)+Skills!O25</f>
        <v/>
      </c>
      <c r="G937">
        <f>Calc!G25</f>
        <v/>
      </c>
      <c r="H937">
        <f>Calc!H25</f>
        <v/>
      </c>
      <c r="I937">
        <f>IF(Skills!X25&lt;&gt;"",1+(Skills!X25/10)*(Z915/1000)/100,1)</f>
        <v/>
      </c>
      <c r="J937" t="inlineStr"/>
      <c r="K937" t="inlineStr"/>
      <c r="L937" t="inlineStr"/>
      <c r="M937" t="inlineStr"/>
      <c r="N937" t="inlineStr"/>
      <c r="O937">
        <f>(1-Summary!$B$56)*S937+Summary!$B$56*U937</f>
        <v/>
      </c>
      <c r="P937">
        <f>IF(B953=0,0,O937/B953)</f>
        <v/>
      </c>
      <c r="Q937">
        <f>IFERROR(1/IF(Inputs!$B$38="pvp",15,MAX(0.1,Skills!E25-IF(Skills!F25=TRUE,Inputs!$B$32,0))),0)</f>
        <v/>
      </c>
      <c r="R937" t="n">
        <v>0</v>
      </c>
      <c r="S937" t="n">
        <v>0</v>
      </c>
      <c r="U937" t="n">
        <v>0</v>
      </c>
    </row>
    <row r="938">
      <c r="A938">
        <f>Skills!A26</f>
        <v/>
      </c>
      <c r="B938">
        <f>Skills!B26</f>
        <v/>
      </c>
      <c r="C938">
        <f>Inputs!$B$3&gt;=120</f>
        <v/>
      </c>
      <c r="D938">
        <f>IF(Skills!C26=1,60+Inputs!$B$25+Inputs!$B$29,IF(Skills!C26=2,90+Inputs!$B$26+Inputs!$B$29,IF(Skills!C26=3,120+Inputs!$B$27+Inputs!$B$29,MAX(0,(Inputs!$B$3-100)*3)+Inputs!$B$28+Inputs!$B$29)))</f>
        <v/>
      </c>
      <c r="E938">
        <f>INDEX(FactorTable!$B$2:$Y$301, MATCH(ROUND(MIN(300,MAX(1,D938)),0), FactorTable!$A$2:$A$301,0), Skills!M26+1)</f>
        <v/>
      </c>
      <c r="F938">
        <f>IF(Skills!N26=TRUE,(Skills!L26/10)*(E938/1000),Skills!L26/10)+Skills!O26</f>
        <v/>
      </c>
      <c r="G938">
        <f>Calc!G26</f>
        <v/>
      </c>
      <c r="H938">
        <f>Calc!H26</f>
        <v/>
      </c>
      <c r="I938">
        <f>IF(Skills!X26&lt;&gt;"",1+(Skills!X26/10)*(Z915/1000)/100,1)</f>
        <v/>
      </c>
      <c r="J938" t="inlineStr"/>
      <c r="K938" t="inlineStr"/>
      <c r="L938" t="inlineStr"/>
      <c r="M938" t="inlineStr"/>
      <c r="N938" t="inlineStr"/>
      <c r="O938">
        <f>(1-Summary!$B$56)*S938+Summary!$B$56*U938</f>
        <v/>
      </c>
      <c r="P938">
        <f>IF(B953=0,0,O938/B953)</f>
        <v/>
      </c>
      <c r="Q938">
        <f>IFERROR(1/IF(Inputs!$B$38="pvp",15,MAX(0.1,Skills!E26-IF(Skills!F26=TRUE,Inputs!$B$32,0))),0)</f>
        <v/>
      </c>
      <c r="R938" t="n">
        <v>0</v>
      </c>
      <c r="S938" t="n">
        <v>0</v>
      </c>
      <c r="U938" t="n">
        <v>0</v>
      </c>
    </row>
    <row r="939">
      <c r="A939">
        <f>Skills!A27</f>
        <v/>
      </c>
      <c r="B939">
        <f>Skills!B27</f>
        <v/>
      </c>
      <c r="C939">
        <f>Inputs!$B$3&gt;=125</f>
        <v/>
      </c>
      <c r="D939">
        <f>IF(Skills!C27=1,60+Inputs!$B$25+Inputs!$B$29,IF(Skills!C27=2,90+Inputs!$B$26+Inputs!$B$29,IF(Skills!C27=3,120+Inputs!$B$27+Inputs!$B$29,MAX(0,(Inputs!$B$3-100)*3)+Inputs!$B$28+Inputs!$B$29)))</f>
        <v/>
      </c>
      <c r="E939">
        <f>INDEX(FactorTable!$B$2:$Y$301, MATCH(ROUND(MIN(300,MAX(1,D939)),0), FactorTable!$A$2:$A$301,0), Skills!M27+1)</f>
        <v/>
      </c>
      <c r="F939">
        <f>IF(Skills!N27=TRUE,(Skills!L27/10)*(E939/1000),Skills!L27/10)+Skills!O27</f>
        <v/>
      </c>
      <c r="G939">
        <f>Calc!G27</f>
        <v/>
      </c>
      <c r="H939">
        <f>Calc!H27</f>
        <v/>
      </c>
      <c r="I939">
        <f>IF(Skills!X27&lt;&gt;"",1+(Skills!X27/10)*(Z915/1000)/100,1)</f>
        <v/>
      </c>
      <c r="J939" t="inlineStr"/>
      <c r="K939" t="inlineStr"/>
      <c r="L939" t="inlineStr"/>
      <c r="M939" t="inlineStr"/>
      <c r="N939" t="inlineStr"/>
      <c r="O939">
        <f>(1-Summary!$B$56)*S939+Summary!$B$56*U939</f>
        <v/>
      </c>
      <c r="P939">
        <f>IF(B953=0,0,O939/B953)</f>
        <v/>
      </c>
      <c r="Q939">
        <f>IFERROR(1/IF(Inputs!$B$38="pvp",15,MAX(0.1,Skills!E27-IF(Skills!F27=TRUE,Inputs!$B$32,0))),0)</f>
        <v/>
      </c>
      <c r="R939" t="n">
        <v>0</v>
      </c>
      <c r="S939" t="n">
        <v>0</v>
      </c>
      <c r="U939" t="n">
        <v>0</v>
      </c>
    </row>
    <row r="940">
      <c r="A940">
        <f>Skills!A28</f>
        <v/>
      </c>
      <c r="B940">
        <f>Skills!B28</f>
        <v/>
      </c>
      <c r="C940">
        <f>Inputs!$B$3&gt;=118</f>
        <v/>
      </c>
      <c r="D940">
        <f>IF(Skills!C28=1,60+Inputs!$B$25+Inputs!$B$29,IF(Skills!C28=2,90+Inputs!$B$26+Inputs!$B$29,IF(Skills!C28=3,120+Inputs!$B$27+Inputs!$B$29,MAX(0,(Inputs!$B$3-100)*3)+Inputs!$B$28+Inputs!$B$29)))</f>
        <v/>
      </c>
      <c r="E940">
        <f>INDEX(FactorTable!$B$2:$Y$301, MATCH(ROUND(MIN(300,MAX(1,D940)),0), FactorTable!$A$2:$A$301,0), Skills!M28+1)</f>
        <v/>
      </c>
      <c r="F940">
        <f>IF(Skills!N28=TRUE,(Skills!L28/10)*(E940/1000),Skills!L28/10)+Skills!O28</f>
        <v/>
      </c>
      <c r="G940">
        <f>Calc!G28</f>
        <v/>
      </c>
      <c r="H940">
        <f>Calc!H28</f>
        <v/>
      </c>
      <c r="I940">
        <f>IF(Skills!X28&lt;&gt;"",1+(Skills!X28/10)*(Z915/1000)/100,1)</f>
        <v/>
      </c>
      <c r="J940">
        <f>(((Inputs!$B$6+1)*(1+Inputs!$B$7/100))+(((Inputs!$B$12*(1+Inputs!$B$13/100))-(Inputs!$B$12*(1+Inputs!$B$13/100)))+0.25*(Inputs!$B$14-Inputs!$B$14))*(1+Inputs!$B$7/100))*(F940/100)</f>
        <v/>
      </c>
      <c r="K940">
        <f>J940*(1+((Inputs!$B$12*(1+Inputs!$B$13/100))*0.01+Inputs!$B$14*0.0025)/100)*(1+Inputs!$B$15/100)*(1+Inputs!$B$16/100)*(5000/(6000+Inputs!$B$42*(1-Inputs!$B$19/100)))*(1+Inputs!$B$24/100)*(1+F935/100)*(1+IF(Inputs!$B$3&gt;=120,F938,0)/100)^5*(1+(IF(Skills!A28="BASIC_ATTACK",Inputs!$B$17,Inputs!$B$18+IF(Inputs!$B$3&gt;=125,F939*5,0)))/100)*(B942*B943*B944*I940)</f>
        <v/>
      </c>
      <c r="L940">
        <f>K940*(MIN(Inputs!$B$22+(F934-Calc!F22),Inputs!$B$23)/100+Inputs!$B$23/100)/2</f>
        <v/>
      </c>
      <c r="M940">
        <f>L940*(1+(Inputs!$B$10+(F933-Calc!F21))/100)</f>
        <v/>
      </c>
      <c r="N940">
        <f>L940*(1-MIN(Inputs!$B$9+(F932-Calc!F20),100)/100)+M940*(MIN(Inputs!$B$9+(F932-Calc!F20),100)/100)</f>
        <v/>
      </c>
      <c r="O940">
        <f>(1-Summary!$B$56)*S940+Summary!$B$56*U940</f>
        <v/>
      </c>
      <c r="P940">
        <f>IF(B953=0,0,O940/B953)</f>
        <v/>
      </c>
      <c r="Q940">
        <f>IFERROR(1/IF(Inputs!$B$38="pvp",15,MAX(0.1,Skills!E28-IF(Skills!F28=TRUE,Inputs!$B$32,0))),0)</f>
        <v/>
      </c>
      <c r="R940">
        <f>IF(AND(Inputs!$B$38&lt;&gt;"pvp",Inputs!$B$43&gt;0),IF(MAX(0,Inputs!$B$43-B950)&lt;=0,0,(INT(MAX(0,Inputs!$B$43-B950)/IF(Inputs!$B$38="pvp",15,MAX(0.1,Skills!E28-IF(Skills!F28=TRUE,Inputs!$B$32,0))))+1)),0)</f>
        <v/>
      </c>
      <c r="S940">
        <f>IF(C940,(H940*N940*IF(AND(Inputs!$B$38&lt;&gt;"pvp",Inputs!$B$43&gt;0),((Skills!G28*((R940-1)*IF(Skills!H28&gt;0,Skills!I28/Skills!H28,1)+IF(Skills!H28&gt;0,MIN(Skills!I28,MAX(0,MAX(0,Inputs!$B$43-B950)-((R940-1)*IF(Inputs!$B$38="pvp",15,MAX(0.1,Skills!E28-IF(Skills!F28=TRUE,Inputs!$B$32,0))))))/Skills!H28,1)))/Inputs!$B$43),G940*Q940))*IF(Inputs!$B$38="pvp",1,1+(Inputs!$B$20+Skills!P28)/100),0)</f>
        <v/>
      </c>
      <c r="U940">
        <f>IF(C940,(H940*N940*IF(AND(Inputs!$B$38&lt;&gt;"pvp",Inputs!$B$43&gt;0),((Skills!G28*((R940-1)*IF(Skills!H28&gt;0,Skills!I28/Skills!H28,1)+IF(Skills!H28&gt;0,MIN(Skills!I28,MAX(0,MAX(0,Inputs!$B$43-B950)-((R940-1)*IF(Inputs!$B$38="pvp",15,MAX(0.1,Skills!E28-IF(Skills!F28=TRUE,Inputs!$B$32,0))))))/Skills!H28,1)))/Inputs!$B$43),G940*Q940))*IF(Inputs!$B$38="pvp",1,(1+(Inputs!$B$21+Skills!Q28)/100)*(MIN(Skills!R28,Inputs!$B$37))),0)</f>
        <v/>
      </c>
    </row>
    <row r="942">
      <c r="A942" t="inlineStr">
        <is>
          <t>Burning Magic Multiplier</t>
        </is>
      </c>
      <c r="B942">
        <f>1+(F923*Skills!Z11)/100</f>
        <v/>
      </c>
    </row>
    <row r="943">
      <c r="A943" t="inlineStr">
        <is>
          <t>Elemental Decrease Multiplier (always-on)</t>
        </is>
      </c>
      <c r="B943">
        <f>1+F924/100</f>
        <v/>
      </c>
    </row>
    <row r="944">
      <c r="A944" t="inlineStr">
        <is>
          <t>Average Buff Multiplier (Magic Guard + Meditation, summed; then Infinity)</t>
        </is>
      </c>
      <c r="B944">
        <f>(1+(F918*IF(AND(Inputs!$B$38&lt;&gt;"pvp",Inputs!$B$43&gt;0),(((R918-1)*(Skills!T6*(1+(Inputs!$B$34+IF(Inputs!$B$3&gt;=117,F937,0))/100))+MIN((Skills!T6*(1+(Inputs!$B$34+IF(Inputs!$B$3&gt;=117,F937,0))/100)),MAX(0,Inputs!$B$43-((R918-1)*Skills!E6))))/Inputs!$B$43),IF(Inputs!$B$38="pvp",MIN((Skills!T6*(1+(Inputs!$B$34+IF(Inputs!$B$3&gt;=117,F937,0))/100)),15)/15,(Skills!T6*(1+(Inputs!$B$34+IF(Inputs!$B$3&gt;=117,F937,0))/100))/Skills!E6))+F929*IF(AND(Inputs!$B$38&lt;&gt;"pvp",Inputs!$B$43&gt;0),(((R929-1)*(Skills!T17*(1+(Inputs!$B$34+IF(Inputs!$B$3&gt;=117,F937,0))/100))+MIN((Skills!T17*(1+(Inputs!$B$34+IF(Inputs!$B$3&gt;=117,F937,0))/100)),MAX(0,Inputs!$B$43-((R929-1)*Skills!E17))))/Inputs!$B$43),IF(Inputs!$B$38="pvp",MIN((Skills!T17*(1+(Inputs!$B$34+IF(Inputs!$B$3&gt;=117,F937,0))/100)),15)/15,(Skills!T17*(1+(Inputs!$B$34+IF(Inputs!$B$3&gt;=117,F937,0))/100))/Skills!E17)))/100)*IF(C931=TRUE,(1+F931*IF(AND(Inputs!$B$38&lt;&gt;"pvp",Inputs!$B$43&gt;0),(((R931-1)*(Skills!T19*(1+(Inputs!$B$34+IF(Inputs!$B$3&gt;=117,F937,0))/100))+MIN((Skills!T19*(1+(Inputs!$B$34+IF(Inputs!$B$3&gt;=117,F937,0))/100)),MAX(0,Inputs!$B$43-((R931-1)*Skills!E19))))/Inputs!$B$43),IF(Inputs!$B$38="pvp",MIN((Skills!T19*(1+(Inputs!$B$34+IF(Inputs!$B$3&gt;=117,F937,0))/100)),15)/15,(Skills!T19*(1+(Inputs!$B$34+IF(Inputs!$B$3&gt;=117,F937,0))/100))/Skills!E19))/100),1)</f>
        <v/>
      </c>
    </row>
    <row r="945">
      <c r="A945" t="inlineStr">
        <is>
          <t>Attack Speed Buff Bonus % (Nimble Feet, averaged)</t>
        </is>
      </c>
      <c r="B945">
        <f>F930*IF(AND(Inputs!$B$38&lt;&gt;"pvp",Inputs!$B$43&gt;0),(((R930-1)*(Skills!T18*(1+(Inputs!$B$34+IF(Inputs!$B$3&gt;=117,F937,0))/100))+MIN((Skills!T18*(1+(Inputs!$B$34+IF(Inputs!$B$3&gt;=117,F937,0))/100)),MAX(0,Inputs!$B$43-((R930-1)*Skills!E18))))/Inputs!$B$43),IF(Inputs!$B$38="pvp",MIN((Skills!T18*(1+(Inputs!$B$34+IF(Inputs!$B$3&gt;=117,F937,0))/100)),15)/15,(Skills!T18*(1+(Inputs!$B$34+IF(Inputs!$B$3&gt;=117,F937,0))/100))/Skills!E18))</f>
        <v/>
      </c>
    </row>
    <row r="946">
      <c r="A946" t="inlineStr">
        <is>
          <t>Actions Per Second</t>
        </is>
      </c>
      <c r="B946">
        <f>1+MIN(150,150*(1-(1-Inputs!$B$11/150)*(1-B945/150)))/100</f>
        <v/>
      </c>
    </row>
    <row r="947">
      <c r="A947" t="inlineStr">
        <is>
          <t>Skill + Buff Cast Rate</t>
        </is>
      </c>
      <c r="B947">
        <f>IF(AND(Inputs!$B$38&lt;&gt;"pvp",Inputs!$B$43&gt;0),SUMPRODUCT((Skills!F2:F28=TRUE)*(C914:C940=TRUE)*R914:R940)/Inputs!$B$43,SUMPRODUCT((Skills!F2:F28=TRUE)*(C914:C940=TRUE)*Q914:Q940))</f>
        <v/>
      </c>
    </row>
    <row r="948">
      <c r="A948" t="inlineStr">
        <is>
          <t>Basic Attacks Per Second</t>
        </is>
      </c>
      <c r="B948">
        <f>MAX(0,B946-B947)</f>
        <v/>
      </c>
    </row>
    <row r="949">
      <c r="A949" t="inlineStr">
        <is>
          <t>Meteor Proc — combined trigger cast rate</t>
        </is>
      </c>
      <c r="B949">
        <f>IF(AND(Inputs!$B$38&lt;&gt;"pvp",Inputs!$B$43&gt;0),SUMPRODUCT((Skills!V2:V28=TRUE)*(C914:C940=TRUE)*R914:R940*Skills!W2:W28)/Inputs!$B$43,SUMPRODUCT((Skills!V2:V28=TRUE)*(C914:C940=TRUE)*Q914:Q940*Skills!W2:W28))+B948</f>
        <v/>
      </c>
    </row>
    <row r="950">
      <c r="A950" t="inlineStr">
        <is>
          <t>Buff-Casting Startup Delay (s, fixed-duration only)</t>
        </is>
      </c>
      <c r="B950">
        <f>IF(AND(Inputs!$B$38&lt;&gt;"pvp",Inputs!$B$43&gt;0),SUMPRODUCT((Skills!T2:T28&gt;0)*(Skills!F2:F28=TRUE)*(C914:C940=TRUE))/B946,0)</f>
        <v/>
      </c>
    </row>
    <row r="951">
      <c r="A951" t="inlineStr">
        <is>
          <t>Boss-Only Total DPS (this block's swept value)</t>
        </is>
      </c>
      <c r="B951">
        <f>SUM(S914:S940)</f>
        <v/>
      </c>
    </row>
    <row r="952">
      <c r="A952" t="inlineStr">
        <is>
          <t>Normal-Only Total DPS (this block's swept value)</t>
        </is>
      </c>
      <c r="B952">
        <f>SUM(U914:U940)</f>
        <v/>
      </c>
    </row>
    <row r="953">
      <c r="A953" s="5" t="inlineStr">
        <is>
          <t>TOTAL DPS</t>
        </is>
      </c>
      <c r="B953" s="5">
        <f>SUM(O914:O940)</f>
        <v/>
      </c>
    </row>
    <row r="956">
      <c r="A956" s="5" t="inlineStr">
        <is>
          <t>Stat: ATTACK %</t>
        </is>
      </c>
    </row>
    <row r="957">
      <c r="A957" s="9" t="inlineStr">
        <is>
          <t>Key</t>
        </is>
      </c>
      <c r="B957" s="9" t="inlineStr">
        <is>
          <t>Name</t>
        </is>
      </c>
      <c r="C957" s="9" t="inlineStr">
        <is>
          <t>Unlocked</t>
        </is>
      </c>
      <c r="D957" s="9" t="inlineStr">
        <is>
          <t>InputLevel</t>
        </is>
      </c>
      <c r="E957" s="9" t="inlineStr">
        <is>
          <t>Factor</t>
        </is>
      </c>
      <c r="F957" s="9" t="inlineStr">
        <is>
          <t>CoefficientPercent</t>
        </is>
      </c>
      <c r="G957" s="9" t="inlineStr">
        <is>
          <t>EffectiveHits</t>
        </is>
      </c>
      <c r="H957" s="9" t="inlineStr">
        <is>
          <t>ProcProbability</t>
        </is>
      </c>
      <c r="I957" s="9" t="inlineStr">
        <is>
          <t>MapleHeroMultiplier</t>
        </is>
      </c>
      <c r="J957" s="9" t="inlineStr">
        <is>
          <t>BaseDamage</t>
        </is>
      </c>
      <c r="K957" s="9" t="inlineStr">
        <is>
          <t>BaseHitDamage</t>
        </is>
      </c>
      <c r="L957" s="9" t="inlineStr">
        <is>
          <t>NonCritAvg</t>
        </is>
      </c>
      <c r="M957" s="9" t="inlineStr">
        <is>
          <t>CritAvg</t>
        </is>
      </c>
      <c r="N957" s="9" t="inlineStr">
        <is>
          <t>ExpectedDamage(perHit)</t>
        </is>
      </c>
      <c r="O957" s="9" t="inlineStr">
        <is>
          <t>DPS</t>
        </is>
      </c>
      <c r="P957" s="9" t="inlineStr">
        <is>
          <t>% of Total</t>
        </is>
      </c>
      <c r="R957" t="inlineStr">
        <is>
          <t>helpers</t>
        </is>
      </c>
    </row>
    <row r="958">
      <c r="A958">
        <f>Skills!A2</f>
        <v/>
      </c>
      <c r="B958">
        <f>Skills!B2</f>
        <v/>
      </c>
      <c r="C958">
        <f>TRUE</f>
        <v/>
      </c>
      <c r="D958" t="inlineStr"/>
      <c r="E958" t="inlineStr"/>
      <c r="F958">
        <f>T960+Skills!O2</f>
        <v/>
      </c>
      <c r="G958">
        <f>Calc!G2</f>
        <v/>
      </c>
      <c r="H958">
        <f>Calc!H2</f>
        <v/>
      </c>
      <c r="I958">
        <f>IF(Skills!X2&lt;&gt;"",1+(Skills!X2/10)*(Z959/1000)/100,1)</f>
        <v/>
      </c>
      <c r="J958">
        <f>((Inputs!$B$6*(1+(Inputs!$B$7+1)/100))+(((Inputs!$B$12*(1+Inputs!$B$13/100))-(Inputs!$B$12*(1+Inputs!$B$13/100)))+0.25*(Inputs!$B$14-Inputs!$B$14))*(1+(Inputs!$B$7+1)/100))*(F958/100)</f>
        <v/>
      </c>
      <c r="K958">
        <f>J958*(1+((Inputs!$B$12*(1+Inputs!$B$13/100))*0.01+Inputs!$B$14*0.0025)/100)*(1+Inputs!$B$15/100)*(1+Inputs!$B$16/100)*(5000/(6000+Inputs!$B$42*(1-Inputs!$B$19/100)))*(1+Inputs!$B$24/100)*(1+F979/100)*(1+IF(Inputs!$B$3&gt;=120,F982,0)/100)^5*(1+(IF(Skills!A2="BASIC_ATTACK",Inputs!$B$17,Inputs!$B$18+IF(Inputs!$B$3&gt;=125,F983*5,0)))/100)*(B986*B987*B988*I958)</f>
        <v/>
      </c>
      <c r="L958">
        <f>K958*(MIN(Inputs!$B$22+(F978-Calc!F22),Inputs!$B$23)/100+Inputs!$B$23/100)/2</f>
        <v/>
      </c>
      <c r="M958">
        <f>L958*(1+(Inputs!$B$10+(F977-Calc!F21))/100)</f>
        <v/>
      </c>
      <c r="N958">
        <f>L958*(1-MIN(Inputs!$B$9+(F976-Calc!F20),100)/100)+M958*(MIN(Inputs!$B$9+(F976-Calc!F20),100)/100)</f>
        <v/>
      </c>
      <c r="O958">
        <f>(1-Summary!$B$56)*S958+Summary!$B$56*U958</f>
        <v/>
      </c>
      <c r="P958">
        <f>IF(B997=0,0,O958/B997)</f>
        <v/>
      </c>
      <c r="Q958">
        <f>IFERROR(1/IF(Inputs!$B$38="pvp",15,MAX(0.1,Skills!E2-IF(Skills!F2=TRUE,Inputs!$B$32,0))),0)</f>
        <v/>
      </c>
      <c r="R958" t="n">
        <v>0</v>
      </c>
      <c r="S958">
        <f>(Skills!G2*N958*B992)*IF(Inputs!$B$38="pvp",1,1+(Inputs!$B$20+Skills!P2)/100)</f>
        <v/>
      </c>
      <c r="T958">
        <f>MAX(0,(Inputs!$B$3-100)*3)+Inputs!$B$28+Inputs!$B$29</f>
        <v/>
      </c>
      <c r="U958">
        <f>(Skills!G2*N958*B992)*IF(Inputs!$B$38="pvp",1,(1+(Inputs!$B$21+Skills!Q2)/100)*(MIN((6+Inputs!$B$33+IF(Inputs!$B$3&gt;=136,1,0)),Inputs!$B$37)))</f>
        <v/>
      </c>
      <c r="Z958">
        <f>MAX(0,(Inputs!$B$3-100)*3)+Inputs!$B$28+Inputs!$B$29</f>
        <v/>
      </c>
    </row>
    <row r="959">
      <c r="A959">
        <f>Skills!A3</f>
        <v/>
      </c>
      <c r="B959">
        <f>Skills!B3</f>
        <v/>
      </c>
      <c r="C959">
        <f>TRUE</f>
        <v/>
      </c>
      <c r="D959">
        <f>IF(Skills!C3=1,60+Inputs!$B$25+Inputs!$B$29,IF(Skills!C3=2,90+Inputs!$B$26+Inputs!$B$29,IF(Skills!C3=3,120+Inputs!$B$27+Inputs!$B$29,MAX(0,(Inputs!$B$3-100)*3)+Inputs!$B$28+Inputs!$B$29)))</f>
        <v/>
      </c>
      <c r="E959">
        <f>INDEX(FactorTable!$B$2:$Y$301, MATCH(ROUND(MIN(300,MAX(1,D959)),0), FactorTable!$A$2:$A$301,0), Skills!M3+1)</f>
        <v/>
      </c>
      <c r="F959">
        <f>IF(Skills!N3=TRUE,(Skills!L3/10)*(E959/1000),Skills!L3/10)+Skills!O3</f>
        <v/>
      </c>
      <c r="G959">
        <f>Calc!G3</f>
        <v/>
      </c>
      <c r="H959">
        <f>Calc!H3</f>
        <v/>
      </c>
      <c r="I959">
        <f>IF(Skills!X3&lt;&gt;"",1+(Skills!X3/10)*(Z959/1000)/100,1)</f>
        <v/>
      </c>
      <c r="J959">
        <f>((Inputs!$B$6*(1+(Inputs!$B$7+1)/100))+(((Inputs!$B$12*(1+Inputs!$B$13/100))-(Inputs!$B$12*(1+Inputs!$B$13/100)))+0.25*(Inputs!$B$14-Inputs!$B$14))*(1+(Inputs!$B$7+1)/100))*(F959/100)</f>
        <v/>
      </c>
      <c r="K959">
        <f>J959*(1+((Inputs!$B$12*(1+Inputs!$B$13/100))*0.01+Inputs!$B$14*0.0025)/100)*(1+Inputs!$B$15/100)*(1+Inputs!$B$16/100)*(5000/(6000+Inputs!$B$42*(1-Inputs!$B$19/100)))*(1+Inputs!$B$24/100)*(1+F979/100)*(1+IF(Inputs!$B$3&gt;=120,F982,0)/100)^5*(1+(IF(Skills!A3="BASIC_ATTACK",Inputs!$B$17,Inputs!$B$18+IF(Inputs!$B$3&gt;=125,F983*5,0)))/100)*(B986*B987*B988*I959)</f>
        <v/>
      </c>
      <c r="L959">
        <f>K959*(MIN(Inputs!$B$22+(F978-Calc!F22),Inputs!$B$23)/100+Inputs!$B$23/100)/2</f>
        <v/>
      </c>
      <c r="M959">
        <f>L959*(1+(Inputs!$B$10+(F977-Calc!F21))/100)</f>
        <v/>
      </c>
      <c r="N959">
        <f>L959*(1-MIN(Inputs!$B$9+(F976-Calc!F20),100)/100)+M959*(MIN(Inputs!$B$9+(F976-Calc!F20),100)/100)</f>
        <v/>
      </c>
      <c r="O959">
        <f>(1-Summary!$B$56)*S959+Summary!$B$56*U959</f>
        <v/>
      </c>
      <c r="P959">
        <f>IF(B997=0,0,O959/B997)</f>
        <v/>
      </c>
      <c r="Q959">
        <f>IFERROR(1/IF(Inputs!$B$38="pvp",15,MAX(0.1,Skills!E3-IF(Skills!F3=TRUE,Inputs!$B$32,0))),0)</f>
        <v/>
      </c>
      <c r="R959">
        <f>IF(AND(Inputs!$B$38&lt;&gt;"pvp",Inputs!$B$43&gt;0),IF(MAX(0,Inputs!$B$43-B994)&lt;=0,0,(INT(MAX(0,Inputs!$B$43-B994)/IF(Inputs!$B$38="pvp",15,MAX(0.1,Skills!E3-IF(Skills!F3=TRUE,Inputs!$B$32,0))))+1)),0)</f>
        <v/>
      </c>
      <c r="S959">
        <f>IF(C959,(H959*N959*IF(AND(Inputs!$B$38&lt;&gt;"pvp",Inputs!$B$43&gt;0),((Skills!G3*((R959-1)*IF(Skills!H3&gt;0,Skills!I3/Skills!H3,1)+IF(Skills!H3&gt;0,MIN(Skills!I3,MAX(0,MAX(0,Inputs!$B$43-B994)-((R959-1)*IF(Inputs!$B$38="pvp",15,MAX(0.1,Skills!E3-IF(Skills!F3=TRUE,Inputs!$B$32,0))))))/Skills!H3,1)))/Inputs!$B$43),G959*Q959))*IF(Inputs!$B$38="pvp",1,1+(Inputs!$B$20+Skills!P3)/100),0)</f>
        <v/>
      </c>
      <c r="T959">
        <f>INDEX(FactorTable!$B$2:$Y$301, MATCH(ROUND(MIN(300,MAX(1,T958)),0), FactorTable!$A$2:$A$301,0), 22)</f>
        <v/>
      </c>
      <c r="U959">
        <f>IF(C959,(H959*N959*IF(AND(Inputs!$B$38&lt;&gt;"pvp",Inputs!$B$43&gt;0),((Skills!G3*((R959-1)*IF(Skills!H3&gt;0,Skills!I3/Skills!H3,1)+IF(Skills!H3&gt;0,MIN(Skills!I3,MAX(0,MAX(0,Inputs!$B$43-B994)-((R959-1)*IF(Inputs!$B$38="pvp",15,MAX(0.1,Skills!E3-IF(Skills!F3=TRUE,Inputs!$B$32,0))))))/Skills!H3,1)))/Inputs!$B$43),G959*Q959))*IF(Inputs!$B$38="pvp",1,(1+(Inputs!$B$21+Skills!Q3)/100)*(MIN(Skills!R3,Inputs!$B$37))),0)</f>
        <v/>
      </c>
      <c r="Z959">
        <f>INDEX(FactorTable!$B$2:$Y$301, MATCH(ROUND(MIN(300,MAX(1,Z958)),0), FactorTable!$A$2:$A$301,0), 24)</f>
        <v/>
      </c>
    </row>
    <row r="960">
      <c r="A960">
        <f>Skills!A4</f>
        <v/>
      </c>
      <c r="B960">
        <f>Skills!B4</f>
        <v/>
      </c>
      <c r="C960">
        <f>TRUE</f>
        <v/>
      </c>
      <c r="D960">
        <f>IF(Skills!C4=1,60+Inputs!$B$25+Inputs!$B$29,IF(Skills!C4=2,90+Inputs!$B$26+Inputs!$B$29,IF(Skills!C4=3,120+Inputs!$B$27+Inputs!$B$29,MAX(0,(Inputs!$B$3-100)*3)+Inputs!$B$28+Inputs!$B$29)))</f>
        <v/>
      </c>
      <c r="E960">
        <f>INDEX(FactorTable!$B$2:$Y$301, MATCH(ROUND(MIN(300,MAX(1,D960)),0), FactorTable!$A$2:$A$301,0), Skills!M4+1)</f>
        <v/>
      </c>
      <c r="F960">
        <f>IF(Skills!N4=TRUE,(Skills!L4/10)*(E960/1000),Skills!L4/10)+Skills!O4</f>
        <v/>
      </c>
      <c r="G960">
        <f>Calc!G4</f>
        <v/>
      </c>
      <c r="H960">
        <f>Calc!H4</f>
        <v/>
      </c>
      <c r="I960">
        <f>IF(Skills!X4&lt;&gt;"",1+(Skills!X4/10)*(Z959/1000)/100,1)</f>
        <v/>
      </c>
      <c r="J960">
        <f>((Inputs!$B$6*(1+(Inputs!$B$7+1)/100))+(((Inputs!$B$12*(1+Inputs!$B$13/100))-(Inputs!$B$12*(1+Inputs!$B$13/100)))+0.25*(Inputs!$B$14-Inputs!$B$14))*(1+(Inputs!$B$7+1)/100))*(F960/100)</f>
        <v/>
      </c>
      <c r="K960">
        <f>J960*(1+((Inputs!$B$12*(1+Inputs!$B$13/100))*0.01+Inputs!$B$14*0.0025)/100)*(1+Inputs!$B$15/100)*(1+Inputs!$B$16/100)*(5000/(6000+Inputs!$B$42*(1-Inputs!$B$19/100)))*(1+Inputs!$B$24/100)*(1+F979/100)*(1+IF(Inputs!$B$3&gt;=120,F982,0)/100)^5*(1+(IF(Skills!A4="BASIC_ATTACK",Inputs!$B$17,Inputs!$B$18+IF(Inputs!$B$3&gt;=125,F983*5,0)))/100)*(B986*B987*B988*I960)</f>
        <v/>
      </c>
      <c r="L960">
        <f>K960*(MIN(Inputs!$B$22+(F978-Calc!F22),Inputs!$B$23)/100+Inputs!$B$23/100)/2</f>
        <v/>
      </c>
      <c r="M960">
        <f>L960*(1+(Inputs!$B$10+(F977-Calc!F21))/100)</f>
        <v/>
      </c>
      <c r="N960">
        <f>L960*(1-MIN(Inputs!$B$9+(F976-Calc!F20),100)/100)+M960*(MIN(Inputs!$B$9+(F976-Calc!F20),100)/100)</f>
        <v/>
      </c>
      <c r="O960">
        <f>(1-Summary!$B$56)*S960+Summary!$B$56*U960</f>
        <v/>
      </c>
      <c r="P960">
        <f>IF(B997=0,0,O960/B997)</f>
        <v/>
      </c>
      <c r="Q960">
        <f>IFERROR(1/IF(Inputs!$B$38="pvp",15,MAX(0.1,Skills!E4-IF(Skills!F4=TRUE,Inputs!$B$32,0))),0)</f>
        <v/>
      </c>
      <c r="R960">
        <f>IF(AND(Inputs!$B$38&lt;&gt;"pvp",Inputs!$B$43&gt;0),IF(MAX(0,Inputs!$B$43-B994)&lt;=0,0,(INT(MAX(0,Inputs!$B$43-B994)/IF(Inputs!$B$38="pvp",15,MAX(0.1,Skills!E4-IF(Skills!F4=TRUE,Inputs!$B$32,0))))+1)),0)</f>
        <v/>
      </c>
      <c r="S960">
        <f>IF(C960,(H960*N960*IF(AND(Inputs!$B$38&lt;&gt;"pvp",Inputs!$B$43&gt;0),((Skills!G4*((R960-1)*IF(Skills!H4&gt;0,Skills!I4/Skills!H4,1)+IF(Skills!H4&gt;0,MIN(Skills!I4,MAX(0,MAX(0,Inputs!$B$43-B994)-((R960-1)*IF(Inputs!$B$38="pvp",15,MAX(0.1,Skills!E4-IF(Skills!F4=TRUE,Inputs!$B$32,0))))))/Skills!H4,1)))/Inputs!$B$43),G960*Q960))*IF(Inputs!$B$38="pvp",1,1+(Inputs!$B$20+Skills!P4)/100),0)</f>
        <v/>
      </c>
      <c r="T960">
        <f>290*T959/1000</f>
        <v/>
      </c>
      <c r="U960">
        <f>IF(C960,(H960*N960*IF(AND(Inputs!$B$38&lt;&gt;"pvp",Inputs!$B$43&gt;0),((Skills!G4*((R960-1)*IF(Skills!H4&gt;0,Skills!I4/Skills!H4,1)+IF(Skills!H4&gt;0,MIN(Skills!I4,MAX(0,MAX(0,Inputs!$B$43-B994)-((R960-1)*IF(Inputs!$B$38="pvp",15,MAX(0.1,Skills!E4-IF(Skills!F4=TRUE,Inputs!$B$32,0))))))/Skills!H4,1)))/Inputs!$B$43),G960*Q960))*IF(Inputs!$B$38="pvp",1,(1+(Inputs!$B$21+Skills!Q4)/100)*(MIN(Skills!R4,Inputs!$B$37))),0)</f>
        <v/>
      </c>
    </row>
    <row r="961">
      <c r="A961">
        <f>Skills!A5</f>
        <v/>
      </c>
      <c r="B961">
        <f>Skills!B5</f>
        <v/>
      </c>
      <c r="C961">
        <f>TRUE</f>
        <v/>
      </c>
      <c r="D961">
        <f>IF(Skills!C5=1,60+Inputs!$B$25+Inputs!$B$29,IF(Skills!C5=2,90+Inputs!$B$26+Inputs!$B$29,IF(Skills!C5=3,120+Inputs!$B$27+Inputs!$B$29,MAX(0,(Inputs!$B$3-100)*3)+Inputs!$B$28+Inputs!$B$29)))</f>
        <v/>
      </c>
      <c r="E961">
        <f>INDEX(FactorTable!$B$2:$Y$301, MATCH(ROUND(MIN(300,MAX(1,D961)),0), FactorTable!$A$2:$A$301,0), Skills!M5+1)</f>
        <v/>
      </c>
      <c r="F961">
        <f>IF(Skills!N5=TRUE,(Skills!L5/10)*(E961/1000),Skills!L5/10)+Skills!O5</f>
        <v/>
      </c>
      <c r="G961">
        <f>Calc!G5</f>
        <v/>
      </c>
      <c r="H961">
        <f>Calc!H5</f>
        <v/>
      </c>
      <c r="I961">
        <f>IF(Skills!X5&lt;&gt;"",1+(Skills!X5/10)*(Z959/1000)/100,1)</f>
        <v/>
      </c>
      <c r="J961">
        <f>((Inputs!$B$6*(1+(Inputs!$B$7+1)/100))+(((Inputs!$B$12*(1+Inputs!$B$13/100))-(Inputs!$B$12*(1+Inputs!$B$13/100)))+0.25*(Inputs!$B$14-Inputs!$B$14))*(1+(Inputs!$B$7+1)/100))*(F961/100)</f>
        <v/>
      </c>
      <c r="K961">
        <f>J961*(1+((Inputs!$B$12*(1+Inputs!$B$13/100))*0.01+Inputs!$B$14*0.0025)/100)*(1+Inputs!$B$15/100)*(1+Inputs!$B$16/100)*(5000/(6000+Inputs!$B$42*(1-Inputs!$B$19/100)))*(1+Inputs!$B$24/100)*(1+F979/100)*(1+IF(Inputs!$B$3&gt;=120,F982,0)/100)^5*(1+(IF(Skills!A5="BASIC_ATTACK",Inputs!$B$17,Inputs!$B$18+IF(Inputs!$B$3&gt;=125,F983*5,0)))/100)*(B986*B987*B988*I961)</f>
        <v/>
      </c>
      <c r="L961">
        <f>K961*(MIN(Inputs!$B$22+(F978-Calc!F22),Inputs!$B$23)/100+Inputs!$B$23/100)/2</f>
        <v/>
      </c>
      <c r="M961">
        <f>L961*(1+(Inputs!$B$10+(F977-Calc!F21))/100)</f>
        <v/>
      </c>
      <c r="N961">
        <f>L961*(1-MIN(Inputs!$B$9+(F976-Calc!F20),100)/100)+M961*(MIN(Inputs!$B$9+(F976-Calc!F20),100)/100)</f>
        <v/>
      </c>
      <c r="O961">
        <f>(1-Summary!$B$56)*S961+Summary!$B$56*U961</f>
        <v/>
      </c>
      <c r="P961">
        <f>IF(B997=0,0,O961/B997)</f>
        <v/>
      </c>
      <c r="Q961">
        <f>IFERROR(1/IF(Inputs!$B$38="pvp",15,MAX(0.1,Skills!E5-IF(Skills!F5=TRUE,Inputs!$B$32,0))),0)</f>
        <v/>
      </c>
      <c r="R961">
        <f>IF(AND(Inputs!$B$38&lt;&gt;"pvp",Inputs!$B$43&gt;0),IF(MAX(0,Inputs!$B$43-B994)&lt;=0,0,(INT(MAX(0,Inputs!$B$43-B994)/IF(Inputs!$B$38="pvp",15,MAX(0.1,Skills!E5-IF(Skills!F5=TRUE,Inputs!$B$32,0))))+1)),0)</f>
        <v/>
      </c>
      <c r="S961">
        <f>IF(C961,(H961*N961*IF(AND(Inputs!$B$38&lt;&gt;"pvp",Inputs!$B$43&gt;0),((Skills!G5*((R961-1)*IF(Skills!H5&gt;0,Skills!I5/Skills!H5,1)+IF(Skills!H5&gt;0,MIN(Skills!I5,MAX(0,MAX(0,Inputs!$B$43-B994)-((R961-1)*IF(Inputs!$B$38="pvp",15,MAX(0.1,Skills!E5-IF(Skills!F5=TRUE,Inputs!$B$32,0))))))/Skills!H5,1)))/Inputs!$B$43),G961*Q961))*IF(Inputs!$B$38="pvp",1,1+(Inputs!$B$20+Skills!P5)/100),0)</f>
        <v/>
      </c>
      <c r="U961">
        <f>IF(C961,(H961*N961*IF(AND(Inputs!$B$38&lt;&gt;"pvp",Inputs!$B$43&gt;0),((Skills!G5*((R961-1)*IF(Skills!H5&gt;0,Skills!I5/Skills!H5,1)+IF(Skills!H5&gt;0,MIN(Skills!I5,MAX(0,MAX(0,Inputs!$B$43-B994)-((R961-1)*IF(Inputs!$B$38="pvp",15,MAX(0.1,Skills!E5-IF(Skills!F5=TRUE,Inputs!$B$32,0))))))/Skills!H5,1)))/Inputs!$B$43),G961*Q961))*IF(Inputs!$B$38="pvp",1,(1+(Inputs!$B$21+Skills!Q5)/100)*(MIN(Skills!R5,Inputs!$B$37))),0)</f>
        <v/>
      </c>
    </row>
    <row r="962">
      <c r="A962">
        <f>Skills!A6</f>
        <v/>
      </c>
      <c r="B962">
        <f>Skills!B6</f>
        <v/>
      </c>
      <c r="C962">
        <f>TRUE</f>
        <v/>
      </c>
      <c r="D962">
        <f>IF(Skills!C6=1,60+Inputs!$B$25+Inputs!$B$29,IF(Skills!C6=2,90+Inputs!$B$26+Inputs!$B$29,IF(Skills!C6=3,120+Inputs!$B$27+Inputs!$B$29,MAX(0,(Inputs!$B$3-100)*3)+Inputs!$B$28+Inputs!$B$29)))</f>
        <v/>
      </c>
      <c r="E962">
        <f>INDEX(FactorTable!$B$2:$Y$301, MATCH(ROUND(MIN(300,MAX(1,D962)),0), FactorTable!$A$2:$A$301,0), Skills!M6+1)</f>
        <v/>
      </c>
      <c r="F962">
        <f>IF(Skills!N6=TRUE,(Skills!L6/10)*(E962/1000),Skills!L6/10)+Skills!O6</f>
        <v/>
      </c>
      <c r="G962">
        <f>Calc!G6</f>
        <v/>
      </c>
      <c r="H962">
        <f>Calc!H6</f>
        <v/>
      </c>
      <c r="I962">
        <f>IF(Skills!X6&lt;&gt;"",1+(Skills!X6/10)*(Z959/1000)/100,1)</f>
        <v/>
      </c>
      <c r="J962" t="inlineStr"/>
      <c r="K962" t="inlineStr"/>
      <c r="L962" t="inlineStr"/>
      <c r="M962" t="inlineStr"/>
      <c r="N962" t="inlineStr"/>
      <c r="O962">
        <f>(1-Summary!$B$56)*S962+Summary!$B$56*U962</f>
        <v/>
      </c>
      <c r="P962">
        <f>IF(B997=0,0,O962/B997)</f>
        <v/>
      </c>
      <c r="Q962">
        <f>IFERROR(1/IF(Inputs!$B$38="pvp",15,MAX(0.1,Skills!E6-IF(Skills!F6=TRUE,Inputs!$B$32,0))),0)</f>
        <v/>
      </c>
      <c r="R962">
        <f>IF(AND(Inputs!$B$38&lt;&gt;"pvp",Inputs!$B$43&gt;0),IF(Inputs!$B$43&lt;=0,0,(INT(Inputs!$B$43/IF(Inputs!$B$38="pvp",15,MAX(0.1,Skills!E6-IF(Skills!F6=TRUE,Inputs!$B$32,0))))+1)),0)</f>
        <v/>
      </c>
      <c r="S962" t="n">
        <v>0</v>
      </c>
      <c r="U962" t="n">
        <v>0</v>
      </c>
    </row>
    <row r="963">
      <c r="A963">
        <f>Skills!A7</f>
        <v/>
      </c>
      <c r="B963">
        <f>Skills!B7</f>
        <v/>
      </c>
      <c r="C963">
        <f>TRUE</f>
        <v/>
      </c>
      <c r="D963">
        <f>IF(Skills!C7=1,60+Inputs!$B$25+Inputs!$B$29,IF(Skills!C7=2,90+Inputs!$B$26+Inputs!$B$29,IF(Skills!C7=3,120+Inputs!$B$27+Inputs!$B$29,MAX(0,(Inputs!$B$3-100)*3)+Inputs!$B$28+Inputs!$B$29)))</f>
        <v/>
      </c>
      <c r="E963">
        <f>INDEX(FactorTable!$B$2:$Y$301, MATCH(ROUND(MIN(300,MAX(1,D963)),0), FactorTable!$A$2:$A$301,0), Skills!M7+1)</f>
        <v/>
      </c>
      <c r="F963">
        <f>IF(Skills!N7=TRUE,(Skills!L7/10)*(E963/1000),Skills!L7/10)+Skills!O7</f>
        <v/>
      </c>
      <c r="G963">
        <f>Calc!G7</f>
        <v/>
      </c>
      <c r="H963">
        <f>Calc!H7</f>
        <v/>
      </c>
      <c r="I963">
        <f>IF(Skills!X7&lt;&gt;"",1+(Skills!X7/10)*(Z959/1000)/100,1)</f>
        <v/>
      </c>
      <c r="J963">
        <f>((Inputs!$B$6*(1+(Inputs!$B$7+1)/100))+(((Inputs!$B$12*(1+Inputs!$B$13/100))-(Inputs!$B$12*(1+Inputs!$B$13/100)))+0.25*(Inputs!$B$14-Inputs!$B$14))*(1+(Inputs!$B$7+1)/100))*(F963/100)</f>
        <v/>
      </c>
      <c r="K963">
        <f>J963*(1+((Inputs!$B$12*(1+Inputs!$B$13/100))*0.01+Inputs!$B$14*0.0025)/100)*(1+Inputs!$B$15/100)*(1+Inputs!$B$16/100)*(5000/(6000+Inputs!$B$42*(1-Inputs!$B$19/100)))*(1+Inputs!$B$24/100)*(1+F979/100)*(1+IF(Inputs!$B$3&gt;=120,F982,0)/100)^5*(1+(IF(Skills!A7="BASIC_ATTACK",Inputs!$B$17,Inputs!$B$18+IF(Inputs!$B$3&gt;=125,F983*5,0)))/100)*(B986*B987*B988*I963)</f>
        <v/>
      </c>
      <c r="L963">
        <f>K963*(MIN(Inputs!$B$22+(F978-Calc!F22),Inputs!$B$23)/100+Inputs!$B$23/100)/2</f>
        <v/>
      </c>
      <c r="M963">
        <f>L963*(1+(Inputs!$B$10+(F977-Calc!F21))/100)</f>
        <v/>
      </c>
      <c r="N963">
        <f>L963*(1-MIN(Inputs!$B$9+(F976-Calc!F20),100)/100)+M963*(MIN(Inputs!$B$9+(F976-Calc!F20),100)/100)</f>
        <v/>
      </c>
      <c r="O963">
        <f>(1-Summary!$B$56)*S963+Summary!$B$56*U963</f>
        <v/>
      </c>
      <c r="P963">
        <f>IF(B997=0,0,O963/B997)</f>
        <v/>
      </c>
      <c r="Q963">
        <f>IFERROR(1/IF(Inputs!$B$38="pvp",15,MAX(0.1,Skills!E7-IF(Skills!F7=TRUE,Inputs!$B$32,0))),0)</f>
        <v/>
      </c>
      <c r="R963">
        <f>IF(AND(Inputs!$B$38&lt;&gt;"pvp",Inputs!$B$43&gt;0),IF(MAX(0,Inputs!$B$43-B994)&lt;=0,0,(INT(MAX(0,Inputs!$B$43-B994)/IF(Inputs!$B$38="pvp",15,MAX(0.1,Skills!E7-IF(Skills!F7=TRUE,Inputs!$B$32,0))))+1)),0)</f>
        <v/>
      </c>
      <c r="S963">
        <f>IF(C963,(H963*N963*IF(AND(Inputs!$B$38&lt;&gt;"pvp",Inputs!$B$43&gt;0),((Skills!G7*((R963-1)*IF(Skills!H7&gt;0,Skills!I7/Skills!H7,1)+IF(Skills!H7&gt;0,MIN(Skills!I7,MAX(0,MAX(0,Inputs!$B$43-B994)-((R963-1)*IF(Inputs!$B$38="pvp",15,MAX(0.1,Skills!E7-IF(Skills!F7=TRUE,Inputs!$B$32,0))))))/Skills!H7,1)))/Inputs!$B$43),G963*Q963))*IF(Inputs!$B$38="pvp",1,1+(Inputs!$B$20+Skills!P7)/100),0)</f>
        <v/>
      </c>
      <c r="U963">
        <f>IF(C963,(H963*N963*IF(AND(Inputs!$B$38&lt;&gt;"pvp",Inputs!$B$43&gt;0),((Skills!G7*((R963-1)*IF(Skills!H7&gt;0,Skills!I7/Skills!H7,1)+IF(Skills!H7&gt;0,MIN(Skills!I7,MAX(0,MAX(0,Inputs!$B$43-B994)-((R963-1)*IF(Inputs!$B$38="pvp",15,MAX(0.1,Skills!E7-IF(Skills!F7=TRUE,Inputs!$B$32,0))))))/Skills!H7,1)))/Inputs!$B$43),G963*Q963))*IF(Inputs!$B$38="pvp",1,(1+(Inputs!$B$21+Skills!Q7)/100)*(MIN(Skills!R7,Inputs!$B$37))),0)</f>
        <v/>
      </c>
    </row>
    <row r="964">
      <c r="A964">
        <f>Skills!A8</f>
        <v/>
      </c>
      <c r="B964">
        <f>Skills!B8</f>
        <v/>
      </c>
      <c r="C964">
        <f>TRUE</f>
        <v/>
      </c>
      <c r="D964">
        <f>IF(Skills!C8=1,60+Inputs!$B$25+Inputs!$B$29,IF(Skills!C8=2,90+Inputs!$B$26+Inputs!$B$29,IF(Skills!C8=3,120+Inputs!$B$27+Inputs!$B$29,MAX(0,(Inputs!$B$3-100)*3)+Inputs!$B$28+Inputs!$B$29)))</f>
        <v/>
      </c>
      <c r="E964">
        <f>INDEX(FactorTable!$B$2:$Y$301, MATCH(ROUND(MIN(300,MAX(1,D964)),0), FactorTable!$A$2:$A$301,0), Skills!M8+1)</f>
        <v/>
      </c>
      <c r="F964">
        <f>IF(Skills!N8=TRUE,(Skills!L8/10)*(E964/1000),Skills!L8/10)+Skills!O8</f>
        <v/>
      </c>
      <c r="G964">
        <f>Calc!G8</f>
        <v/>
      </c>
      <c r="H964">
        <f>Calc!H8</f>
        <v/>
      </c>
      <c r="I964">
        <f>IF(Skills!X8&lt;&gt;"",1+(Skills!X8/10)*(Z959/1000)/100,1)</f>
        <v/>
      </c>
      <c r="J964">
        <f>((Inputs!$B$6*(1+(Inputs!$B$7+1)/100))+(((Inputs!$B$12*(1+Inputs!$B$13/100))-(Inputs!$B$12*(1+Inputs!$B$13/100)))+0.25*(Inputs!$B$14-Inputs!$B$14))*(1+(Inputs!$B$7+1)/100))*(F964/100)</f>
        <v/>
      </c>
      <c r="K964">
        <f>J964*(1+((Inputs!$B$12*(1+Inputs!$B$13/100))*0.01+Inputs!$B$14*0.0025)/100)*(1+Inputs!$B$15/100)*(1+Inputs!$B$16/100)*(5000/(6000+Inputs!$B$42*(1-Inputs!$B$19/100)))*(1+Inputs!$B$24/100)*(1+F979/100)*(1+IF(Inputs!$B$3&gt;=120,F982,0)/100)^5*(1+(IF(Skills!A8="BASIC_ATTACK",Inputs!$B$17,Inputs!$B$18+IF(Inputs!$B$3&gt;=125,F983*5,0)))/100)*(B986*B987*B988*I964)</f>
        <v/>
      </c>
      <c r="L964">
        <f>K964*(MIN(Inputs!$B$22+(F978-Calc!F22),Inputs!$B$23)/100+Inputs!$B$23/100)/2</f>
        <v/>
      </c>
      <c r="M964">
        <f>L964*(1+(Inputs!$B$10+(F977-Calc!F21))/100)</f>
        <v/>
      </c>
      <c r="N964">
        <f>L964*(1-MIN(Inputs!$B$9+(F976-Calc!F20),100)/100)+M964*(MIN(Inputs!$B$9+(F976-Calc!F20),100)/100)</f>
        <v/>
      </c>
      <c r="O964">
        <f>(1-Summary!$B$56)*S964+Summary!$B$56*U964</f>
        <v/>
      </c>
      <c r="P964">
        <f>IF(B997=0,0,O964/B997)</f>
        <v/>
      </c>
      <c r="Q964">
        <f>IFERROR(1/IF(Inputs!$B$38="pvp",15,MAX(0.1,Skills!E8-IF(Skills!F8=TRUE,Inputs!$B$32,0))),0)</f>
        <v/>
      </c>
      <c r="R964">
        <f>IF(AND(Inputs!$B$38&lt;&gt;"pvp",Inputs!$B$43&gt;0),IF(MAX(0,Inputs!$B$43-B994)&lt;=0,0,(INT(MAX(0,Inputs!$B$43-B994)/IF(Inputs!$B$38="pvp",15,MAX(0.1,Skills!E8-IF(Skills!F8=TRUE,Inputs!$B$32,0))))+1)),0)</f>
        <v/>
      </c>
      <c r="S964">
        <f>IF(C964,(H964*N964*IF(AND(Inputs!$B$38&lt;&gt;"pvp",Inputs!$B$43&gt;0),((Skills!G8*((R964-1)*IF(Skills!H8&gt;0,Skills!I8/Skills!H8,1)+IF(Skills!H8&gt;0,MIN(Skills!I8,MAX(0,MAX(0,Inputs!$B$43-B994)-((R964-1)*IF(Inputs!$B$38="pvp",15,MAX(0.1,Skills!E8-IF(Skills!F8=TRUE,Inputs!$B$32,0))))))/Skills!H8,1)))/Inputs!$B$43),G964*Q964))*IF(Inputs!$B$38="pvp",1,1+(Inputs!$B$20+Skills!P8)/100),0)</f>
        <v/>
      </c>
      <c r="U964">
        <f>IF(C964,(H964*N964*IF(AND(Inputs!$B$38&lt;&gt;"pvp",Inputs!$B$43&gt;0),((Skills!G8*((R964-1)*IF(Skills!H8&gt;0,Skills!I8/Skills!H8,1)+IF(Skills!H8&gt;0,MIN(Skills!I8,MAX(0,MAX(0,Inputs!$B$43-B994)-((R964-1)*IF(Inputs!$B$38="pvp",15,MAX(0.1,Skills!E8-IF(Skills!F8=TRUE,Inputs!$B$32,0))))))/Skills!H8,1)))/Inputs!$B$43),G964*Q964))*IF(Inputs!$B$38="pvp",1,(1+(Inputs!$B$21+Skills!Q8)/100)*(MIN(Skills!R8,Inputs!$B$37))),0)</f>
        <v/>
      </c>
    </row>
    <row r="965">
      <c r="A965">
        <f>Skills!A9</f>
        <v/>
      </c>
      <c r="B965">
        <f>Skills!B9</f>
        <v/>
      </c>
      <c r="C965">
        <f>Inputs!$B$3&gt;=103</f>
        <v/>
      </c>
      <c r="D965">
        <f>IF(Skills!C9=1,60+Inputs!$B$25+Inputs!$B$29,IF(Skills!C9=2,90+Inputs!$B$26+Inputs!$B$29,IF(Skills!C9=3,120+Inputs!$B$27+Inputs!$B$29,MAX(0,(Inputs!$B$3-100)*3)+Inputs!$B$28+Inputs!$B$29)))</f>
        <v/>
      </c>
      <c r="E965">
        <f>INDEX(FactorTable!$B$2:$Y$301, MATCH(ROUND(MIN(300,MAX(1,D965)),0), FactorTable!$A$2:$A$301,0), Skills!M9+1)</f>
        <v/>
      </c>
      <c r="F965">
        <f>IF(Skills!N9=TRUE,(Skills!L9/10)*(E965/1000),Skills!L9/10)+Skills!O9</f>
        <v/>
      </c>
      <c r="G965">
        <f>Calc!G9</f>
        <v/>
      </c>
      <c r="H965">
        <f>Calc!H9</f>
        <v/>
      </c>
      <c r="I965">
        <f>IF(Skills!X9&lt;&gt;"",1+(Skills!X9/10)*(Z959/1000)/100,1)</f>
        <v/>
      </c>
      <c r="J965">
        <f>((Inputs!$B$6*(1+(Inputs!$B$7+1)/100))+(((Inputs!$B$12*(1+Inputs!$B$13/100))-(Inputs!$B$12*(1+Inputs!$B$13/100)))+0.25*(Inputs!$B$14-Inputs!$B$14))*(1+(Inputs!$B$7+1)/100))*(F965/100)</f>
        <v/>
      </c>
      <c r="K965">
        <f>J965*(1+((Inputs!$B$12*(1+Inputs!$B$13/100))*0.01+Inputs!$B$14*0.0025)/100)*(1+Inputs!$B$15/100)*(1+Inputs!$B$16/100)*(5000/(6000+Inputs!$B$42*(1-Inputs!$B$19/100)))*(1+Inputs!$B$24/100)*(1+F979/100)*(1+IF(Inputs!$B$3&gt;=120,F982,0)/100)^5*(1+(IF(Skills!A9="BASIC_ATTACK",Inputs!$B$17,Inputs!$B$18+IF(Inputs!$B$3&gt;=125,F983*5,0)))/100)*(B986*B987*B988*I965)</f>
        <v/>
      </c>
      <c r="L965">
        <f>K965*(MIN(Inputs!$B$22+(F978-Calc!F22),Inputs!$B$23)/100+Inputs!$B$23/100)/2</f>
        <v/>
      </c>
      <c r="M965">
        <f>L965*(1+(Inputs!$B$10+(F977-Calc!F21))/100)</f>
        <v/>
      </c>
      <c r="N965">
        <f>L965*(1-MIN(Inputs!$B$9+(F976-Calc!F20),100)/100)+M965*(MIN(Inputs!$B$9+(F976-Calc!F20),100)/100)</f>
        <v/>
      </c>
      <c r="O965">
        <f>(1-Summary!$B$56)*S965+Summary!$B$56*U965</f>
        <v/>
      </c>
      <c r="P965">
        <f>IF(B997=0,0,O965/B997)</f>
        <v/>
      </c>
      <c r="Q965">
        <f>IFERROR(1/IF(Inputs!$B$38="pvp",15,MAX(0.1,Skills!E9-IF(Skills!F7=TRUE,Inputs!$B$32,0))),0)</f>
        <v/>
      </c>
      <c r="R965">
        <f>IF(AND(Inputs!$B$38&lt;&gt;"pvp",Inputs!$B$43&gt;0),IF(MAX(0,Inputs!$B$43-B994)&lt;=0,0,(INT(MAX(0,Inputs!$B$43-B994)/IF(Inputs!$B$38="pvp",15,MAX(0.1,Skills!E9-IF(Skills!F7=TRUE,Inputs!$B$32,0))))+1)),0)</f>
        <v/>
      </c>
      <c r="S965">
        <f>IF(C965,(H965*N965*IF(AND(Inputs!$B$38&lt;&gt;"pvp",Inputs!$B$43&gt;0),((Skills!G9*((R965-1)*IF(Skills!H9&gt;0,Skills!I9/Skills!H9,1)+IF(Skills!H9&gt;0,MIN(Skills!I9,MAX(0,MAX(0,Inputs!$B$43-B994)-((R965-1)*IF(Inputs!$B$38="pvp",15,MAX(0.1,Skills!E9-IF(Skills!F7=TRUE,Inputs!$B$32,0))))))/Skills!H9,1)))/Inputs!$B$43),G965*Q965))*IF(Inputs!$B$38="pvp",1,1+(Inputs!$B$20+Skills!P9)/100),0)</f>
        <v/>
      </c>
      <c r="U965">
        <f>IF(C965,(H965*N965*IF(AND(Inputs!$B$38&lt;&gt;"pvp",Inputs!$B$43&gt;0),((Skills!G9*((R965-1)*IF(Skills!H9&gt;0,Skills!I9/Skills!H9,1)+IF(Skills!H9&gt;0,MIN(Skills!I9,MAX(0,MAX(0,Inputs!$B$43-B994)-((R965-1)*IF(Inputs!$B$38="pvp",15,MAX(0.1,Skills!E9-IF(Skills!F7=TRUE,Inputs!$B$32,0))))))/Skills!H9,1)))/Inputs!$B$43),G965*Q965))*IF(Inputs!$B$38="pvp",1,(1+(Inputs!$B$21+Skills!Q9)/100)*(MIN(Skills!R9,Inputs!$B$37))),0)</f>
        <v/>
      </c>
    </row>
    <row r="966">
      <c r="A966">
        <f>Skills!A10</f>
        <v/>
      </c>
      <c r="B966">
        <f>Skills!B10</f>
        <v/>
      </c>
      <c r="C966">
        <f>TRUE</f>
        <v/>
      </c>
      <c r="D966">
        <f>IF(Skills!C10=1,60+Inputs!$B$25+Inputs!$B$29,IF(Skills!C10=2,90+Inputs!$B$26+Inputs!$B$29,IF(Skills!C10=3,120+Inputs!$B$27+Inputs!$B$29,MAX(0,(Inputs!$B$3-100)*3)+Inputs!$B$28+Inputs!$B$29)))</f>
        <v/>
      </c>
      <c r="E966">
        <f>INDEX(FactorTable!$B$2:$Y$301, MATCH(ROUND(MIN(300,MAX(1,D966)),0), FactorTable!$A$2:$A$301,0), Skills!M10+1)</f>
        <v/>
      </c>
      <c r="F966">
        <f>IF(Skills!N10=TRUE,(Skills!L10/10)*(E966/1000),Skills!L10/10)+Skills!O10</f>
        <v/>
      </c>
      <c r="G966">
        <f>Calc!G10</f>
        <v/>
      </c>
      <c r="H966">
        <f>Calc!H10</f>
        <v/>
      </c>
      <c r="I966">
        <f>IF(Skills!X10&lt;&gt;"",1+(Skills!X10/10)*(Z959/1000)/100,1)</f>
        <v/>
      </c>
      <c r="J966">
        <f>((Inputs!$B$6*(1+(Inputs!$B$7+1)/100))+(((Inputs!$B$12*(1+Inputs!$B$13/100))-(Inputs!$B$12*(1+Inputs!$B$13/100)))+0.25*(Inputs!$B$14-Inputs!$B$14))*(1+(Inputs!$B$7+1)/100))*(F966/100)</f>
        <v/>
      </c>
      <c r="K966">
        <f>J966*(1+((Inputs!$B$12*(1+Inputs!$B$13/100))*0.01+Inputs!$B$14*0.0025)/100)*(1+Inputs!$B$15/100)*(1+Inputs!$B$16/100)*(5000/(6000+Inputs!$B$42*(1-Inputs!$B$19/100)))*(1+Inputs!$B$24/100)*(1+F979/100)*(1+IF(Inputs!$B$3&gt;=120,F982,0)/100)^5*(1+(IF(Skills!A10="BASIC_ATTACK",Inputs!$B$17,Inputs!$B$18+IF(Inputs!$B$3&gt;=125,F983*5,0)))/100)*(B986*B987*B988*I966)</f>
        <v/>
      </c>
      <c r="L966">
        <f>K966*(MIN(Inputs!$B$22+(F978-Calc!F22),Inputs!$B$23)/100+Inputs!$B$23/100)/2</f>
        <v/>
      </c>
      <c r="M966">
        <f>L966*(1+(Inputs!$B$10+(F977-Calc!F21))/100)</f>
        <v/>
      </c>
      <c r="N966">
        <f>L966*(1-MIN(Inputs!$B$9+(F976-Calc!F20),100)/100)+M966*(MIN(Inputs!$B$9+(F976-Calc!F20),100)/100)</f>
        <v/>
      </c>
      <c r="O966">
        <f>(1-Summary!$B$56)*S966+Summary!$B$56*U966</f>
        <v/>
      </c>
      <c r="P966">
        <f>IF(B997=0,0,O966/B997)</f>
        <v/>
      </c>
      <c r="Q966">
        <f>IFERROR(1/IF(Inputs!$B$38="pvp",15,MAX(0.1,Skills!E10-IF(Skills!F10=TRUE,Inputs!$B$32,0))),0)</f>
        <v/>
      </c>
      <c r="R966">
        <f>IF(AND(Inputs!$B$38&lt;&gt;"pvp",Inputs!$B$43&gt;0),IF(MAX(0,Inputs!$B$43-B994)&lt;=0,0,(INT(MAX(0,Inputs!$B$43-B994)/IF(Inputs!$B$38="pvp",15,MAX(0.1,Skills!E10-IF(Skills!F10=TRUE,Inputs!$B$32,0))))+1)),0)</f>
        <v/>
      </c>
      <c r="S966">
        <f>IF(C966,(H966*N966*IF(AND(Inputs!$B$38&lt;&gt;"pvp",Inputs!$B$43&gt;0),((Skills!G10*((R966-1)*IF(Skills!H10&gt;0,Skills!I10/Skills!H10,1)+IF(Skills!H10&gt;0,MIN(Skills!I10,MAX(0,MAX(0,Inputs!$B$43-B994)-((R966-1)*IF(Inputs!$B$38="pvp",15,MAX(0.1,Skills!E10-IF(Skills!F10=TRUE,Inputs!$B$32,0))))))/Skills!H10,1)))/Inputs!$B$43),G966*Q966))*IF(Inputs!$B$38="pvp",1,1+(Inputs!$B$20+Skills!P10)/100),0)</f>
        <v/>
      </c>
      <c r="U966">
        <f>IF(C966,(H966*N966*IF(AND(Inputs!$B$38&lt;&gt;"pvp",Inputs!$B$43&gt;0),((Skills!G10*((R966-1)*IF(Skills!H10&gt;0,Skills!I10/Skills!H10,1)+IF(Skills!H10&gt;0,MIN(Skills!I10,MAX(0,MAX(0,Inputs!$B$43-B994)-((R966-1)*IF(Inputs!$B$38="pvp",15,MAX(0.1,Skills!E10-IF(Skills!F10=TRUE,Inputs!$B$32,0))))))/Skills!H10,1)))/Inputs!$B$43),G966*Q966))*IF(Inputs!$B$38="pvp",1,(1+(Inputs!$B$21+Skills!Q10)/100)*(MIN(Skills!R10,Inputs!$B$37))),0)</f>
        <v/>
      </c>
    </row>
    <row r="967">
      <c r="A967">
        <f>Skills!A11</f>
        <v/>
      </c>
      <c r="B967">
        <f>Skills!B11</f>
        <v/>
      </c>
      <c r="C967">
        <f>TRUE</f>
        <v/>
      </c>
      <c r="D967">
        <f>IF(Skills!C11=1,60+Inputs!$B$25+Inputs!$B$29,IF(Skills!C11=2,90+Inputs!$B$26+Inputs!$B$29,IF(Skills!C11=3,120+Inputs!$B$27+Inputs!$B$29,MAX(0,(Inputs!$B$3-100)*3)+Inputs!$B$28+Inputs!$B$29)))</f>
        <v/>
      </c>
      <c r="E967">
        <f>INDEX(FactorTable!$B$2:$Y$301, MATCH(ROUND(MIN(300,MAX(1,D967)),0), FactorTable!$A$2:$A$301,0), Skills!M11+1)</f>
        <v/>
      </c>
      <c r="F967">
        <f>IF(Skills!N11=TRUE,(Skills!L11/10)*(E967/1000),Skills!L11/10)+Skills!O11</f>
        <v/>
      </c>
      <c r="G967">
        <f>Calc!G11</f>
        <v/>
      </c>
      <c r="H967">
        <f>Calc!H11</f>
        <v/>
      </c>
      <c r="I967">
        <f>IF(Skills!X11&lt;&gt;"",1+(Skills!X11/10)*(Z959/1000)/100,1)</f>
        <v/>
      </c>
      <c r="J967" t="inlineStr"/>
      <c r="K967" t="inlineStr"/>
      <c r="L967" t="inlineStr"/>
      <c r="M967" t="inlineStr"/>
      <c r="N967" t="inlineStr"/>
      <c r="O967">
        <f>(1-Summary!$B$56)*S967+Summary!$B$56*U967</f>
        <v/>
      </c>
      <c r="P967">
        <f>IF(B997=0,0,O967/B997)</f>
        <v/>
      </c>
      <c r="Q967">
        <f>IFERROR(1/IF(Inputs!$B$38="pvp",15,MAX(0.1,Skills!E11-IF(Skills!F11=TRUE,Inputs!$B$32,0))),0)</f>
        <v/>
      </c>
      <c r="R967" t="n">
        <v>0</v>
      </c>
      <c r="S967" t="n">
        <v>0</v>
      </c>
      <c r="U967" t="n">
        <v>0</v>
      </c>
    </row>
    <row r="968">
      <c r="A968">
        <f>Skills!A12</f>
        <v/>
      </c>
      <c r="B968">
        <f>Skills!B12</f>
        <v/>
      </c>
      <c r="C968">
        <f>TRUE</f>
        <v/>
      </c>
      <c r="D968">
        <f>IF(Skills!C12=1,60+Inputs!$B$25+Inputs!$B$29,IF(Skills!C12=2,90+Inputs!$B$26+Inputs!$B$29,IF(Skills!C12=3,120+Inputs!$B$27+Inputs!$B$29,MAX(0,(Inputs!$B$3-100)*3)+Inputs!$B$28+Inputs!$B$29)))</f>
        <v/>
      </c>
      <c r="E968">
        <f>INDEX(FactorTable!$B$2:$Y$301, MATCH(ROUND(MIN(300,MAX(1,D968)),0), FactorTable!$A$2:$A$301,0), Skills!M12+1)</f>
        <v/>
      </c>
      <c r="F968">
        <f>IF(Skills!N12=TRUE,(Skills!L12/10)*(E968/1000),Skills!L12/10)+Skills!O12</f>
        <v/>
      </c>
      <c r="G968">
        <f>Calc!G12</f>
        <v/>
      </c>
      <c r="H968">
        <f>Calc!H12</f>
        <v/>
      </c>
      <c r="I968">
        <f>IF(Skills!X12&lt;&gt;"",1+(Skills!X12/10)*(Z959/1000)/100,1)</f>
        <v/>
      </c>
      <c r="J968" t="inlineStr"/>
      <c r="K968" t="inlineStr"/>
      <c r="L968" t="inlineStr"/>
      <c r="M968" t="inlineStr"/>
      <c r="N968" t="inlineStr"/>
      <c r="O968">
        <f>(1-Summary!$B$56)*S968+Summary!$B$56*U968</f>
        <v/>
      </c>
      <c r="P968">
        <f>IF(B997=0,0,O968/B997)</f>
        <v/>
      </c>
      <c r="Q968">
        <f>IFERROR(1/IF(Inputs!$B$38="pvp",15,MAX(0.1,Skills!E12-IF(Skills!F12=TRUE,Inputs!$B$32,0))),0)</f>
        <v/>
      </c>
      <c r="R968" t="n">
        <v>0</v>
      </c>
      <c r="S968" t="n">
        <v>0</v>
      </c>
      <c r="U968" t="n">
        <v>0</v>
      </c>
    </row>
    <row r="969">
      <c r="A969">
        <f>Skills!A13</f>
        <v/>
      </c>
      <c r="B969">
        <f>Skills!B13</f>
        <v/>
      </c>
      <c r="C969">
        <f>Inputs!$B$3&gt;=105</f>
        <v/>
      </c>
      <c r="D969">
        <f>IF(Skills!C13=1,60+Inputs!$B$25+Inputs!$B$29,IF(Skills!C13=2,90+Inputs!$B$26+Inputs!$B$29,IF(Skills!C13=3,120+Inputs!$B$27+Inputs!$B$29,MAX(0,(Inputs!$B$3-100)*3)+Inputs!$B$28+Inputs!$B$29)))</f>
        <v/>
      </c>
      <c r="E969">
        <f>INDEX(FactorTable!$B$2:$Y$301, MATCH(ROUND(MIN(300,MAX(1,D969)),0), FactorTable!$A$2:$A$301,0), Skills!M13+1)</f>
        <v/>
      </c>
      <c r="F969">
        <f>IF(Skills!N13=TRUE,(Skills!L13/10)*(E969/1000),Skills!L13/10)+Skills!O13</f>
        <v/>
      </c>
      <c r="G969">
        <f>Calc!G13</f>
        <v/>
      </c>
      <c r="H969">
        <f>Calc!H13</f>
        <v/>
      </c>
      <c r="I969">
        <f>IF(Skills!X13&lt;&gt;"",1+(Skills!X13/10)*(Z959/1000)/100,1)</f>
        <v/>
      </c>
      <c r="J969">
        <f>((Inputs!$B$6*(1+(Inputs!$B$7+1)/100))+(((Inputs!$B$12*(1+Inputs!$B$13/100))-(Inputs!$B$12*(1+Inputs!$B$13/100)))+0.25*(Inputs!$B$14-Inputs!$B$14))*(1+(Inputs!$B$7+1)/100))*(F969/100)</f>
        <v/>
      </c>
      <c r="K969">
        <f>J969*(1+((Inputs!$B$12*(1+Inputs!$B$13/100))*0.01+Inputs!$B$14*0.0025)/100)*(1+Inputs!$B$15/100)*(1+Inputs!$B$16/100)*(5000/(6000+Inputs!$B$42*(1-Inputs!$B$19/100)))*(1+Inputs!$B$24/100)*(1+F979/100)*(1+IF(Inputs!$B$3&gt;=120,F982,0)/100)^5*(1+(IF(Skills!A13="BASIC_ATTACK",Inputs!$B$17,Inputs!$B$18+IF(Inputs!$B$3&gt;=125,F983*5,0)))/100)*(B986*B987*B988*I969)</f>
        <v/>
      </c>
      <c r="L969">
        <f>K969*(MIN(Inputs!$B$22+(F978-Calc!F22),Inputs!$B$23)/100+Inputs!$B$23/100)/2</f>
        <v/>
      </c>
      <c r="M969">
        <f>L969*(1+(Inputs!$B$10+(F977-Calc!F21))/100)</f>
        <v/>
      </c>
      <c r="N969">
        <f>L969*(1-MIN(Inputs!$B$9+(F976-Calc!F20),100)/100)+M969*(MIN(Inputs!$B$9+(F976-Calc!F20),100)/100)</f>
        <v/>
      </c>
      <c r="O969">
        <f>(1-Summary!$B$56)*S969+Summary!$B$56*U969</f>
        <v/>
      </c>
      <c r="P969">
        <f>IF(B997=0,0,O969/B997)</f>
        <v/>
      </c>
      <c r="Q969">
        <f>IFERROR(1/IF(Inputs!$B$38="pvp",15,MAX(0.1,Skills!E13-IF(Skills!F13=TRUE,Inputs!$B$32,0))),0)</f>
        <v/>
      </c>
      <c r="R969">
        <f>IF(AND(Inputs!$B$38&lt;&gt;"pvp",Inputs!$B$43&gt;0),IF(MAX(0,Inputs!$B$43-B994)&lt;=0,0,(INT(MAX(0,Inputs!$B$43-B994)/IF(Inputs!$B$38="pvp",15,MAX(0.1,Skills!E13-IF(Skills!F13=TRUE,Inputs!$B$32,0))))+1)),0)</f>
        <v/>
      </c>
      <c r="S969">
        <f>IF(C969,(H969*N969*IF(AND(Inputs!$B$38&lt;&gt;"pvp",Inputs!$B$43&gt;0),((Skills!G13*((R969-1)*IF(Skills!H13&gt;0,Skills!I13/Skills!H13,1)+IF(Skills!H13&gt;0,MIN(Skills!I13,MAX(0,MAX(0,Inputs!$B$43-B994)-((R969-1)*IF(Inputs!$B$38="pvp",15,MAX(0.1,Skills!E13-IF(Skills!F13=TRUE,Inputs!$B$32,0))))))/Skills!H13,1)))/Inputs!$B$43),G969*Q969))*IF(Inputs!$B$38="pvp",1,1+(Inputs!$B$20+Skills!P13)/100),0)</f>
        <v/>
      </c>
      <c r="U969">
        <f>IF(C969,(H969*N969*IF(AND(Inputs!$B$38&lt;&gt;"pvp",Inputs!$B$43&gt;0),((Skills!G13*((R969-1)*IF(Skills!H13&gt;0,Skills!I13/Skills!H13,1)+IF(Skills!H13&gt;0,MIN(Skills!I13,MAX(0,MAX(0,Inputs!$B$43-B994)-((R969-1)*IF(Inputs!$B$38="pvp",15,MAX(0.1,Skills!E13-IF(Skills!F13=TRUE,Inputs!$B$32,0))))))/Skills!H13,1)))/Inputs!$B$43),G969*Q969))*IF(Inputs!$B$38="pvp",1,(1+(Inputs!$B$21+Skills!Q13)/100)*(MIN(Skills!R13,Inputs!$B$37))),0)</f>
        <v/>
      </c>
    </row>
    <row r="970">
      <c r="A970">
        <f>Skills!A14</f>
        <v/>
      </c>
      <c r="B970">
        <f>Skills!B14</f>
        <v/>
      </c>
      <c r="C970">
        <f>Inputs!$B$3&gt;=113</f>
        <v/>
      </c>
      <c r="D970">
        <f>IF(Skills!C14=1,60+Inputs!$B$25+Inputs!$B$29,IF(Skills!C14=2,90+Inputs!$B$26+Inputs!$B$29,IF(Skills!C14=3,120+Inputs!$B$27+Inputs!$B$29,MAX(0,(Inputs!$B$3-100)*3)+Inputs!$B$28+Inputs!$B$29)))</f>
        <v/>
      </c>
      <c r="E970">
        <f>INDEX(FactorTable!$B$2:$Y$301, MATCH(ROUND(MIN(300,MAX(1,D970)),0), FactorTable!$A$2:$A$301,0), Skills!M14+1)</f>
        <v/>
      </c>
      <c r="F970">
        <f>IF(Skills!N14=TRUE,(Skills!L14/10)*(E970/1000),Skills!L14/10)+Skills!O14</f>
        <v/>
      </c>
      <c r="G970">
        <f>Calc!G14</f>
        <v/>
      </c>
      <c r="H970">
        <f>Calc!H14</f>
        <v/>
      </c>
      <c r="I970">
        <f>IF(Skills!X14&lt;&gt;"",1+(Skills!X14/10)*(Z959/1000)/100,1)</f>
        <v/>
      </c>
      <c r="J970">
        <f>((Inputs!$B$6*(1+(Inputs!$B$7+1)/100))+(((Inputs!$B$12*(1+Inputs!$B$13/100))-(Inputs!$B$12*(1+Inputs!$B$13/100)))+0.25*(Inputs!$B$14-Inputs!$B$14))*(1+(Inputs!$B$7+1)/100))*(F970/100)</f>
        <v/>
      </c>
      <c r="K970">
        <f>J970*(1+((Inputs!$B$12*(1+Inputs!$B$13/100))*0.01+Inputs!$B$14*0.0025)/100)*(1+Inputs!$B$15/100)*(1+Inputs!$B$16/100)*(5000/(6000+Inputs!$B$42*(1-Inputs!$B$19/100)))*(1+Inputs!$B$24/100)*(1+F979/100)*(1+IF(Inputs!$B$3&gt;=120,F982,0)/100)^5*(1+(IF(Skills!A14="BASIC_ATTACK",Inputs!$B$17,Inputs!$B$18+IF(Inputs!$B$3&gt;=125,F983*5,0)))/100)*(B986*B987*B988*I970)</f>
        <v/>
      </c>
      <c r="L970">
        <f>K970*(MIN(Inputs!$B$22+(F978-Calc!F22),Inputs!$B$23)/100+Inputs!$B$23/100)/2</f>
        <v/>
      </c>
      <c r="M970">
        <f>L970*(1+(Inputs!$B$10+(F977-Calc!F21))/100)</f>
        <v/>
      </c>
      <c r="N970">
        <f>L970*(1-MIN(Inputs!$B$9+(F976-Calc!F20),100)/100)+M970*(MIN(Inputs!$B$9+(F976-Calc!F20),100)/100)</f>
        <v/>
      </c>
      <c r="O970">
        <f>(1-Summary!$B$56)*S970+Summary!$B$56*U970</f>
        <v/>
      </c>
      <c r="P970">
        <f>IF(B997=0,0,O970/B997)</f>
        <v/>
      </c>
      <c r="Q970">
        <f>IFERROR(1/IF(Inputs!$B$38="pvp",15,MAX(0.1,Skills!E14-IF(Skills!F14=TRUE,Inputs!$B$32,0))),0)</f>
        <v/>
      </c>
      <c r="R970" t="n">
        <v>0</v>
      </c>
      <c r="S970">
        <f>IF(C970,((H970*B993)/(1+Skills!H14*H970*B993)*N970)*IF(Inputs!$B$38="pvp",1,1+(Inputs!$B$20+Skills!P14)/100),0)</f>
        <v/>
      </c>
      <c r="U970">
        <f>IF(C970,((H970*B993)/(1+Skills!H14*H970*B993)*N970)*IF(Inputs!$B$38="pvp",1,(1+(Inputs!$B$21+Skills!Q14)/100)*(MIN(Skills!R14,Inputs!$B$37))),0)</f>
        <v/>
      </c>
    </row>
    <row r="971">
      <c r="A971">
        <f>Skills!A15</f>
        <v/>
      </c>
      <c r="B971">
        <f>Skills!B15</f>
        <v/>
      </c>
      <c r="C971">
        <f>Inputs!$B$3&gt;=107</f>
        <v/>
      </c>
      <c r="D971">
        <f>IF(Skills!C15=1,60+Inputs!$B$25+Inputs!$B$29,IF(Skills!C15=2,90+Inputs!$B$26+Inputs!$B$29,IF(Skills!C15=3,120+Inputs!$B$27+Inputs!$B$29,MAX(0,(Inputs!$B$3-100)*3)+Inputs!$B$28+Inputs!$B$29)))</f>
        <v/>
      </c>
      <c r="E971">
        <f>INDEX(FactorTable!$B$2:$Y$301, MATCH(ROUND(MIN(300,MAX(1,D971)),0), FactorTable!$A$2:$A$301,0), Skills!M15+1)</f>
        <v/>
      </c>
      <c r="F971">
        <f>IF(Skills!N15=TRUE,(Skills!L15/10)*(E971/1000),Skills!L15/10)+Skills!O15</f>
        <v/>
      </c>
      <c r="G971">
        <f>Calc!G15</f>
        <v/>
      </c>
      <c r="H971">
        <f>Calc!H15</f>
        <v/>
      </c>
      <c r="I971">
        <f>IF(Skills!X15&lt;&gt;"",1+(Skills!X15/10)*(Z959/1000)/100,1)</f>
        <v/>
      </c>
      <c r="J971">
        <f>((Inputs!$B$6*(1+(Inputs!$B$7+1)/100))+(((Inputs!$B$12*(1+Inputs!$B$13/100))-(Inputs!$B$12*(1+Inputs!$B$13/100)))+0.25*(Inputs!$B$14-Inputs!$B$14))*(1+(Inputs!$B$7+1)/100))*(F971/100)</f>
        <v/>
      </c>
      <c r="K971">
        <f>J971*(1+((Inputs!$B$12*(1+Inputs!$B$13/100))*0.01+Inputs!$B$14*0.0025)/100)*(1+Inputs!$B$15/100)*(1+Inputs!$B$16/100)*(5000/(6000+Inputs!$B$42*(1-Inputs!$B$19/100)))*(1+Inputs!$B$24/100)*(1+F979/100)*(1+IF(Inputs!$B$3&gt;=120,F982,0)/100)^5*(1+(IF(Skills!A15="BASIC_ATTACK",Inputs!$B$17,Inputs!$B$18+IF(Inputs!$B$3&gt;=125,F983*5,0)))/100)*(B986*B987*B988*I971)</f>
        <v/>
      </c>
      <c r="L971">
        <f>K971*(MIN(Inputs!$B$22+(F978-Calc!F22),Inputs!$B$23)/100+Inputs!$B$23/100)/2</f>
        <v/>
      </c>
      <c r="M971">
        <f>L971*(1+(Inputs!$B$10+(F977-Calc!F21))/100)</f>
        <v/>
      </c>
      <c r="N971">
        <f>L971*(1-MIN(Inputs!$B$9+(F976-Calc!F20),100)/100)+M971*(MIN(Inputs!$B$9+(F976-Calc!F20),100)/100)</f>
        <v/>
      </c>
      <c r="O971">
        <f>(1-Summary!$B$56)*S971+Summary!$B$56*U971</f>
        <v/>
      </c>
      <c r="P971">
        <f>IF(B997=0,0,O971/B997)</f>
        <v/>
      </c>
      <c r="Q971">
        <f>IFERROR(1/IF(Inputs!$B$38="pvp",15,MAX(0.1,Skills!E15-IF(Skills!F15=TRUE,Inputs!$B$32,0))),0)</f>
        <v/>
      </c>
      <c r="R971">
        <f>IF(AND(Inputs!$B$38&lt;&gt;"pvp",Inputs!$B$43&gt;0),IF(MAX(0,Inputs!$B$43-B994)&lt;=0,0,(INT(MAX(0,Inputs!$B$43-B994)/IF(Inputs!$B$38="pvp",15,MAX(0.1,Skills!E15-IF(Skills!F15=TRUE,Inputs!$B$32,0))))+1)),0)</f>
        <v/>
      </c>
      <c r="S971">
        <f>IF(C971,(H971*N971*IF(AND(Inputs!$B$38&lt;&gt;"pvp",Inputs!$B$43&gt;0),((Skills!G15*((R971-1)*IF(Skills!H15&gt;0,Skills!I15/Skills!H15,1)+IF(Skills!H15&gt;0,MIN(Skills!I15,MAX(0,MAX(0,Inputs!$B$43-B994)-((R971-1)*IF(Inputs!$B$38="pvp",15,MAX(0.1,Skills!E15-IF(Skills!F15=TRUE,Inputs!$B$32,0))))))/Skills!H15,1)))/Inputs!$B$43),G971*Q971))*IF(Inputs!$B$38="pvp",1,1+(Inputs!$B$20+Skills!P15)/100),0)</f>
        <v/>
      </c>
      <c r="U971">
        <f>IF(C971,(H971*N971*IF(AND(Inputs!$B$38&lt;&gt;"pvp",Inputs!$B$43&gt;0),((Skills!G15*((R971-1)*IF(Skills!H15&gt;0,Skills!I15/Skills!H15,1)+IF(Skills!H15&gt;0,MIN(Skills!I15,MAX(0,MAX(0,Inputs!$B$43-B994)-((R971-1)*IF(Inputs!$B$38="pvp",15,MAX(0.1,Skills!E15-IF(Skills!F15=TRUE,Inputs!$B$32,0))))))/Skills!H15,1)))/Inputs!$B$43),G971*Q971))*IF(Inputs!$B$38="pvp",1,(1+(Inputs!$B$21+Skills!Q15)/100)*(MIN(Skills!R15,Inputs!$B$37))),0)</f>
        <v/>
      </c>
    </row>
    <row r="972">
      <c r="A972">
        <f>Skills!A16</f>
        <v/>
      </c>
      <c r="B972">
        <f>Skills!B16</f>
        <v/>
      </c>
      <c r="C972">
        <f>Inputs!$B$3&gt;=107</f>
        <v/>
      </c>
      <c r="D972">
        <f>IF(Skills!C16=1,60+Inputs!$B$25+Inputs!$B$29,IF(Skills!C16=2,90+Inputs!$B$26+Inputs!$B$29,IF(Skills!C16=3,120+Inputs!$B$27+Inputs!$B$29,MAX(0,(Inputs!$B$3-100)*3)+Inputs!$B$28+Inputs!$B$29)))</f>
        <v/>
      </c>
      <c r="E972">
        <f>INDEX(FactorTable!$B$2:$Y$301, MATCH(ROUND(MIN(300,MAX(1,D972)),0), FactorTable!$A$2:$A$301,0), Skills!M16+1)</f>
        <v/>
      </c>
      <c r="F972">
        <f>IF(Skills!N16=TRUE,(Skills!L16/10)*(E972/1000),Skills!L16/10)+Skills!O16</f>
        <v/>
      </c>
      <c r="G972">
        <f>Calc!G16</f>
        <v/>
      </c>
      <c r="H972">
        <f>Calc!H16</f>
        <v/>
      </c>
      <c r="I972">
        <f>IF(Skills!X16&lt;&gt;"",1+(Skills!X16/10)*(Z959/1000)/100,1)</f>
        <v/>
      </c>
      <c r="J972">
        <f>((Inputs!$B$6*(1+(Inputs!$B$7+1)/100))+(((Inputs!$B$12*(1+Inputs!$B$13/100))-(Inputs!$B$12*(1+Inputs!$B$13/100)))+0.25*(Inputs!$B$14-Inputs!$B$14))*(1+(Inputs!$B$7+1)/100))*(F972/100)</f>
        <v/>
      </c>
      <c r="K972">
        <f>J972*(1+((Inputs!$B$12*(1+Inputs!$B$13/100))*0.01+Inputs!$B$14*0.0025)/100)*(1+Inputs!$B$15/100)*(1+Inputs!$B$16/100)*(5000/(6000+Inputs!$B$42*(1-Inputs!$B$19/100)))*(1+Inputs!$B$24/100)*(1+F979/100)*(1+IF(Inputs!$B$3&gt;=120,F982,0)/100)^5*(1+(IF(Skills!A16="BASIC_ATTACK",Inputs!$B$17,Inputs!$B$18+IF(Inputs!$B$3&gt;=125,F983*5,0)))/100)*(B986*B987*B988*I972)</f>
        <v/>
      </c>
      <c r="L972">
        <f>K972*(MIN(Inputs!$B$22+(F978-Calc!F22),Inputs!$B$23)/100+Inputs!$B$23/100)/2</f>
        <v/>
      </c>
      <c r="M972">
        <f>L972*(1+(Inputs!$B$10+(F977-Calc!F21))/100)</f>
        <v/>
      </c>
      <c r="N972">
        <f>L972*(1-MIN(Inputs!$B$9+(F976-Calc!F20),100)/100)+M972*(MIN(Inputs!$B$9+(F976-Calc!F20),100)/100)</f>
        <v/>
      </c>
      <c r="O972">
        <f>(1-Summary!$B$56)*S972+Summary!$B$56*U972</f>
        <v/>
      </c>
      <c r="P972">
        <f>IF(B997=0,0,O972/B997)</f>
        <v/>
      </c>
      <c r="Q972">
        <f>IFERROR(1/IF(Inputs!$B$38="pvp",15,MAX(0.1,Skills!E16-IF(Skills!F16=TRUE,Inputs!$B$32,0))),0)</f>
        <v/>
      </c>
      <c r="R972">
        <f>IF(AND(Inputs!$B$38&lt;&gt;"pvp",Inputs!$B$43&gt;0),IF(MAX(0,Inputs!$B$43-B994)&lt;=0,0,(INT(MAX(0,Inputs!$B$43-B994)/IF(Inputs!$B$38="pvp",15,MAX(0.1,Skills!E16-IF(Skills!F16=TRUE,Inputs!$B$32,0))))+1)),0)</f>
        <v/>
      </c>
      <c r="S972">
        <f>IF(C972,(H972*N972*IF(AND(Inputs!$B$38&lt;&gt;"pvp",Inputs!$B$43&gt;0),((Skills!G16*((R972-1)*IF(Skills!H16&gt;0,Skills!I16/Skills!H16,1)+IF(Skills!H16&gt;0,MIN(Skills!I16,MAX(0,MAX(0,Inputs!$B$43-B994)-((R972-1)*IF(Inputs!$B$38="pvp",15,MAX(0.1,Skills!E16-IF(Skills!F16=TRUE,Inputs!$B$32,0))))))/Skills!H16,1)))/Inputs!$B$43),G972*Q972)*(1+IF(Inputs!$B$3&gt;=126,0.05*(B992+Q969+(H970*B993)/(1+Skills!H14*H970*B993)+Q980),0)*Skills!E15))*IF(Inputs!$B$38="pvp",1,1+(Inputs!$B$20+Skills!P16)/100),0)</f>
        <v/>
      </c>
      <c r="U972">
        <f>IF(C972,(H972*N972*IF(AND(Inputs!$B$38&lt;&gt;"pvp",Inputs!$B$43&gt;0),((Skills!G16*((R972-1)*IF(Skills!H16&gt;0,Skills!I16/Skills!H16,1)+IF(Skills!H16&gt;0,MIN(Skills!I16,MAX(0,MAX(0,Inputs!$B$43-B994)-((R972-1)*IF(Inputs!$B$38="pvp",15,MAX(0.1,Skills!E16-IF(Skills!F16=TRUE,Inputs!$B$32,0))))))/Skills!H16,1)))/Inputs!$B$43),G972*Q972)*(1+IF(Inputs!$B$3&gt;=126,0.05*(B992+Q969+(H970*B993)/(1+Skills!H14*H970*B993)+Q980),0)*Skills!E15))*IF(Inputs!$B$38="pvp",1,(1+(Inputs!$B$21+Skills!Q16)/100)*(MIN(Skills!R16,Inputs!$B$37))),0)</f>
        <v/>
      </c>
    </row>
    <row r="973">
      <c r="A973">
        <f>Skills!A17</f>
        <v/>
      </c>
      <c r="B973">
        <f>Skills!B17</f>
        <v/>
      </c>
      <c r="C973">
        <f>TRUE</f>
        <v/>
      </c>
      <c r="D973">
        <f>IF(Skills!C17=1,60+Inputs!$B$25+Inputs!$B$29,IF(Skills!C17=2,90+Inputs!$B$26+Inputs!$B$29,IF(Skills!C17=3,120+Inputs!$B$27+Inputs!$B$29,MAX(0,(Inputs!$B$3-100)*3)+Inputs!$B$28+Inputs!$B$29)))</f>
        <v/>
      </c>
      <c r="E973">
        <f>INDEX(FactorTable!$B$2:$Y$301, MATCH(ROUND(MIN(300,MAX(1,D973)),0), FactorTable!$A$2:$A$301,0), Skills!M17+1)</f>
        <v/>
      </c>
      <c r="F973">
        <f>IF(Skills!N17=TRUE,(Skills!L17/10)*(E973/1000),Skills!L17/10)+Skills!O17</f>
        <v/>
      </c>
      <c r="G973">
        <f>Calc!G17</f>
        <v/>
      </c>
      <c r="H973">
        <f>Calc!H17</f>
        <v/>
      </c>
      <c r="I973">
        <f>IF(Skills!X17&lt;&gt;"",1+(Skills!X17/10)*(Z959/1000)/100,1)</f>
        <v/>
      </c>
      <c r="J973" t="inlineStr"/>
      <c r="K973" t="inlineStr"/>
      <c r="L973" t="inlineStr"/>
      <c r="M973" t="inlineStr"/>
      <c r="N973" t="inlineStr"/>
      <c r="O973">
        <f>(1-Summary!$B$56)*S973+Summary!$B$56*U973</f>
        <v/>
      </c>
      <c r="P973">
        <f>IF(B997=0,0,O973/B997)</f>
        <v/>
      </c>
      <c r="Q973">
        <f>IFERROR(1/IF(Inputs!$B$38="pvp",15,MAX(0.1,Skills!E17-IF(Skills!F17=TRUE,Inputs!$B$32,0))),0)</f>
        <v/>
      </c>
      <c r="R973">
        <f>IF(AND(Inputs!$B$38&lt;&gt;"pvp",Inputs!$B$43&gt;0),IF(Inputs!$B$43&lt;=0,0,(INT(Inputs!$B$43/IF(Inputs!$B$38="pvp",15,MAX(0.1,Skills!E17-IF(Skills!F17=TRUE,Inputs!$B$32,0))))+1)),0)</f>
        <v/>
      </c>
      <c r="S973" t="n">
        <v>0</v>
      </c>
      <c r="U973" t="n">
        <v>0</v>
      </c>
    </row>
    <row r="974">
      <c r="A974">
        <f>Skills!A18</f>
        <v/>
      </c>
      <c r="B974">
        <f>Skills!B18</f>
        <v/>
      </c>
      <c r="C974">
        <f>TRUE</f>
        <v/>
      </c>
      <c r="D974">
        <f>IF(Skills!C18=1,60+Inputs!$B$25+Inputs!$B$29,IF(Skills!C18=2,90+Inputs!$B$26+Inputs!$B$29,IF(Skills!C18=3,120+Inputs!$B$27+Inputs!$B$29,MAX(0,(Inputs!$B$3-100)*3)+Inputs!$B$28+Inputs!$B$29)))</f>
        <v/>
      </c>
      <c r="E974">
        <f>INDEX(FactorTable!$B$2:$Y$301, MATCH(ROUND(MIN(300,MAX(1,D974)),0), FactorTable!$A$2:$A$301,0), Skills!M18+1)</f>
        <v/>
      </c>
      <c r="F974">
        <f>IF(Skills!N18=TRUE,(Skills!L18/10)*(E974/1000),Skills!L18/10)+Skills!O18</f>
        <v/>
      </c>
      <c r="G974">
        <f>Calc!G18</f>
        <v/>
      </c>
      <c r="H974">
        <f>Calc!H18</f>
        <v/>
      </c>
      <c r="I974">
        <f>IF(Skills!X18&lt;&gt;"",1+(Skills!X18/10)*(Z959/1000)/100,1)</f>
        <v/>
      </c>
      <c r="J974" t="inlineStr"/>
      <c r="K974" t="inlineStr"/>
      <c r="L974" t="inlineStr"/>
      <c r="M974" t="inlineStr"/>
      <c r="N974" t="inlineStr"/>
      <c r="O974">
        <f>(1-Summary!$B$56)*S974+Summary!$B$56*U974</f>
        <v/>
      </c>
      <c r="P974">
        <f>IF(B997=0,0,O974/B997)</f>
        <v/>
      </c>
      <c r="Q974">
        <f>IFERROR(1/IF(Inputs!$B$38="pvp",15,MAX(0.1,Skills!E18-IF(Skills!F18=TRUE,Inputs!$B$32,0))),0)</f>
        <v/>
      </c>
      <c r="R974">
        <f>IF(AND(Inputs!$B$38&lt;&gt;"pvp",Inputs!$B$43&gt;0),IF(Inputs!$B$43&lt;=0,0,(INT(Inputs!$B$43/IF(Inputs!$B$38="pvp",15,MAX(0.1,Skills!E18-IF(Skills!F18=TRUE,Inputs!$B$32,0))))+1)),0)</f>
        <v/>
      </c>
      <c r="S974" t="n">
        <v>0</v>
      </c>
      <c r="U974" t="n">
        <v>0</v>
      </c>
    </row>
    <row r="975">
      <c r="A975">
        <f>Skills!A19</f>
        <v/>
      </c>
      <c r="B975">
        <f>Skills!B19</f>
        <v/>
      </c>
      <c r="C975">
        <f>Inputs!$B$3&gt;=110</f>
        <v/>
      </c>
      <c r="D975">
        <f>IF(Skills!C19=1,60+Inputs!$B$25+Inputs!$B$29,IF(Skills!C19=2,90+Inputs!$B$26+Inputs!$B$29,IF(Skills!C19=3,120+Inputs!$B$27+Inputs!$B$29,MAX(0,(Inputs!$B$3-100)*3)+Inputs!$B$28+Inputs!$B$29)))</f>
        <v/>
      </c>
      <c r="E975">
        <f>INDEX(FactorTable!$B$2:$Y$301, MATCH(ROUND(MIN(300,MAX(1,D975)),0), FactorTable!$A$2:$A$301,0), Skills!M19+1)</f>
        <v/>
      </c>
      <c r="F975">
        <f>IF(Skills!N19=TRUE,(Skills!L19/10)*(E975/1000),Skills!L19/10)+Skills!O19</f>
        <v/>
      </c>
      <c r="G975">
        <f>Calc!G19</f>
        <v/>
      </c>
      <c r="H975">
        <f>Calc!H19</f>
        <v/>
      </c>
      <c r="I975">
        <f>IF(Skills!X19&lt;&gt;"",1+(Skills!X19/10)*(Z959/1000)/100,1)</f>
        <v/>
      </c>
      <c r="J975" t="inlineStr"/>
      <c r="K975" t="inlineStr"/>
      <c r="L975" t="inlineStr"/>
      <c r="M975" t="inlineStr"/>
      <c r="N975" t="inlineStr"/>
      <c r="O975">
        <f>(1-Summary!$B$56)*S975+Summary!$B$56*U975</f>
        <v/>
      </c>
      <c r="P975">
        <f>IF(B997=0,0,O975/B997)</f>
        <v/>
      </c>
      <c r="Q975">
        <f>IFERROR(1/IF(Inputs!$B$38="pvp",15,MAX(0.1,Skills!E19-IF(Skills!F19=TRUE,Inputs!$B$32,0))),0)</f>
        <v/>
      </c>
      <c r="R975">
        <f>IF(AND(Inputs!$B$38&lt;&gt;"pvp",Inputs!$B$43&gt;0),IF(Inputs!$B$43&lt;=0,0,(INT(Inputs!$B$43/IF(Inputs!$B$38="pvp",15,MAX(0.1,Skills!E19-IF(Skills!F19=TRUE,Inputs!$B$32,0))))+1)),0)</f>
        <v/>
      </c>
      <c r="S975" t="n">
        <v>0</v>
      </c>
      <c r="U975" t="n">
        <v>0</v>
      </c>
    </row>
    <row r="976">
      <c r="A976">
        <f>Skills!A20</f>
        <v/>
      </c>
      <c r="B976">
        <f>Skills!B20</f>
        <v/>
      </c>
      <c r="C976">
        <f>TRUE</f>
        <v/>
      </c>
      <c r="D976">
        <f>IF(Skills!C20=1,60+Inputs!$B$25+Inputs!$B$29,IF(Skills!C20=2,90+Inputs!$B$26+Inputs!$B$29,IF(Skills!C20=3,120+Inputs!$B$27+Inputs!$B$29,MAX(0,(Inputs!$B$3-100)*3)+Inputs!$B$28+Inputs!$B$29)))</f>
        <v/>
      </c>
      <c r="E976">
        <f>INDEX(FactorTable!$B$2:$Y$301, MATCH(ROUND(MIN(300,MAX(1,D976)),0), FactorTable!$A$2:$A$301,0), Skills!M20+1)</f>
        <v/>
      </c>
      <c r="F976">
        <f>IF(Skills!N20=TRUE,(Skills!L20/10)*(E976/1000),Skills!L20/10)+Skills!O20</f>
        <v/>
      </c>
      <c r="G976">
        <f>Calc!G20</f>
        <v/>
      </c>
      <c r="H976">
        <f>Calc!H20</f>
        <v/>
      </c>
      <c r="I976">
        <f>IF(Skills!X20&lt;&gt;"",1+(Skills!X20/10)*(Z959/1000)/100,1)</f>
        <v/>
      </c>
      <c r="J976" t="inlineStr"/>
      <c r="K976" t="inlineStr"/>
      <c r="L976" t="inlineStr"/>
      <c r="M976" t="inlineStr"/>
      <c r="N976" t="inlineStr"/>
      <c r="O976">
        <f>(1-Summary!$B$56)*S976+Summary!$B$56*U976</f>
        <v/>
      </c>
      <c r="P976">
        <f>IF(B997=0,0,O976/B997)</f>
        <v/>
      </c>
      <c r="Q976">
        <f>IFERROR(1/IF(Inputs!$B$38="pvp",15,MAX(0.1,Skills!E20-IF(Skills!F20=TRUE,Inputs!$B$32,0))),0)</f>
        <v/>
      </c>
      <c r="R976" t="n">
        <v>0</v>
      </c>
      <c r="S976" t="n">
        <v>0</v>
      </c>
      <c r="U976" t="n">
        <v>0</v>
      </c>
    </row>
    <row r="977">
      <c r="A977">
        <f>Skills!A21</f>
        <v/>
      </c>
      <c r="B977">
        <f>Skills!B21</f>
        <v/>
      </c>
      <c r="C977">
        <f>TRUE</f>
        <v/>
      </c>
      <c r="D977">
        <f>IF(Skills!C21=1,60+Inputs!$B$25+Inputs!$B$29,IF(Skills!C21=2,90+Inputs!$B$26+Inputs!$B$29,IF(Skills!C21=3,120+Inputs!$B$27+Inputs!$B$29,MAX(0,(Inputs!$B$3-100)*3)+Inputs!$B$28+Inputs!$B$29)))</f>
        <v/>
      </c>
      <c r="E977">
        <f>INDEX(FactorTable!$B$2:$Y$301, MATCH(ROUND(MIN(300,MAX(1,D977)),0), FactorTable!$A$2:$A$301,0), Skills!M21+1)</f>
        <v/>
      </c>
      <c r="F977">
        <f>IF(Skills!N21=TRUE,(Skills!L21/10)*(E977/1000),Skills!L21/10)+Skills!O21</f>
        <v/>
      </c>
      <c r="G977">
        <f>Calc!G21</f>
        <v/>
      </c>
      <c r="H977">
        <f>Calc!H21</f>
        <v/>
      </c>
      <c r="I977">
        <f>IF(Skills!X21&lt;&gt;"",1+(Skills!X21/10)*(Z959/1000)/100,1)</f>
        <v/>
      </c>
      <c r="J977" t="inlineStr"/>
      <c r="K977" t="inlineStr"/>
      <c r="L977" t="inlineStr"/>
      <c r="M977" t="inlineStr"/>
      <c r="N977" t="inlineStr"/>
      <c r="O977">
        <f>(1-Summary!$B$56)*S977+Summary!$B$56*U977</f>
        <v/>
      </c>
      <c r="P977">
        <f>IF(B997=0,0,O977/B997)</f>
        <v/>
      </c>
      <c r="Q977">
        <f>IFERROR(1/IF(Inputs!$B$38="pvp",15,MAX(0.1,Skills!E21-IF(Skills!F21=TRUE,Inputs!$B$32,0))),0)</f>
        <v/>
      </c>
      <c r="R977" t="n">
        <v>0</v>
      </c>
      <c r="S977" t="n">
        <v>0</v>
      </c>
      <c r="U977" t="n">
        <v>0</v>
      </c>
    </row>
    <row r="978">
      <c r="A978">
        <f>Skills!A22</f>
        <v/>
      </c>
      <c r="B978">
        <f>Skills!B22</f>
        <v/>
      </c>
      <c r="C978">
        <f>TRUE</f>
        <v/>
      </c>
      <c r="D978">
        <f>IF(Skills!C22=1,60+Inputs!$B$25+Inputs!$B$29,IF(Skills!C22=2,90+Inputs!$B$26+Inputs!$B$29,IF(Skills!C22=3,120+Inputs!$B$27+Inputs!$B$29,MAX(0,(Inputs!$B$3-100)*3)+Inputs!$B$28+Inputs!$B$29)))</f>
        <v/>
      </c>
      <c r="E978">
        <f>INDEX(FactorTable!$B$2:$Y$301, MATCH(ROUND(MIN(300,MAX(1,D978)),0), FactorTable!$A$2:$A$301,0), Skills!M22+1)</f>
        <v/>
      </c>
      <c r="F978">
        <f>IF(Skills!N22=TRUE,(Skills!L22/10)*(E978/1000),Skills!L22/10)+Skills!O22</f>
        <v/>
      </c>
      <c r="G978">
        <f>Calc!G22</f>
        <v/>
      </c>
      <c r="H978">
        <f>Calc!H22</f>
        <v/>
      </c>
      <c r="I978">
        <f>IF(Skills!X22&lt;&gt;"",1+(Skills!X22/10)*(Z959/1000)/100,1)</f>
        <v/>
      </c>
      <c r="J978" t="inlineStr"/>
      <c r="K978" t="inlineStr"/>
      <c r="L978" t="inlineStr"/>
      <c r="M978" t="inlineStr"/>
      <c r="N978" t="inlineStr"/>
      <c r="O978">
        <f>(1-Summary!$B$56)*S978+Summary!$B$56*U978</f>
        <v/>
      </c>
      <c r="P978">
        <f>IF(B997=0,0,O978/B997)</f>
        <v/>
      </c>
      <c r="Q978">
        <f>IFERROR(1/IF(Inputs!$B$38="pvp",15,MAX(0.1,Skills!E22-IF(Skills!F22=TRUE,Inputs!$B$32,0))),0)</f>
        <v/>
      </c>
      <c r="R978" t="n">
        <v>0</v>
      </c>
      <c r="S978" t="n">
        <v>0</v>
      </c>
      <c r="U978" t="n">
        <v>0</v>
      </c>
    </row>
    <row r="979">
      <c r="A979">
        <f>Skills!A23</f>
        <v/>
      </c>
      <c r="B979">
        <f>Skills!B23</f>
        <v/>
      </c>
      <c r="C979">
        <f>TRUE</f>
        <v/>
      </c>
      <c r="D979">
        <f>IF(Skills!C23=1,60+Inputs!$B$25+Inputs!$B$29,IF(Skills!C23=2,90+Inputs!$B$26+Inputs!$B$29,IF(Skills!C23=3,120+Inputs!$B$27+Inputs!$B$29,MAX(0,(Inputs!$B$3-100)*3)+Inputs!$B$28+Inputs!$B$29)))</f>
        <v/>
      </c>
      <c r="E979">
        <f>INDEX(FactorTable!$B$2:$Y$301, MATCH(ROUND(MIN(300,MAX(1,D979)),0), FactorTable!$A$2:$A$301,0), Skills!M23+1)</f>
        <v/>
      </c>
      <c r="F979">
        <f>IF(Skills!N23=TRUE,(Skills!L23/10)*(E979/1000),Skills!L23/10)+Skills!O23</f>
        <v/>
      </c>
      <c r="G979">
        <f>Calc!G23</f>
        <v/>
      </c>
      <c r="H979">
        <f>Calc!H23</f>
        <v/>
      </c>
      <c r="I979">
        <f>IF(Skills!X23&lt;&gt;"",1+(Skills!X23/10)*(Z959/1000)/100,1)</f>
        <v/>
      </c>
      <c r="J979" t="inlineStr"/>
      <c r="K979" t="inlineStr"/>
      <c r="L979" t="inlineStr"/>
      <c r="M979" t="inlineStr"/>
      <c r="N979" t="inlineStr"/>
      <c r="O979">
        <f>(1-Summary!$B$56)*S979+Summary!$B$56*U979</f>
        <v/>
      </c>
      <c r="P979">
        <f>IF(B997=0,0,O979/B997)</f>
        <v/>
      </c>
      <c r="Q979">
        <f>IFERROR(1/IF(Inputs!$B$38="pvp",15,MAX(0.1,Skills!E23-IF(Skills!F23=TRUE,Inputs!$B$32,0))),0)</f>
        <v/>
      </c>
      <c r="R979" t="n">
        <v>0</v>
      </c>
      <c r="S979" t="n">
        <v>0</v>
      </c>
      <c r="U979" t="n">
        <v>0</v>
      </c>
    </row>
    <row r="980">
      <c r="A980">
        <f>Skills!A24</f>
        <v/>
      </c>
      <c r="B980">
        <f>Skills!B24</f>
        <v/>
      </c>
      <c r="C980">
        <f>Inputs!$B$3&gt;=115</f>
        <v/>
      </c>
      <c r="D980">
        <f>IF(Skills!C24=1,60+Inputs!$B$25+Inputs!$B$29,IF(Skills!C24=2,90+Inputs!$B$26+Inputs!$B$29,IF(Skills!C24=3,120+Inputs!$B$27+Inputs!$B$29,MAX(0,(Inputs!$B$3-100)*3)+Inputs!$B$28+Inputs!$B$29)))</f>
        <v/>
      </c>
      <c r="E980">
        <f>INDEX(FactorTable!$B$2:$Y$301, MATCH(ROUND(MIN(300,MAX(1,D980)),0), FactorTable!$A$2:$A$301,0), Skills!M24+1)</f>
        <v/>
      </c>
      <c r="F980">
        <f>IF(Skills!N24=TRUE,(Skills!L24/10)*(E980/1000),Skills!L24/10)+Skills!O24</f>
        <v/>
      </c>
      <c r="G980">
        <f>Calc!G24</f>
        <v/>
      </c>
      <c r="H980">
        <f>Calc!H24</f>
        <v/>
      </c>
      <c r="I980">
        <f>IF(Skills!X24&lt;&gt;"",1+(Skills!X24/10)*(Z959/1000)/100,1)</f>
        <v/>
      </c>
      <c r="J980">
        <f>((Inputs!$B$6*(1+(Inputs!$B$7+1)/100))+(((Inputs!$B$12*(1+Inputs!$B$13/100))-(Inputs!$B$12*(1+Inputs!$B$13/100)))+0.25*(Inputs!$B$14-Inputs!$B$14))*(1+(Inputs!$B$7+1)/100))*(F980/100)</f>
        <v/>
      </c>
      <c r="K980">
        <f>J980*(1+((Inputs!$B$12*(1+Inputs!$B$13/100))*0.01+Inputs!$B$14*0.0025)/100)*(1+Inputs!$B$15/100)*(1+Inputs!$B$16/100)*(5000/(6000+Inputs!$B$42*(1-Inputs!$B$19/100)))*(1+Inputs!$B$24/100)*(1+F979/100)*(1+IF(Inputs!$B$3&gt;=120,F982,0)/100)^5*(1+(IF(Skills!A24="BASIC_ATTACK",Inputs!$B$17,Inputs!$B$18+IF(Inputs!$B$3&gt;=125,F983*5,0)))/100)*(B986*B987*B988*I980)</f>
        <v/>
      </c>
      <c r="L980">
        <f>K980*(MIN(Inputs!$B$22+(F978-Calc!F22),Inputs!$B$23)/100+Inputs!$B$23/100)/2</f>
        <v/>
      </c>
      <c r="M980">
        <f>L980*(1+(Inputs!$B$10+(F977-Calc!F21))/100)</f>
        <v/>
      </c>
      <c r="N980">
        <f>L980*(1-MIN(Inputs!$B$9+(F976-Calc!F20),100)/100)+M980*(MIN(Inputs!$B$9+(F976-Calc!F20),100)/100)</f>
        <v/>
      </c>
      <c r="O980">
        <f>(1-Summary!$B$56)*S980+Summary!$B$56*U980</f>
        <v/>
      </c>
      <c r="P980">
        <f>IF(B997=0,0,O980/B997)</f>
        <v/>
      </c>
      <c r="Q980">
        <f>IFERROR(1/IF(Inputs!$B$38="pvp",15,MAX(0.1,Skills!E24-IF(Skills!F24=TRUE,Inputs!$B$32,0))),0)</f>
        <v/>
      </c>
      <c r="R980">
        <f>IF(AND(Inputs!$B$38&lt;&gt;"pvp",Inputs!$B$43&gt;0),IF(MAX(0,Inputs!$B$43-B994)&lt;=0,0,(INT(MAX(0,Inputs!$B$43-B994)/IF(Inputs!$B$38="pvp",15,MAX(0.1,Skills!E24-IF(Skills!F24=TRUE,Inputs!$B$32,0))))+1)),0)</f>
        <v/>
      </c>
      <c r="S980">
        <f>IF(C980,(H980*N980*IF(AND(Inputs!$B$38&lt;&gt;"pvp",Inputs!$B$43&gt;0),((Skills!G24*((R980-1)*IF(Skills!H24&gt;0,Skills!I24/Skills!H24,1)+IF(Skills!H24&gt;0,MIN(Skills!I24,MAX(0,MAX(0,Inputs!$B$43-B994)-((R980-1)*IF(Inputs!$B$38="pvp",15,MAX(0.1,Skills!E24-IF(Skills!F24=TRUE,Inputs!$B$32,0))))))/Skills!H24,1)))/Inputs!$B$43),G980*Q980)*(1+IF(Inputs!$B$3&gt;=130,0.2*(Skills!I16/Skills!E15+IF(Inputs!$B$3&gt;=126,0.05*(B992+Q969+(H970*B993)/(1+Skills!H14*H970*B993)+Q980),0)*Skills!I16),0)))*IF(Inputs!$B$38="pvp",1,1+(Inputs!$B$20+Skills!P24)/100),0)</f>
        <v/>
      </c>
      <c r="U980">
        <f>IF(C980,(H980*N980*IF(AND(Inputs!$B$38&lt;&gt;"pvp",Inputs!$B$43&gt;0),((Skills!G24*((R980-1)*IF(Skills!H24&gt;0,Skills!I24/Skills!H24,1)+IF(Skills!H24&gt;0,MIN(Skills!I24,MAX(0,MAX(0,Inputs!$B$43-B994)-((R980-1)*IF(Inputs!$B$38="pvp",15,MAX(0.1,Skills!E24-IF(Skills!F24=TRUE,Inputs!$B$32,0))))))/Skills!H24,1)))/Inputs!$B$43),G980*Q980)*(1+IF(Inputs!$B$3&gt;=130,0.2*(Skills!I16/Skills!E15+IF(Inputs!$B$3&gt;=126,0.05*(B992+Q969+(H970*B993)/(1+Skills!H14*H970*B993)+Q980),0)*Skills!I16),0)))*IF(Inputs!$B$38="pvp",1,(1+(Inputs!$B$21+Skills!Q24)/100)*(MIN(Skills!R24,Inputs!$B$37))),0)</f>
        <v/>
      </c>
    </row>
    <row r="981">
      <c r="A981">
        <f>Skills!A25</f>
        <v/>
      </c>
      <c r="B981">
        <f>Skills!B25</f>
        <v/>
      </c>
      <c r="C981">
        <f>Inputs!$B$3&gt;=117</f>
        <v/>
      </c>
      <c r="D981">
        <f>IF(Skills!C25=1,60+Inputs!$B$25+Inputs!$B$29,IF(Skills!C25=2,90+Inputs!$B$26+Inputs!$B$29,IF(Skills!C25=3,120+Inputs!$B$27+Inputs!$B$29,MAX(0,(Inputs!$B$3-100)*3)+Inputs!$B$28+Inputs!$B$29)))</f>
        <v/>
      </c>
      <c r="E981">
        <f>INDEX(FactorTable!$B$2:$Y$301, MATCH(ROUND(MIN(300,MAX(1,D981)),0), FactorTable!$A$2:$A$301,0), Skills!M25+1)</f>
        <v/>
      </c>
      <c r="F981">
        <f>IF(Skills!N25=TRUE,(Skills!L25/10)*(E981/1000),Skills!L25/10)+Skills!O25</f>
        <v/>
      </c>
      <c r="G981">
        <f>Calc!G25</f>
        <v/>
      </c>
      <c r="H981">
        <f>Calc!H25</f>
        <v/>
      </c>
      <c r="I981">
        <f>IF(Skills!X25&lt;&gt;"",1+(Skills!X25/10)*(Z959/1000)/100,1)</f>
        <v/>
      </c>
      <c r="J981" t="inlineStr"/>
      <c r="K981" t="inlineStr"/>
      <c r="L981" t="inlineStr"/>
      <c r="M981" t="inlineStr"/>
      <c r="N981" t="inlineStr"/>
      <c r="O981">
        <f>(1-Summary!$B$56)*S981+Summary!$B$56*U981</f>
        <v/>
      </c>
      <c r="P981">
        <f>IF(B997=0,0,O981/B997)</f>
        <v/>
      </c>
      <c r="Q981">
        <f>IFERROR(1/IF(Inputs!$B$38="pvp",15,MAX(0.1,Skills!E25-IF(Skills!F25=TRUE,Inputs!$B$32,0))),0)</f>
        <v/>
      </c>
      <c r="R981" t="n">
        <v>0</v>
      </c>
      <c r="S981" t="n">
        <v>0</v>
      </c>
      <c r="U981" t="n">
        <v>0</v>
      </c>
    </row>
    <row r="982">
      <c r="A982">
        <f>Skills!A26</f>
        <v/>
      </c>
      <c r="B982">
        <f>Skills!B26</f>
        <v/>
      </c>
      <c r="C982">
        <f>Inputs!$B$3&gt;=120</f>
        <v/>
      </c>
      <c r="D982">
        <f>IF(Skills!C26=1,60+Inputs!$B$25+Inputs!$B$29,IF(Skills!C26=2,90+Inputs!$B$26+Inputs!$B$29,IF(Skills!C26=3,120+Inputs!$B$27+Inputs!$B$29,MAX(0,(Inputs!$B$3-100)*3)+Inputs!$B$28+Inputs!$B$29)))</f>
        <v/>
      </c>
      <c r="E982">
        <f>INDEX(FactorTable!$B$2:$Y$301, MATCH(ROUND(MIN(300,MAX(1,D982)),0), FactorTable!$A$2:$A$301,0), Skills!M26+1)</f>
        <v/>
      </c>
      <c r="F982">
        <f>IF(Skills!N26=TRUE,(Skills!L26/10)*(E982/1000),Skills!L26/10)+Skills!O26</f>
        <v/>
      </c>
      <c r="G982">
        <f>Calc!G26</f>
        <v/>
      </c>
      <c r="H982">
        <f>Calc!H26</f>
        <v/>
      </c>
      <c r="I982">
        <f>IF(Skills!X26&lt;&gt;"",1+(Skills!X26/10)*(Z959/1000)/100,1)</f>
        <v/>
      </c>
      <c r="J982" t="inlineStr"/>
      <c r="K982" t="inlineStr"/>
      <c r="L982" t="inlineStr"/>
      <c r="M982" t="inlineStr"/>
      <c r="N982" t="inlineStr"/>
      <c r="O982">
        <f>(1-Summary!$B$56)*S982+Summary!$B$56*U982</f>
        <v/>
      </c>
      <c r="P982">
        <f>IF(B997=0,0,O982/B997)</f>
        <v/>
      </c>
      <c r="Q982">
        <f>IFERROR(1/IF(Inputs!$B$38="pvp",15,MAX(0.1,Skills!E26-IF(Skills!F26=TRUE,Inputs!$B$32,0))),0)</f>
        <v/>
      </c>
      <c r="R982" t="n">
        <v>0</v>
      </c>
      <c r="S982" t="n">
        <v>0</v>
      </c>
      <c r="U982" t="n">
        <v>0</v>
      </c>
    </row>
    <row r="983">
      <c r="A983">
        <f>Skills!A27</f>
        <v/>
      </c>
      <c r="B983">
        <f>Skills!B27</f>
        <v/>
      </c>
      <c r="C983">
        <f>Inputs!$B$3&gt;=125</f>
        <v/>
      </c>
      <c r="D983">
        <f>IF(Skills!C27=1,60+Inputs!$B$25+Inputs!$B$29,IF(Skills!C27=2,90+Inputs!$B$26+Inputs!$B$29,IF(Skills!C27=3,120+Inputs!$B$27+Inputs!$B$29,MAX(0,(Inputs!$B$3-100)*3)+Inputs!$B$28+Inputs!$B$29)))</f>
        <v/>
      </c>
      <c r="E983">
        <f>INDEX(FactorTable!$B$2:$Y$301, MATCH(ROUND(MIN(300,MAX(1,D983)),0), FactorTable!$A$2:$A$301,0), Skills!M27+1)</f>
        <v/>
      </c>
      <c r="F983">
        <f>IF(Skills!N27=TRUE,(Skills!L27/10)*(E983/1000),Skills!L27/10)+Skills!O27</f>
        <v/>
      </c>
      <c r="G983">
        <f>Calc!G27</f>
        <v/>
      </c>
      <c r="H983">
        <f>Calc!H27</f>
        <v/>
      </c>
      <c r="I983">
        <f>IF(Skills!X27&lt;&gt;"",1+(Skills!X27/10)*(Z959/1000)/100,1)</f>
        <v/>
      </c>
      <c r="J983" t="inlineStr"/>
      <c r="K983" t="inlineStr"/>
      <c r="L983" t="inlineStr"/>
      <c r="M983" t="inlineStr"/>
      <c r="N983" t="inlineStr"/>
      <c r="O983">
        <f>(1-Summary!$B$56)*S983+Summary!$B$56*U983</f>
        <v/>
      </c>
      <c r="P983">
        <f>IF(B997=0,0,O983/B997)</f>
        <v/>
      </c>
      <c r="Q983">
        <f>IFERROR(1/IF(Inputs!$B$38="pvp",15,MAX(0.1,Skills!E27-IF(Skills!F27=TRUE,Inputs!$B$32,0))),0)</f>
        <v/>
      </c>
      <c r="R983" t="n">
        <v>0</v>
      </c>
      <c r="S983" t="n">
        <v>0</v>
      </c>
      <c r="U983" t="n">
        <v>0</v>
      </c>
    </row>
    <row r="984">
      <c r="A984">
        <f>Skills!A28</f>
        <v/>
      </c>
      <c r="B984">
        <f>Skills!B28</f>
        <v/>
      </c>
      <c r="C984">
        <f>Inputs!$B$3&gt;=118</f>
        <v/>
      </c>
      <c r="D984">
        <f>IF(Skills!C28=1,60+Inputs!$B$25+Inputs!$B$29,IF(Skills!C28=2,90+Inputs!$B$26+Inputs!$B$29,IF(Skills!C28=3,120+Inputs!$B$27+Inputs!$B$29,MAX(0,(Inputs!$B$3-100)*3)+Inputs!$B$28+Inputs!$B$29)))</f>
        <v/>
      </c>
      <c r="E984">
        <f>INDEX(FactorTable!$B$2:$Y$301, MATCH(ROUND(MIN(300,MAX(1,D984)),0), FactorTable!$A$2:$A$301,0), Skills!M28+1)</f>
        <v/>
      </c>
      <c r="F984">
        <f>IF(Skills!N28=TRUE,(Skills!L28/10)*(E984/1000),Skills!L28/10)+Skills!O28</f>
        <v/>
      </c>
      <c r="G984">
        <f>Calc!G28</f>
        <v/>
      </c>
      <c r="H984">
        <f>Calc!H28</f>
        <v/>
      </c>
      <c r="I984">
        <f>IF(Skills!X28&lt;&gt;"",1+(Skills!X28/10)*(Z959/1000)/100,1)</f>
        <v/>
      </c>
      <c r="J984">
        <f>((Inputs!$B$6*(1+(Inputs!$B$7+1)/100))+(((Inputs!$B$12*(1+Inputs!$B$13/100))-(Inputs!$B$12*(1+Inputs!$B$13/100)))+0.25*(Inputs!$B$14-Inputs!$B$14))*(1+(Inputs!$B$7+1)/100))*(F984/100)</f>
        <v/>
      </c>
      <c r="K984">
        <f>J984*(1+((Inputs!$B$12*(1+Inputs!$B$13/100))*0.01+Inputs!$B$14*0.0025)/100)*(1+Inputs!$B$15/100)*(1+Inputs!$B$16/100)*(5000/(6000+Inputs!$B$42*(1-Inputs!$B$19/100)))*(1+Inputs!$B$24/100)*(1+F979/100)*(1+IF(Inputs!$B$3&gt;=120,F982,0)/100)^5*(1+(IF(Skills!A28="BASIC_ATTACK",Inputs!$B$17,Inputs!$B$18+IF(Inputs!$B$3&gt;=125,F983*5,0)))/100)*(B986*B987*B988*I984)</f>
        <v/>
      </c>
      <c r="L984">
        <f>K984*(MIN(Inputs!$B$22+(F978-Calc!F22),Inputs!$B$23)/100+Inputs!$B$23/100)/2</f>
        <v/>
      </c>
      <c r="M984">
        <f>L984*(1+(Inputs!$B$10+(F977-Calc!F21))/100)</f>
        <v/>
      </c>
      <c r="N984">
        <f>L984*(1-MIN(Inputs!$B$9+(F976-Calc!F20),100)/100)+M984*(MIN(Inputs!$B$9+(F976-Calc!F20),100)/100)</f>
        <v/>
      </c>
      <c r="O984">
        <f>(1-Summary!$B$56)*S984+Summary!$B$56*U984</f>
        <v/>
      </c>
      <c r="P984">
        <f>IF(B997=0,0,O984/B997)</f>
        <v/>
      </c>
      <c r="Q984">
        <f>IFERROR(1/IF(Inputs!$B$38="pvp",15,MAX(0.1,Skills!E28-IF(Skills!F28=TRUE,Inputs!$B$32,0))),0)</f>
        <v/>
      </c>
      <c r="R984">
        <f>IF(AND(Inputs!$B$38&lt;&gt;"pvp",Inputs!$B$43&gt;0),IF(MAX(0,Inputs!$B$43-B994)&lt;=0,0,(INT(MAX(0,Inputs!$B$43-B994)/IF(Inputs!$B$38="pvp",15,MAX(0.1,Skills!E28-IF(Skills!F28=TRUE,Inputs!$B$32,0))))+1)),0)</f>
        <v/>
      </c>
      <c r="S984">
        <f>IF(C984,(H984*N984*IF(AND(Inputs!$B$38&lt;&gt;"pvp",Inputs!$B$43&gt;0),((Skills!G28*((R984-1)*IF(Skills!H28&gt;0,Skills!I28/Skills!H28,1)+IF(Skills!H28&gt;0,MIN(Skills!I28,MAX(0,MAX(0,Inputs!$B$43-B994)-((R984-1)*IF(Inputs!$B$38="pvp",15,MAX(0.1,Skills!E28-IF(Skills!F28=TRUE,Inputs!$B$32,0))))))/Skills!H28,1)))/Inputs!$B$43),G984*Q984))*IF(Inputs!$B$38="pvp",1,1+(Inputs!$B$20+Skills!P28)/100),0)</f>
        <v/>
      </c>
      <c r="U984">
        <f>IF(C984,(H984*N984*IF(AND(Inputs!$B$38&lt;&gt;"pvp",Inputs!$B$43&gt;0),((Skills!G28*((R984-1)*IF(Skills!H28&gt;0,Skills!I28/Skills!H28,1)+IF(Skills!H28&gt;0,MIN(Skills!I28,MAX(0,MAX(0,Inputs!$B$43-B994)-((R984-1)*IF(Inputs!$B$38="pvp",15,MAX(0.1,Skills!E28-IF(Skills!F28=TRUE,Inputs!$B$32,0))))))/Skills!H28,1)))/Inputs!$B$43),G984*Q984))*IF(Inputs!$B$38="pvp",1,(1+(Inputs!$B$21+Skills!Q28)/100)*(MIN(Skills!R28,Inputs!$B$37))),0)</f>
        <v/>
      </c>
    </row>
    <row r="986">
      <c r="A986" t="inlineStr">
        <is>
          <t>Burning Magic Multiplier</t>
        </is>
      </c>
      <c r="B986">
        <f>1+(F967*Skills!Z11)/100</f>
        <v/>
      </c>
    </row>
    <row r="987">
      <c r="A987" t="inlineStr">
        <is>
          <t>Elemental Decrease Multiplier (always-on)</t>
        </is>
      </c>
      <c r="B987">
        <f>1+F968/100</f>
        <v/>
      </c>
    </row>
    <row r="988">
      <c r="A988" t="inlineStr">
        <is>
          <t>Average Buff Multiplier (Magic Guard + Meditation, summed; then Infinity)</t>
        </is>
      </c>
      <c r="B988">
        <f>(1+(F962*IF(AND(Inputs!$B$38&lt;&gt;"pvp",Inputs!$B$43&gt;0),(((R962-1)*(Skills!T6*(1+(Inputs!$B$34+IF(Inputs!$B$3&gt;=117,F981,0))/100))+MIN((Skills!T6*(1+(Inputs!$B$34+IF(Inputs!$B$3&gt;=117,F981,0))/100)),MAX(0,Inputs!$B$43-((R962-1)*Skills!E6))))/Inputs!$B$43),IF(Inputs!$B$38="pvp",MIN((Skills!T6*(1+(Inputs!$B$34+IF(Inputs!$B$3&gt;=117,F981,0))/100)),15)/15,(Skills!T6*(1+(Inputs!$B$34+IF(Inputs!$B$3&gt;=117,F981,0))/100))/Skills!E6))+F973*IF(AND(Inputs!$B$38&lt;&gt;"pvp",Inputs!$B$43&gt;0),(((R973-1)*(Skills!T17*(1+(Inputs!$B$34+IF(Inputs!$B$3&gt;=117,F981,0))/100))+MIN((Skills!T17*(1+(Inputs!$B$34+IF(Inputs!$B$3&gt;=117,F981,0))/100)),MAX(0,Inputs!$B$43-((R973-1)*Skills!E17))))/Inputs!$B$43),IF(Inputs!$B$38="pvp",MIN((Skills!T17*(1+(Inputs!$B$34+IF(Inputs!$B$3&gt;=117,F981,0))/100)),15)/15,(Skills!T17*(1+(Inputs!$B$34+IF(Inputs!$B$3&gt;=117,F981,0))/100))/Skills!E17)))/100)*IF(C975=TRUE,(1+F975*IF(AND(Inputs!$B$38&lt;&gt;"pvp",Inputs!$B$43&gt;0),(((R975-1)*(Skills!T19*(1+(Inputs!$B$34+IF(Inputs!$B$3&gt;=117,F981,0))/100))+MIN((Skills!T19*(1+(Inputs!$B$34+IF(Inputs!$B$3&gt;=117,F981,0))/100)),MAX(0,Inputs!$B$43-((R975-1)*Skills!E19))))/Inputs!$B$43),IF(Inputs!$B$38="pvp",MIN((Skills!T19*(1+(Inputs!$B$34+IF(Inputs!$B$3&gt;=117,F981,0))/100)),15)/15,(Skills!T19*(1+(Inputs!$B$34+IF(Inputs!$B$3&gt;=117,F981,0))/100))/Skills!E19))/100),1)</f>
        <v/>
      </c>
    </row>
    <row r="989">
      <c r="A989" t="inlineStr">
        <is>
          <t>Attack Speed Buff Bonus % (Nimble Feet, averaged)</t>
        </is>
      </c>
      <c r="B989">
        <f>F974*IF(AND(Inputs!$B$38&lt;&gt;"pvp",Inputs!$B$43&gt;0),(((R974-1)*(Skills!T18*(1+(Inputs!$B$34+IF(Inputs!$B$3&gt;=117,F981,0))/100))+MIN((Skills!T18*(1+(Inputs!$B$34+IF(Inputs!$B$3&gt;=117,F981,0))/100)),MAX(0,Inputs!$B$43-((R974-1)*Skills!E18))))/Inputs!$B$43),IF(Inputs!$B$38="pvp",MIN((Skills!T18*(1+(Inputs!$B$34+IF(Inputs!$B$3&gt;=117,F981,0))/100)),15)/15,(Skills!T18*(1+(Inputs!$B$34+IF(Inputs!$B$3&gt;=117,F981,0))/100))/Skills!E18))</f>
        <v/>
      </c>
    </row>
    <row r="990">
      <c r="A990" t="inlineStr">
        <is>
          <t>Actions Per Second</t>
        </is>
      </c>
      <c r="B990">
        <f>1+MIN(150,150*(1-(1-Inputs!$B$11/150)*(1-B989/150)))/100</f>
        <v/>
      </c>
    </row>
    <row r="991">
      <c r="A991" t="inlineStr">
        <is>
          <t>Skill + Buff Cast Rate</t>
        </is>
      </c>
      <c r="B991">
        <f>IF(AND(Inputs!$B$38&lt;&gt;"pvp",Inputs!$B$43&gt;0),SUMPRODUCT((Skills!F2:F28=TRUE)*(C958:C984=TRUE)*R958:R984)/Inputs!$B$43,SUMPRODUCT((Skills!F2:F28=TRUE)*(C958:C984=TRUE)*Q958:Q984))</f>
        <v/>
      </c>
    </row>
    <row r="992">
      <c r="A992" t="inlineStr">
        <is>
          <t>Basic Attacks Per Second</t>
        </is>
      </c>
      <c r="B992">
        <f>MAX(0,B990-B991)</f>
        <v/>
      </c>
    </row>
    <row r="993">
      <c r="A993" t="inlineStr">
        <is>
          <t>Meteor Proc — combined trigger cast rate</t>
        </is>
      </c>
      <c r="B993">
        <f>IF(AND(Inputs!$B$38&lt;&gt;"pvp",Inputs!$B$43&gt;0),SUMPRODUCT((Skills!V2:V28=TRUE)*(C958:C984=TRUE)*R958:R984*Skills!W2:W28)/Inputs!$B$43,SUMPRODUCT((Skills!V2:V28=TRUE)*(C958:C984=TRUE)*Q958:Q984*Skills!W2:W28))+B992</f>
        <v/>
      </c>
    </row>
    <row r="994">
      <c r="A994" t="inlineStr">
        <is>
          <t>Buff-Casting Startup Delay (s, fixed-duration only)</t>
        </is>
      </c>
      <c r="B994">
        <f>IF(AND(Inputs!$B$38&lt;&gt;"pvp",Inputs!$B$43&gt;0),SUMPRODUCT((Skills!T2:T28&gt;0)*(Skills!F2:F28=TRUE)*(C958:C984=TRUE))/B990,0)</f>
        <v/>
      </c>
    </row>
    <row r="995">
      <c r="A995" t="inlineStr">
        <is>
          <t>Boss-Only Total DPS (this block's swept value)</t>
        </is>
      </c>
      <c r="B995">
        <f>SUM(S958:S984)</f>
        <v/>
      </c>
    </row>
    <row r="996">
      <c r="A996" t="inlineStr">
        <is>
          <t>Normal-Only Total DPS (this block's swept value)</t>
        </is>
      </c>
      <c r="B996">
        <f>SUM(U958:U984)</f>
        <v/>
      </c>
    </row>
    <row r="997">
      <c r="A997" s="5" t="inlineStr">
        <is>
          <t>TOTAL DPS</t>
        </is>
      </c>
      <c r="B997" s="5">
        <f>SUM(O958:O984)</f>
        <v/>
      </c>
    </row>
    <row r="1000">
      <c r="A1000" s="5" t="inlineStr">
        <is>
          <t>Stat: Skill Cooldown Decrease (seconds)</t>
        </is>
      </c>
    </row>
    <row r="1001">
      <c r="A1001" s="9" t="inlineStr">
        <is>
          <t>Key</t>
        </is>
      </c>
      <c r="B1001" s="9" t="inlineStr">
        <is>
          <t>Name</t>
        </is>
      </c>
      <c r="C1001" s="9" t="inlineStr">
        <is>
          <t>Unlocked</t>
        </is>
      </c>
      <c r="D1001" s="9" t="inlineStr">
        <is>
          <t>InputLevel</t>
        </is>
      </c>
      <c r="E1001" s="9" t="inlineStr">
        <is>
          <t>Factor</t>
        </is>
      </c>
      <c r="F1001" s="9" t="inlineStr">
        <is>
          <t>CoefficientPercent</t>
        </is>
      </c>
      <c r="G1001" s="9" t="inlineStr">
        <is>
          <t>EffectiveHits</t>
        </is>
      </c>
      <c r="H1001" s="9" t="inlineStr">
        <is>
          <t>ProcProbability</t>
        </is>
      </c>
      <c r="I1001" s="9" t="inlineStr">
        <is>
          <t>MapleHeroMultiplier</t>
        </is>
      </c>
      <c r="J1001" s="9" t="inlineStr">
        <is>
          <t>BaseDamage</t>
        </is>
      </c>
      <c r="K1001" s="9" t="inlineStr">
        <is>
          <t>BaseHitDamage</t>
        </is>
      </c>
      <c r="L1001" s="9" t="inlineStr">
        <is>
          <t>NonCritAvg</t>
        </is>
      </c>
      <c r="M1001" s="9" t="inlineStr">
        <is>
          <t>CritAvg</t>
        </is>
      </c>
      <c r="N1001" s="9" t="inlineStr">
        <is>
          <t>ExpectedDamage(perHit)</t>
        </is>
      </c>
      <c r="O1001" s="9" t="inlineStr">
        <is>
          <t>DPS</t>
        </is>
      </c>
      <c r="P1001" s="9" t="inlineStr">
        <is>
          <t>% of Total</t>
        </is>
      </c>
      <c r="R1001" t="inlineStr">
        <is>
          <t>helpers</t>
        </is>
      </c>
    </row>
    <row r="1002">
      <c r="A1002">
        <f>Skills!A2</f>
        <v/>
      </c>
      <c r="B1002">
        <f>Skills!B2</f>
        <v/>
      </c>
      <c r="C1002">
        <f>TRUE</f>
        <v/>
      </c>
      <c r="D1002" t="inlineStr"/>
      <c r="E1002" t="inlineStr"/>
      <c r="F1002">
        <f>T1004+Skills!O2</f>
        <v/>
      </c>
      <c r="G1002">
        <f>Calc!G2</f>
        <v/>
      </c>
      <c r="H1002">
        <f>Calc!H2</f>
        <v/>
      </c>
      <c r="I1002">
        <f>IF(Skills!X2&lt;&gt;"",1+(Skills!X2/10)*(Z1003/1000)/100,1)</f>
        <v/>
      </c>
      <c r="J1002">
        <f>((Inputs!$B$6*(1+Inputs!$B$7/100))+(((Inputs!$B$12*(1+Inputs!$B$13/100))-(Inputs!$B$12*(1+Inputs!$B$13/100)))+0.25*(Inputs!$B$14-Inputs!$B$14))*(1+Inputs!$B$7/100))*(F1002/100)</f>
        <v/>
      </c>
      <c r="K1002">
        <f>J1002*(1+((Inputs!$B$12*(1+Inputs!$B$13/100))*0.01+Inputs!$B$14*0.0025)/100)*(1+Inputs!$B$15/100)*(1+Inputs!$B$16/100)*(5000/(6000+Inputs!$B$42*(1-Inputs!$B$19/100)))*(1+Inputs!$B$24/100)*(1+F1023/100)*(1+IF(Inputs!$B$3&gt;=120,F1026,0)/100)^5*(1+(IF(Skills!A2="BASIC_ATTACK",Inputs!$B$17,Inputs!$B$18+IF(Inputs!$B$3&gt;=125,F1027*5,0)))/100)*(B1030*B1031*B1032*I1002)</f>
        <v/>
      </c>
      <c r="L1002">
        <f>K1002*(MIN(Inputs!$B$22+(F1022-Calc!F22),Inputs!$B$23)/100+Inputs!$B$23/100)/2</f>
        <v/>
      </c>
      <c r="M1002">
        <f>L1002*(1+(Inputs!$B$10+(F1021-Calc!F21))/100)</f>
        <v/>
      </c>
      <c r="N1002">
        <f>L1002*(1-MIN(Inputs!$B$9+(F1020-Calc!F20),100)/100)+M1002*(MIN(Inputs!$B$9+(F1020-Calc!F20),100)/100)</f>
        <v/>
      </c>
      <c r="O1002">
        <f>(1-Summary!$B$56)*S1002+Summary!$B$56*U1002</f>
        <v/>
      </c>
      <c r="P1002">
        <f>IF(B1041=0,0,O1002/B1041)</f>
        <v/>
      </c>
      <c r="Q1002">
        <f>IFERROR(1/IF(Inputs!$B$38="pvp",15,MAX(0.1,Skills!E2-IF(Skills!F2=TRUE,(Inputs!$B$32+1),0))),0)</f>
        <v/>
      </c>
      <c r="R1002" t="n">
        <v>0</v>
      </c>
      <c r="S1002">
        <f>(Skills!G2*N1002*B1036)*IF(Inputs!$B$38="pvp",1,1+(Inputs!$B$20+Skills!P2)/100)</f>
        <v/>
      </c>
      <c r="T1002">
        <f>MAX(0,(Inputs!$B$3-100)*3)+Inputs!$B$28+Inputs!$B$29</f>
        <v/>
      </c>
      <c r="U1002">
        <f>(Skills!G2*N1002*B1036)*IF(Inputs!$B$38="pvp",1,(1+(Inputs!$B$21+Skills!Q2)/100)*(MIN((6+Inputs!$B$33+IF(Inputs!$B$3&gt;=136,1,0)),Inputs!$B$37)))</f>
        <v/>
      </c>
      <c r="Z1002">
        <f>MAX(0,(Inputs!$B$3-100)*3)+Inputs!$B$28+Inputs!$B$29</f>
        <v/>
      </c>
    </row>
    <row r="1003">
      <c r="A1003">
        <f>Skills!A3</f>
        <v/>
      </c>
      <c r="B1003">
        <f>Skills!B3</f>
        <v/>
      </c>
      <c r="C1003">
        <f>TRUE</f>
        <v/>
      </c>
      <c r="D1003">
        <f>IF(Skills!C3=1,60+Inputs!$B$25+Inputs!$B$29,IF(Skills!C3=2,90+Inputs!$B$26+Inputs!$B$29,IF(Skills!C3=3,120+Inputs!$B$27+Inputs!$B$29,MAX(0,(Inputs!$B$3-100)*3)+Inputs!$B$28+Inputs!$B$29)))</f>
        <v/>
      </c>
      <c r="E1003">
        <f>INDEX(FactorTable!$B$2:$Y$301, MATCH(ROUND(MIN(300,MAX(1,D1003)),0), FactorTable!$A$2:$A$301,0), Skills!M3+1)</f>
        <v/>
      </c>
      <c r="F1003">
        <f>IF(Skills!N3=TRUE,(Skills!L3/10)*(E1003/1000),Skills!L3/10)+Skills!O3</f>
        <v/>
      </c>
      <c r="G1003">
        <f>Calc!G3</f>
        <v/>
      </c>
      <c r="H1003">
        <f>Calc!H3</f>
        <v/>
      </c>
      <c r="I1003">
        <f>IF(Skills!X3&lt;&gt;"",1+(Skills!X3/10)*(Z1003/1000)/100,1)</f>
        <v/>
      </c>
      <c r="J1003">
        <f>((Inputs!$B$6*(1+Inputs!$B$7/100))+(((Inputs!$B$12*(1+Inputs!$B$13/100))-(Inputs!$B$12*(1+Inputs!$B$13/100)))+0.25*(Inputs!$B$14-Inputs!$B$14))*(1+Inputs!$B$7/100))*(F1003/100)</f>
        <v/>
      </c>
      <c r="K1003">
        <f>J1003*(1+((Inputs!$B$12*(1+Inputs!$B$13/100))*0.01+Inputs!$B$14*0.0025)/100)*(1+Inputs!$B$15/100)*(1+Inputs!$B$16/100)*(5000/(6000+Inputs!$B$42*(1-Inputs!$B$19/100)))*(1+Inputs!$B$24/100)*(1+F1023/100)*(1+IF(Inputs!$B$3&gt;=120,F1026,0)/100)^5*(1+(IF(Skills!A3="BASIC_ATTACK",Inputs!$B$17,Inputs!$B$18+IF(Inputs!$B$3&gt;=125,F1027*5,0)))/100)*(B1030*B1031*B1032*I1003)</f>
        <v/>
      </c>
      <c r="L1003">
        <f>K1003*(MIN(Inputs!$B$22+(F1022-Calc!F22),Inputs!$B$23)/100+Inputs!$B$23/100)/2</f>
        <v/>
      </c>
      <c r="M1003">
        <f>L1003*(1+(Inputs!$B$10+(F1021-Calc!F21))/100)</f>
        <v/>
      </c>
      <c r="N1003">
        <f>L1003*(1-MIN(Inputs!$B$9+(F1020-Calc!F20),100)/100)+M1003*(MIN(Inputs!$B$9+(F1020-Calc!F20),100)/100)</f>
        <v/>
      </c>
      <c r="O1003">
        <f>(1-Summary!$B$56)*S1003+Summary!$B$56*U1003</f>
        <v/>
      </c>
      <c r="P1003">
        <f>IF(B1041=0,0,O1003/B1041)</f>
        <v/>
      </c>
      <c r="Q1003">
        <f>IFERROR(1/IF(Inputs!$B$38="pvp",15,MAX(0.1,Skills!E3-IF(Skills!F3=TRUE,(Inputs!$B$32+1),0))),0)</f>
        <v/>
      </c>
      <c r="R1003">
        <f>IF(AND(Inputs!$B$38&lt;&gt;"pvp",Inputs!$B$43&gt;0),IF(MAX(0,Inputs!$B$43-B1038)&lt;=0,0,(INT(MAX(0,Inputs!$B$43-B1038)/IF(Inputs!$B$38="pvp",15,MAX(0.1,Skills!E3-IF(Skills!F3=TRUE,(Inputs!$B$32+1),0))))+1)),0)</f>
        <v/>
      </c>
      <c r="S1003">
        <f>IF(C1003,(H1003*N1003*IF(AND(Inputs!$B$38&lt;&gt;"pvp",Inputs!$B$43&gt;0),((Skills!G3*((R1003-1)*IF(Skills!H3&gt;0,Skills!I3/Skills!H3,1)+IF(Skills!H3&gt;0,MIN(Skills!I3,MAX(0,MAX(0,Inputs!$B$43-B1038)-((R1003-1)*IF(Inputs!$B$38="pvp",15,MAX(0.1,Skills!E3-IF(Skills!F3=TRUE,(Inputs!$B$32+1),0))))))/Skills!H3,1)))/Inputs!$B$43),G1003*Q1003))*IF(Inputs!$B$38="pvp",1,1+(Inputs!$B$20+Skills!P3)/100),0)</f>
        <v/>
      </c>
      <c r="T1003">
        <f>INDEX(FactorTable!$B$2:$Y$301, MATCH(ROUND(MIN(300,MAX(1,T1002)),0), FactorTable!$A$2:$A$301,0), 22)</f>
        <v/>
      </c>
      <c r="U1003">
        <f>IF(C1003,(H1003*N1003*IF(AND(Inputs!$B$38&lt;&gt;"pvp",Inputs!$B$43&gt;0),((Skills!G3*((R1003-1)*IF(Skills!H3&gt;0,Skills!I3/Skills!H3,1)+IF(Skills!H3&gt;0,MIN(Skills!I3,MAX(0,MAX(0,Inputs!$B$43-B1038)-((R1003-1)*IF(Inputs!$B$38="pvp",15,MAX(0.1,Skills!E3-IF(Skills!F3=TRUE,(Inputs!$B$32+1),0))))))/Skills!H3,1)))/Inputs!$B$43),G1003*Q1003))*IF(Inputs!$B$38="pvp",1,(1+(Inputs!$B$21+Skills!Q3)/100)*(MIN(Skills!R3,Inputs!$B$37))),0)</f>
        <v/>
      </c>
      <c r="Z1003">
        <f>INDEX(FactorTable!$B$2:$Y$301, MATCH(ROUND(MIN(300,MAX(1,Z1002)),0), FactorTable!$A$2:$A$301,0), 24)</f>
        <v/>
      </c>
    </row>
    <row r="1004">
      <c r="A1004">
        <f>Skills!A4</f>
        <v/>
      </c>
      <c r="B1004">
        <f>Skills!B4</f>
        <v/>
      </c>
      <c r="C1004">
        <f>TRUE</f>
        <v/>
      </c>
      <c r="D1004">
        <f>IF(Skills!C4=1,60+Inputs!$B$25+Inputs!$B$29,IF(Skills!C4=2,90+Inputs!$B$26+Inputs!$B$29,IF(Skills!C4=3,120+Inputs!$B$27+Inputs!$B$29,MAX(0,(Inputs!$B$3-100)*3)+Inputs!$B$28+Inputs!$B$29)))</f>
        <v/>
      </c>
      <c r="E1004">
        <f>INDEX(FactorTable!$B$2:$Y$301, MATCH(ROUND(MIN(300,MAX(1,D1004)),0), FactorTable!$A$2:$A$301,0), Skills!M4+1)</f>
        <v/>
      </c>
      <c r="F1004">
        <f>IF(Skills!N4=TRUE,(Skills!L4/10)*(E1004/1000),Skills!L4/10)+Skills!O4</f>
        <v/>
      </c>
      <c r="G1004">
        <f>Calc!G4</f>
        <v/>
      </c>
      <c r="H1004">
        <f>Calc!H4</f>
        <v/>
      </c>
      <c r="I1004">
        <f>IF(Skills!X4&lt;&gt;"",1+(Skills!X4/10)*(Z1003/1000)/100,1)</f>
        <v/>
      </c>
      <c r="J1004">
        <f>((Inputs!$B$6*(1+Inputs!$B$7/100))+(((Inputs!$B$12*(1+Inputs!$B$13/100))-(Inputs!$B$12*(1+Inputs!$B$13/100)))+0.25*(Inputs!$B$14-Inputs!$B$14))*(1+Inputs!$B$7/100))*(F1004/100)</f>
        <v/>
      </c>
      <c r="K1004">
        <f>J1004*(1+((Inputs!$B$12*(1+Inputs!$B$13/100))*0.01+Inputs!$B$14*0.0025)/100)*(1+Inputs!$B$15/100)*(1+Inputs!$B$16/100)*(5000/(6000+Inputs!$B$42*(1-Inputs!$B$19/100)))*(1+Inputs!$B$24/100)*(1+F1023/100)*(1+IF(Inputs!$B$3&gt;=120,F1026,0)/100)^5*(1+(IF(Skills!A4="BASIC_ATTACK",Inputs!$B$17,Inputs!$B$18+IF(Inputs!$B$3&gt;=125,F1027*5,0)))/100)*(B1030*B1031*B1032*I1004)</f>
        <v/>
      </c>
      <c r="L1004">
        <f>K1004*(MIN(Inputs!$B$22+(F1022-Calc!F22),Inputs!$B$23)/100+Inputs!$B$23/100)/2</f>
        <v/>
      </c>
      <c r="M1004">
        <f>L1004*(1+(Inputs!$B$10+(F1021-Calc!F21))/100)</f>
        <v/>
      </c>
      <c r="N1004">
        <f>L1004*(1-MIN(Inputs!$B$9+(F1020-Calc!F20),100)/100)+M1004*(MIN(Inputs!$B$9+(F1020-Calc!F20),100)/100)</f>
        <v/>
      </c>
      <c r="O1004">
        <f>(1-Summary!$B$56)*S1004+Summary!$B$56*U1004</f>
        <v/>
      </c>
      <c r="P1004">
        <f>IF(B1041=0,0,O1004/B1041)</f>
        <v/>
      </c>
      <c r="Q1004">
        <f>IFERROR(1/IF(Inputs!$B$38="pvp",15,MAX(0.1,Skills!E4-IF(Skills!F4=TRUE,(Inputs!$B$32+1),0))),0)</f>
        <v/>
      </c>
      <c r="R1004">
        <f>IF(AND(Inputs!$B$38&lt;&gt;"pvp",Inputs!$B$43&gt;0),IF(MAX(0,Inputs!$B$43-B1038)&lt;=0,0,(INT(MAX(0,Inputs!$B$43-B1038)/IF(Inputs!$B$38="pvp",15,MAX(0.1,Skills!E4-IF(Skills!F4=TRUE,(Inputs!$B$32+1),0))))+1)),0)</f>
        <v/>
      </c>
      <c r="S1004">
        <f>IF(C1004,(H1004*N1004*IF(AND(Inputs!$B$38&lt;&gt;"pvp",Inputs!$B$43&gt;0),((Skills!G4*((R1004-1)*IF(Skills!H4&gt;0,Skills!I4/Skills!H4,1)+IF(Skills!H4&gt;0,MIN(Skills!I4,MAX(0,MAX(0,Inputs!$B$43-B1038)-((R1004-1)*IF(Inputs!$B$38="pvp",15,MAX(0.1,Skills!E4-IF(Skills!F4=TRUE,(Inputs!$B$32+1),0))))))/Skills!H4,1)))/Inputs!$B$43),G1004*Q1004))*IF(Inputs!$B$38="pvp",1,1+(Inputs!$B$20+Skills!P4)/100),0)</f>
        <v/>
      </c>
      <c r="T1004">
        <f>290*T1003/1000</f>
        <v/>
      </c>
      <c r="U1004">
        <f>IF(C1004,(H1004*N1004*IF(AND(Inputs!$B$38&lt;&gt;"pvp",Inputs!$B$43&gt;0),((Skills!G4*((R1004-1)*IF(Skills!H4&gt;0,Skills!I4/Skills!H4,1)+IF(Skills!H4&gt;0,MIN(Skills!I4,MAX(0,MAX(0,Inputs!$B$43-B1038)-((R1004-1)*IF(Inputs!$B$38="pvp",15,MAX(0.1,Skills!E4-IF(Skills!F4=TRUE,(Inputs!$B$32+1),0))))))/Skills!H4,1)))/Inputs!$B$43),G1004*Q1004))*IF(Inputs!$B$38="pvp",1,(1+(Inputs!$B$21+Skills!Q4)/100)*(MIN(Skills!R4,Inputs!$B$37))),0)</f>
        <v/>
      </c>
    </row>
    <row r="1005">
      <c r="A1005">
        <f>Skills!A5</f>
        <v/>
      </c>
      <c r="B1005">
        <f>Skills!B5</f>
        <v/>
      </c>
      <c r="C1005">
        <f>TRUE</f>
        <v/>
      </c>
      <c r="D1005">
        <f>IF(Skills!C5=1,60+Inputs!$B$25+Inputs!$B$29,IF(Skills!C5=2,90+Inputs!$B$26+Inputs!$B$29,IF(Skills!C5=3,120+Inputs!$B$27+Inputs!$B$29,MAX(0,(Inputs!$B$3-100)*3)+Inputs!$B$28+Inputs!$B$29)))</f>
        <v/>
      </c>
      <c r="E1005">
        <f>INDEX(FactorTable!$B$2:$Y$301, MATCH(ROUND(MIN(300,MAX(1,D1005)),0), FactorTable!$A$2:$A$301,0), Skills!M5+1)</f>
        <v/>
      </c>
      <c r="F1005">
        <f>IF(Skills!N5=TRUE,(Skills!L5/10)*(E1005/1000),Skills!L5/10)+Skills!O5</f>
        <v/>
      </c>
      <c r="G1005">
        <f>Calc!G5</f>
        <v/>
      </c>
      <c r="H1005">
        <f>Calc!H5</f>
        <v/>
      </c>
      <c r="I1005">
        <f>IF(Skills!X5&lt;&gt;"",1+(Skills!X5/10)*(Z1003/1000)/100,1)</f>
        <v/>
      </c>
      <c r="J1005">
        <f>((Inputs!$B$6*(1+Inputs!$B$7/100))+(((Inputs!$B$12*(1+Inputs!$B$13/100))-(Inputs!$B$12*(1+Inputs!$B$13/100)))+0.25*(Inputs!$B$14-Inputs!$B$14))*(1+Inputs!$B$7/100))*(F1005/100)</f>
        <v/>
      </c>
      <c r="K1005">
        <f>J1005*(1+((Inputs!$B$12*(1+Inputs!$B$13/100))*0.01+Inputs!$B$14*0.0025)/100)*(1+Inputs!$B$15/100)*(1+Inputs!$B$16/100)*(5000/(6000+Inputs!$B$42*(1-Inputs!$B$19/100)))*(1+Inputs!$B$24/100)*(1+F1023/100)*(1+IF(Inputs!$B$3&gt;=120,F1026,0)/100)^5*(1+(IF(Skills!A5="BASIC_ATTACK",Inputs!$B$17,Inputs!$B$18+IF(Inputs!$B$3&gt;=125,F1027*5,0)))/100)*(B1030*B1031*B1032*I1005)</f>
        <v/>
      </c>
      <c r="L1005">
        <f>K1005*(MIN(Inputs!$B$22+(F1022-Calc!F22),Inputs!$B$23)/100+Inputs!$B$23/100)/2</f>
        <v/>
      </c>
      <c r="M1005">
        <f>L1005*(1+(Inputs!$B$10+(F1021-Calc!F21))/100)</f>
        <v/>
      </c>
      <c r="N1005">
        <f>L1005*(1-MIN(Inputs!$B$9+(F1020-Calc!F20),100)/100)+M1005*(MIN(Inputs!$B$9+(F1020-Calc!F20),100)/100)</f>
        <v/>
      </c>
      <c r="O1005">
        <f>(1-Summary!$B$56)*S1005+Summary!$B$56*U1005</f>
        <v/>
      </c>
      <c r="P1005">
        <f>IF(B1041=0,0,O1005/B1041)</f>
        <v/>
      </c>
      <c r="Q1005">
        <f>IFERROR(1/IF(Inputs!$B$38="pvp",15,MAX(0.1,Skills!E5-IF(Skills!F5=TRUE,(Inputs!$B$32+1),0))),0)</f>
        <v/>
      </c>
      <c r="R1005">
        <f>IF(AND(Inputs!$B$38&lt;&gt;"pvp",Inputs!$B$43&gt;0),IF(MAX(0,Inputs!$B$43-B1038)&lt;=0,0,(INT(MAX(0,Inputs!$B$43-B1038)/IF(Inputs!$B$38="pvp",15,MAX(0.1,Skills!E5-IF(Skills!F5=TRUE,(Inputs!$B$32+1),0))))+1)),0)</f>
        <v/>
      </c>
      <c r="S1005">
        <f>IF(C1005,(H1005*N1005*IF(AND(Inputs!$B$38&lt;&gt;"pvp",Inputs!$B$43&gt;0),((Skills!G5*((R1005-1)*IF(Skills!H5&gt;0,Skills!I5/Skills!H5,1)+IF(Skills!H5&gt;0,MIN(Skills!I5,MAX(0,MAX(0,Inputs!$B$43-B1038)-((R1005-1)*IF(Inputs!$B$38="pvp",15,MAX(0.1,Skills!E5-IF(Skills!F5=TRUE,(Inputs!$B$32+1),0))))))/Skills!H5,1)))/Inputs!$B$43),G1005*Q1005))*IF(Inputs!$B$38="pvp",1,1+(Inputs!$B$20+Skills!P5)/100),0)</f>
        <v/>
      </c>
      <c r="U1005">
        <f>IF(C1005,(H1005*N1005*IF(AND(Inputs!$B$38&lt;&gt;"pvp",Inputs!$B$43&gt;0),((Skills!G5*((R1005-1)*IF(Skills!H5&gt;0,Skills!I5/Skills!H5,1)+IF(Skills!H5&gt;0,MIN(Skills!I5,MAX(0,MAX(0,Inputs!$B$43-B1038)-((R1005-1)*IF(Inputs!$B$38="pvp",15,MAX(0.1,Skills!E5-IF(Skills!F5=TRUE,(Inputs!$B$32+1),0))))))/Skills!H5,1)))/Inputs!$B$43),G1005*Q1005))*IF(Inputs!$B$38="pvp",1,(1+(Inputs!$B$21+Skills!Q5)/100)*(MIN(Skills!R5,Inputs!$B$37))),0)</f>
        <v/>
      </c>
    </row>
    <row r="1006">
      <c r="A1006">
        <f>Skills!A6</f>
        <v/>
      </c>
      <c r="B1006">
        <f>Skills!B6</f>
        <v/>
      </c>
      <c r="C1006">
        <f>TRUE</f>
        <v/>
      </c>
      <c r="D1006">
        <f>IF(Skills!C6=1,60+Inputs!$B$25+Inputs!$B$29,IF(Skills!C6=2,90+Inputs!$B$26+Inputs!$B$29,IF(Skills!C6=3,120+Inputs!$B$27+Inputs!$B$29,MAX(0,(Inputs!$B$3-100)*3)+Inputs!$B$28+Inputs!$B$29)))</f>
        <v/>
      </c>
      <c r="E1006">
        <f>INDEX(FactorTable!$B$2:$Y$301, MATCH(ROUND(MIN(300,MAX(1,D1006)),0), FactorTable!$A$2:$A$301,0), Skills!M6+1)</f>
        <v/>
      </c>
      <c r="F1006">
        <f>IF(Skills!N6=TRUE,(Skills!L6/10)*(E1006/1000),Skills!L6/10)+Skills!O6</f>
        <v/>
      </c>
      <c r="G1006">
        <f>Calc!G6</f>
        <v/>
      </c>
      <c r="H1006">
        <f>Calc!H6</f>
        <v/>
      </c>
      <c r="I1006">
        <f>IF(Skills!X6&lt;&gt;"",1+(Skills!X6/10)*(Z1003/1000)/100,1)</f>
        <v/>
      </c>
      <c r="J1006" t="inlineStr"/>
      <c r="K1006" t="inlineStr"/>
      <c r="L1006" t="inlineStr"/>
      <c r="M1006" t="inlineStr"/>
      <c r="N1006" t="inlineStr"/>
      <c r="O1006">
        <f>(1-Summary!$B$56)*S1006+Summary!$B$56*U1006</f>
        <v/>
      </c>
      <c r="P1006">
        <f>IF(B1041=0,0,O1006/B1041)</f>
        <v/>
      </c>
      <c r="Q1006">
        <f>IFERROR(1/IF(Inputs!$B$38="pvp",15,MAX(0.1,Skills!E6-IF(Skills!F6=TRUE,(Inputs!$B$32+1),0))),0)</f>
        <v/>
      </c>
      <c r="R1006">
        <f>IF(AND(Inputs!$B$38&lt;&gt;"pvp",Inputs!$B$43&gt;0),IF(Inputs!$B$43&lt;=0,0,(INT(Inputs!$B$43/IF(Inputs!$B$38="pvp",15,MAX(0.1,Skills!E6-IF(Skills!F6=TRUE,(Inputs!$B$32+1),0))))+1)),0)</f>
        <v/>
      </c>
      <c r="S1006" t="n">
        <v>0</v>
      </c>
      <c r="U1006" t="n">
        <v>0</v>
      </c>
    </row>
    <row r="1007">
      <c r="A1007">
        <f>Skills!A7</f>
        <v/>
      </c>
      <c r="B1007">
        <f>Skills!B7</f>
        <v/>
      </c>
      <c r="C1007">
        <f>TRUE</f>
        <v/>
      </c>
      <c r="D1007">
        <f>IF(Skills!C7=1,60+Inputs!$B$25+Inputs!$B$29,IF(Skills!C7=2,90+Inputs!$B$26+Inputs!$B$29,IF(Skills!C7=3,120+Inputs!$B$27+Inputs!$B$29,MAX(0,(Inputs!$B$3-100)*3)+Inputs!$B$28+Inputs!$B$29)))</f>
        <v/>
      </c>
      <c r="E1007">
        <f>INDEX(FactorTable!$B$2:$Y$301, MATCH(ROUND(MIN(300,MAX(1,D1007)),0), FactorTable!$A$2:$A$301,0), Skills!M7+1)</f>
        <v/>
      </c>
      <c r="F1007">
        <f>IF(Skills!N7=TRUE,(Skills!L7/10)*(E1007/1000),Skills!L7/10)+Skills!O7</f>
        <v/>
      </c>
      <c r="G1007">
        <f>Calc!G7</f>
        <v/>
      </c>
      <c r="H1007">
        <f>Calc!H7</f>
        <v/>
      </c>
      <c r="I1007">
        <f>IF(Skills!X7&lt;&gt;"",1+(Skills!X7/10)*(Z1003/1000)/100,1)</f>
        <v/>
      </c>
      <c r="J1007">
        <f>((Inputs!$B$6*(1+Inputs!$B$7/100))+(((Inputs!$B$12*(1+Inputs!$B$13/100))-(Inputs!$B$12*(1+Inputs!$B$13/100)))+0.25*(Inputs!$B$14-Inputs!$B$14))*(1+Inputs!$B$7/100))*(F1007/100)</f>
        <v/>
      </c>
      <c r="K1007">
        <f>J1007*(1+((Inputs!$B$12*(1+Inputs!$B$13/100))*0.01+Inputs!$B$14*0.0025)/100)*(1+Inputs!$B$15/100)*(1+Inputs!$B$16/100)*(5000/(6000+Inputs!$B$42*(1-Inputs!$B$19/100)))*(1+Inputs!$B$24/100)*(1+F1023/100)*(1+IF(Inputs!$B$3&gt;=120,F1026,0)/100)^5*(1+(IF(Skills!A7="BASIC_ATTACK",Inputs!$B$17,Inputs!$B$18+IF(Inputs!$B$3&gt;=125,F1027*5,0)))/100)*(B1030*B1031*B1032*I1007)</f>
        <v/>
      </c>
      <c r="L1007">
        <f>K1007*(MIN(Inputs!$B$22+(F1022-Calc!F22),Inputs!$B$23)/100+Inputs!$B$23/100)/2</f>
        <v/>
      </c>
      <c r="M1007">
        <f>L1007*(1+(Inputs!$B$10+(F1021-Calc!F21))/100)</f>
        <v/>
      </c>
      <c r="N1007">
        <f>L1007*(1-MIN(Inputs!$B$9+(F1020-Calc!F20),100)/100)+M1007*(MIN(Inputs!$B$9+(F1020-Calc!F20),100)/100)</f>
        <v/>
      </c>
      <c r="O1007">
        <f>(1-Summary!$B$56)*S1007+Summary!$B$56*U1007</f>
        <v/>
      </c>
      <c r="P1007">
        <f>IF(B1041=0,0,O1007/B1041)</f>
        <v/>
      </c>
      <c r="Q1007">
        <f>IFERROR(1/IF(Inputs!$B$38="pvp",15,MAX(0.1,Skills!E7-IF(Skills!F7=TRUE,(Inputs!$B$32+1),0))),0)</f>
        <v/>
      </c>
      <c r="R1007">
        <f>IF(AND(Inputs!$B$38&lt;&gt;"pvp",Inputs!$B$43&gt;0),IF(MAX(0,Inputs!$B$43-B1038)&lt;=0,0,(INT(MAX(0,Inputs!$B$43-B1038)/IF(Inputs!$B$38="pvp",15,MAX(0.1,Skills!E7-IF(Skills!F7=TRUE,(Inputs!$B$32+1),0))))+1)),0)</f>
        <v/>
      </c>
      <c r="S1007">
        <f>IF(C1007,(H1007*N1007*IF(AND(Inputs!$B$38&lt;&gt;"pvp",Inputs!$B$43&gt;0),((Skills!G7*((R1007-1)*IF(Skills!H7&gt;0,Skills!I7/Skills!H7,1)+IF(Skills!H7&gt;0,MIN(Skills!I7,MAX(0,MAX(0,Inputs!$B$43-B1038)-((R1007-1)*IF(Inputs!$B$38="pvp",15,MAX(0.1,Skills!E7-IF(Skills!F7=TRUE,(Inputs!$B$32+1),0))))))/Skills!H7,1)))/Inputs!$B$43),G1007*Q1007))*IF(Inputs!$B$38="pvp",1,1+(Inputs!$B$20+Skills!P7)/100),0)</f>
        <v/>
      </c>
      <c r="U1007">
        <f>IF(C1007,(H1007*N1007*IF(AND(Inputs!$B$38&lt;&gt;"pvp",Inputs!$B$43&gt;0),((Skills!G7*((R1007-1)*IF(Skills!H7&gt;0,Skills!I7/Skills!H7,1)+IF(Skills!H7&gt;0,MIN(Skills!I7,MAX(0,MAX(0,Inputs!$B$43-B1038)-((R1007-1)*IF(Inputs!$B$38="pvp",15,MAX(0.1,Skills!E7-IF(Skills!F7=TRUE,(Inputs!$B$32+1),0))))))/Skills!H7,1)))/Inputs!$B$43),G1007*Q1007))*IF(Inputs!$B$38="pvp",1,(1+(Inputs!$B$21+Skills!Q7)/100)*(MIN(Skills!R7,Inputs!$B$37))),0)</f>
        <v/>
      </c>
    </row>
    <row r="1008">
      <c r="A1008">
        <f>Skills!A8</f>
        <v/>
      </c>
      <c r="B1008">
        <f>Skills!B8</f>
        <v/>
      </c>
      <c r="C1008">
        <f>TRUE</f>
        <v/>
      </c>
      <c r="D1008">
        <f>IF(Skills!C8=1,60+Inputs!$B$25+Inputs!$B$29,IF(Skills!C8=2,90+Inputs!$B$26+Inputs!$B$29,IF(Skills!C8=3,120+Inputs!$B$27+Inputs!$B$29,MAX(0,(Inputs!$B$3-100)*3)+Inputs!$B$28+Inputs!$B$29)))</f>
        <v/>
      </c>
      <c r="E1008">
        <f>INDEX(FactorTable!$B$2:$Y$301, MATCH(ROUND(MIN(300,MAX(1,D1008)),0), FactorTable!$A$2:$A$301,0), Skills!M8+1)</f>
        <v/>
      </c>
      <c r="F1008">
        <f>IF(Skills!N8=TRUE,(Skills!L8/10)*(E1008/1000),Skills!L8/10)+Skills!O8</f>
        <v/>
      </c>
      <c r="G1008">
        <f>Calc!G8</f>
        <v/>
      </c>
      <c r="H1008">
        <f>Calc!H8</f>
        <v/>
      </c>
      <c r="I1008">
        <f>IF(Skills!X8&lt;&gt;"",1+(Skills!X8/10)*(Z1003/1000)/100,1)</f>
        <v/>
      </c>
      <c r="J1008">
        <f>((Inputs!$B$6*(1+Inputs!$B$7/100))+(((Inputs!$B$12*(1+Inputs!$B$13/100))-(Inputs!$B$12*(1+Inputs!$B$13/100)))+0.25*(Inputs!$B$14-Inputs!$B$14))*(1+Inputs!$B$7/100))*(F1008/100)</f>
        <v/>
      </c>
      <c r="K1008">
        <f>J1008*(1+((Inputs!$B$12*(1+Inputs!$B$13/100))*0.01+Inputs!$B$14*0.0025)/100)*(1+Inputs!$B$15/100)*(1+Inputs!$B$16/100)*(5000/(6000+Inputs!$B$42*(1-Inputs!$B$19/100)))*(1+Inputs!$B$24/100)*(1+F1023/100)*(1+IF(Inputs!$B$3&gt;=120,F1026,0)/100)^5*(1+(IF(Skills!A8="BASIC_ATTACK",Inputs!$B$17,Inputs!$B$18+IF(Inputs!$B$3&gt;=125,F1027*5,0)))/100)*(B1030*B1031*B1032*I1008)</f>
        <v/>
      </c>
      <c r="L1008">
        <f>K1008*(MIN(Inputs!$B$22+(F1022-Calc!F22),Inputs!$B$23)/100+Inputs!$B$23/100)/2</f>
        <v/>
      </c>
      <c r="M1008">
        <f>L1008*(1+(Inputs!$B$10+(F1021-Calc!F21))/100)</f>
        <v/>
      </c>
      <c r="N1008">
        <f>L1008*(1-MIN(Inputs!$B$9+(F1020-Calc!F20),100)/100)+M1008*(MIN(Inputs!$B$9+(F1020-Calc!F20),100)/100)</f>
        <v/>
      </c>
      <c r="O1008">
        <f>(1-Summary!$B$56)*S1008+Summary!$B$56*U1008</f>
        <v/>
      </c>
      <c r="P1008">
        <f>IF(B1041=0,0,O1008/B1041)</f>
        <v/>
      </c>
      <c r="Q1008">
        <f>IFERROR(1/IF(Inputs!$B$38="pvp",15,MAX(0.1,Skills!E8-IF(Skills!F8=TRUE,(Inputs!$B$32+1),0))),0)</f>
        <v/>
      </c>
      <c r="R1008">
        <f>IF(AND(Inputs!$B$38&lt;&gt;"pvp",Inputs!$B$43&gt;0),IF(MAX(0,Inputs!$B$43-B1038)&lt;=0,0,(INT(MAX(0,Inputs!$B$43-B1038)/IF(Inputs!$B$38="pvp",15,MAX(0.1,Skills!E8-IF(Skills!F8=TRUE,(Inputs!$B$32+1),0))))+1)),0)</f>
        <v/>
      </c>
      <c r="S1008">
        <f>IF(C1008,(H1008*N1008*IF(AND(Inputs!$B$38&lt;&gt;"pvp",Inputs!$B$43&gt;0),((Skills!G8*((R1008-1)*IF(Skills!H8&gt;0,Skills!I8/Skills!H8,1)+IF(Skills!H8&gt;0,MIN(Skills!I8,MAX(0,MAX(0,Inputs!$B$43-B1038)-((R1008-1)*IF(Inputs!$B$38="pvp",15,MAX(0.1,Skills!E8-IF(Skills!F8=TRUE,(Inputs!$B$32+1),0))))))/Skills!H8,1)))/Inputs!$B$43),G1008*Q1008))*IF(Inputs!$B$38="pvp",1,1+(Inputs!$B$20+Skills!P8)/100),0)</f>
        <v/>
      </c>
      <c r="U1008">
        <f>IF(C1008,(H1008*N1008*IF(AND(Inputs!$B$38&lt;&gt;"pvp",Inputs!$B$43&gt;0),((Skills!G8*((R1008-1)*IF(Skills!H8&gt;0,Skills!I8/Skills!H8,1)+IF(Skills!H8&gt;0,MIN(Skills!I8,MAX(0,MAX(0,Inputs!$B$43-B1038)-((R1008-1)*IF(Inputs!$B$38="pvp",15,MAX(0.1,Skills!E8-IF(Skills!F8=TRUE,(Inputs!$B$32+1),0))))))/Skills!H8,1)))/Inputs!$B$43),G1008*Q1008))*IF(Inputs!$B$38="pvp",1,(1+(Inputs!$B$21+Skills!Q8)/100)*(MIN(Skills!R8,Inputs!$B$37))),0)</f>
        <v/>
      </c>
    </row>
    <row r="1009">
      <c r="A1009">
        <f>Skills!A9</f>
        <v/>
      </c>
      <c r="B1009">
        <f>Skills!B9</f>
        <v/>
      </c>
      <c r="C1009">
        <f>Inputs!$B$3&gt;=103</f>
        <v/>
      </c>
      <c r="D1009">
        <f>IF(Skills!C9=1,60+Inputs!$B$25+Inputs!$B$29,IF(Skills!C9=2,90+Inputs!$B$26+Inputs!$B$29,IF(Skills!C9=3,120+Inputs!$B$27+Inputs!$B$29,MAX(0,(Inputs!$B$3-100)*3)+Inputs!$B$28+Inputs!$B$29)))</f>
        <v/>
      </c>
      <c r="E1009">
        <f>INDEX(FactorTable!$B$2:$Y$301, MATCH(ROUND(MIN(300,MAX(1,D1009)),0), FactorTable!$A$2:$A$301,0), Skills!M9+1)</f>
        <v/>
      </c>
      <c r="F1009">
        <f>IF(Skills!N9=TRUE,(Skills!L9/10)*(E1009/1000),Skills!L9/10)+Skills!O9</f>
        <v/>
      </c>
      <c r="G1009">
        <f>Calc!G9</f>
        <v/>
      </c>
      <c r="H1009">
        <f>Calc!H9</f>
        <v/>
      </c>
      <c r="I1009">
        <f>IF(Skills!X9&lt;&gt;"",1+(Skills!X9/10)*(Z1003/1000)/100,1)</f>
        <v/>
      </c>
      <c r="J1009">
        <f>((Inputs!$B$6*(1+Inputs!$B$7/100))+(((Inputs!$B$12*(1+Inputs!$B$13/100))-(Inputs!$B$12*(1+Inputs!$B$13/100)))+0.25*(Inputs!$B$14-Inputs!$B$14))*(1+Inputs!$B$7/100))*(F1009/100)</f>
        <v/>
      </c>
      <c r="K1009">
        <f>J1009*(1+((Inputs!$B$12*(1+Inputs!$B$13/100))*0.01+Inputs!$B$14*0.0025)/100)*(1+Inputs!$B$15/100)*(1+Inputs!$B$16/100)*(5000/(6000+Inputs!$B$42*(1-Inputs!$B$19/100)))*(1+Inputs!$B$24/100)*(1+F1023/100)*(1+IF(Inputs!$B$3&gt;=120,F1026,0)/100)^5*(1+(IF(Skills!A9="BASIC_ATTACK",Inputs!$B$17,Inputs!$B$18+IF(Inputs!$B$3&gt;=125,F1027*5,0)))/100)*(B1030*B1031*B1032*I1009)</f>
        <v/>
      </c>
      <c r="L1009">
        <f>K1009*(MIN(Inputs!$B$22+(F1022-Calc!F22),Inputs!$B$23)/100+Inputs!$B$23/100)/2</f>
        <v/>
      </c>
      <c r="M1009">
        <f>L1009*(1+(Inputs!$B$10+(F1021-Calc!F21))/100)</f>
        <v/>
      </c>
      <c r="N1009">
        <f>L1009*(1-MIN(Inputs!$B$9+(F1020-Calc!F20),100)/100)+M1009*(MIN(Inputs!$B$9+(F1020-Calc!F20),100)/100)</f>
        <v/>
      </c>
      <c r="O1009">
        <f>(1-Summary!$B$56)*S1009+Summary!$B$56*U1009</f>
        <v/>
      </c>
      <c r="P1009">
        <f>IF(B1041=0,0,O1009/B1041)</f>
        <v/>
      </c>
      <c r="Q1009">
        <f>IFERROR(1/IF(Inputs!$B$38="pvp",15,MAX(0.1,Skills!E9-IF(Skills!F7=TRUE,(Inputs!$B$32+1),0))),0)</f>
        <v/>
      </c>
      <c r="R1009">
        <f>IF(AND(Inputs!$B$38&lt;&gt;"pvp",Inputs!$B$43&gt;0),IF(MAX(0,Inputs!$B$43-B1038)&lt;=0,0,(INT(MAX(0,Inputs!$B$43-B1038)/IF(Inputs!$B$38="pvp",15,MAX(0.1,Skills!E9-IF(Skills!F7=TRUE,(Inputs!$B$32+1),0))))+1)),0)</f>
        <v/>
      </c>
      <c r="S1009">
        <f>IF(C1009,(H1009*N1009*IF(AND(Inputs!$B$38&lt;&gt;"pvp",Inputs!$B$43&gt;0),((Skills!G9*((R1009-1)*IF(Skills!H9&gt;0,Skills!I9/Skills!H9,1)+IF(Skills!H9&gt;0,MIN(Skills!I9,MAX(0,MAX(0,Inputs!$B$43-B1038)-((R1009-1)*IF(Inputs!$B$38="pvp",15,MAX(0.1,Skills!E9-IF(Skills!F7=TRUE,(Inputs!$B$32+1),0))))))/Skills!H9,1)))/Inputs!$B$43),G1009*Q1009))*IF(Inputs!$B$38="pvp",1,1+(Inputs!$B$20+Skills!P9)/100),0)</f>
        <v/>
      </c>
      <c r="U1009">
        <f>IF(C1009,(H1009*N1009*IF(AND(Inputs!$B$38&lt;&gt;"pvp",Inputs!$B$43&gt;0),((Skills!G9*((R1009-1)*IF(Skills!H9&gt;0,Skills!I9/Skills!H9,1)+IF(Skills!H9&gt;0,MIN(Skills!I9,MAX(0,MAX(0,Inputs!$B$43-B1038)-((R1009-1)*IF(Inputs!$B$38="pvp",15,MAX(0.1,Skills!E9-IF(Skills!F7=TRUE,(Inputs!$B$32+1),0))))))/Skills!H9,1)))/Inputs!$B$43),G1009*Q1009))*IF(Inputs!$B$38="pvp",1,(1+(Inputs!$B$21+Skills!Q9)/100)*(MIN(Skills!R9,Inputs!$B$37))),0)</f>
        <v/>
      </c>
    </row>
    <row r="1010">
      <c r="A1010">
        <f>Skills!A10</f>
        <v/>
      </c>
      <c r="B1010">
        <f>Skills!B10</f>
        <v/>
      </c>
      <c r="C1010">
        <f>TRUE</f>
        <v/>
      </c>
      <c r="D1010">
        <f>IF(Skills!C10=1,60+Inputs!$B$25+Inputs!$B$29,IF(Skills!C10=2,90+Inputs!$B$26+Inputs!$B$29,IF(Skills!C10=3,120+Inputs!$B$27+Inputs!$B$29,MAX(0,(Inputs!$B$3-100)*3)+Inputs!$B$28+Inputs!$B$29)))</f>
        <v/>
      </c>
      <c r="E1010">
        <f>INDEX(FactorTable!$B$2:$Y$301, MATCH(ROUND(MIN(300,MAX(1,D1010)),0), FactorTable!$A$2:$A$301,0), Skills!M10+1)</f>
        <v/>
      </c>
      <c r="F1010">
        <f>IF(Skills!N10=TRUE,(Skills!L10/10)*(E1010/1000),Skills!L10/10)+Skills!O10</f>
        <v/>
      </c>
      <c r="G1010">
        <f>Calc!G10</f>
        <v/>
      </c>
      <c r="H1010">
        <f>Calc!H10</f>
        <v/>
      </c>
      <c r="I1010">
        <f>IF(Skills!X10&lt;&gt;"",1+(Skills!X10/10)*(Z1003/1000)/100,1)</f>
        <v/>
      </c>
      <c r="J1010">
        <f>((Inputs!$B$6*(1+Inputs!$B$7/100))+(((Inputs!$B$12*(1+Inputs!$B$13/100))-(Inputs!$B$12*(1+Inputs!$B$13/100)))+0.25*(Inputs!$B$14-Inputs!$B$14))*(1+Inputs!$B$7/100))*(F1010/100)</f>
        <v/>
      </c>
      <c r="K1010">
        <f>J1010*(1+((Inputs!$B$12*(1+Inputs!$B$13/100))*0.01+Inputs!$B$14*0.0025)/100)*(1+Inputs!$B$15/100)*(1+Inputs!$B$16/100)*(5000/(6000+Inputs!$B$42*(1-Inputs!$B$19/100)))*(1+Inputs!$B$24/100)*(1+F1023/100)*(1+IF(Inputs!$B$3&gt;=120,F1026,0)/100)^5*(1+(IF(Skills!A10="BASIC_ATTACK",Inputs!$B$17,Inputs!$B$18+IF(Inputs!$B$3&gt;=125,F1027*5,0)))/100)*(B1030*B1031*B1032*I1010)</f>
        <v/>
      </c>
      <c r="L1010">
        <f>K1010*(MIN(Inputs!$B$22+(F1022-Calc!F22),Inputs!$B$23)/100+Inputs!$B$23/100)/2</f>
        <v/>
      </c>
      <c r="M1010">
        <f>L1010*(1+(Inputs!$B$10+(F1021-Calc!F21))/100)</f>
        <v/>
      </c>
      <c r="N1010">
        <f>L1010*(1-MIN(Inputs!$B$9+(F1020-Calc!F20),100)/100)+M1010*(MIN(Inputs!$B$9+(F1020-Calc!F20),100)/100)</f>
        <v/>
      </c>
      <c r="O1010">
        <f>(1-Summary!$B$56)*S1010+Summary!$B$56*U1010</f>
        <v/>
      </c>
      <c r="P1010">
        <f>IF(B1041=0,0,O1010/B1041)</f>
        <v/>
      </c>
      <c r="Q1010">
        <f>IFERROR(1/IF(Inputs!$B$38="pvp",15,MAX(0.1,Skills!E10-IF(Skills!F10=TRUE,(Inputs!$B$32+1),0))),0)</f>
        <v/>
      </c>
      <c r="R1010">
        <f>IF(AND(Inputs!$B$38&lt;&gt;"pvp",Inputs!$B$43&gt;0),IF(MAX(0,Inputs!$B$43-B1038)&lt;=0,0,(INT(MAX(0,Inputs!$B$43-B1038)/IF(Inputs!$B$38="pvp",15,MAX(0.1,Skills!E10-IF(Skills!F10=TRUE,(Inputs!$B$32+1),0))))+1)),0)</f>
        <v/>
      </c>
      <c r="S1010">
        <f>IF(C1010,(H1010*N1010*IF(AND(Inputs!$B$38&lt;&gt;"pvp",Inputs!$B$43&gt;0),((Skills!G10*((R1010-1)*IF(Skills!H10&gt;0,Skills!I10/Skills!H10,1)+IF(Skills!H10&gt;0,MIN(Skills!I10,MAX(0,MAX(0,Inputs!$B$43-B1038)-((R1010-1)*IF(Inputs!$B$38="pvp",15,MAX(0.1,Skills!E10-IF(Skills!F10=TRUE,(Inputs!$B$32+1),0))))))/Skills!H10,1)))/Inputs!$B$43),G1010*Q1010))*IF(Inputs!$B$38="pvp",1,1+(Inputs!$B$20+Skills!P10)/100),0)</f>
        <v/>
      </c>
      <c r="U1010">
        <f>IF(C1010,(H1010*N1010*IF(AND(Inputs!$B$38&lt;&gt;"pvp",Inputs!$B$43&gt;0),((Skills!G10*((R1010-1)*IF(Skills!H10&gt;0,Skills!I10/Skills!H10,1)+IF(Skills!H10&gt;0,MIN(Skills!I10,MAX(0,MAX(0,Inputs!$B$43-B1038)-((R1010-1)*IF(Inputs!$B$38="pvp",15,MAX(0.1,Skills!E10-IF(Skills!F10=TRUE,(Inputs!$B$32+1),0))))))/Skills!H10,1)))/Inputs!$B$43),G1010*Q1010))*IF(Inputs!$B$38="pvp",1,(1+(Inputs!$B$21+Skills!Q10)/100)*(MIN(Skills!R10,Inputs!$B$37))),0)</f>
        <v/>
      </c>
    </row>
    <row r="1011">
      <c r="A1011">
        <f>Skills!A11</f>
        <v/>
      </c>
      <c r="B1011">
        <f>Skills!B11</f>
        <v/>
      </c>
      <c r="C1011">
        <f>TRUE</f>
        <v/>
      </c>
      <c r="D1011">
        <f>IF(Skills!C11=1,60+Inputs!$B$25+Inputs!$B$29,IF(Skills!C11=2,90+Inputs!$B$26+Inputs!$B$29,IF(Skills!C11=3,120+Inputs!$B$27+Inputs!$B$29,MAX(0,(Inputs!$B$3-100)*3)+Inputs!$B$28+Inputs!$B$29)))</f>
        <v/>
      </c>
      <c r="E1011">
        <f>INDEX(FactorTable!$B$2:$Y$301, MATCH(ROUND(MIN(300,MAX(1,D1011)),0), FactorTable!$A$2:$A$301,0), Skills!M11+1)</f>
        <v/>
      </c>
      <c r="F1011">
        <f>IF(Skills!N11=TRUE,(Skills!L11/10)*(E1011/1000),Skills!L11/10)+Skills!O11</f>
        <v/>
      </c>
      <c r="G1011">
        <f>Calc!G11</f>
        <v/>
      </c>
      <c r="H1011">
        <f>Calc!H11</f>
        <v/>
      </c>
      <c r="I1011">
        <f>IF(Skills!X11&lt;&gt;"",1+(Skills!X11/10)*(Z1003/1000)/100,1)</f>
        <v/>
      </c>
      <c r="J1011" t="inlineStr"/>
      <c r="K1011" t="inlineStr"/>
      <c r="L1011" t="inlineStr"/>
      <c r="M1011" t="inlineStr"/>
      <c r="N1011" t="inlineStr"/>
      <c r="O1011">
        <f>(1-Summary!$B$56)*S1011+Summary!$B$56*U1011</f>
        <v/>
      </c>
      <c r="P1011">
        <f>IF(B1041=0,0,O1011/B1041)</f>
        <v/>
      </c>
      <c r="Q1011">
        <f>IFERROR(1/IF(Inputs!$B$38="pvp",15,MAX(0.1,Skills!E11-IF(Skills!F11=TRUE,(Inputs!$B$32+1),0))),0)</f>
        <v/>
      </c>
      <c r="R1011" t="n">
        <v>0</v>
      </c>
      <c r="S1011" t="n">
        <v>0</v>
      </c>
      <c r="U1011" t="n">
        <v>0</v>
      </c>
    </row>
    <row r="1012">
      <c r="A1012">
        <f>Skills!A12</f>
        <v/>
      </c>
      <c r="B1012">
        <f>Skills!B12</f>
        <v/>
      </c>
      <c r="C1012">
        <f>TRUE</f>
        <v/>
      </c>
      <c r="D1012">
        <f>IF(Skills!C12=1,60+Inputs!$B$25+Inputs!$B$29,IF(Skills!C12=2,90+Inputs!$B$26+Inputs!$B$29,IF(Skills!C12=3,120+Inputs!$B$27+Inputs!$B$29,MAX(0,(Inputs!$B$3-100)*3)+Inputs!$B$28+Inputs!$B$29)))</f>
        <v/>
      </c>
      <c r="E1012">
        <f>INDEX(FactorTable!$B$2:$Y$301, MATCH(ROUND(MIN(300,MAX(1,D1012)),0), FactorTable!$A$2:$A$301,0), Skills!M12+1)</f>
        <v/>
      </c>
      <c r="F1012">
        <f>IF(Skills!N12=TRUE,(Skills!L12/10)*(E1012/1000),Skills!L12/10)+Skills!O12</f>
        <v/>
      </c>
      <c r="G1012">
        <f>Calc!G12</f>
        <v/>
      </c>
      <c r="H1012">
        <f>Calc!H12</f>
        <v/>
      </c>
      <c r="I1012">
        <f>IF(Skills!X12&lt;&gt;"",1+(Skills!X12/10)*(Z1003/1000)/100,1)</f>
        <v/>
      </c>
      <c r="J1012" t="inlineStr"/>
      <c r="K1012" t="inlineStr"/>
      <c r="L1012" t="inlineStr"/>
      <c r="M1012" t="inlineStr"/>
      <c r="N1012" t="inlineStr"/>
      <c r="O1012">
        <f>(1-Summary!$B$56)*S1012+Summary!$B$56*U1012</f>
        <v/>
      </c>
      <c r="P1012">
        <f>IF(B1041=0,0,O1012/B1041)</f>
        <v/>
      </c>
      <c r="Q1012">
        <f>IFERROR(1/IF(Inputs!$B$38="pvp",15,MAX(0.1,Skills!E12-IF(Skills!F12=TRUE,(Inputs!$B$32+1),0))),0)</f>
        <v/>
      </c>
      <c r="R1012" t="n">
        <v>0</v>
      </c>
      <c r="S1012" t="n">
        <v>0</v>
      </c>
      <c r="U1012" t="n">
        <v>0</v>
      </c>
    </row>
    <row r="1013">
      <c r="A1013">
        <f>Skills!A13</f>
        <v/>
      </c>
      <c r="B1013">
        <f>Skills!B13</f>
        <v/>
      </c>
      <c r="C1013">
        <f>Inputs!$B$3&gt;=105</f>
        <v/>
      </c>
      <c r="D1013">
        <f>IF(Skills!C13=1,60+Inputs!$B$25+Inputs!$B$29,IF(Skills!C13=2,90+Inputs!$B$26+Inputs!$B$29,IF(Skills!C13=3,120+Inputs!$B$27+Inputs!$B$29,MAX(0,(Inputs!$B$3-100)*3)+Inputs!$B$28+Inputs!$B$29)))</f>
        <v/>
      </c>
      <c r="E1013">
        <f>INDEX(FactorTable!$B$2:$Y$301, MATCH(ROUND(MIN(300,MAX(1,D1013)),0), FactorTable!$A$2:$A$301,0), Skills!M13+1)</f>
        <v/>
      </c>
      <c r="F1013">
        <f>IF(Skills!N13=TRUE,(Skills!L13/10)*(E1013/1000),Skills!L13/10)+Skills!O13</f>
        <v/>
      </c>
      <c r="G1013">
        <f>Calc!G13</f>
        <v/>
      </c>
      <c r="H1013">
        <f>Calc!H13</f>
        <v/>
      </c>
      <c r="I1013">
        <f>IF(Skills!X13&lt;&gt;"",1+(Skills!X13/10)*(Z1003/1000)/100,1)</f>
        <v/>
      </c>
      <c r="J1013">
        <f>((Inputs!$B$6*(1+Inputs!$B$7/100))+(((Inputs!$B$12*(1+Inputs!$B$13/100))-(Inputs!$B$12*(1+Inputs!$B$13/100)))+0.25*(Inputs!$B$14-Inputs!$B$14))*(1+Inputs!$B$7/100))*(F1013/100)</f>
        <v/>
      </c>
      <c r="K1013">
        <f>J1013*(1+((Inputs!$B$12*(1+Inputs!$B$13/100))*0.01+Inputs!$B$14*0.0025)/100)*(1+Inputs!$B$15/100)*(1+Inputs!$B$16/100)*(5000/(6000+Inputs!$B$42*(1-Inputs!$B$19/100)))*(1+Inputs!$B$24/100)*(1+F1023/100)*(1+IF(Inputs!$B$3&gt;=120,F1026,0)/100)^5*(1+(IF(Skills!A13="BASIC_ATTACK",Inputs!$B$17,Inputs!$B$18+IF(Inputs!$B$3&gt;=125,F1027*5,0)))/100)*(B1030*B1031*B1032*I1013)</f>
        <v/>
      </c>
      <c r="L1013">
        <f>K1013*(MIN(Inputs!$B$22+(F1022-Calc!F22),Inputs!$B$23)/100+Inputs!$B$23/100)/2</f>
        <v/>
      </c>
      <c r="M1013">
        <f>L1013*(1+(Inputs!$B$10+(F1021-Calc!F21))/100)</f>
        <v/>
      </c>
      <c r="N1013">
        <f>L1013*(1-MIN(Inputs!$B$9+(F1020-Calc!F20),100)/100)+M1013*(MIN(Inputs!$B$9+(F1020-Calc!F20),100)/100)</f>
        <v/>
      </c>
      <c r="O1013">
        <f>(1-Summary!$B$56)*S1013+Summary!$B$56*U1013</f>
        <v/>
      </c>
      <c r="P1013">
        <f>IF(B1041=0,0,O1013/B1041)</f>
        <v/>
      </c>
      <c r="Q1013">
        <f>IFERROR(1/IF(Inputs!$B$38="pvp",15,MAX(0.1,Skills!E13-IF(Skills!F13=TRUE,(Inputs!$B$32+1),0))),0)</f>
        <v/>
      </c>
      <c r="R1013">
        <f>IF(AND(Inputs!$B$38&lt;&gt;"pvp",Inputs!$B$43&gt;0),IF(MAX(0,Inputs!$B$43-B1038)&lt;=0,0,(INT(MAX(0,Inputs!$B$43-B1038)/IF(Inputs!$B$38="pvp",15,MAX(0.1,Skills!E13-IF(Skills!F13=TRUE,(Inputs!$B$32+1),0))))+1)),0)</f>
        <v/>
      </c>
      <c r="S1013">
        <f>IF(C1013,(H1013*N1013*IF(AND(Inputs!$B$38&lt;&gt;"pvp",Inputs!$B$43&gt;0),((Skills!G13*((R1013-1)*IF(Skills!H13&gt;0,Skills!I13/Skills!H13,1)+IF(Skills!H13&gt;0,MIN(Skills!I13,MAX(0,MAX(0,Inputs!$B$43-B1038)-((R1013-1)*IF(Inputs!$B$38="pvp",15,MAX(0.1,Skills!E13-IF(Skills!F13=TRUE,(Inputs!$B$32+1),0))))))/Skills!H13,1)))/Inputs!$B$43),G1013*Q1013))*IF(Inputs!$B$38="pvp",1,1+(Inputs!$B$20+Skills!P13)/100),0)</f>
        <v/>
      </c>
      <c r="U1013">
        <f>IF(C1013,(H1013*N1013*IF(AND(Inputs!$B$38&lt;&gt;"pvp",Inputs!$B$43&gt;0),((Skills!G13*((R1013-1)*IF(Skills!H13&gt;0,Skills!I13/Skills!H13,1)+IF(Skills!H13&gt;0,MIN(Skills!I13,MAX(0,MAX(0,Inputs!$B$43-B1038)-((R1013-1)*IF(Inputs!$B$38="pvp",15,MAX(0.1,Skills!E13-IF(Skills!F13=TRUE,(Inputs!$B$32+1),0))))))/Skills!H13,1)))/Inputs!$B$43),G1013*Q1013))*IF(Inputs!$B$38="pvp",1,(1+(Inputs!$B$21+Skills!Q13)/100)*(MIN(Skills!R13,Inputs!$B$37))),0)</f>
        <v/>
      </c>
    </row>
    <row r="1014">
      <c r="A1014">
        <f>Skills!A14</f>
        <v/>
      </c>
      <c r="B1014">
        <f>Skills!B14</f>
        <v/>
      </c>
      <c r="C1014">
        <f>Inputs!$B$3&gt;=113</f>
        <v/>
      </c>
      <c r="D1014">
        <f>IF(Skills!C14=1,60+Inputs!$B$25+Inputs!$B$29,IF(Skills!C14=2,90+Inputs!$B$26+Inputs!$B$29,IF(Skills!C14=3,120+Inputs!$B$27+Inputs!$B$29,MAX(0,(Inputs!$B$3-100)*3)+Inputs!$B$28+Inputs!$B$29)))</f>
        <v/>
      </c>
      <c r="E1014">
        <f>INDEX(FactorTable!$B$2:$Y$301, MATCH(ROUND(MIN(300,MAX(1,D1014)),0), FactorTable!$A$2:$A$301,0), Skills!M14+1)</f>
        <v/>
      </c>
      <c r="F1014">
        <f>IF(Skills!N14=TRUE,(Skills!L14/10)*(E1014/1000),Skills!L14/10)+Skills!O14</f>
        <v/>
      </c>
      <c r="G1014">
        <f>Calc!G14</f>
        <v/>
      </c>
      <c r="H1014">
        <f>Calc!H14</f>
        <v/>
      </c>
      <c r="I1014">
        <f>IF(Skills!X14&lt;&gt;"",1+(Skills!X14/10)*(Z1003/1000)/100,1)</f>
        <v/>
      </c>
      <c r="J1014">
        <f>((Inputs!$B$6*(1+Inputs!$B$7/100))+(((Inputs!$B$12*(1+Inputs!$B$13/100))-(Inputs!$B$12*(1+Inputs!$B$13/100)))+0.25*(Inputs!$B$14-Inputs!$B$14))*(1+Inputs!$B$7/100))*(F1014/100)</f>
        <v/>
      </c>
      <c r="K1014">
        <f>J1014*(1+((Inputs!$B$12*(1+Inputs!$B$13/100))*0.01+Inputs!$B$14*0.0025)/100)*(1+Inputs!$B$15/100)*(1+Inputs!$B$16/100)*(5000/(6000+Inputs!$B$42*(1-Inputs!$B$19/100)))*(1+Inputs!$B$24/100)*(1+F1023/100)*(1+IF(Inputs!$B$3&gt;=120,F1026,0)/100)^5*(1+(IF(Skills!A14="BASIC_ATTACK",Inputs!$B$17,Inputs!$B$18+IF(Inputs!$B$3&gt;=125,F1027*5,0)))/100)*(B1030*B1031*B1032*I1014)</f>
        <v/>
      </c>
      <c r="L1014">
        <f>K1014*(MIN(Inputs!$B$22+(F1022-Calc!F22),Inputs!$B$23)/100+Inputs!$B$23/100)/2</f>
        <v/>
      </c>
      <c r="M1014">
        <f>L1014*(1+(Inputs!$B$10+(F1021-Calc!F21))/100)</f>
        <v/>
      </c>
      <c r="N1014">
        <f>L1014*(1-MIN(Inputs!$B$9+(F1020-Calc!F20),100)/100)+M1014*(MIN(Inputs!$B$9+(F1020-Calc!F20),100)/100)</f>
        <v/>
      </c>
      <c r="O1014">
        <f>(1-Summary!$B$56)*S1014+Summary!$B$56*U1014</f>
        <v/>
      </c>
      <c r="P1014">
        <f>IF(B1041=0,0,O1014/B1041)</f>
        <v/>
      </c>
      <c r="Q1014">
        <f>IFERROR(1/IF(Inputs!$B$38="pvp",15,MAX(0.1,Skills!E14-IF(Skills!F14=TRUE,(Inputs!$B$32+1),0))),0)</f>
        <v/>
      </c>
      <c r="R1014" t="n">
        <v>0</v>
      </c>
      <c r="S1014">
        <f>IF(C1014,((H1014*B1037)/(1+Skills!H14*H1014*B1037)*N1014)*IF(Inputs!$B$38="pvp",1,1+(Inputs!$B$20+Skills!P14)/100),0)</f>
        <v/>
      </c>
      <c r="U1014">
        <f>IF(C1014,((H1014*B1037)/(1+Skills!H14*H1014*B1037)*N1014)*IF(Inputs!$B$38="pvp",1,(1+(Inputs!$B$21+Skills!Q14)/100)*(MIN(Skills!R14,Inputs!$B$37))),0)</f>
        <v/>
      </c>
    </row>
    <row r="1015">
      <c r="A1015">
        <f>Skills!A15</f>
        <v/>
      </c>
      <c r="B1015">
        <f>Skills!B15</f>
        <v/>
      </c>
      <c r="C1015">
        <f>Inputs!$B$3&gt;=107</f>
        <v/>
      </c>
      <c r="D1015">
        <f>IF(Skills!C15=1,60+Inputs!$B$25+Inputs!$B$29,IF(Skills!C15=2,90+Inputs!$B$26+Inputs!$B$29,IF(Skills!C15=3,120+Inputs!$B$27+Inputs!$B$29,MAX(0,(Inputs!$B$3-100)*3)+Inputs!$B$28+Inputs!$B$29)))</f>
        <v/>
      </c>
      <c r="E1015">
        <f>INDEX(FactorTable!$B$2:$Y$301, MATCH(ROUND(MIN(300,MAX(1,D1015)),0), FactorTable!$A$2:$A$301,0), Skills!M15+1)</f>
        <v/>
      </c>
      <c r="F1015">
        <f>IF(Skills!N15=TRUE,(Skills!L15/10)*(E1015/1000),Skills!L15/10)+Skills!O15</f>
        <v/>
      </c>
      <c r="G1015">
        <f>Calc!G15</f>
        <v/>
      </c>
      <c r="H1015">
        <f>Calc!H15</f>
        <v/>
      </c>
      <c r="I1015">
        <f>IF(Skills!X15&lt;&gt;"",1+(Skills!X15/10)*(Z1003/1000)/100,1)</f>
        <v/>
      </c>
      <c r="J1015">
        <f>((Inputs!$B$6*(1+Inputs!$B$7/100))+(((Inputs!$B$12*(1+Inputs!$B$13/100))-(Inputs!$B$12*(1+Inputs!$B$13/100)))+0.25*(Inputs!$B$14-Inputs!$B$14))*(1+Inputs!$B$7/100))*(F1015/100)</f>
        <v/>
      </c>
      <c r="K1015">
        <f>J1015*(1+((Inputs!$B$12*(1+Inputs!$B$13/100))*0.01+Inputs!$B$14*0.0025)/100)*(1+Inputs!$B$15/100)*(1+Inputs!$B$16/100)*(5000/(6000+Inputs!$B$42*(1-Inputs!$B$19/100)))*(1+Inputs!$B$24/100)*(1+F1023/100)*(1+IF(Inputs!$B$3&gt;=120,F1026,0)/100)^5*(1+(IF(Skills!A15="BASIC_ATTACK",Inputs!$B$17,Inputs!$B$18+IF(Inputs!$B$3&gt;=125,F1027*5,0)))/100)*(B1030*B1031*B1032*I1015)</f>
        <v/>
      </c>
      <c r="L1015">
        <f>K1015*(MIN(Inputs!$B$22+(F1022-Calc!F22),Inputs!$B$23)/100+Inputs!$B$23/100)/2</f>
        <v/>
      </c>
      <c r="M1015">
        <f>L1015*(1+(Inputs!$B$10+(F1021-Calc!F21))/100)</f>
        <v/>
      </c>
      <c r="N1015">
        <f>L1015*(1-MIN(Inputs!$B$9+(F1020-Calc!F20),100)/100)+M1015*(MIN(Inputs!$B$9+(F1020-Calc!F20),100)/100)</f>
        <v/>
      </c>
      <c r="O1015">
        <f>(1-Summary!$B$56)*S1015+Summary!$B$56*U1015</f>
        <v/>
      </c>
      <c r="P1015">
        <f>IF(B1041=0,0,O1015/B1041)</f>
        <v/>
      </c>
      <c r="Q1015">
        <f>IFERROR(1/IF(Inputs!$B$38="pvp",15,MAX(0.1,Skills!E15-IF(Skills!F15=TRUE,(Inputs!$B$32+1),0))),0)</f>
        <v/>
      </c>
      <c r="R1015">
        <f>IF(AND(Inputs!$B$38&lt;&gt;"pvp",Inputs!$B$43&gt;0),IF(MAX(0,Inputs!$B$43-B1038)&lt;=0,0,(INT(MAX(0,Inputs!$B$43-B1038)/IF(Inputs!$B$38="pvp",15,MAX(0.1,Skills!E15-IF(Skills!F15=TRUE,(Inputs!$B$32+1),0))))+1)),0)</f>
        <v/>
      </c>
      <c r="S1015">
        <f>IF(C1015,(H1015*N1015*IF(AND(Inputs!$B$38&lt;&gt;"pvp",Inputs!$B$43&gt;0),((Skills!G15*((R1015-1)*IF(Skills!H15&gt;0,Skills!I15/Skills!H15,1)+IF(Skills!H15&gt;0,MIN(Skills!I15,MAX(0,MAX(0,Inputs!$B$43-B1038)-((R1015-1)*IF(Inputs!$B$38="pvp",15,MAX(0.1,Skills!E15-IF(Skills!F15=TRUE,(Inputs!$B$32+1),0))))))/Skills!H15,1)))/Inputs!$B$43),G1015*Q1015))*IF(Inputs!$B$38="pvp",1,1+(Inputs!$B$20+Skills!P15)/100),0)</f>
        <v/>
      </c>
      <c r="U1015">
        <f>IF(C1015,(H1015*N1015*IF(AND(Inputs!$B$38&lt;&gt;"pvp",Inputs!$B$43&gt;0),((Skills!G15*((R1015-1)*IF(Skills!H15&gt;0,Skills!I15/Skills!H15,1)+IF(Skills!H15&gt;0,MIN(Skills!I15,MAX(0,MAX(0,Inputs!$B$43-B1038)-((R1015-1)*IF(Inputs!$B$38="pvp",15,MAX(0.1,Skills!E15-IF(Skills!F15=TRUE,(Inputs!$B$32+1),0))))))/Skills!H15,1)))/Inputs!$B$43),G1015*Q1015))*IF(Inputs!$B$38="pvp",1,(1+(Inputs!$B$21+Skills!Q15)/100)*(MIN(Skills!R15,Inputs!$B$37))),0)</f>
        <v/>
      </c>
    </row>
    <row r="1016">
      <c r="A1016">
        <f>Skills!A16</f>
        <v/>
      </c>
      <c r="B1016">
        <f>Skills!B16</f>
        <v/>
      </c>
      <c r="C1016">
        <f>Inputs!$B$3&gt;=107</f>
        <v/>
      </c>
      <c r="D1016">
        <f>IF(Skills!C16=1,60+Inputs!$B$25+Inputs!$B$29,IF(Skills!C16=2,90+Inputs!$B$26+Inputs!$B$29,IF(Skills!C16=3,120+Inputs!$B$27+Inputs!$B$29,MAX(0,(Inputs!$B$3-100)*3)+Inputs!$B$28+Inputs!$B$29)))</f>
        <v/>
      </c>
      <c r="E1016">
        <f>INDEX(FactorTable!$B$2:$Y$301, MATCH(ROUND(MIN(300,MAX(1,D1016)),0), FactorTable!$A$2:$A$301,0), Skills!M16+1)</f>
        <v/>
      </c>
      <c r="F1016">
        <f>IF(Skills!N16=TRUE,(Skills!L16/10)*(E1016/1000),Skills!L16/10)+Skills!O16</f>
        <v/>
      </c>
      <c r="G1016">
        <f>Calc!G16</f>
        <v/>
      </c>
      <c r="H1016">
        <f>Calc!H16</f>
        <v/>
      </c>
      <c r="I1016">
        <f>IF(Skills!X16&lt;&gt;"",1+(Skills!X16/10)*(Z1003/1000)/100,1)</f>
        <v/>
      </c>
      <c r="J1016">
        <f>((Inputs!$B$6*(1+Inputs!$B$7/100))+(((Inputs!$B$12*(1+Inputs!$B$13/100))-(Inputs!$B$12*(1+Inputs!$B$13/100)))+0.25*(Inputs!$B$14-Inputs!$B$14))*(1+Inputs!$B$7/100))*(F1016/100)</f>
        <v/>
      </c>
      <c r="K1016">
        <f>J1016*(1+((Inputs!$B$12*(1+Inputs!$B$13/100))*0.01+Inputs!$B$14*0.0025)/100)*(1+Inputs!$B$15/100)*(1+Inputs!$B$16/100)*(5000/(6000+Inputs!$B$42*(1-Inputs!$B$19/100)))*(1+Inputs!$B$24/100)*(1+F1023/100)*(1+IF(Inputs!$B$3&gt;=120,F1026,0)/100)^5*(1+(IF(Skills!A16="BASIC_ATTACK",Inputs!$B$17,Inputs!$B$18+IF(Inputs!$B$3&gt;=125,F1027*5,0)))/100)*(B1030*B1031*B1032*I1016)</f>
        <v/>
      </c>
      <c r="L1016">
        <f>K1016*(MIN(Inputs!$B$22+(F1022-Calc!F22),Inputs!$B$23)/100+Inputs!$B$23/100)/2</f>
        <v/>
      </c>
      <c r="M1016">
        <f>L1016*(1+(Inputs!$B$10+(F1021-Calc!F21))/100)</f>
        <v/>
      </c>
      <c r="N1016">
        <f>L1016*(1-MIN(Inputs!$B$9+(F1020-Calc!F20),100)/100)+M1016*(MIN(Inputs!$B$9+(F1020-Calc!F20),100)/100)</f>
        <v/>
      </c>
      <c r="O1016">
        <f>(1-Summary!$B$56)*S1016+Summary!$B$56*U1016</f>
        <v/>
      </c>
      <c r="P1016">
        <f>IF(B1041=0,0,O1016/B1041)</f>
        <v/>
      </c>
      <c r="Q1016">
        <f>IFERROR(1/IF(Inputs!$B$38="pvp",15,MAX(0.1,Skills!E16-IF(Skills!F16=TRUE,(Inputs!$B$32+1),0))),0)</f>
        <v/>
      </c>
      <c r="R1016">
        <f>IF(AND(Inputs!$B$38&lt;&gt;"pvp",Inputs!$B$43&gt;0),IF(MAX(0,Inputs!$B$43-B1038)&lt;=0,0,(INT(MAX(0,Inputs!$B$43-B1038)/IF(Inputs!$B$38="pvp",15,MAX(0.1,Skills!E16-IF(Skills!F16=TRUE,(Inputs!$B$32+1),0))))+1)),0)</f>
        <v/>
      </c>
      <c r="S1016">
        <f>IF(C1016,(H1016*N1016*IF(AND(Inputs!$B$38&lt;&gt;"pvp",Inputs!$B$43&gt;0),((Skills!G16*((R1016-1)*IF(Skills!H16&gt;0,Skills!I16/Skills!H16,1)+IF(Skills!H16&gt;0,MIN(Skills!I16,MAX(0,MAX(0,Inputs!$B$43-B1038)-((R1016-1)*IF(Inputs!$B$38="pvp",15,MAX(0.1,Skills!E16-IF(Skills!F16=TRUE,(Inputs!$B$32+1),0))))))/Skills!H16,1)))/Inputs!$B$43),G1016*Q1016)*(1+IF(Inputs!$B$3&gt;=126,0.05*(B1036+Q1013+(H1014*B1037)/(1+Skills!H14*H1014*B1037)+Q1024),0)*Skills!E15))*IF(Inputs!$B$38="pvp",1,1+(Inputs!$B$20+Skills!P16)/100),0)</f>
        <v/>
      </c>
      <c r="U1016">
        <f>IF(C1016,(H1016*N1016*IF(AND(Inputs!$B$38&lt;&gt;"pvp",Inputs!$B$43&gt;0),((Skills!G16*((R1016-1)*IF(Skills!H16&gt;0,Skills!I16/Skills!H16,1)+IF(Skills!H16&gt;0,MIN(Skills!I16,MAX(0,MAX(0,Inputs!$B$43-B1038)-((R1016-1)*IF(Inputs!$B$38="pvp",15,MAX(0.1,Skills!E16-IF(Skills!F16=TRUE,(Inputs!$B$32+1),0))))))/Skills!H16,1)))/Inputs!$B$43),G1016*Q1016)*(1+IF(Inputs!$B$3&gt;=126,0.05*(B1036+Q1013+(H1014*B1037)/(1+Skills!H14*H1014*B1037)+Q1024),0)*Skills!E15))*IF(Inputs!$B$38="pvp",1,(1+(Inputs!$B$21+Skills!Q16)/100)*(MIN(Skills!R16,Inputs!$B$37))),0)</f>
        <v/>
      </c>
    </row>
    <row r="1017">
      <c r="A1017">
        <f>Skills!A17</f>
        <v/>
      </c>
      <c r="B1017">
        <f>Skills!B17</f>
        <v/>
      </c>
      <c r="C1017">
        <f>TRUE</f>
        <v/>
      </c>
      <c r="D1017">
        <f>IF(Skills!C17=1,60+Inputs!$B$25+Inputs!$B$29,IF(Skills!C17=2,90+Inputs!$B$26+Inputs!$B$29,IF(Skills!C17=3,120+Inputs!$B$27+Inputs!$B$29,MAX(0,(Inputs!$B$3-100)*3)+Inputs!$B$28+Inputs!$B$29)))</f>
        <v/>
      </c>
      <c r="E1017">
        <f>INDEX(FactorTable!$B$2:$Y$301, MATCH(ROUND(MIN(300,MAX(1,D1017)),0), FactorTable!$A$2:$A$301,0), Skills!M17+1)</f>
        <v/>
      </c>
      <c r="F1017">
        <f>IF(Skills!N17=TRUE,(Skills!L17/10)*(E1017/1000),Skills!L17/10)+Skills!O17</f>
        <v/>
      </c>
      <c r="G1017">
        <f>Calc!G17</f>
        <v/>
      </c>
      <c r="H1017">
        <f>Calc!H17</f>
        <v/>
      </c>
      <c r="I1017">
        <f>IF(Skills!X17&lt;&gt;"",1+(Skills!X17/10)*(Z1003/1000)/100,1)</f>
        <v/>
      </c>
      <c r="J1017" t="inlineStr"/>
      <c r="K1017" t="inlineStr"/>
      <c r="L1017" t="inlineStr"/>
      <c r="M1017" t="inlineStr"/>
      <c r="N1017" t="inlineStr"/>
      <c r="O1017">
        <f>(1-Summary!$B$56)*S1017+Summary!$B$56*U1017</f>
        <v/>
      </c>
      <c r="P1017">
        <f>IF(B1041=0,0,O1017/B1041)</f>
        <v/>
      </c>
      <c r="Q1017">
        <f>IFERROR(1/IF(Inputs!$B$38="pvp",15,MAX(0.1,Skills!E17-IF(Skills!F17=TRUE,(Inputs!$B$32+1),0))),0)</f>
        <v/>
      </c>
      <c r="R1017">
        <f>IF(AND(Inputs!$B$38&lt;&gt;"pvp",Inputs!$B$43&gt;0),IF(Inputs!$B$43&lt;=0,0,(INT(Inputs!$B$43/IF(Inputs!$B$38="pvp",15,MAX(0.1,Skills!E17-IF(Skills!F17=TRUE,(Inputs!$B$32+1),0))))+1)),0)</f>
        <v/>
      </c>
      <c r="S1017" t="n">
        <v>0</v>
      </c>
      <c r="U1017" t="n">
        <v>0</v>
      </c>
    </row>
    <row r="1018">
      <c r="A1018">
        <f>Skills!A18</f>
        <v/>
      </c>
      <c r="B1018">
        <f>Skills!B18</f>
        <v/>
      </c>
      <c r="C1018">
        <f>TRUE</f>
        <v/>
      </c>
      <c r="D1018">
        <f>IF(Skills!C18=1,60+Inputs!$B$25+Inputs!$B$29,IF(Skills!C18=2,90+Inputs!$B$26+Inputs!$B$29,IF(Skills!C18=3,120+Inputs!$B$27+Inputs!$B$29,MAX(0,(Inputs!$B$3-100)*3)+Inputs!$B$28+Inputs!$B$29)))</f>
        <v/>
      </c>
      <c r="E1018">
        <f>INDEX(FactorTable!$B$2:$Y$301, MATCH(ROUND(MIN(300,MAX(1,D1018)),0), FactorTable!$A$2:$A$301,0), Skills!M18+1)</f>
        <v/>
      </c>
      <c r="F1018">
        <f>IF(Skills!N18=TRUE,(Skills!L18/10)*(E1018/1000),Skills!L18/10)+Skills!O18</f>
        <v/>
      </c>
      <c r="G1018">
        <f>Calc!G18</f>
        <v/>
      </c>
      <c r="H1018">
        <f>Calc!H18</f>
        <v/>
      </c>
      <c r="I1018">
        <f>IF(Skills!X18&lt;&gt;"",1+(Skills!X18/10)*(Z1003/1000)/100,1)</f>
        <v/>
      </c>
      <c r="J1018" t="inlineStr"/>
      <c r="K1018" t="inlineStr"/>
      <c r="L1018" t="inlineStr"/>
      <c r="M1018" t="inlineStr"/>
      <c r="N1018" t="inlineStr"/>
      <c r="O1018">
        <f>(1-Summary!$B$56)*S1018+Summary!$B$56*U1018</f>
        <v/>
      </c>
      <c r="P1018">
        <f>IF(B1041=0,0,O1018/B1041)</f>
        <v/>
      </c>
      <c r="Q1018">
        <f>IFERROR(1/IF(Inputs!$B$38="pvp",15,MAX(0.1,Skills!E18-IF(Skills!F18=TRUE,(Inputs!$B$32+1),0))),0)</f>
        <v/>
      </c>
      <c r="R1018">
        <f>IF(AND(Inputs!$B$38&lt;&gt;"pvp",Inputs!$B$43&gt;0),IF(Inputs!$B$43&lt;=0,0,(INT(Inputs!$B$43/IF(Inputs!$B$38="pvp",15,MAX(0.1,Skills!E18-IF(Skills!F18=TRUE,(Inputs!$B$32+1),0))))+1)),0)</f>
        <v/>
      </c>
      <c r="S1018" t="n">
        <v>0</v>
      </c>
      <c r="U1018" t="n">
        <v>0</v>
      </c>
    </row>
    <row r="1019">
      <c r="A1019">
        <f>Skills!A19</f>
        <v/>
      </c>
      <c r="B1019">
        <f>Skills!B19</f>
        <v/>
      </c>
      <c r="C1019">
        <f>Inputs!$B$3&gt;=110</f>
        <v/>
      </c>
      <c r="D1019">
        <f>IF(Skills!C19=1,60+Inputs!$B$25+Inputs!$B$29,IF(Skills!C19=2,90+Inputs!$B$26+Inputs!$B$29,IF(Skills!C19=3,120+Inputs!$B$27+Inputs!$B$29,MAX(0,(Inputs!$B$3-100)*3)+Inputs!$B$28+Inputs!$B$29)))</f>
        <v/>
      </c>
      <c r="E1019">
        <f>INDEX(FactorTable!$B$2:$Y$301, MATCH(ROUND(MIN(300,MAX(1,D1019)),0), FactorTable!$A$2:$A$301,0), Skills!M19+1)</f>
        <v/>
      </c>
      <c r="F1019">
        <f>IF(Skills!N19=TRUE,(Skills!L19/10)*(E1019/1000),Skills!L19/10)+Skills!O19</f>
        <v/>
      </c>
      <c r="G1019">
        <f>Calc!G19</f>
        <v/>
      </c>
      <c r="H1019">
        <f>Calc!H19</f>
        <v/>
      </c>
      <c r="I1019">
        <f>IF(Skills!X19&lt;&gt;"",1+(Skills!X19/10)*(Z1003/1000)/100,1)</f>
        <v/>
      </c>
      <c r="J1019" t="inlineStr"/>
      <c r="K1019" t="inlineStr"/>
      <c r="L1019" t="inlineStr"/>
      <c r="M1019" t="inlineStr"/>
      <c r="N1019" t="inlineStr"/>
      <c r="O1019">
        <f>(1-Summary!$B$56)*S1019+Summary!$B$56*U1019</f>
        <v/>
      </c>
      <c r="P1019">
        <f>IF(B1041=0,0,O1019/B1041)</f>
        <v/>
      </c>
      <c r="Q1019">
        <f>IFERROR(1/IF(Inputs!$B$38="pvp",15,MAX(0.1,Skills!E19-IF(Skills!F19=TRUE,(Inputs!$B$32+1),0))),0)</f>
        <v/>
      </c>
      <c r="R1019">
        <f>IF(AND(Inputs!$B$38&lt;&gt;"pvp",Inputs!$B$43&gt;0),IF(Inputs!$B$43&lt;=0,0,(INT(Inputs!$B$43/IF(Inputs!$B$38="pvp",15,MAX(0.1,Skills!E19-IF(Skills!F19=TRUE,(Inputs!$B$32+1),0))))+1)),0)</f>
        <v/>
      </c>
      <c r="S1019" t="n">
        <v>0</v>
      </c>
      <c r="U1019" t="n">
        <v>0</v>
      </c>
    </row>
    <row r="1020">
      <c r="A1020">
        <f>Skills!A20</f>
        <v/>
      </c>
      <c r="B1020">
        <f>Skills!B20</f>
        <v/>
      </c>
      <c r="C1020">
        <f>TRUE</f>
        <v/>
      </c>
      <c r="D1020">
        <f>IF(Skills!C20=1,60+Inputs!$B$25+Inputs!$B$29,IF(Skills!C20=2,90+Inputs!$B$26+Inputs!$B$29,IF(Skills!C20=3,120+Inputs!$B$27+Inputs!$B$29,MAX(0,(Inputs!$B$3-100)*3)+Inputs!$B$28+Inputs!$B$29)))</f>
        <v/>
      </c>
      <c r="E1020">
        <f>INDEX(FactorTable!$B$2:$Y$301, MATCH(ROUND(MIN(300,MAX(1,D1020)),0), FactorTable!$A$2:$A$301,0), Skills!M20+1)</f>
        <v/>
      </c>
      <c r="F1020">
        <f>IF(Skills!N20=TRUE,(Skills!L20/10)*(E1020/1000),Skills!L20/10)+Skills!O20</f>
        <v/>
      </c>
      <c r="G1020">
        <f>Calc!G20</f>
        <v/>
      </c>
      <c r="H1020">
        <f>Calc!H20</f>
        <v/>
      </c>
      <c r="I1020">
        <f>IF(Skills!X20&lt;&gt;"",1+(Skills!X20/10)*(Z1003/1000)/100,1)</f>
        <v/>
      </c>
      <c r="J1020" t="inlineStr"/>
      <c r="K1020" t="inlineStr"/>
      <c r="L1020" t="inlineStr"/>
      <c r="M1020" t="inlineStr"/>
      <c r="N1020" t="inlineStr"/>
      <c r="O1020">
        <f>(1-Summary!$B$56)*S1020+Summary!$B$56*U1020</f>
        <v/>
      </c>
      <c r="P1020">
        <f>IF(B1041=0,0,O1020/B1041)</f>
        <v/>
      </c>
      <c r="Q1020">
        <f>IFERROR(1/IF(Inputs!$B$38="pvp",15,MAX(0.1,Skills!E20-IF(Skills!F20=TRUE,(Inputs!$B$32+1),0))),0)</f>
        <v/>
      </c>
      <c r="R1020" t="n">
        <v>0</v>
      </c>
      <c r="S1020" t="n">
        <v>0</v>
      </c>
      <c r="U1020" t="n">
        <v>0</v>
      </c>
    </row>
    <row r="1021">
      <c r="A1021">
        <f>Skills!A21</f>
        <v/>
      </c>
      <c r="B1021">
        <f>Skills!B21</f>
        <v/>
      </c>
      <c r="C1021">
        <f>TRUE</f>
        <v/>
      </c>
      <c r="D1021">
        <f>IF(Skills!C21=1,60+Inputs!$B$25+Inputs!$B$29,IF(Skills!C21=2,90+Inputs!$B$26+Inputs!$B$29,IF(Skills!C21=3,120+Inputs!$B$27+Inputs!$B$29,MAX(0,(Inputs!$B$3-100)*3)+Inputs!$B$28+Inputs!$B$29)))</f>
        <v/>
      </c>
      <c r="E1021">
        <f>INDEX(FactorTable!$B$2:$Y$301, MATCH(ROUND(MIN(300,MAX(1,D1021)),0), FactorTable!$A$2:$A$301,0), Skills!M21+1)</f>
        <v/>
      </c>
      <c r="F1021">
        <f>IF(Skills!N21=TRUE,(Skills!L21/10)*(E1021/1000),Skills!L21/10)+Skills!O21</f>
        <v/>
      </c>
      <c r="G1021">
        <f>Calc!G21</f>
        <v/>
      </c>
      <c r="H1021">
        <f>Calc!H21</f>
        <v/>
      </c>
      <c r="I1021">
        <f>IF(Skills!X21&lt;&gt;"",1+(Skills!X21/10)*(Z1003/1000)/100,1)</f>
        <v/>
      </c>
      <c r="J1021" t="inlineStr"/>
      <c r="K1021" t="inlineStr"/>
      <c r="L1021" t="inlineStr"/>
      <c r="M1021" t="inlineStr"/>
      <c r="N1021" t="inlineStr"/>
      <c r="O1021">
        <f>(1-Summary!$B$56)*S1021+Summary!$B$56*U1021</f>
        <v/>
      </c>
      <c r="P1021">
        <f>IF(B1041=0,0,O1021/B1041)</f>
        <v/>
      </c>
      <c r="Q1021">
        <f>IFERROR(1/IF(Inputs!$B$38="pvp",15,MAX(0.1,Skills!E21-IF(Skills!F21=TRUE,(Inputs!$B$32+1),0))),0)</f>
        <v/>
      </c>
      <c r="R1021" t="n">
        <v>0</v>
      </c>
      <c r="S1021" t="n">
        <v>0</v>
      </c>
      <c r="U1021" t="n">
        <v>0</v>
      </c>
    </row>
    <row r="1022">
      <c r="A1022">
        <f>Skills!A22</f>
        <v/>
      </c>
      <c r="B1022">
        <f>Skills!B22</f>
        <v/>
      </c>
      <c r="C1022">
        <f>TRUE</f>
        <v/>
      </c>
      <c r="D1022">
        <f>IF(Skills!C22=1,60+Inputs!$B$25+Inputs!$B$29,IF(Skills!C22=2,90+Inputs!$B$26+Inputs!$B$29,IF(Skills!C22=3,120+Inputs!$B$27+Inputs!$B$29,MAX(0,(Inputs!$B$3-100)*3)+Inputs!$B$28+Inputs!$B$29)))</f>
        <v/>
      </c>
      <c r="E1022">
        <f>INDEX(FactorTable!$B$2:$Y$301, MATCH(ROUND(MIN(300,MAX(1,D1022)),0), FactorTable!$A$2:$A$301,0), Skills!M22+1)</f>
        <v/>
      </c>
      <c r="F1022">
        <f>IF(Skills!N22=TRUE,(Skills!L22/10)*(E1022/1000),Skills!L22/10)+Skills!O22</f>
        <v/>
      </c>
      <c r="G1022">
        <f>Calc!G22</f>
        <v/>
      </c>
      <c r="H1022">
        <f>Calc!H22</f>
        <v/>
      </c>
      <c r="I1022">
        <f>IF(Skills!X22&lt;&gt;"",1+(Skills!X22/10)*(Z1003/1000)/100,1)</f>
        <v/>
      </c>
      <c r="J1022" t="inlineStr"/>
      <c r="K1022" t="inlineStr"/>
      <c r="L1022" t="inlineStr"/>
      <c r="M1022" t="inlineStr"/>
      <c r="N1022" t="inlineStr"/>
      <c r="O1022">
        <f>(1-Summary!$B$56)*S1022+Summary!$B$56*U1022</f>
        <v/>
      </c>
      <c r="P1022">
        <f>IF(B1041=0,0,O1022/B1041)</f>
        <v/>
      </c>
      <c r="Q1022">
        <f>IFERROR(1/IF(Inputs!$B$38="pvp",15,MAX(0.1,Skills!E22-IF(Skills!F22=TRUE,(Inputs!$B$32+1),0))),0)</f>
        <v/>
      </c>
      <c r="R1022" t="n">
        <v>0</v>
      </c>
      <c r="S1022" t="n">
        <v>0</v>
      </c>
      <c r="U1022" t="n">
        <v>0</v>
      </c>
    </row>
    <row r="1023">
      <c r="A1023">
        <f>Skills!A23</f>
        <v/>
      </c>
      <c r="B1023">
        <f>Skills!B23</f>
        <v/>
      </c>
      <c r="C1023">
        <f>TRUE</f>
        <v/>
      </c>
      <c r="D1023">
        <f>IF(Skills!C23=1,60+Inputs!$B$25+Inputs!$B$29,IF(Skills!C23=2,90+Inputs!$B$26+Inputs!$B$29,IF(Skills!C23=3,120+Inputs!$B$27+Inputs!$B$29,MAX(0,(Inputs!$B$3-100)*3)+Inputs!$B$28+Inputs!$B$29)))</f>
        <v/>
      </c>
      <c r="E1023">
        <f>INDEX(FactorTable!$B$2:$Y$301, MATCH(ROUND(MIN(300,MAX(1,D1023)),0), FactorTable!$A$2:$A$301,0), Skills!M23+1)</f>
        <v/>
      </c>
      <c r="F1023">
        <f>IF(Skills!N23=TRUE,(Skills!L23/10)*(E1023/1000),Skills!L23/10)+Skills!O23</f>
        <v/>
      </c>
      <c r="G1023">
        <f>Calc!G23</f>
        <v/>
      </c>
      <c r="H1023">
        <f>Calc!H23</f>
        <v/>
      </c>
      <c r="I1023">
        <f>IF(Skills!X23&lt;&gt;"",1+(Skills!X23/10)*(Z1003/1000)/100,1)</f>
        <v/>
      </c>
      <c r="J1023" t="inlineStr"/>
      <c r="K1023" t="inlineStr"/>
      <c r="L1023" t="inlineStr"/>
      <c r="M1023" t="inlineStr"/>
      <c r="N1023" t="inlineStr"/>
      <c r="O1023">
        <f>(1-Summary!$B$56)*S1023+Summary!$B$56*U1023</f>
        <v/>
      </c>
      <c r="P1023">
        <f>IF(B1041=0,0,O1023/B1041)</f>
        <v/>
      </c>
      <c r="Q1023">
        <f>IFERROR(1/IF(Inputs!$B$38="pvp",15,MAX(0.1,Skills!E23-IF(Skills!F23=TRUE,(Inputs!$B$32+1),0))),0)</f>
        <v/>
      </c>
      <c r="R1023" t="n">
        <v>0</v>
      </c>
      <c r="S1023" t="n">
        <v>0</v>
      </c>
      <c r="U1023" t="n">
        <v>0</v>
      </c>
    </row>
    <row r="1024">
      <c r="A1024">
        <f>Skills!A24</f>
        <v/>
      </c>
      <c r="B1024">
        <f>Skills!B24</f>
        <v/>
      </c>
      <c r="C1024">
        <f>Inputs!$B$3&gt;=115</f>
        <v/>
      </c>
      <c r="D1024">
        <f>IF(Skills!C24=1,60+Inputs!$B$25+Inputs!$B$29,IF(Skills!C24=2,90+Inputs!$B$26+Inputs!$B$29,IF(Skills!C24=3,120+Inputs!$B$27+Inputs!$B$29,MAX(0,(Inputs!$B$3-100)*3)+Inputs!$B$28+Inputs!$B$29)))</f>
        <v/>
      </c>
      <c r="E1024">
        <f>INDEX(FactorTable!$B$2:$Y$301, MATCH(ROUND(MIN(300,MAX(1,D1024)),0), FactorTable!$A$2:$A$301,0), Skills!M24+1)</f>
        <v/>
      </c>
      <c r="F1024">
        <f>IF(Skills!N24=TRUE,(Skills!L24/10)*(E1024/1000),Skills!L24/10)+Skills!O24</f>
        <v/>
      </c>
      <c r="G1024">
        <f>Calc!G24</f>
        <v/>
      </c>
      <c r="H1024">
        <f>Calc!H24</f>
        <v/>
      </c>
      <c r="I1024">
        <f>IF(Skills!X24&lt;&gt;"",1+(Skills!X24/10)*(Z1003/1000)/100,1)</f>
        <v/>
      </c>
      <c r="J1024">
        <f>((Inputs!$B$6*(1+Inputs!$B$7/100))+(((Inputs!$B$12*(1+Inputs!$B$13/100))-(Inputs!$B$12*(1+Inputs!$B$13/100)))+0.25*(Inputs!$B$14-Inputs!$B$14))*(1+Inputs!$B$7/100))*(F1024/100)</f>
        <v/>
      </c>
      <c r="K1024">
        <f>J1024*(1+((Inputs!$B$12*(1+Inputs!$B$13/100))*0.01+Inputs!$B$14*0.0025)/100)*(1+Inputs!$B$15/100)*(1+Inputs!$B$16/100)*(5000/(6000+Inputs!$B$42*(1-Inputs!$B$19/100)))*(1+Inputs!$B$24/100)*(1+F1023/100)*(1+IF(Inputs!$B$3&gt;=120,F1026,0)/100)^5*(1+(IF(Skills!A24="BASIC_ATTACK",Inputs!$B$17,Inputs!$B$18+IF(Inputs!$B$3&gt;=125,F1027*5,0)))/100)*(B1030*B1031*B1032*I1024)</f>
        <v/>
      </c>
      <c r="L1024">
        <f>K1024*(MIN(Inputs!$B$22+(F1022-Calc!F22),Inputs!$B$23)/100+Inputs!$B$23/100)/2</f>
        <v/>
      </c>
      <c r="M1024">
        <f>L1024*(1+(Inputs!$B$10+(F1021-Calc!F21))/100)</f>
        <v/>
      </c>
      <c r="N1024">
        <f>L1024*(1-MIN(Inputs!$B$9+(F1020-Calc!F20),100)/100)+M1024*(MIN(Inputs!$B$9+(F1020-Calc!F20),100)/100)</f>
        <v/>
      </c>
      <c r="O1024">
        <f>(1-Summary!$B$56)*S1024+Summary!$B$56*U1024</f>
        <v/>
      </c>
      <c r="P1024">
        <f>IF(B1041=0,0,O1024/B1041)</f>
        <v/>
      </c>
      <c r="Q1024">
        <f>IFERROR(1/IF(Inputs!$B$38="pvp",15,MAX(0.1,Skills!E24-IF(Skills!F24=TRUE,(Inputs!$B$32+1),0))),0)</f>
        <v/>
      </c>
      <c r="R1024">
        <f>IF(AND(Inputs!$B$38&lt;&gt;"pvp",Inputs!$B$43&gt;0),IF(MAX(0,Inputs!$B$43-B1038)&lt;=0,0,(INT(MAX(0,Inputs!$B$43-B1038)/IF(Inputs!$B$38="pvp",15,MAX(0.1,Skills!E24-IF(Skills!F24=TRUE,(Inputs!$B$32+1),0))))+1)),0)</f>
        <v/>
      </c>
      <c r="S1024">
        <f>IF(C1024,(H1024*N1024*IF(AND(Inputs!$B$38&lt;&gt;"pvp",Inputs!$B$43&gt;0),((Skills!G24*((R1024-1)*IF(Skills!H24&gt;0,Skills!I24/Skills!H24,1)+IF(Skills!H24&gt;0,MIN(Skills!I24,MAX(0,MAX(0,Inputs!$B$43-B1038)-((R1024-1)*IF(Inputs!$B$38="pvp",15,MAX(0.1,Skills!E24-IF(Skills!F24=TRUE,(Inputs!$B$32+1),0))))))/Skills!H24,1)))/Inputs!$B$43),G1024*Q1024)*(1+IF(Inputs!$B$3&gt;=130,0.2*(Skills!I16/Skills!E15+IF(Inputs!$B$3&gt;=126,0.05*(B1036+Q1013+(H1014*B1037)/(1+Skills!H14*H1014*B1037)+Q1024),0)*Skills!I16),0)))*IF(Inputs!$B$38="pvp",1,1+(Inputs!$B$20+Skills!P24)/100),0)</f>
        <v/>
      </c>
      <c r="U1024">
        <f>IF(C1024,(H1024*N1024*IF(AND(Inputs!$B$38&lt;&gt;"pvp",Inputs!$B$43&gt;0),((Skills!G24*((R1024-1)*IF(Skills!H24&gt;0,Skills!I24/Skills!H24,1)+IF(Skills!H24&gt;0,MIN(Skills!I24,MAX(0,MAX(0,Inputs!$B$43-B1038)-((R1024-1)*IF(Inputs!$B$38="pvp",15,MAX(0.1,Skills!E24-IF(Skills!F24=TRUE,(Inputs!$B$32+1),0))))))/Skills!H24,1)))/Inputs!$B$43),G1024*Q1024)*(1+IF(Inputs!$B$3&gt;=130,0.2*(Skills!I16/Skills!E15+IF(Inputs!$B$3&gt;=126,0.05*(B1036+Q1013+(H1014*B1037)/(1+Skills!H14*H1014*B1037)+Q1024),0)*Skills!I16),0)))*IF(Inputs!$B$38="pvp",1,(1+(Inputs!$B$21+Skills!Q24)/100)*(MIN(Skills!R24,Inputs!$B$37))),0)</f>
        <v/>
      </c>
    </row>
    <row r="1025">
      <c r="A1025">
        <f>Skills!A25</f>
        <v/>
      </c>
      <c r="B1025">
        <f>Skills!B25</f>
        <v/>
      </c>
      <c r="C1025">
        <f>Inputs!$B$3&gt;=117</f>
        <v/>
      </c>
      <c r="D1025">
        <f>IF(Skills!C25=1,60+Inputs!$B$25+Inputs!$B$29,IF(Skills!C25=2,90+Inputs!$B$26+Inputs!$B$29,IF(Skills!C25=3,120+Inputs!$B$27+Inputs!$B$29,MAX(0,(Inputs!$B$3-100)*3)+Inputs!$B$28+Inputs!$B$29)))</f>
        <v/>
      </c>
      <c r="E1025">
        <f>INDEX(FactorTable!$B$2:$Y$301, MATCH(ROUND(MIN(300,MAX(1,D1025)),0), FactorTable!$A$2:$A$301,0), Skills!M25+1)</f>
        <v/>
      </c>
      <c r="F1025">
        <f>IF(Skills!N25=TRUE,(Skills!L25/10)*(E1025/1000),Skills!L25/10)+Skills!O25</f>
        <v/>
      </c>
      <c r="G1025">
        <f>Calc!G25</f>
        <v/>
      </c>
      <c r="H1025">
        <f>Calc!H25</f>
        <v/>
      </c>
      <c r="I1025">
        <f>IF(Skills!X25&lt;&gt;"",1+(Skills!X25/10)*(Z1003/1000)/100,1)</f>
        <v/>
      </c>
      <c r="J1025" t="inlineStr"/>
      <c r="K1025" t="inlineStr"/>
      <c r="L1025" t="inlineStr"/>
      <c r="M1025" t="inlineStr"/>
      <c r="N1025" t="inlineStr"/>
      <c r="O1025">
        <f>(1-Summary!$B$56)*S1025+Summary!$B$56*U1025</f>
        <v/>
      </c>
      <c r="P1025">
        <f>IF(B1041=0,0,O1025/B1041)</f>
        <v/>
      </c>
      <c r="Q1025">
        <f>IFERROR(1/IF(Inputs!$B$38="pvp",15,MAX(0.1,Skills!E25-IF(Skills!F25=TRUE,(Inputs!$B$32+1),0))),0)</f>
        <v/>
      </c>
      <c r="R1025" t="n">
        <v>0</v>
      </c>
      <c r="S1025" t="n">
        <v>0</v>
      </c>
      <c r="U1025" t="n">
        <v>0</v>
      </c>
    </row>
    <row r="1026">
      <c r="A1026">
        <f>Skills!A26</f>
        <v/>
      </c>
      <c r="B1026">
        <f>Skills!B26</f>
        <v/>
      </c>
      <c r="C1026">
        <f>Inputs!$B$3&gt;=120</f>
        <v/>
      </c>
      <c r="D1026">
        <f>IF(Skills!C26=1,60+Inputs!$B$25+Inputs!$B$29,IF(Skills!C26=2,90+Inputs!$B$26+Inputs!$B$29,IF(Skills!C26=3,120+Inputs!$B$27+Inputs!$B$29,MAX(0,(Inputs!$B$3-100)*3)+Inputs!$B$28+Inputs!$B$29)))</f>
        <v/>
      </c>
      <c r="E1026">
        <f>INDEX(FactorTable!$B$2:$Y$301, MATCH(ROUND(MIN(300,MAX(1,D1026)),0), FactorTable!$A$2:$A$301,0), Skills!M26+1)</f>
        <v/>
      </c>
      <c r="F1026">
        <f>IF(Skills!N26=TRUE,(Skills!L26/10)*(E1026/1000),Skills!L26/10)+Skills!O26</f>
        <v/>
      </c>
      <c r="G1026">
        <f>Calc!G26</f>
        <v/>
      </c>
      <c r="H1026">
        <f>Calc!H26</f>
        <v/>
      </c>
      <c r="I1026">
        <f>IF(Skills!X26&lt;&gt;"",1+(Skills!X26/10)*(Z1003/1000)/100,1)</f>
        <v/>
      </c>
      <c r="J1026" t="inlineStr"/>
      <c r="K1026" t="inlineStr"/>
      <c r="L1026" t="inlineStr"/>
      <c r="M1026" t="inlineStr"/>
      <c r="N1026" t="inlineStr"/>
      <c r="O1026">
        <f>(1-Summary!$B$56)*S1026+Summary!$B$56*U1026</f>
        <v/>
      </c>
      <c r="P1026">
        <f>IF(B1041=0,0,O1026/B1041)</f>
        <v/>
      </c>
      <c r="Q1026">
        <f>IFERROR(1/IF(Inputs!$B$38="pvp",15,MAX(0.1,Skills!E26-IF(Skills!F26=TRUE,(Inputs!$B$32+1),0))),0)</f>
        <v/>
      </c>
      <c r="R1026" t="n">
        <v>0</v>
      </c>
      <c r="S1026" t="n">
        <v>0</v>
      </c>
      <c r="U1026" t="n">
        <v>0</v>
      </c>
    </row>
    <row r="1027">
      <c r="A1027">
        <f>Skills!A27</f>
        <v/>
      </c>
      <c r="B1027">
        <f>Skills!B27</f>
        <v/>
      </c>
      <c r="C1027">
        <f>Inputs!$B$3&gt;=125</f>
        <v/>
      </c>
      <c r="D1027">
        <f>IF(Skills!C27=1,60+Inputs!$B$25+Inputs!$B$29,IF(Skills!C27=2,90+Inputs!$B$26+Inputs!$B$29,IF(Skills!C27=3,120+Inputs!$B$27+Inputs!$B$29,MAX(0,(Inputs!$B$3-100)*3)+Inputs!$B$28+Inputs!$B$29)))</f>
        <v/>
      </c>
      <c r="E1027">
        <f>INDEX(FactorTable!$B$2:$Y$301, MATCH(ROUND(MIN(300,MAX(1,D1027)),0), FactorTable!$A$2:$A$301,0), Skills!M27+1)</f>
        <v/>
      </c>
      <c r="F1027">
        <f>IF(Skills!N27=TRUE,(Skills!L27/10)*(E1027/1000),Skills!L27/10)+Skills!O27</f>
        <v/>
      </c>
      <c r="G1027">
        <f>Calc!G27</f>
        <v/>
      </c>
      <c r="H1027">
        <f>Calc!H27</f>
        <v/>
      </c>
      <c r="I1027">
        <f>IF(Skills!X27&lt;&gt;"",1+(Skills!X27/10)*(Z1003/1000)/100,1)</f>
        <v/>
      </c>
      <c r="J1027" t="inlineStr"/>
      <c r="K1027" t="inlineStr"/>
      <c r="L1027" t="inlineStr"/>
      <c r="M1027" t="inlineStr"/>
      <c r="N1027" t="inlineStr"/>
      <c r="O1027">
        <f>(1-Summary!$B$56)*S1027+Summary!$B$56*U1027</f>
        <v/>
      </c>
      <c r="P1027">
        <f>IF(B1041=0,0,O1027/B1041)</f>
        <v/>
      </c>
      <c r="Q1027">
        <f>IFERROR(1/IF(Inputs!$B$38="pvp",15,MAX(0.1,Skills!E27-IF(Skills!F27=TRUE,(Inputs!$B$32+1),0))),0)</f>
        <v/>
      </c>
      <c r="R1027" t="n">
        <v>0</v>
      </c>
      <c r="S1027" t="n">
        <v>0</v>
      </c>
      <c r="U1027" t="n">
        <v>0</v>
      </c>
    </row>
    <row r="1028">
      <c r="A1028">
        <f>Skills!A28</f>
        <v/>
      </c>
      <c r="B1028">
        <f>Skills!B28</f>
        <v/>
      </c>
      <c r="C1028">
        <f>Inputs!$B$3&gt;=118</f>
        <v/>
      </c>
      <c r="D1028">
        <f>IF(Skills!C28=1,60+Inputs!$B$25+Inputs!$B$29,IF(Skills!C28=2,90+Inputs!$B$26+Inputs!$B$29,IF(Skills!C28=3,120+Inputs!$B$27+Inputs!$B$29,MAX(0,(Inputs!$B$3-100)*3)+Inputs!$B$28+Inputs!$B$29)))</f>
        <v/>
      </c>
      <c r="E1028">
        <f>INDEX(FactorTable!$B$2:$Y$301, MATCH(ROUND(MIN(300,MAX(1,D1028)),0), FactorTable!$A$2:$A$301,0), Skills!M28+1)</f>
        <v/>
      </c>
      <c r="F1028">
        <f>IF(Skills!N28=TRUE,(Skills!L28/10)*(E1028/1000),Skills!L28/10)+Skills!O28</f>
        <v/>
      </c>
      <c r="G1028">
        <f>Calc!G28</f>
        <v/>
      </c>
      <c r="H1028">
        <f>Calc!H28</f>
        <v/>
      </c>
      <c r="I1028">
        <f>IF(Skills!X28&lt;&gt;"",1+(Skills!X28/10)*(Z1003/1000)/100,1)</f>
        <v/>
      </c>
      <c r="J1028">
        <f>((Inputs!$B$6*(1+Inputs!$B$7/100))+(((Inputs!$B$12*(1+Inputs!$B$13/100))-(Inputs!$B$12*(1+Inputs!$B$13/100)))+0.25*(Inputs!$B$14-Inputs!$B$14))*(1+Inputs!$B$7/100))*(F1028/100)</f>
        <v/>
      </c>
      <c r="K1028">
        <f>J1028*(1+((Inputs!$B$12*(1+Inputs!$B$13/100))*0.01+Inputs!$B$14*0.0025)/100)*(1+Inputs!$B$15/100)*(1+Inputs!$B$16/100)*(5000/(6000+Inputs!$B$42*(1-Inputs!$B$19/100)))*(1+Inputs!$B$24/100)*(1+F1023/100)*(1+IF(Inputs!$B$3&gt;=120,F1026,0)/100)^5*(1+(IF(Skills!A28="BASIC_ATTACK",Inputs!$B$17,Inputs!$B$18+IF(Inputs!$B$3&gt;=125,F1027*5,0)))/100)*(B1030*B1031*B1032*I1028)</f>
        <v/>
      </c>
      <c r="L1028">
        <f>K1028*(MIN(Inputs!$B$22+(F1022-Calc!F22),Inputs!$B$23)/100+Inputs!$B$23/100)/2</f>
        <v/>
      </c>
      <c r="M1028">
        <f>L1028*(1+(Inputs!$B$10+(F1021-Calc!F21))/100)</f>
        <v/>
      </c>
      <c r="N1028">
        <f>L1028*(1-MIN(Inputs!$B$9+(F1020-Calc!F20),100)/100)+M1028*(MIN(Inputs!$B$9+(F1020-Calc!F20),100)/100)</f>
        <v/>
      </c>
      <c r="O1028">
        <f>(1-Summary!$B$56)*S1028+Summary!$B$56*U1028</f>
        <v/>
      </c>
      <c r="P1028">
        <f>IF(B1041=0,0,O1028/B1041)</f>
        <v/>
      </c>
      <c r="Q1028">
        <f>IFERROR(1/IF(Inputs!$B$38="pvp",15,MAX(0.1,Skills!E28-IF(Skills!F28=TRUE,(Inputs!$B$32+1),0))),0)</f>
        <v/>
      </c>
      <c r="R1028">
        <f>IF(AND(Inputs!$B$38&lt;&gt;"pvp",Inputs!$B$43&gt;0),IF(MAX(0,Inputs!$B$43-B1038)&lt;=0,0,(INT(MAX(0,Inputs!$B$43-B1038)/IF(Inputs!$B$38="pvp",15,MAX(0.1,Skills!E28-IF(Skills!F28=TRUE,(Inputs!$B$32+1),0))))+1)),0)</f>
        <v/>
      </c>
      <c r="S1028">
        <f>IF(C1028,(H1028*N1028*IF(AND(Inputs!$B$38&lt;&gt;"pvp",Inputs!$B$43&gt;0),((Skills!G28*((R1028-1)*IF(Skills!H28&gt;0,Skills!I28/Skills!H28,1)+IF(Skills!H28&gt;0,MIN(Skills!I28,MAX(0,MAX(0,Inputs!$B$43-B1038)-((R1028-1)*IF(Inputs!$B$38="pvp",15,MAX(0.1,Skills!E28-IF(Skills!F28=TRUE,(Inputs!$B$32+1),0))))))/Skills!H28,1)))/Inputs!$B$43),G1028*Q1028))*IF(Inputs!$B$38="pvp",1,1+(Inputs!$B$20+Skills!P28)/100),0)</f>
        <v/>
      </c>
      <c r="U1028">
        <f>IF(C1028,(H1028*N1028*IF(AND(Inputs!$B$38&lt;&gt;"pvp",Inputs!$B$43&gt;0),((Skills!G28*((R1028-1)*IF(Skills!H28&gt;0,Skills!I28/Skills!H28,1)+IF(Skills!H28&gt;0,MIN(Skills!I28,MAX(0,MAX(0,Inputs!$B$43-B1038)-((R1028-1)*IF(Inputs!$B$38="pvp",15,MAX(0.1,Skills!E28-IF(Skills!F28=TRUE,(Inputs!$B$32+1),0))))))/Skills!H28,1)))/Inputs!$B$43),G1028*Q1028))*IF(Inputs!$B$38="pvp",1,(1+(Inputs!$B$21+Skills!Q28)/100)*(MIN(Skills!R28,Inputs!$B$37))),0)</f>
        <v/>
      </c>
    </row>
    <row r="1030">
      <c r="A1030" t="inlineStr">
        <is>
          <t>Burning Magic Multiplier</t>
        </is>
      </c>
      <c r="B1030">
        <f>1+(F1011*Skills!Z11)/100</f>
        <v/>
      </c>
    </row>
    <row r="1031">
      <c r="A1031" t="inlineStr">
        <is>
          <t>Elemental Decrease Multiplier (always-on)</t>
        </is>
      </c>
      <c r="B1031">
        <f>1+F1012/100</f>
        <v/>
      </c>
    </row>
    <row r="1032">
      <c r="A1032" t="inlineStr">
        <is>
          <t>Average Buff Multiplier (Magic Guard + Meditation, summed; then Infinity)</t>
        </is>
      </c>
      <c r="B1032">
        <f>(1+(F1006*IF(AND(Inputs!$B$38&lt;&gt;"pvp",Inputs!$B$43&gt;0),(((R1006-1)*(Skills!T6*(1+(Inputs!$B$34+IF(Inputs!$B$3&gt;=117,F1025,0))/100))+MIN((Skills!T6*(1+(Inputs!$B$34+IF(Inputs!$B$3&gt;=117,F1025,0))/100)),MAX(0,Inputs!$B$43-((R1006-1)*Skills!E6))))/Inputs!$B$43),IF(Inputs!$B$38="pvp",MIN((Skills!T6*(1+(Inputs!$B$34+IF(Inputs!$B$3&gt;=117,F1025,0))/100)),15)/15,(Skills!T6*(1+(Inputs!$B$34+IF(Inputs!$B$3&gt;=117,F1025,0))/100))/Skills!E6))+F1017*IF(AND(Inputs!$B$38&lt;&gt;"pvp",Inputs!$B$43&gt;0),(((R1017-1)*(Skills!T17*(1+(Inputs!$B$34+IF(Inputs!$B$3&gt;=117,F1025,0))/100))+MIN((Skills!T17*(1+(Inputs!$B$34+IF(Inputs!$B$3&gt;=117,F1025,0))/100)),MAX(0,Inputs!$B$43-((R1017-1)*Skills!E17))))/Inputs!$B$43),IF(Inputs!$B$38="pvp",MIN((Skills!T17*(1+(Inputs!$B$34+IF(Inputs!$B$3&gt;=117,F1025,0))/100)),15)/15,(Skills!T17*(1+(Inputs!$B$34+IF(Inputs!$B$3&gt;=117,F1025,0))/100))/Skills!E17)))/100)*IF(C1019=TRUE,(1+F1019*IF(AND(Inputs!$B$38&lt;&gt;"pvp",Inputs!$B$43&gt;0),(((R1019-1)*(Skills!T19*(1+(Inputs!$B$34+IF(Inputs!$B$3&gt;=117,F1025,0))/100))+MIN((Skills!T19*(1+(Inputs!$B$34+IF(Inputs!$B$3&gt;=117,F1025,0))/100)),MAX(0,Inputs!$B$43-((R1019-1)*Skills!E19))))/Inputs!$B$43),IF(Inputs!$B$38="pvp",MIN((Skills!T19*(1+(Inputs!$B$34+IF(Inputs!$B$3&gt;=117,F1025,0))/100)),15)/15,(Skills!T19*(1+(Inputs!$B$34+IF(Inputs!$B$3&gt;=117,F1025,0))/100))/Skills!E19))/100),1)</f>
        <v/>
      </c>
    </row>
    <row r="1033">
      <c r="A1033" t="inlineStr">
        <is>
          <t>Attack Speed Buff Bonus % (Nimble Feet, averaged)</t>
        </is>
      </c>
      <c r="B1033">
        <f>F1018*IF(AND(Inputs!$B$38&lt;&gt;"pvp",Inputs!$B$43&gt;0),(((R1018-1)*(Skills!T18*(1+(Inputs!$B$34+IF(Inputs!$B$3&gt;=117,F1025,0))/100))+MIN((Skills!T18*(1+(Inputs!$B$34+IF(Inputs!$B$3&gt;=117,F1025,0))/100)),MAX(0,Inputs!$B$43-((R1018-1)*Skills!E18))))/Inputs!$B$43),IF(Inputs!$B$38="pvp",MIN((Skills!T18*(1+(Inputs!$B$34+IF(Inputs!$B$3&gt;=117,F1025,0))/100)),15)/15,(Skills!T18*(1+(Inputs!$B$34+IF(Inputs!$B$3&gt;=117,F1025,0))/100))/Skills!E18))</f>
        <v/>
      </c>
    </row>
    <row r="1034">
      <c r="A1034" t="inlineStr">
        <is>
          <t>Actions Per Second</t>
        </is>
      </c>
      <c r="B1034">
        <f>1+MIN(150,150*(1-(1-Inputs!$B$11/150)*(1-B1033/150)))/100</f>
        <v/>
      </c>
    </row>
    <row r="1035">
      <c r="A1035" t="inlineStr">
        <is>
          <t>Skill + Buff Cast Rate</t>
        </is>
      </c>
      <c r="B1035">
        <f>IF(AND(Inputs!$B$38&lt;&gt;"pvp",Inputs!$B$43&gt;0),SUMPRODUCT((Skills!F2:F28=TRUE)*(C1002:C1028=TRUE)*R1002:R1028)/Inputs!$B$43,SUMPRODUCT((Skills!F2:F28=TRUE)*(C1002:C1028=TRUE)*Q1002:Q1028))</f>
        <v/>
      </c>
    </row>
    <row r="1036">
      <c r="A1036" t="inlineStr">
        <is>
          <t>Basic Attacks Per Second</t>
        </is>
      </c>
      <c r="B1036">
        <f>MAX(0,B1034-B1035)</f>
        <v/>
      </c>
    </row>
    <row r="1037">
      <c r="A1037" t="inlineStr">
        <is>
          <t>Meteor Proc — combined trigger cast rate</t>
        </is>
      </c>
      <c r="B1037">
        <f>IF(AND(Inputs!$B$38&lt;&gt;"pvp",Inputs!$B$43&gt;0),SUMPRODUCT((Skills!V2:V28=TRUE)*(C1002:C1028=TRUE)*R1002:R1028*Skills!W2:W28)/Inputs!$B$43,SUMPRODUCT((Skills!V2:V28=TRUE)*(C1002:C1028=TRUE)*Q1002:Q1028*Skills!W2:W28))+B1036</f>
        <v/>
      </c>
    </row>
    <row r="1038">
      <c r="A1038" t="inlineStr">
        <is>
          <t>Buff-Casting Startup Delay (s, fixed-duration only)</t>
        </is>
      </c>
      <c r="B1038">
        <f>IF(AND(Inputs!$B$38&lt;&gt;"pvp",Inputs!$B$43&gt;0),SUMPRODUCT((Skills!T2:T28&gt;0)*(Skills!F2:F28=TRUE)*(C1002:C1028=TRUE))/B1034,0)</f>
        <v/>
      </c>
    </row>
    <row r="1039">
      <c r="A1039" t="inlineStr">
        <is>
          <t>Boss-Only Total DPS (this block's swept value)</t>
        </is>
      </c>
      <c r="B1039">
        <f>SUM(S1002:S1028)</f>
        <v/>
      </c>
    </row>
    <row r="1040">
      <c r="A1040" t="inlineStr">
        <is>
          <t>Normal-Only Total DPS (this block's swept value)</t>
        </is>
      </c>
      <c r="B1040">
        <f>SUM(U1002:U1028)</f>
        <v/>
      </c>
    </row>
    <row r="1041">
      <c r="A1041" s="5" t="inlineStr">
        <is>
          <t>TOTAL DPS</t>
        </is>
      </c>
      <c r="B1041" s="5">
        <f>SUM(O1002:O1028)</f>
        <v/>
      </c>
    </row>
    <row r="1044">
      <c r="A1044" s="5" t="inlineStr">
        <is>
          <t>Stat: Basic Attack Target Increase (flat)</t>
        </is>
      </c>
    </row>
    <row r="1045">
      <c r="A1045" s="9" t="inlineStr">
        <is>
          <t>Key</t>
        </is>
      </c>
      <c r="B1045" s="9" t="inlineStr">
        <is>
          <t>Name</t>
        </is>
      </c>
      <c r="C1045" s="9" t="inlineStr">
        <is>
          <t>Unlocked</t>
        </is>
      </c>
      <c r="D1045" s="9" t="inlineStr">
        <is>
          <t>InputLevel</t>
        </is>
      </c>
      <c r="E1045" s="9" t="inlineStr">
        <is>
          <t>Factor</t>
        </is>
      </c>
      <c r="F1045" s="9" t="inlineStr">
        <is>
          <t>CoefficientPercent</t>
        </is>
      </c>
      <c r="G1045" s="9" t="inlineStr">
        <is>
          <t>EffectiveHits</t>
        </is>
      </c>
      <c r="H1045" s="9" t="inlineStr">
        <is>
          <t>ProcProbability</t>
        </is>
      </c>
      <c r="I1045" s="9" t="inlineStr">
        <is>
          <t>MapleHeroMultiplier</t>
        </is>
      </c>
      <c r="J1045" s="9" t="inlineStr">
        <is>
          <t>BaseDamage</t>
        </is>
      </c>
      <c r="K1045" s="9" t="inlineStr">
        <is>
          <t>BaseHitDamage</t>
        </is>
      </c>
      <c r="L1045" s="9" t="inlineStr">
        <is>
          <t>NonCritAvg</t>
        </is>
      </c>
      <c r="M1045" s="9" t="inlineStr">
        <is>
          <t>CritAvg</t>
        </is>
      </c>
      <c r="N1045" s="9" t="inlineStr">
        <is>
          <t>ExpectedDamage(perHit)</t>
        </is>
      </c>
      <c r="O1045" s="9" t="inlineStr">
        <is>
          <t>DPS</t>
        </is>
      </c>
      <c r="P1045" s="9" t="inlineStr">
        <is>
          <t>% of Total</t>
        </is>
      </c>
      <c r="R1045" t="inlineStr">
        <is>
          <t>helpers</t>
        </is>
      </c>
    </row>
    <row r="1046">
      <c r="A1046">
        <f>Skills!A2</f>
        <v/>
      </c>
      <c r="B1046">
        <f>Skills!B2</f>
        <v/>
      </c>
      <c r="C1046">
        <f>TRUE</f>
        <v/>
      </c>
      <c r="D1046" t="inlineStr"/>
      <c r="E1046" t="inlineStr"/>
      <c r="F1046">
        <f>T1048+Skills!O2</f>
        <v/>
      </c>
      <c r="G1046">
        <f>Calc!G2</f>
        <v/>
      </c>
      <c r="H1046">
        <f>Calc!H2</f>
        <v/>
      </c>
      <c r="I1046">
        <f>IF(Skills!X2&lt;&gt;"",1+(Skills!X2/10)*(Z1047/1000)/100,1)</f>
        <v/>
      </c>
      <c r="J1046">
        <f>((Inputs!$B$6*(1+Inputs!$B$7/100))+(((Inputs!$B$12*(1+Inputs!$B$13/100))-(Inputs!$B$12*(1+Inputs!$B$13/100)))+0.25*(Inputs!$B$14-Inputs!$B$14))*(1+Inputs!$B$7/100))*(F1046/100)</f>
        <v/>
      </c>
      <c r="K1046">
        <f>J1046*(1+((Inputs!$B$12*(1+Inputs!$B$13/100))*0.01+Inputs!$B$14*0.0025)/100)*(1+Inputs!$B$15/100)*(1+Inputs!$B$16/100)*(5000/(6000+Inputs!$B$42*(1-Inputs!$B$19/100)))*(1+Inputs!$B$24/100)*(1+F1067/100)*(1+IF(Inputs!$B$3&gt;=120,F1070,0)/100)^5*(1+(IF(Skills!A2="BASIC_ATTACK",Inputs!$B$17,Inputs!$B$18+IF(Inputs!$B$3&gt;=125,F1071*5,0)))/100)*(B1074*B1075*B1076*I1046)</f>
        <v/>
      </c>
      <c r="L1046">
        <f>K1046*(MIN(Inputs!$B$22+(F1066-Calc!F22),Inputs!$B$23)/100+Inputs!$B$23/100)/2</f>
        <v/>
      </c>
      <c r="M1046">
        <f>L1046*(1+(Inputs!$B$10+(F1065-Calc!F21))/100)</f>
        <v/>
      </c>
      <c r="N1046">
        <f>L1046*(1-MIN(Inputs!$B$9+(F1064-Calc!F20),100)/100)+M1046*(MIN(Inputs!$B$9+(F1064-Calc!F20),100)/100)</f>
        <v/>
      </c>
      <c r="O1046">
        <f>(1-Summary!$B$56)*S1046+Summary!$B$56*U1046</f>
        <v/>
      </c>
      <c r="P1046">
        <f>IF(B1085=0,0,O1046/B1085)</f>
        <v/>
      </c>
      <c r="Q1046">
        <f>IFERROR(1/IF(Inputs!$B$38="pvp",15,MAX(0.1,Skills!E2-IF(Skills!F2=TRUE,Inputs!$B$32,0))),0)</f>
        <v/>
      </c>
      <c r="R1046" t="n">
        <v>0</v>
      </c>
      <c r="S1046">
        <f>(Skills!G2*N1046*B1080)*IF(Inputs!$B$38="pvp",1,1+(Inputs!$B$20+Skills!P2)/100)</f>
        <v/>
      </c>
      <c r="T1046">
        <f>MAX(0,(Inputs!$B$3-100)*3)+Inputs!$B$28+Inputs!$B$29</f>
        <v/>
      </c>
      <c r="U1046">
        <f>(Skills!G2*N1046*B1080)*IF(Inputs!$B$38="pvp",1,(1+(Inputs!$B$21+Skills!Q2)/100)*(MIN((6+(Inputs!$B$33+1)+IF(Inputs!$B$3&gt;=136,1,0)),Inputs!$B$37)))</f>
        <v/>
      </c>
      <c r="Z1046">
        <f>MAX(0,(Inputs!$B$3-100)*3)+Inputs!$B$28+Inputs!$B$29</f>
        <v/>
      </c>
    </row>
    <row r="1047">
      <c r="A1047">
        <f>Skills!A3</f>
        <v/>
      </c>
      <c r="B1047">
        <f>Skills!B3</f>
        <v/>
      </c>
      <c r="C1047">
        <f>TRUE</f>
        <v/>
      </c>
      <c r="D1047">
        <f>IF(Skills!C3=1,60+Inputs!$B$25+Inputs!$B$29,IF(Skills!C3=2,90+Inputs!$B$26+Inputs!$B$29,IF(Skills!C3=3,120+Inputs!$B$27+Inputs!$B$29,MAX(0,(Inputs!$B$3-100)*3)+Inputs!$B$28+Inputs!$B$29)))</f>
        <v/>
      </c>
      <c r="E1047">
        <f>INDEX(FactorTable!$B$2:$Y$301, MATCH(ROUND(MIN(300,MAX(1,D1047)),0), FactorTable!$A$2:$A$301,0), Skills!M3+1)</f>
        <v/>
      </c>
      <c r="F1047">
        <f>IF(Skills!N3=TRUE,(Skills!L3/10)*(E1047/1000),Skills!L3/10)+Skills!O3</f>
        <v/>
      </c>
      <c r="G1047">
        <f>Calc!G3</f>
        <v/>
      </c>
      <c r="H1047">
        <f>Calc!H3</f>
        <v/>
      </c>
      <c r="I1047">
        <f>IF(Skills!X3&lt;&gt;"",1+(Skills!X3/10)*(Z1047/1000)/100,1)</f>
        <v/>
      </c>
      <c r="J1047">
        <f>((Inputs!$B$6*(1+Inputs!$B$7/100))+(((Inputs!$B$12*(1+Inputs!$B$13/100))-(Inputs!$B$12*(1+Inputs!$B$13/100)))+0.25*(Inputs!$B$14-Inputs!$B$14))*(1+Inputs!$B$7/100))*(F1047/100)</f>
        <v/>
      </c>
      <c r="K1047">
        <f>J1047*(1+((Inputs!$B$12*(1+Inputs!$B$13/100))*0.01+Inputs!$B$14*0.0025)/100)*(1+Inputs!$B$15/100)*(1+Inputs!$B$16/100)*(5000/(6000+Inputs!$B$42*(1-Inputs!$B$19/100)))*(1+Inputs!$B$24/100)*(1+F1067/100)*(1+IF(Inputs!$B$3&gt;=120,F1070,0)/100)^5*(1+(IF(Skills!A3="BASIC_ATTACK",Inputs!$B$17,Inputs!$B$18+IF(Inputs!$B$3&gt;=125,F1071*5,0)))/100)*(B1074*B1075*B1076*I1047)</f>
        <v/>
      </c>
      <c r="L1047">
        <f>K1047*(MIN(Inputs!$B$22+(F1066-Calc!F22),Inputs!$B$23)/100+Inputs!$B$23/100)/2</f>
        <v/>
      </c>
      <c r="M1047">
        <f>L1047*(1+(Inputs!$B$10+(F1065-Calc!F21))/100)</f>
        <v/>
      </c>
      <c r="N1047">
        <f>L1047*(1-MIN(Inputs!$B$9+(F1064-Calc!F20),100)/100)+M1047*(MIN(Inputs!$B$9+(F1064-Calc!F20),100)/100)</f>
        <v/>
      </c>
      <c r="O1047">
        <f>(1-Summary!$B$56)*S1047+Summary!$B$56*U1047</f>
        <v/>
      </c>
      <c r="P1047">
        <f>IF(B1085=0,0,O1047/B1085)</f>
        <v/>
      </c>
      <c r="Q1047">
        <f>IFERROR(1/IF(Inputs!$B$38="pvp",15,MAX(0.1,Skills!E3-IF(Skills!F3=TRUE,Inputs!$B$32,0))),0)</f>
        <v/>
      </c>
      <c r="R1047">
        <f>IF(AND(Inputs!$B$38&lt;&gt;"pvp",Inputs!$B$43&gt;0),IF(MAX(0,Inputs!$B$43-B1082)&lt;=0,0,(INT(MAX(0,Inputs!$B$43-B1082)/IF(Inputs!$B$38="pvp",15,MAX(0.1,Skills!E3-IF(Skills!F3=TRUE,Inputs!$B$32,0))))+1)),0)</f>
        <v/>
      </c>
      <c r="S1047">
        <f>IF(C1047,(H1047*N1047*IF(AND(Inputs!$B$38&lt;&gt;"pvp",Inputs!$B$43&gt;0),((Skills!G3*((R1047-1)*IF(Skills!H3&gt;0,Skills!I3/Skills!H3,1)+IF(Skills!H3&gt;0,MIN(Skills!I3,MAX(0,MAX(0,Inputs!$B$43-B1082)-((R1047-1)*IF(Inputs!$B$38="pvp",15,MAX(0.1,Skills!E3-IF(Skills!F3=TRUE,Inputs!$B$32,0))))))/Skills!H3,1)))/Inputs!$B$43),G1047*Q1047))*IF(Inputs!$B$38="pvp",1,1+(Inputs!$B$20+Skills!P3)/100),0)</f>
        <v/>
      </c>
      <c r="T1047">
        <f>INDEX(FactorTable!$B$2:$Y$301, MATCH(ROUND(MIN(300,MAX(1,T1046)),0), FactorTable!$A$2:$A$301,0), 22)</f>
        <v/>
      </c>
      <c r="U1047">
        <f>IF(C1047,(H1047*N1047*IF(AND(Inputs!$B$38&lt;&gt;"pvp",Inputs!$B$43&gt;0),((Skills!G3*((R1047-1)*IF(Skills!H3&gt;0,Skills!I3/Skills!H3,1)+IF(Skills!H3&gt;0,MIN(Skills!I3,MAX(0,MAX(0,Inputs!$B$43-B1082)-((R1047-1)*IF(Inputs!$B$38="pvp",15,MAX(0.1,Skills!E3-IF(Skills!F3=TRUE,Inputs!$B$32,0))))))/Skills!H3,1)))/Inputs!$B$43),G1047*Q1047))*IF(Inputs!$B$38="pvp",1,(1+(Inputs!$B$21+Skills!Q3)/100)*(MIN(Skills!R3,Inputs!$B$37))),0)</f>
        <v/>
      </c>
      <c r="Z1047">
        <f>INDEX(FactorTable!$B$2:$Y$301, MATCH(ROUND(MIN(300,MAX(1,Z1046)),0), FactorTable!$A$2:$A$301,0), 24)</f>
        <v/>
      </c>
    </row>
    <row r="1048">
      <c r="A1048">
        <f>Skills!A4</f>
        <v/>
      </c>
      <c r="B1048">
        <f>Skills!B4</f>
        <v/>
      </c>
      <c r="C1048">
        <f>TRUE</f>
        <v/>
      </c>
      <c r="D1048">
        <f>IF(Skills!C4=1,60+Inputs!$B$25+Inputs!$B$29,IF(Skills!C4=2,90+Inputs!$B$26+Inputs!$B$29,IF(Skills!C4=3,120+Inputs!$B$27+Inputs!$B$29,MAX(0,(Inputs!$B$3-100)*3)+Inputs!$B$28+Inputs!$B$29)))</f>
        <v/>
      </c>
      <c r="E1048">
        <f>INDEX(FactorTable!$B$2:$Y$301, MATCH(ROUND(MIN(300,MAX(1,D1048)),0), FactorTable!$A$2:$A$301,0), Skills!M4+1)</f>
        <v/>
      </c>
      <c r="F1048">
        <f>IF(Skills!N4=TRUE,(Skills!L4/10)*(E1048/1000),Skills!L4/10)+Skills!O4</f>
        <v/>
      </c>
      <c r="G1048">
        <f>Calc!G4</f>
        <v/>
      </c>
      <c r="H1048">
        <f>Calc!H4</f>
        <v/>
      </c>
      <c r="I1048">
        <f>IF(Skills!X4&lt;&gt;"",1+(Skills!X4/10)*(Z1047/1000)/100,1)</f>
        <v/>
      </c>
      <c r="J1048">
        <f>((Inputs!$B$6*(1+Inputs!$B$7/100))+(((Inputs!$B$12*(1+Inputs!$B$13/100))-(Inputs!$B$12*(1+Inputs!$B$13/100)))+0.25*(Inputs!$B$14-Inputs!$B$14))*(1+Inputs!$B$7/100))*(F1048/100)</f>
        <v/>
      </c>
      <c r="K1048">
        <f>J1048*(1+((Inputs!$B$12*(1+Inputs!$B$13/100))*0.01+Inputs!$B$14*0.0025)/100)*(1+Inputs!$B$15/100)*(1+Inputs!$B$16/100)*(5000/(6000+Inputs!$B$42*(1-Inputs!$B$19/100)))*(1+Inputs!$B$24/100)*(1+F1067/100)*(1+IF(Inputs!$B$3&gt;=120,F1070,0)/100)^5*(1+(IF(Skills!A4="BASIC_ATTACK",Inputs!$B$17,Inputs!$B$18+IF(Inputs!$B$3&gt;=125,F1071*5,0)))/100)*(B1074*B1075*B1076*I1048)</f>
        <v/>
      </c>
      <c r="L1048">
        <f>K1048*(MIN(Inputs!$B$22+(F1066-Calc!F22),Inputs!$B$23)/100+Inputs!$B$23/100)/2</f>
        <v/>
      </c>
      <c r="M1048">
        <f>L1048*(1+(Inputs!$B$10+(F1065-Calc!F21))/100)</f>
        <v/>
      </c>
      <c r="N1048">
        <f>L1048*(1-MIN(Inputs!$B$9+(F1064-Calc!F20),100)/100)+M1048*(MIN(Inputs!$B$9+(F1064-Calc!F20),100)/100)</f>
        <v/>
      </c>
      <c r="O1048">
        <f>(1-Summary!$B$56)*S1048+Summary!$B$56*U1048</f>
        <v/>
      </c>
      <c r="P1048">
        <f>IF(B1085=0,0,O1048/B1085)</f>
        <v/>
      </c>
      <c r="Q1048">
        <f>IFERROR(1/IF(Inputs!$B$38="pvp",15,MAX(0.1,Skills!E4-IF(Skills!F4=TRUE,Inputs!$B$32,0))),0)</f>
        <v/>
      </c>
      <c r="R1048">
        <f>IF(AND(Inputs!$B$38&lt;&gt;"pvp",Inputs!$B$43&gt;0),IF(MAX(0,Inputs!$B$43-B1082)&lt;=0,0,(INT(MAX(0,Inputs!$B$43-B1082)/IF(Inputs!$B$38="pvp",15,MAX(0.1,Skills!E4-IF(Skills!F4=TRUE,Inputs!$B$32,0))))+1)),0)</f>
        <v/>
      </c>
      <c r="S1048">
        <f>IF(C1048,(H1048*N1048*IF(AND(Inputs!$B$38&lt;&gt;"pvp",Inputs!$B$43&gt;0),((Skills!G4*((R1048-1)*IF(Skills!H4&gt;0,Skills!I4/Skills!H4,1)+IF(Skills!H4&gt;0,MIN(Skills!I4,MAX(0,MAX(0,Inputs!$B$43-B1082)-((R1048-1)*IF(Inputs!$B$38="pvp",15,MAX(0.1,Skills!E4-IF(Skills!F4=TRUE,Inputs!$B$32,0))))))/Skills!H4,1)))/Inputs!$B$43),G1048*Q1048))*IF(Inputs!$B$38="pvp",1,1+(Inputs!$B$20+Skills!P4)/100),0)</f>
        <v/>
      </c>
      <c r="T1048">
        <f>290*T1047/1000</f>
        <v/>
      </c>
      <c r="U1048">
        <f>IF(C1048,(H1048*N1048*IF(AND(Inputs!$B$38&lt;&gt;"pvp",Inputs!$B$43&gt;0),((Skills!G4*((R1048-1)*IF(Skills!H4&gt;0,Skills!I4/Skills!H4,1)+IF(Skills!H4&gt;0,MIN(Skills!I4,MAX(0,MAX(0,Inputs!$B$43-B1082)-((R1048-1)*IF(Inputs!$B$38="pvp",15,MAX(0.1,Skills!E4-IF(Skills!F4=TRUE,Inputs!$B$32,0))))))/Skills!H4,1)))/Inputs!$B$43),G1048*Q1048))*IF(Inputs!$B$38="pvp",1,(1+(Inputs!$B$21+Skills!Q4)/100)*(MIN(Skills!R4,Inputs!$B$37))),0)</f>
        <v/>
      </c>
    </row>
    <row r="1049">
      <c r="A1049">
        <f>Skills!A5</f>
        <v/>
      </c>
      <c r="B1049">
        <f>Skills!B5</f>
        <v/>
      </c>
      <c r="C1049">
        <f>TRUE</f>
        <v/>
      </c>
      <c r="D1049">
        <f>IF(Skills!C5=1,60+Inputs!$B$25+Inputs!$B$29,IF(Skills!C5=2,90+Inputs!$B$26+Inputs!$B$29,IF(Skills!C5=3,120+Inputs!$B$27+Inputs!$B$29,MAX(0,(Inputs!$B$3-100)*3)+Inputs!$B$28+Inputs!$B$29)))</f>
        <v/>
      </c>
      <c r="E1049">
        <f>INDEX(FactorTable!$B$2:$Y$301, MATCH(ROUND(MIN(300,MAX(1,D1049)),0), FactorTable!$A$2:$A$301,0), Skills!M5+1)</f>
        <v/>
      </c>
      <c r="F1049">
        <f>IF(Skills!N5=TRUE,(Skills!L5/10)*(E1049/1000),Skills!L5/10)+Skills!O5</f>
        <v/>
      </c>
      <c r="G1049">
        <f>Calc!G5</f>
        <v/>
      </c>
      <c r="H1049">
        <f>Calc!H5</f>
        <v/>
      </c>
      <c r="I1049">
        <f>IF(Skills!X5&lt;&gt;"",1+(Skills!X5/10)*(Z1047/1000)/100,1)</f>
        <v/>
      </c>
      <c r="J1049">
        <f>((Inputs!$B$6*(1+Inputs!$B$7/100))+(((Inputs!$B$12*(1+Inputs!$B$13/100))-(Inputs!$B$12*(1+Inputs!$B$13/100)))+0.25*(Inputs!$B$14-Inputs!$B$14))*(1+Inputs!$B$7/100))*(F1049/100)</f>
        <v/>
      </c>
      <c r="K1049">
        <f>J1049*(1+((Inputs!$B$12*(1+Inputs!$B$13/100))*0.01+Inputs!$B$14*0.0025)/100)*(1+Inputs!$B$15/100)*(1+Inputs!$B$16/100)*(5000/(6000+Inputs!$B$42*(1-Inputs!$B$19/100)))*(1+Inputs!$B$24/100)*(1+F1067/100)*(1+IF(Inputs!$B$3&gt;=120,F1070,0)/100)^5*(1+(IF(Skills!A5="BASIC_ATTACK",Inputs!$B$17,Inputs!$B$18+IF(Inputs!$B$3&gt;=125,F1071*5,0)))/100)*(B1074*B1075*B1076*I1049)</f>
        <v/>
      </c>
      <c r="L1049">
        <f>K1049*(MIN(Inputs!$B$22+(F1066-Calc!F22),Inputs!$B$23)/100+Inputs!$B$23/100)/2</f>
        <v/>
      </c>
      <c r="M1049">
        <f>L1049*(1+(Inputs!$B$10+(F1065-Calc!F21))/100)</f>
        <v/>
      </c>
      <c r="N1049">
        <f>L1049*(1-MIN(Inputs!$B$9+(F1064-Calc!F20),100)/100)+M1049*(MIN(Inputs!$B$9+(F1064-Calc!F20),100)/100)</f>
        <v/>
      </c>
      <c r="O1049">
        <f>(1-Summary!$B$56)*S1049+Summary!$B$56*U1049</f>
        <v/>
      </c>
      <c r="P1049">
        <f>IF(B1085=0,0,O1049/B1085)</f>
        <v/>
      </c>
      <c r="Q1049">
        <f>IFERROR(1/IF(Inputs!$B$38="pvp",15,MAX(0.1,Skills!E5-IF(Skills!F5=TRUE,Inputs!$B$32,0))),0)</f>
        <v/>
      </c>
      <c r="R1049">
        <f>IF(AND(Inputs!$B$38&lt;&gt;"pvp",Inputs!$B$43&gt;0),IF(MAX(0,Inputs!$B$43-B1082)&lt;=0,0,(INT(MAX(0,Inputs!$B$43-B1082)/IF(Inputs!$B$38="pvp",15,MAX(0.1,Skills!E5-IF(Skills!F5=TRUE,Inputs!$B$32,0))))+1)),0)</f>
        <v/>
      </c>
      <c r="S1049">
        <f>IF(C1049,(H1049*N1049*IF(AND(Inputs!$B$38&lt;&gt;"pvp",Inputs!$B$43&gt;0),((Skills!G5*((R1049-1)*IF(Skills!H5&gt;0,Skills!I5/Skills!H5,1)+IF(Skills!H5&gt;0,MIN(Skills!I5,MAX(0,MAX(0,Inputs!$B$43-B1082)-((R1049-1)*IF(Inputs!$B$38="pvp",15,MAX(0.1,Skills!E5-IF(Skills!F5=TRUE,Inputs!$B$32,0))))))/Skills!H5,1)))/Inputs!$B$43),G1049*Q1049))*IF(Inputs!$B$38="pvp",1,1+(Inputs!$B$20+Skills!P5)/100),0)</f>
        <v/>
      </c>
      <c r="U1049">
        <f>IF(C1049,(H1049*N1049*IF(AND(Inputs!$B$38&lt;&gt;"pvp",Inputs!$B$43&gt;0),((Skills!G5*((R1049-1)*IF(Skills!H5&gt;0,Skills!I5/Skills!H5,1)+IF(Skills!H5&gt;0,MIN(Skills!I5,MAX(0,MAX(0,Inputs!$B$43-B1082)-((R1049-1)*IF(Inputs!$B$38="pvp",15,MAX(0.1,Skills!E5-IF(Skills!F5=TRUE,Inputs!$B$32,0))))))/Skills!H5,1)))/Inputs!$B$43),G1049*Q1049))*IF(Inputs!$B$38="pvp",1,(1+(Inputs!$B$21+Skills!Q5)/100)*(MIN(Skills!R5,Inputs!$B$37))),0)</f>
        <v/>
      </c>
    </row>
    <row r="1050">
      <c r="A1050">
        <f>Skills!A6</f>
        <v/>
      </c>
      <c r="B1050">
        <f>Skills!B6</f>
        <v/>
      </c>
      <c r="C1050">
        <f>TRUE</f>
        <v/>
      </c>
      <c r="D1050">
        <f>IF(Skills!C6=1,60+Inputs!$B$25+Inputs!$B$29,IF(Skills!C6=2,90+Inputs!$B$26+Inputs!$B$29,IF(Skills!C6=3,120+Inputs!$B$27+Inputs!$B$29,MAX(0,(Inputs!$B$3-100)*3)+Inputs!$B$28+Inputs!$B$29)))</f>
        <v/>
      </c>
      <c r="E1050">
        <f>INDEX(FactorTable!$B$2:$Y$301, MATCH(ROUND(MIN(300,MAX(1,D1050)),0), FactorTable!$A$2:$A$301,0), Skills!M6+1)</f>
        <v/>
      </c>
      <c r="F1050">
        <f>IF(Skills!N6=TRUE,(Skills!L6/10)*(E1050/1000),Skills!L6/10)+Skills!O6</f>
        <v/>
      </c>
      <c r="G1050">
        <f>Calc!G6</f>
        <v/>
      </c>
      <c r="H1050">
        <f>Calc!H6</f>
        <v/>
      </c>
      <c r="I1050">
        <f>IF(Skills!X6&lt;&gt;"",1+(Skills!X6/10)*(Z1047/1000)/100,1)</f>
        <v/>
      </c>
      <c r="J1050" t="inlineStr"/>
      <c r="K1050" t="inlineStr"/>
      <c r="L1050" t="inlineStr"/>
      <c r="M1050" t="inlineStr"/>
      <c r="N1050" t="inlineStr"/>
      <c r="O1050">
        <f>(1-Summary!$B$56)*S1050+Summary!$B$56*U1050</f>
        <v/>
      </c>
      <c r="P1050">
        <f>IF(B1085=0,0,O1050/B1085)</f>
        <v/>
      </c>
      <c r="Q1050">
        <f>IFERROR(1/IF(Inputs!$B$38="pvp",15,MAX(0.1,Skills!E6-IF(Skills!F6=TRUE,Inputs!$B$32,0))),0)</f>
        <v/>
      </c>
      <c r="R1050">
        <f>IF(AND(Inputs!$B$38&lt;&gt;"pvp",Inputs!$B$43&gt;0),IF(Inputs!$B$43&lt;=0,0,(INT(Inputs!$B$43/IF(Inputs!$B$38="pvp",15,MAX(0.1,Skills!E6-IF(Skills!F6=TRUE,Inputs!$B$32,0))))+1)),0)</f>
        <v/>
      </c>
      <c r="S1050" t="n">
        <v>0</v>
      </c>
      <c r="U1050" t="n">
        <v>0</v>
      </c>
    </row>
    <row r="1051">
      <c r="A1051">
        <f>Skills!A7</f>
        <v/>
      </c>
      <c r="B1051">
        <f>Skills!B7</f>
        <v/>
      </c>
      <c r="C1051">
        <f>TRUE</f>
        <v/>
      </c>
      <c r="D1051">
        <f>IF(Skills!C7=1,60+Inputs!$B$25+Inputs!$B$29,IF(Skills!C7=2,90+Inputs!$B$26+Inputs!$B$29,IF(Skills!C7=3,120+Inputs!$B$27+Inputs!$B$29,MAX(0,(Inputs!$B$3-100)*3)+Inputs!$B$28+Inputs!$B$29)))</f>
        <v/>
      </c>
      <c r="E1051">
        <f>INDEX(FactorTable!$B$2:$Y$301, MATCH(ROUND(MIN(300,MAX(1,D1051)),0), FactorTable!$A$2:$A$301,0), Skills!M7+1)</f>
        <v/>
      </c>
      <c r="F1051">
        <f>IF(Skills!N7=TRUE,(Skills!L7/10)*(E1051/1000),Skills!L7/10)+Skills!O7</f>
        <v/>
      </c>
      <c r="G1051">
        <f>Calc!G7</f>
        <v/>
      </c>
      <c r="H1051">
        <f>Calc!H7</f>
        <v/>
      </c>
      <c r="I1051">
        <f>IF(Skills!X7&lt;&gt;"",1+(Skills!X7/10)*(Z1047/1000)/100,1)</f>
        <v/>
      </c>
      <c r="J1051">
        <f>((Inputs!$B$6*(1+Inputs!$B$7/100))+(((Inputs!$B$12*(1+Inputs!$B$13/100))-(Inputs!$B$12*(1+Inputs!$B$13/100)))+0.25*(Inputs!$B$14-Inputs!$B$14))*(1+Inputs!$B$7/100))*(F1051/100)</f>
        <v/>
      </c>
      <c r="K1051">
        <f>J1051*(1+((Inputs!$B$12*(1+Inputs!$B$13/100))*0.01+Inputs!$B$14*0.0025)/100)*(1+Inputs!$B$15/100)*(1+Inputs!$B$16/100)*(5000/(6000+Inputs!$B$42*(1-Inputs!$B$19/100)))*(1+Inputs!$B$24/100)*(1+F1067/100)*(1+IF(Inputs!$B$3&gt;=120,F1070,0)/100)^5*(1+(IF(Skills!A7="BASIC_ATTACK",Inputs!$B$17,Inputs!$B$18+IF(Inputs!$B$3&gt;=125,F1071*5,0)))/100)*(B1074*B1075*B1076*I1051)</f>
        <v/>
      </c>
      <c r="L1051">
        <f>K1051*(MIN(Inputs!$B$22+(F1066-Calc!F22),Inputs!$B$23)/100+Inputs!$B$23/100)/2</f>
        <v/>
      </c>
      <c r="M1051">
        <f>L1051*(1+(Inputs!$B$10+(F1065-Calc!F21))/100)</f>
        <v/>
      </c>
      <c r="N1051">
        <f>L1051*(1-MIN(Inputs!$B$9+(F1064-Calc!F20),100)/100)+M1051*(MIN(Inputs!$B$9+(F1064-Calc!F20),100)/100)</f>
        <v/>
      </c>
      <c r="O1051">
        <f>(1-Summary!$B$56)*S1051+Summary!$B$56*U1051</f>
        <v/>
      </c>
      <c r="P1051">
        <f>IF(B1085=0,0,O1051/B1085)</f>
        <v/>
      </c>
      <c r="Q1051">
        <f>IFERROR(1/IF(Inputs!$B$38="pvp",15,MAX(0.1,Skills!E7-IF(Skills!F7=TRUE,Inputs!$B$32,0))),0)</f>
        <v/>
      </c>
      <c r="R1051">
        <f>IF(AND(Inputs!$B$38&lt;&gt;"pvp",Inputs!$B$43&gt;0),IF(MAX(0,Inputs!$B$43-B1082)&lt;=0,0,(INT(MAX(0,Inputs!$B$43-B1082)/IF(Inputs!$B$38="pvp",15,MAX(0.1,Skills!E7-IF(Skills!F7=TRUE,Inputs!$B$32,0))))+1)),0)</f>
        <v/>
      </c>
      <c r="S1051">
        <f>IF(C1051,(H1051*N1051*IF(AND(Inputs!$B$38&lt;&gt;"pvp",Inputs!$B$43&gt;0),((Skills!G7*((R1051-1)*IF(Skills!H7&gt;0,Skills!I7/Skills!H7,1)+IF(Skills!H7&gt;0,MIN(Skills!I7,MAX(0,MAX(0,Inputs!$B$43-B1082)-((R1051-1)*IF(Inputs!$B$38="pvp",15,MAX(0.1,Skills!E7-IF(Skills!F7=TRUE,Inputs!$B$32,0))))))/Skills!H7,1)))/Inputs!$B$43),G1051*Q1051))*IF(Inputs!$B$38="pvp",1,1+(Inputs!$B$20+Skills!P7)/100),0)</f>
        <v/>
      </c>
      <c r="U1051">
        <f>IF(C1051,(H1051*N1051*IF(AND(Inputs!$B$38&lt;&gt;"pvp",Inputs!$B$43&gt;0),((Skills!G7*((R1051-1)*IF(Skills!H7&gt;0,Skills!I7/Skills!H7,1)+IF(Skills!H7&gt;0,MIN(Skills!I7,MAX(0,MAX(0,Inputs!$B$43-B1082)-((R1051-1)*IF(Inputs!$B$38="pvp",15,MAX(0.1,Skills!E7-IF(Skills!F7=TRUE,Inputs!$B$32,0))))))/Skills!H7,1)))/Inputs!$B$43),G1051*Q1051))*IF(Inputs!$B$38="pvp",1,(1+(Inputs!$B$21+Skills!Q7)/100)*(MIN(Skills!R7,Inputs!$B$37))),0)</f>
        <v/>
      </c>
    </row>
    <row r="1052">
      <c r="A1052">
        <f>Skills!A8</f>
        <v/>
      </c>
      <c r="B1052">
        <f>Skills!B8</f>
        <v/>
      </c>
      <c r="C1052">
        <f>TRUE</f>
        <v/>
      </c>
      <c r="D1052">
        <f>IF(Skills!C8=1,60+Inputs!$B$25+Inputs!$B$29,IF(Skills!C8=2,90+Inputs!$B$26+Inputs!$B$29,IF(Skills!C8=3,120+Inputs!$B$27+Inputs!$B$29,MAX(0,(Inputs!$B$3-100)*3)+Inputs!$B$28+Inputs!$B$29)))</f>
        <v/>
      </c>
      <c r="E1052">
        <f>INDEX(FactorTable!$B$2:$Y$301, MATCH(ROUND(MIN(300,MAX(1,D1052)),0), FactorTable!$A$2:$A$301,0), Skills!M8+1)</f>
        <v/>
      </c>
      <c r="F1052">
        <f>IF(Skills!N8=TRUE,(Skills!L8/10)*(E1052/1000),Skills!L8/10)+Skills!O8</f>
        <v/>
      </c>
      <c r="G1052">
        <f>Calc!G8</f>
        <v/>
      </c>
      <c r="H1052">
        <f>Calc!H8</f>
        <v/>
      </c>
      <c r="I1052">
        <f>IF(Skills!X8&lt;&gt;"",1+(Skills!X8/10)*(Z1047/1000)/100,1)</f>
        <v/>
      </c>
      <c r="J1052">
        <f>((Inputs!$B$6*(1+Inputs!$B$7/100))+(((Inputs!$B$12*(1+Inputs!$B$13/100))-(Inputs!$B$12*(1+Inputs!$B$13/100)))+0.25*(Inputs!$B$14-Inputs!$B$14))*(1+Inputs!$B$7/100))*(F1052/100)</f>
        <v/>
      </c>
      <c r="K1052">
        <f>J1052*(1+((Inputs!$B$12*(1+Inputs!$B$13/100))*0.01+Inputs!$B$14*0.0025)/100)*(1+Inputs!$B$15/100)*(1+Inputs!$B$16/100)*(5000/(6000+Inputs!$B$42*(1-Inputs!$B$19/100)))*(1+Inputs!$B$24/100)*(1+F1067/100)*(1+IF(Inputs!$B$3&gt;=120,F1070,0)/100)^5*(1+(IF(Skills!A8="BASIC_ATTACK",Inputs!$B$17,Inputs!$B$18+IF(Inputs!$B$3&gt;=125,F1071*5,0)))/100)*(B1074*B1075*B1076*I1052)</f>
        <v/>
      </c>
      <c r="L1052">
        <f>K1052*(MIN(Inputs!$B$22+(F1066-Calc!F22),Inputs!$B$23)/100+Inputs!$B$23/100)/2</f>
        <v/>
      </c>
      <c r="M1052">
        <f>L1052*(1+(Inputs!$B$10+(F1065-Calc!F21))/100)</f>
        <v/>
      </c>
      <c r="N1052">
        <f>L1052*(1-MIN(Inputs!$B$9+(F1064-Calc!F20),100)/100)+M1052*(MIN(Inputs!$B$9+(F1064-Calc!F20),100)/100)</f>
        <v/>
      </c>
      <c r="O1052">
        <f>(1-Summary!$B$56)*S1052+Summary!$B$56*U1052</f>
        <v/>
      </c>
      <c r="P1052">
        <f>IF(B1085=0,0,O1052/B1085)</f>
        <v/>
      </c>
      <c r="Q1052">
        <f>IFERROR(1/IF(Inputs!$B$38="pvp",15,MAX(0.1,Skills!E8-IF(Skills!F8=TRUE,Inputs!$B$32,0))),0)</f>
        <v/>
      </c>
      <c r="R1052">
        <f>IF(AND(Inputs!$B$38&lt;&gt;"pvp",Inputs!$B$43&gt;0),IF(MAX(0,Inputs!$B$43-B1082)&lt;=0,0,(INT(MAX(0,Inputs!$B$43-B1082)/IF(Inputs!$B$38="pvp",15,MAX(0.1,Skills!E8-IF(Skills!F8=TRUE,Inputs!$B$32,0))))+1)),0)</f>
        <v/>
      </c>
      <c r="S1052">
        <f>IF(C1052,(H1052*N1052*IF(AND(Inputs!$B$38&lt;&gt;"pvp",Inputs!$B$43&gt;0),((Skills!G8*((R1052-1)*IF(Skills!H8&gt;0,Skills!I8/Skills!H8,1)+IF(Skills!H8&gt;0,MIN(Skills!I8,MAX(0,MAX(0,Inputs!$B$43-B1082)-((R1052-1)*IF(Inputs!$B$38="pvp",15,MAX(0.1,Skills!E8-IF(Skills!F8=TRUE,Inputs!$B$32,0))))))/Skills!H8,1)))/Inputs!$B$43),G1052*Q1052))*IF(Inputs!$B$38="pvp",1,1+(Inputs!$B$20+Skills!P8)/100),0)</f>
        <v/>
      </c>
      <c r="U1052">
        <f>IF(C1052,(H1052*N1052*IF(AND(Inputs!$B$38&lt;&gt;"pvp",Inputs!$B$43&gt;0),((Skills!G8*((R1052-1)*IF(Skills!H8&gt;0,Skills!I8/Skills!H8,1)+IF(Skills!H8&gt;0,MIN(Skills!I8,MAX(0,MAX(0,Inputs!$B$43-B1082)-((R1052-1)*IF(Inputs!$B$38="pvp",15,MAX(0.1,Skills!E8-IF(Skills!F8=TRUE,Inputs!$B$32,0))))))/Skills!H8,1)))/Inputs!$B$43),G1052*Q1052))*IF(Inputs!$B$38="pvp",1,(1+(Inputs!$B$21+Skills!Q8)/100)*(MIN(Skills!R8,Inputs!$B$37))),0)</f>
        <v/>
      </c>
    </row>
    <row r="1053">
      <c r="A1053">
        <f>Skills!A9</f>
        <v/>
      </c>
      <c r="B1053">
        <f>Skills!B9</f>
        <v/>
      </c>
      <c r="C1053">
        <f>Inputs!$B$3&gt;=103</f>
        <v/>
      </c>
      <c r="D1053">
        <f>IF(Skills!C9=1,60+Inputs!$B$25+Inputs!$B$29,IF(Skills!C9=2,90+Inputs!$B$26+Inputs!$B$29,IF(Skills!C9=3,120+Inputs!$B$27+Inputs!$B$29,MAX(0,(Inputs!$B$3-100)*3)+Inputs!$B$28+Inputs!$B$29)))</f>
        <v/>
      </c>
      <c r="E1053">
        <f>INDEX(FactorTable!$B$2:$Y$301, MATCH(ROUND(MIN(300,MAX(1,D1053)),0), FactorTable!$A$2:$A$301,0), Skills!M9+1)</f>
        <v/>
      </c>
      <c r="F1053">
        <f>IF(Skills!N9=TRUE,(Skills!L9/10)*(E1053/1000),Skills!L9/10)+Skills!O9</f>
        <v/>
      </c>
      <c r="G1053">
        <f>Calc!G9</f>
        <v/>
      </c>
      <c r="H1053">
        <f>Calc!H9</f>
        <v/>
      </c>
      <c r="I1053">
        <f>IF(Skills!X9&lt;&gt;"",1+(Skills!X9/10)*(Z1047/1000)/100,1)</f>
        <v/>
      </c>
      <c r="J1053">
        <f>((Inputs!$B$6*(1+Inputs!$B$7/100))+(((Inputs!$B$12*(1+Inputs!$B$13/100))-(Inputs!$B$12*(1+Inputs!$B$13/100)))+0.25*(Inputs!$B$14-Inputs!$B$14))*(1+Inputs!$B$7/100))*(F1053/100)</f>
        <v/>
      </c>
      <c r="K1053">
        <f>J1053*(1+((Inputs!$B$12*(1+Inputs!$B$13/100))*0.01+Inputs!$B$14*0.0025)/100)*(1+Inputs!$B$15/100)*(1+Inputs!$B$16/100)*(5000/(6000+Inputs!$B$42*(1-Inputs!$B$19/100)))*(1+Inputs!$B$24/100)*(1+F1067/100)*(1+IF(Inputs!$B$3&gt;=120,F1070,0)/100)^5*(1+(IF(Skills!A9="BASIC_ATTACK",Inputs!$B$17,Inputs!$B$18+IF(Inputs!$B$3&gt;=125,F1071*5,0)))/100)*(B1074*B1075*B1076*I1053)</f>
        <v/>
      </c>
      <c r="L1053">
        <f>K1053*(MIN(Inputs!$B$22+(F1066-Calc!F22),Inputs!$B$23)/100+Inputs!$B$23/100)/2</f>
        <v/>
      </c>
      <c r="M1053">
        <f>L1053*(1+(Inputs!$B$10+(F1065-Calc!F21))/100)</f>
        <v/>
      </c>
      <c r="N1053">
        <f>L1053*(1-MIN(Inputs!$B$9+(F1064-Calc!F20),100)/100)+M1053*(MIN(Inputs!$B$9+(F1064-Calc!F20),100)/100)</f>
        <v/>
      </c>
      <c r="O1053">
        <f>(1-Summary!$B$56)*S1053+Summary!$B$56*U1053</f>
        <v/>
      </c>
      <c r="P1053">
        <f>IF(B1085=0,0,O1053/B1085)</f>
        <v/>
      </c>
      <c r="Q1053">
        <f>IFERROR(1/IF(Inputs!$B$38="pvp",15,MAX(0.1,Skills!E9-IF(Skills!F7=TRUE,Inputs!$B$32,0))),0)</f>
        <v/>
      </c>
      <c r="R1053">
        <f>IF(AND(Inputs!$B$38&lt;&gt;"pvp",Inputs!$B$43&gt;0),IF(MAX(0,Inputs!$B$43-B1082)&lt;=0,0,(INT(MAX(0,Inputs!$B$43-B1082)/IF(Inputs!$B$38="pvp",15,MAX(0.1,Skills!E9-IF(Skills!F7=TRUE,Inputs!$B$32,0))))+1)),0)</f>
        <v/>
      </c>
      <c r="S1053">
        <f>IF(C1053,(H1053*N1053*IF(AND(Inputs!$B$38&lt;&gt;"pvp",Inputs!$B$43&gt;0),((Skills!G9*((R1053-1)*IF(Skills!H9&gt;0,Skills!I9/Skills!H9,1)+IF(Skills!H9&gt;0,MIN(Skills!I9,MAX(0,MAX(0,Inputs!$B$43-B1082)-((R1053-1)*IF(Inputs!$B$38="pvp",15,MAX(0.1,Skills!E9-IF(Skills!F7=TRUE,Inputs!$B$32,0))))))/Skills!H9,1)))/Inputs!$B$43),G1053*Q1053))*IF(Inputs!$B$38="pvp",1,1+(Inputs!$B$20+Skills!P9)/100),0)</f>
        <v/>
      </c>
      <c r="U1053">
        <f>IF(C1053,(H1053*N1053*IF(AND(Inputs!$B$38&lt;&gt;"pvp",Inputs!$B$43&gt;0),((Skills!G9*((R1053-1)*IF(Skills!H9&gt;0,Skills!I9/Skills!H9,1)+IF(Skills!H9&gt;0,MIN(Skills!I9,MAX(0,MAX(0,Inputs!$B$43-B1082)-((R1053-1)*IF(Inputs!$B$38="pvp",15,MAX(0.1,Skills!E9-IF(Skills!F7=TRUE,Inputs!$B$32,0))))))/Skills!H9,1)))/Inputs!$B$43),G1053*Q1053))*IF(Inputs!$B$38="pvp",1,(1+(Inputs!$B$21+Skills!Q9)/100)*(MIN(Skills!R9,Inputs!$B$37))),0)</f>
        <v/>
      </c>
    </row>
    <row r="1054">
      <c r="A1054">
        <f>Skills!A10</f>
        <v/>
      </c>
      <c r="B1054">
        <f>Skills!B10</f>
        <v/>
      </c>
      <c r="C1054">
        <f>TRUE</f>
        <v/>
      </c>
      <c r="D1054">
        <f>IF(Skills!C10=1,60+Inputs!$B$25+Inputs!$B$29,IF(Skills!C10=2,90+Inputs!$B$26+Inputs!$B$29,IF(Skills!C10=3,120+Inputs!$B$27+Inputs!$B$29,MAX(0,(Inputs!$B$3-100)*3)+Inputs!$B$28+Inputs!$B$29)))</f>
        <v/>
      </c>
      <c r="E1054">
        <f>INDEX(FactorTable!$B$2:$Y$301, MATCH(ROUND(MIN(300,MAX(1,D1054)),0), FactorTable!$A$2:$A$301,0), Skills!M10+1)</f>
        <v/>
      </c>
      <c r="F1054">
        <f>IF(Skills!N10=TRUE,(Skills!L10/10)*(E1054/1000),Skills!L10/10)+Skills!O10</f>
        <v/>
      </c>
      <c r="G1054">
        <f>Calc!G10</f>
        <v/>
      </c>
      <c r="H1054">
        <f>Calc!H10</f>
        <v/>
      </c>
      <c r="I1054">
        <f>IF(Skills!X10&lt;&gt;"",1+(Skills!X10/10)*(Z1047/1000)/100,1)</f>
        <v/>
      </c>
      <c r="J1054">
        <f>((Inputs!$B$6*(1+Inputs!$B$7/100))+(((Inputs!$B$12*(1+Inputs!$B$13/100))-(Inputs!$B$12*(1+Inputs!$B$13/100)))+0.25*(Inputs!$B$14-Inputs!$B$14))*(1+Inputs!$B$7/100))*(F1054/100)</f>
        <v/>
      </c>
      <c r="K1054">
        <f>J1054*(1+((Inputs!$B$12*(1+Inputs!$B$13/100))*0.01+Inputs!$B$14*0.0025)/100)*(1+Inputs!$B$15/100)*(1+Inputs!$B$16/100)*(5000/(6000+Inputs!$B$42*(1-Inputs!$B$19/100)))*(1+Inputs!$B$24/100)*(1+F1067/100)*(1+IF(Inputs!$B$3&gt;=120,F1070,0)/100)^5*(1+(IF(Skills!A10="BASIC_ATTACK",Inputs!$B$17,Inputs!$B$18+IF(Inputs!$B$3&gt;=125,F1071*5,0)))/100)*(B1074*B1075*B1076*I1054)</f>
        <v/>
      </c>
      <c r="L1054">
        <f>K1054*(MIN(Inputs!$B$22+(F1066-Calc!F22),Inputs!$B$23)/100+Inputs!$B$23/100)/2</f>
        <v/>
      </c>
      <c r="M1054">
        <f>L1054*(1+(Inputs!$B$10+(F1065-Calc!F21))/100)</f>
        <v/>
      </c>
      <c r="N1054">
        <f>L1054*(1-MIN(Inputs!$B$9+(F1064-Calc!F20),100)/100)+M1054*(MIN(Inputs!$B$9+(F1064-Calc!F20),100)/100)</f>
        <v/>
      </c>
      <c r="O1054">
        <f>(1-Summary!$B$56)*S1054+Summary!$B$56*U1054</f>
        <v/>
      </c>
      <c r="P1054">
        <f>IF(B1085=0,0,O1054/B1085)</f>
        <v/>
      </c>
      <c r="Q1054">
        <f>IFERROR(1/IF(Inputs!$B$38="pvp",15,MAX(0.1,Skills!E10-IF(Skills!F10=TRUE,Inputs!$B$32,0))),0)</f>
        <v/>
      </c>
      <c r="R1054">
        <f>IF(AND(Inputs!$B$38&lt;&gt;"pvp",Inputs!$B$43&gt;0),IF(MAX(0,Inputs!$B$43-B1082)&lt;=0,0,(INT(MAX(0,Inputs!$B$43-B1082)/IF(Inputs!$B$38="pvp",15,MAX(0.1,Skills!E10-IF(Skills!F10=TRUE,Inputs!$B$32,0))))+1)),0)</f>
        <v/>
      </c>
      <c r="S1054">
        <f>IF(C1054,(H1054*N1054*IF(AND(Inputs!$B$38&lt;&gt;"pvp",Inputs!$B$43&gt;0),((Skills!G10*((R1054-1)*IF(Skills!H10&gt;0,Skills!I10/Skills!H10,1)+IF(Skills!H10&gt;0,MIN(Skills!I10,MAX(0,MAX(0,Inputs!$B$43-B1082)-((R1054-1)*IF(Inputs!$B$38="pvp",15,MAX(0.1,Skills!E10-IF(Skills!F10=TRUE,Inputs!$B$32,0))))))/Skills!H10,1)))/Inputs!$B$43),G1054*Q1054))*IF(Inputs!$B$38="pvp",1,1+(Inputs!$B$20+Skills!P10)/100),0)</f>
        <v/>
      </c>
      <c r="U1054">
        <f>IF(C1054,(H1054*N1054*IF(AND(Inputs!$B$38&lt;&gt;"pvp",Inputs!$B$43&gt;0),((Skills!G10*((R1054-1)*IF(Skills!H10&gt;0,Skills!I10/Skills!H10,1)+IF(Skills!H10&gt;0,MIN(Skills!I10,MAX(0,MAX(0,Inputs!$B$43-B1082)-((R1054-1)*IF(Inputs!$B$38="pvp",15,MAX(0.1,Skills!E10-IF(Skills!F10=TRUE,Inputs!$B$32,0))))))/Skills!H10,1)))/Inputs!$B$43),G1054*Q1054))*IF(Inputs!$B$38="pvp",1,(1+(Inputs!$B$21+Skills!Q10)/100)*(MIN(Skills!R10,Inputs!$B$37))),0)</f>
        <v/>
      </c>
    </row>
    <row r="1055">
      <c r="A1055">
        <f>Skills!A11</f>
        <v/>
      </c>
      <c r="B1055">
        <f>Skills!B11</f>
        <v/>
      </c>
      <c r="C1055">
        <f>TRUE</f>
        <v/>
      </c>
      <c r="D1055">
        <f>IF(Skills!C11=1,60+Inputs!$B$25+Inputs!$B$29,IF(Skills!C11=2,90+Inputs!$B$26+Inputs!$B$29,IF(Skills!C11=3,120+Inputs!$B$27+Inputs!$B$29,MAX(0,(Inputs!$B$3-100)*3)+Inputs!$B$28+Inputs!$B$29)))</f>
        <v/>
      </c>
      <c r="E1055">
        <f>INDEX(FactorTable!$B$2:$Y$301, MATCH(ROUND(MIN(300,MAX(1,D1055)),0), FactorTable!$A$2:$A$301,0), Skills!M11+1)</f>
        <v/>
      </c>
      <c r="F1055">
        <f>IF(Skills!N11=TRUE,(Skills!L11/10)*(E1055/1000),Skills!L11/10)+Skills!O11</f>
        <v/>
      </c>
      <c r="G1055">
        <f>Calc!G11</f>
        <v/>
      </c>
      <c r="H1055">
        <f>Calc!H11</f>
        <v/>
      </c>
      <c r="I1055">
        <f>IF(Skills!X11&lt;&gt;"",1+(Skills!X11/10)*(Z1047/1000)/100,1)</f>
        <v/>
      </c>
      <c r="J1055" t="inlineStr"/>
      <c r="K1055" t="inlineStr"/>
      <c r="L1055" t="inlineStr"/>
      <c r="M1055" t="inlineStr"/>
      <c r="N1055" t="inlineStr"/>
      <c r="O1055">
        <f>(1-Summary!$B$56)*S1055+Summary!$B$56*U1055</f>
        <v/>
      </c>
      <c r="P1055">
        <f>IF(B1085=0,0,O1055/B1085)</f>
        <v/>
      </c>
      <c r="Q1055">
        <f>IFERROR(1/IF(Inputs!$B$38="pvp",15,MAX(0.1,Skills!E11-IF(Skills!F11=TRUE,Inputs!$B$32,0))),0)</f>
        <v/>
      </c>
      <c r="R1055" t="n">
        <v>0</v>
      </c>
      <c r="S1055" t="n">
        <v>0</v>
      </c>
      <c r="U1055" t="n">
        <v>0</v>
      </c>
    </row>
    <row r="1056">
      <c r="A1056">
        <f>Skills!A12</f>
        <v/>
      </c>
      <c r="B1056">
        <f>Skills!B12</f>
        <v/>
      </c>
      <c r="C1056">
        <f>TRUE</f>
        <v/>
      </c>
      <c r="D1056">
        <f>IF(Skills!C12=1,60+Inputs!$B$25+Inputs!$B$29,IF(Skills!C12=2,90+Inputs!$B$26+Inputs!$B$29,IF(Skills!C12=3,120+Inputs!$B$27+Inputs!$B$29,MAX(0,(Inputs!$B$3-100)*3)+Inputs!$B$28+Inputs!$B$29)))</f>
        <v/>
      </c>
      <c r="E1056">
        <f>INDEX(FactorTable!$B$2:$Y$301, MATCH(ROUND(MIN(300,MAX(1,D1056)),0), FactorTable!$A$2:$A$301,0), Skills!M12+1)</f>
        <v/>
      </c>
      <c r="F1056">
        <f>IF(Skills!N12=TRUE,(Skills!L12/10)*(E1056/1000),Skills!L12/10)+Skills!O12</f>
        <v/>
      </c>
      <c r="G1056">
        <f>Calc!G12</f>
        <v/>
      </c>
      <c r="H1056">
        <f>Calc!H12</f>
        <v/>
      </c>
      <c r="I1056">
        <f>IF(Skills!X12&lt;&gt;"",1+(Skills!X12/10)*(Z1047/1000)/100,1)</f>
        <v/>
      </c>
      <c r="J1056" t="inlineStr"/>
      <c r="K1056" t="inlineStr"/>
      <c r="L1056" t="inlineStr"/>
      <c r="M1056" t="inlineStr"/>
      <c r="N1056" t="inlineStr"/>
      <c r="O1056">
        <f>(1-Summary!$B$56)*S1056+Summary!$B$56*U1056</f>
        <v/>
      </c>
      <c r="P1056">
        <f>IF(B1085=0,0,O1056/B1085)</f>
        <v/>
      </c>
      <c r="Q1056">
        <f>IFERROR(1/IF(Inputs!$B$38="pvp",15,MAX(0.1,Skills!E12-IF(Skills!F12=TRUE,Inputs!$B$32,0))),0)</f>
        <v/>
      </c>
      <c r="R1056" t="n">
        <v>0</v>
      </c>
      <c r="S1056" t="n">
        <v>0</v>
      </c>
      <c r="U1056" t="n">
        <v>0</v>
      </c>
    </row>
    <row r="1057">
      <c r="A1057">
        <f>Skills!A13</f>
        <v/>
      </c>
      <c r="B1057">
        <f>Skills!B13</f>
        <v/>
      </c>
      <c r="C1057">
        <f>Inputs!$B$3&gt;=105</f>
        <v/>
      </c>
      <c r="D1057">
        <f>IF(Skills!C13=1,60+Inputs!$B$25+Inputs!$B$29,IF(Skills!C13=2,90+Inputs!$B$26+Inputs!$B$29,IF(Skills!C13=3,120+Inputs!$B$27+Inputs!$B$29,MAX(0,(Inputs!$B$3-100)*3)+Inputs!$B$28+Inputs!$B$29)))</f>
        <v/>
      </c>
      <c r="E1057">
        <f>INDEX(FactorTable!$B$2:$Y$301, MATCH(ROUND(MIN(300,MAX(1,D1057)),0), FactorTable!$A$2:$A$301,0), Skills!M13+1)</f>
        <v/>
      </c>
      <c r="F1057">
        <f>IF(Skills!N13=TRUE,(Skills!L13/10)*(E1057/1000),Skills!L13/10)+Skills!O13</f>
        <v/>
      </c>
      <c r="G1057">
        <f>Calc!G13</f>
        <v/>
      </c>
      <c r="H1057">
        <f>Calc!H13</f>
        <v/>
      </c>
      <c r="I1057">
        <f>IF(Skills!X13&lt;&gt;"",1+(Skills!X13/10)*(Z1047/1000)/100,1)</f>
        <v/>
      </c>
      <c r="J1057">
        <f>((Inputs!$B$6*(1+Inputs!$B$7/100))+(((Inputs!$B$12*(1+Inputs!$B$13/100))-(Inputs!$B$12*(1+Inputs!$B$13/100)))+0.25*(Inputs!$B$14-Inputs!$B$14))*(1+Inputs!$B$7/100))*(F1057/100)</f>
        <v/>
      </c>
      <c r="K1057">
        <f>J1057*(1+((Inputs!$B$12*(1+Inputs!$B$13/100))*0.01+Inputs!$B$14*0.0025)/100)*(1+Inputs!$B$15/100)*(1+Inputs!$B$16/100)*(5000/(6000+Inputs!$B$42*(1-Inputs!$B$19/100)))*(1+Inputs!$B$24/100)*(1+F1067/100)*(1+IF(Inputs!$B$3&gt;=120,F1070,0)/100)^5*(1+(IF(Skills!A13="BASIC_ATTACK",Inputs!$B$17,Inputs!$B$18+IF(Inputs!$B$3&gt;=125,F1071*5,0)))/100)*(B1074*B1075*B1076*I1057)</f>
        <v/>
      </c>
      <c r="L1057">
        <f>K1057*(MIN(Inputs!$B$22+(F1066-Calc!F22),Inputs!$B$23)/100+Inputs!$B$23/100)/2</f>
        <v/>
      </c>
      <c r="M1057">
        <f>L1057*(1+(Inputs!$B$10+(F1065-Calc!F21))/100)</f>
        <v/>
      </c>
      <c r="N1057">
        <f>L1057*(1-MIN(Inputs!$B$9+(F1064-Calc!F20),100)/100)+M1057*(MIN(Inputs!$B$9+(F1064-Calc!F20),100)/100)</f>
        <v/>
      </c>
      <c r="O1057">
        <f>(1-Summary!$B$56)*S1057+Summary!$B$56*U1057</f>
        <v/>
      </c>
      <c r="P1057">
        <f>IF(B1085=0,0,O1057/B1085)</f>
        <v/>
      </c>
      <c r="Q1057">
        <f>IFERROR(1/IF(Inputs!$B$38="pvp",15,MAX(0.1,Skills!E13-IF(Skills!F13=TRUE,Inputs!$B$32,0))),0)</f>
        <v/>
      </c>
      <c r="R1057">
        <f>IF(AND(Inputs!$B$38&lt;&gt;"pvp",Inputs!$B$43&gt;0),IF(MAX(0,Inputs!$B$43-B1082)&lt;=0,0,(INT(MAX(0,Inputs!$B$43-B1082)/IF(Inputs!$B$38="pvp",15,MAX(0.1,Skills!E13-IF(Skills!F13=TRUE,Inputs!$B$32,0))))+1)),0)</f>
        <v/>
      </c>
      <c r="S1057">
        <f>IF(C1057,(H1057*N1057*IF(AND(Inputs!$B$38&lt;&gt;"pvp",Inputs!$B$43&gt;0),((Skills!G13*((R1057-1)*IF(Skills!H13&gt;0,Skills!I13/Skills!H13,1)+IF(Skills!H13&gt;0,MIN(Skills!I13,MAX(0,MAX(0,Inputs!$B$43-B1082)-((R1057-1)*IF(Inputs!$B$38="pvp",15,MAX(0.1,Skills!E13-IF(Skills!F13=TRUE,Inputs!$B$32,0))))))/Skills!H13,1)))/Inputs!$B$43),G1057*Q1057))*IF(Inputs!$B$38="pvp",1,1+(Inputs!$B$20+Skills!P13)/100),0)</f>
        <v/>
      </c>
      <c r="U1057">
        <f>IF(C1057,(H1057*N1057*IF(AND(Inputs!$B$38&lt;&gt;"pvp",Inputs!$B$43&gt;0),((Skills!G13*((R1057-1)*IF(Skills!H13&gt;0,Skills!I13/Skills!H13,1)+IF(Skills!H13&gt;0,MIN(Skills!I13,MAX(0,MAX(0,Inputs!$B$43-B1082)-((R1057-1)*IF(Inputs!$B$38="pvp",15,MAX(0.1,Skills!E13-IF(Skills!F13=TRUE,Inputs!$B$32,0))))))/Skills!H13,1)))/Inputs!$B$43),G1057*Q1057))*IF(Inputs!$B$38="pvp",1,(1+(Inputs!$B$21+Skills!Q13)/100)*(MIN(Skills!R13,Inputs!$B$37))),0)</f>
        <v/>
      </c>
    </row>
    <row r="1058">
      <c r="A1058">
        <f>Skills!A14</f>
        <v/>
      </c>
      <c r="B1058">
        <f>Skills!B14</f>
        <v/>
      </c>
      <c r="C1058">
        <f>Inputs!$B$3&gt;=113</f>
        <v/>
      </c>
      <c r="D1058">
        <f>IF(Skills!C14=1,60+Inputs!$B$25+Inputs!$B$29,IF(Skills!C14=2,90+Inputs!$B$26+Inputs!$B$29,IF(Skills!C14=3,120+Inputs!$B$27+Inputs!$B$29,MAX(0,(Inputs!$B$3-100)*3)+Inputs!$B$28+Inputs!$B$29)))</f>
        <v/>
      </c>
      <c r="E1058">
        <f>INDEX(FactorTable!$B$2:$Y$301, MATCH(ROUND(MIN(300,MAX(1,D1058)),0), FactorTable!$A$2:$A$301,0), Skills!M14+1)</f>
        <v/>
      </c>
      <c r="F1058">
        <f>IF(Skills!N14=TRUE,(Skills!L14/10)*(E1058/1000),Skills!L14/10)+Skills!O14</f>
        <v/>
      </c>
      <c r="G1058">
        <f>Calc!G14</f>
        <v/>
      </c>
      <c r="H1058">
        <f>Calc!H14</f>
        <v/>
      </c>
      <c r="I1058">
        <f>IF(Skills!X14&lt;&gt;"",1+(Skills!X14/10)*(Z1047/1000)/100,1)</f>
        <v/>
      </c>
      <c r="J1058">
        <f>((Inputs!$B$6*(1+Inputs!$B$7/100))+(((Inputs!$B$12*(1+Inputs!$B$13/100))-(Inputs!$B$12*(1+Inputs!$B$13/100)))+0.25*(Inputs!$B$14-Inputs!$B$14))*(1+Inputs!$B$7/100))*(F1058/100)</f>
        <v/>
      </c>
      <c r="K1058">
        <f>J1058*(1+((Inputs!$B$12*(1+Inputs!$B$13/100))*0.01+Inputs!$B$14*0.0025)/100)*(1+Inputs!$B$15/100)*(1+Inputs!$B$16/100)*(5000/(6000+Inputs!$B$42*(1-Inputs!$B$19/100)))*(1+Inputs!$B$24/100)*(1+F1067/100)*(1+IF(Inputs!$B$3&gt;=120,F1070,0)/100)^5*(1+(IF(Skills!A14="BASIC_ATTACK",Inputs!$B$17,Inputs!$B$18+IF(Inputs!$B$3&gt;=125,F1071*5,0)))/100)*(B1074*B1075*B1076*I1058)</f>
        <v/>
      </c>
      <c r="L1058">
        <f>K1058*(MIN(Inputs!$B$22+(F1066-Calc!F22),Inputs!$B$23)/100+Inputs!$B$23/100)/2</f>
        <v/>
      </c>
      <c r="M1058">
        <f>L1058*(1+(Inputs!$B$10+(F1065-Calc!F21))/100)</f>
        <v/>
      </c>
      <c r="N1058">
        <f>L1058*(1-MIN(Inputs!$B$9+(F1064-Calc!F20),100)/100)+M1058*(MIN(Inputs!$B$9+(F1064-Calc!F20),100)/100)</f>
        <v/>
      </c>
      <c r="O1058">
        <f>(1-Summary!$B$56)*S1058+Summary!$B$56*U1058</f>
        <v/>
      </c>
      <c r="P1058">
        <f>IF(B1085=0,0,O1058/B1085)</f>
        <v/>
      </c>
      <c r="Q1058">
        <f>IFERROR(1/IF(Inputs!$B$38="pvp",15,MAX(0.1,Skills!E14-IF(Skills!F14=TRUE,Inputs!$B$32,0))),0)</f>
        <v/>
      </c>
      <c r="R1058" t="n">
        <v>0</v>
      </c>
      <c r="S1058">
        <f>IF(C1058,((H1058*B1081)/(1+Skills!H14*H1058*B1081)*N1058)*IF(Inputs!$B$38="pvp",1,1+(Inputs!$B$20+Skills!P14)/100),0)</f>
        <v/>
      </c>
      <c r="U1058">
        <f>IF(C1058,((H1058*B1081)/(1+Skills!H14*H1058*B1081)*N1058)*IF(Inputs!$B$38="pvp",1,(1+(Inputs!$B$21+Skills!Q14)/100)*(MIN(Skills!R14,Inputs!$B$37))),0)</f>
        <v/>
      </c>
    </row>
    <row r="1059">
      <c r="A1059">
        <f>Skills!A15</f>
        <v/>
      </c>
      <c r="B1059">
        <f>Skills!B15</f>
        <v/>
      </c>
      <c r="C1059">
        <f>Inputs!$B$3&gt;=107</f>
        <v/>
      </c>
      <c r="D1059">
        <f>IF(Skills!C15=1,60+Inputs!$B$25+Inputs!$B$29,IF(Skills!C15=2,90+Inputs!$B$26+Inputs!$B$29,IF(Skills!C15=3,120+Inputs!$B$27+Inputs!$B$29,MAX(0,(Inputs!$B$3-100)*3)+Inputs!$B$28+Inputs!$B$29)))</f>
        <v/>
      </c>
      <c r="E1059">
        <f>INDEX(FactorTable!$B$2:$Y$301, MATCH(ROUND(MIN(300,MAX(1,D1059)),0), FactorTable!$A$2:$A$301,0), Skills!M15+1)</f>
        <v/>
      </c>
      <c r="F1059">
        <f>IF(Skills!N15=TRUE,(Skills!L15/10)*(E1059/1000),Skills!L15/10)+Skills!O15</f>
        <v/>
      </c>
      <c r="G1059">
        <f>Calc!G15</f>
        <v/>
      </c>
      <c r="H1059">
        <f>Calc!H15</f>
        <v/>
      </c>
      <c r="I1059">
        <f>IF(Skills!X15&lt;&gt;"",1+(Skills!X15/10)*(Z1047/1000)/100,1)</f>
        <v/>
      </c>
      <c r="J1059">
        <f>((Inputs!$B$6*(1+Inputs!$B$7/100))+(((Inputs!$B$12*(1+Inputs!$B$13/100))-(Inputs!$B$12*(1+Inputs!$B$13/100)))+0.25*(Inputs!$B$14-Inputs!$B$14))*(1+Inputs!$B$7/100))*(F1059/100)</f>
        <v/>
      </c>
      <c r="K1059">
        <f>J1059*(1+((Inputs!$B$12*(1+Inputs!$B$13/100))*0.01+Inputs!$B$14*0.0025)/100)*(1+Inputs!$B$15/100)*(1+Inputs!$B$16/100)*(5000/(6000+Inputs!$B$42*(1-Inputs!$B$19/100)))*(1+Inputs!$B$24/100)*(1+F1067/100)*(1+IF(Inputs!$B$3&gt;=120,F1070,0)/100)^5*(1+(IF(Skills!A15="BASIC_ATTACK",Inputs!$B$17,Inputs!$B$18+IF(Inputs!$B$3&gt;=125,F1071*5,0)))/100)*(B1074*B1075*B1076*I1059)</f>
        <v/>
      </c>
      <c r="L1059">
        <f>K1059*(MIN(Inputs!$B$22+(F1066-Calc!F22),Inputs!$B$23)/100+Inputs!$B$23/100)/2</f>
        <v/>
      </c>
      <c r="M1059">
        <f>L1059*(1+(Inputs!$B$10+(F1065-Calc!F21))/100)</f>
        <v/>
      </c>
      <c r="N1059">
        <f>L1059*(1-MIN(Inputs!$B$9+(F1064-Calc!F20),100)/100)+M1059*(MIN(Inputs!$B$9+(F1064-Calc!F20),100)/100)</f>
        <v/>
      </c>
      <c r="O1059">
        <f>(1-Summary!$B$56)*S1059+Summary!$B$56*U1059</f>
        <v/>
      </c>
      <c r="P1059">
        <f>IF(B1085=0,0,O1059/B1085)</f>
        <v/>
      </c>
      <c r="Q1059">
        <f>IFERROR(1/IF(Inputs!$B$38="pvp",15,MAX(0.1,Skills!E15-IF(Skills!F15=TRUE,Inputs!$B$32,0))),0)</f>
        <v/>
      </c>
      <c r="R1059">
        <f>IF(AND(Inputs!$B$38&lt;&gt;"pvp",Inputs!$B$43&gt;0),IF(MAX(0,Inputs!$B$43-B1082)&lt;=0,0,(INT(MAX(0,Inputs!$B$43-B1082)/IF(Inputs!$B$38="pvp",15,MAX(0.1,Skills!E15-IF(Skills!F15=TRUE,Inputs!$B$32,0))))+1)),0)</f>
        <v/>
      </c>
      <c r="S1059">
        <f>IF(C1059,(H1059*N1059*IF(AND(Inputs!$B$38&lt;&gt;"pvp",Inputs!$B$43&gt;0),((Skills!G15*((R1059-1)*IF(Skills!H15&gt;0,Skills!I15/Skills!H15,1)+IF(Skills!H15&gt;0,MIN(Skills!I15,MAX(0,MAX(0,Inputs!$B$43-B1082)-((R1059-1)*IF(Inputs!$B$38="pvp",15,MAX(0.1,Skills!E15-IF(Skills!F15=TRUE,Inputs!$B$32,0))))))/Skills!H15,1)))/Inputs!$B$43),G1059*Q1059))*IF(Inputs!$B$38="pvp",1,1+(Inputs!$B$20+Skills!P15)/100),0)</f>
        <v/>
      </c>
      <c r="U1059">
        <f>IF(C1059,(H1059*N1059*IF(AND(Inputs!$B$38&lt;&gt;"pvp",Inputs!$B$43&gt;0),((Skills!G15*((R1059-1)*IF(Skills!H15&gt;0,Skills!I15/Skills!H15,1)+IF(Skills!H15&gt;0,MIN(Skills!I15,MAX(0,MAX(0,Inputs!$B$43-B1082)-((R1059-1)*IF(Inputs!$B$38="pvp",15,MAX(0.1,Skills!E15-IF(Skills!F15=TRUE,Inputs!$B$32,0))))))/Skills!H15,1)))/Inputs!$B$43),G1059*Q1059))*IF(Inputs!$B$38="pvp",1,(1+(Inputs!$B$21+Skills!Q15)/100)*(MIN(Skills!R15,Inputs!$B$37))),0)</f>
        <v/>
      </c>
    </row>
    <row r="1060">
      <c r="A1060">
        <f>Skills!A16</f>
        <v/>
      </c>
      <c r="B1060">
        <f>Skills!B16</f>
        <v/>
      </c>
      <c r="C1060">
        <f>Inputs!$B$3&gt;=107</f>
        <v/>
      </c>
      <c r="D1060">
        <f>IF(Skills!C16=1,60+Inputs!$B$25+Inputs!$B$29,IF(Skills!C16=2,90+Inputs!$B$26+Inputs!$B$29,IF(Skills!C16=3,120+Inputs!$B$27+Inputs!$B$29,MAX(0,(Inputs!$B$3-100)*3)+Inputs!$B$28+Inputs!$B$29)))</f>
        <v/>
      </c>
      <c r="E1060">
        <f>INDEX(FactorTable!$B$2:$Y$301, MATCH(ROUND(MIN(300,MAX(1,D1060)),0), FactorTable!$A$2:$A$301,0), Skills!M16+1)</f>
        <v/>
      </c>
      <c r="F1060">
        <f>IF(Skills!N16=TRUE,(Skills!L16/10)*(E1060/1000),Skills!L16/10)+Skills!O16</f>
        <v/>
      </c>
      <c r="G1060">
        <f>Calc!G16</f>
        <v/>
      </c>
      <c r="H1060">
        <f>Calc!H16</f>
        <v/>
      </c>
      <c r="I1060">
        <f>IF(Skills!X16&lt;&gt;"",1+(Skills!X16/10)*(Z1047/1000)/100,1)</f>
        <v/>
      </c>
      <c r="J1060">
        <f>((Inputs!$B$6*(1+Inputs!$B$7/100))+(((Inputs!$B$12*(1+Inputs!$B$13/100))-(Inputs!$B$12*(1+Inputs!$B$13/100)))+0.25*(Inputs!$B$14-Inputs!$B$14))*(1+Inputs!$B$7/100))*(F1060/100)</f>
        <v/>
      </c>
      <c r="K1060">
        <f>J1060*(1+((Inputs!$B$12*(1+Inputs!$B$13/100))*0.01+Inputs!$B$14*0.0025)/100)*(1+Inputs!$B$15/100)*(1+Inputs!$B$16/100)*(5000/(6000+Inputs!$B$42*(1-Inputs!$B$19/100)))*(1+Inputs!$B$24/100)*(1+F1067/100)*(1+IF(Inputs!$B$3&gt;=120,F1070,0)/100)^5*(1+(IF(Skills!A16="BASIC_ATTACK",Inputs!$B$17,Inputs!$B$18+IF(Inputs!$B$3&gt;=125,F1071*5,0)))/100)*(B1074*B1075*B1076*I1060)</f>
        <v/>
      </c>
      <c r="L1060">
        <f>K1060*(MIN(Inputs!$B$22+(F1066-Calc!F22),Inputs!$B$23)/100+Inputs!$B$23/100)/2</f>
        <v/>
      </c>
      <c r="M1060">
        <f>L1060*(1+(Inputs!$B$10+(F1065-Calc!F21))/100)</f>
        <v/>
      </c>
      <c r="N1060">
        <f>L1060*(1-MIN(Inputs!$B$9+(F1064-Calc!F20),100)/100)+M1060*(MIN(Inputs!$B$9+(F1064-Calc!F20),100)/100)</f>
        <v/>
      </c>
      <c r="O1060">
        <f>(1-Summary!$B$56)*S1060+Summary!$B$56*U1060</f>
        <v/>
      </c>
      <c r="P1060">
        <f>IF(B1085=0,0,O1060/B1085)</f>
        <v/>
      </c>
      <c r="Q1060">
        <f>IFERROR(1/IF(Inputs!$B$38="pvp",15,MAX(0.1,Skills!E16-IF(Skills!F16=TRUE,Inputs!$B$32,0))),0)</f>
        <v/>
      </c>
      <c r="R1060">
        <f>IF(AND(Inputs!$B$38&lt;&gt;"pvp",Inputs!$B$43&gt;0),IF(MAX(0,Inputs!$B$43-B1082)&lt;=0,0,(INT(MAX(0,Inputs!$B$43-B1082)/IF(Inputs!$B$38="pvp",15,MAX(0.1,Skills!E16-IF(Skills!F16=TRUE,Inputs!$B$32,0))))+1)),0)</f>
        <v/>
      </c>
      <c r="S1060">
        <f>IF(C1060,(H1060*N1060*IF(AND(Inputs!$B$38&lt;&gt;"pvp",Inputs!$B$43&gt;0),((Skills!G16*((R1060-1)*IF(Skills!H16&gt;0,Skills!I16/Skills!H16,1)+IF(Skills!H16&gt;0,MIN(Skills!I16,MAX(0,MAX(0,Inputs!$B$43-B1082)-((R1060-1)*IF(Inputs!$B$38="pvp",15,MAX(0.1,Skills!E16-IF(Skills!F16=TRUE,Inputs!$B$32,0))))))/Skills!H16,1)))/Inputs!$B$43),G1060*Q1060)*(1+IF(Inputs!$B$3&gt;=126,0.05*(B1080+Q1057+(H1058*B1081)/(1+Skills!H14*H1058*B1081)+Q1068),0)*Skills!E15))*IF(Inputs!$B$38="pvp",1,1+(Inputs!$B$20+Skills!P16)/100),0)</f>
        <v/>
      </c>
      <c r="U1060">
        <f>IF(C1060,(H1060*N1060*IF(AND(Inputs!$B$38&lt;&gt;"pvp",Inputs!$B$43&gt;0),((Skills!G16*((R1060-1)*IF(Skills!H16&gt;0,Skills!I16/Skills!H16,1)+IF(Skills!H16&gt;0,MIN(Skills!I16,MAX(0,MAX(0,Inputs!$B$43-B1082)-((R1060-1)*IF(Inputs!$B$38="pvp",15,MAX(0.1,Skills!E16-IF(Skills!F16=TRUE,Inputs!$B$32,0))))))/Skills!H16,1)))/Inputs!$B$43),G1060*Q1060)*(1+IF(Inputs!$B$3&gt;=126,0.05*(B1080+Q1057+(H1058*B1081)/(1+Skills!H14*H1058*B1081)+Q1068),0)*Skills!E15))*IF(Inputs!$B$38="pvp",1,(1+(Inputs!$B$21+Skills!Q16)/100)*(MIN(Skills!R16,Inputs!$B$37))),0)</f>
        <v/>
      </c>
    </row>
    <row r="1061">
      <c r="A1061">
        <f>Skills!A17</f>
        <v/>
      </c>
      <c r="B1061">
        <f>Skills!B17</f>
        <v/>
      </c>
      <c r="C1061">
        <f>TRUE</f>
        <v/>
      </c>
      <c r="D1061">
        <f>IF(Skills!C17=1,60+Inputs!$B$25+Inputs!$B$29,IF(Skills!C17=2,90+Inputs!$B$26+Inputs!$B$29,IF(Skills!C17=3,120+Inputs!$B$27+Inputs!$B$29,MAX(0,(Inputs!$B$3-100)*3)+Inputs!$B$28+Inputs!$B$29)))</f>
        <v/>
      </c>
      <c r="E1061">
        <f>INDEX(FactorTable!$B$2:$Y$301, MATCH(ROUND(MIN(300,MAX(1,D1061)),0), FactorTable!$A$2:$A$301,0), Skills!M17+1)</f>
        <v/>
      </c>
      <c r="F1061">
        <f>IF(Skills!N17=TRUE,(Skills!L17/10)*(E1061/1000),Skills!L17/10)+Skills!O17</f>
        <v/>
      </c>
      <c r="G1061">
        <f>Calc!G17</f>
        <v/>
      </c>
      <c r="H1061">
        <f>Calc!H17</f>
        <v/>
      </c>
      <c r="I1061">
        <f>IF(Skills!X17&lt;&gt;"",1+(Skills!X17/10)*(Z1047/1000)/100,1)</f>
        <v/>
      </c>
      <c r="J1061" t="inlineStr"/>
      <c r="K1061" t="inlineStr"/>
      <c r="L1061" t="inlineStr"/>
      <c r="M1061" t="inlineStr"/>
      <c r="N1061" t="inlineStr"/>
      <c r="O1061">
        <f>(1-Summary!$B$56)*S1061+Summary!$B$56*U1061</f>
        <v/>
      </c>
      <c r="P1061">
        <f>IF(B1085=0,0,O1061/B1085)</f>
        <v/>
      </c>
      <c r="Q1061">
        <f>IFERROR(1/IF(Inputs!$B$38="pvp",15,MAX(0.1,Skills!E17-IF(Skills!F17=TRUE,Inputs!$B$32,0))),0)</f>
        <v/>
      </c>
      <c r="R1061">
        <f>IF(AND(Inputs!$B$38&lt;&gt;"pvp",Inputs!$B$43&gt;0),IF(Inputs!$B$43&lt;=0,0,(INT(Inputs!$B$43/IF(Inputs!$B$38="pvp",15,MAX(0.1,Skills!E17-IF(Skills!F17=TRUE,Inputs!$B$32,0))))+1)),0)</f>
        <v/>
      </c>
      <c r="S1061" t="n">
        <v>0</v>
      </c>
      <c r="U1061" t="n">
        <v>0</v>
      </c>
    </row>
    <row r="1062">
      <c r="A1062">
        <f>Skills!A18</f>
        <v/>
      </c>
      <c r="B1062">
        <f>Skills!B18</f>
        <v/>
      </c>
      <c r="C1062">
        <f>TRUE</f>
        <v/>
      </c>
      <c r="D1062">
        <f>IF(Skills!C18=1,60+Inputs!$B$25+Inputs!$B$29,IF(Skills!C18=2,90+Inputs!$B$26+Inputs!$B$29,IF(Skills!C18=3,120+Inputs!$B$27+Inputs!$B$29,MAX(0,(Inputs!$B$3-100)*3)+Inputs!$B$28+Inputs!$B$29)))</f>
        <v/>
      </c>
      <c r="E1062">
        <f>INDEX(FactorTable!$B$2:$Y$301, MATCH(ROUND(MIN(300,MAX(1,D1062)),0), FactorTable!$A$2:$A$301,0), Skills!M18+1)</f>
        <v/>
      </c>
      <c r="F1062">
        <f>IF(Skills!N18=TRUE,(Skills!L18/10)*(E1062/1000),Skills!L18/10)+Skills!O18</f>
        <v/>
      </c>
      <c r="G1062">
        <f>Calc!G18</f>
        <v/>
      </c>
      <c r="H1062">
        <f>Calc!H18</f>
        <v/>
      </c>
      <c r="I1062">
        <f>IF(Skills!X18&lt;&gt;"",1+(Skills!X18/10)*(Z1047/1000)/100,1)</f>
        <v/>
      </c>
      <c r="J1062" t="inlineStr"/>
      <c r="K1062" t="inlineStr"/>
      <c r="L1062" t="inlineStr"/>
      <c r="M1062" t="inlineStr"/>
      <c r="N1062" t="inlineStr"/>
      <c r="O1062">
        <f>(1-Summary!$B$56)*S1062+Summary!$B$56*U1062</f>
        <v/>
      </c>
      <c r="P1062">
        <f>IF(B1085=0,0,O1062/B1085)</f>
        <v/>
      </c>
      <c r="Q1062">
        <f>IFERROR(1/IF(Inputs!$B$38="pvp",15,MAX(0.1,Skills!E18-IF(Skills!F18=TRUE,Inputs!$B$32,0))),0)</f>
        <v/>
      </c>
      <c r="R1062">
        <f>IF(AND(Inputs!$B$38&lt;&gt;"pvp",Inputs!$B$43&gt;0),IF(Inputs!$B$43&lt;=0,0,(INT(Inputs!$B$43/IF(Inputs!$B$38="pvp",15,MAX(0.1,Skills!E18-IF(Skills!F18=TRUE,Inputs!$B$32,0))))+1)),0)</f>
        <v/>
      </c>
      <c r="S1062" t="n">
        <v>0</v>
      </c>
      <c r="U1062" t="n">
        <v>0</v>
      </c>
    </row>
    <row r="1063">
      <c r="A1063">
        <f>Skills!A19</f>
        <v/>
      </c>
      <c r="B1063">
        <f>Skills!B19</f>
        <v/>
      </c>
      <c r="C1063">
        <f>Inputs!$B$3&gt;=110</f>
        <v/>
      </c>
      <c r="D1063">
        <f>IF(Skills!C19=1,60+Inputs!$B$25+Inputs!$B$29,IF(Skills!C19=2,90+Inputs!$B$26+Inputs!$B$29,IF(Skills!C19=3,120+Inputs!$B$27+Inputs!$B$29,MAX(0,(Inputs!$B$3-100)*3)+Inputs!$B$28+Inputs!$B$29)))</f>
        <v/>
      </c>
      <c r="E1063">
        <f>INDEX(FactorTable!$B$2:$Y$301, MATCH(ROUND(MIN(300,MAX(1,D1063)),0), FactorTable!$A$2:$A$301,0), Skills!M19+1)</f>
        <v/>
      </c>
      <c r="F1063">
        <f>IF(Skills!N19=TRUE,(Skills!L19/10)*(E1063/1000),Skills!L19/10)+Skills!O19</f>
        <v/>
      </c>
      <c r="G1063">
        <f>Calc!G19</f>
        <v/>
      </c>
      <c r="H1063">
        <f>Calc!H19</f>
        <v/>
      </c>
      <c r="I1063">
        <f>IF(Skills!X19&lt;&gt;"",1+(Skills!X19/10)*(Z1047/1000)/100,1)</f>
        <v/>
      </c>
      <c r="J1063" t="inlineStr"/>
      <c r="K1063" t="inlineStr"/>
      <c r="L1063" t="inlineStr"/>
      <c r="M1063" t="inlineStr"/>
      <c r="N1063" t="inlineStr"/>
      <c r="O1063">
        <f>(1-Summary!$B$56)*S1063+Summary!$B$56*U1063</f>
        <v/>
      </c>
      <c r="P1063">
        <f>IF(B1085=0,0,O1063/B1085)</f>
        <v/>
      </c>
      <c r="Q1063">
        <f>IFERROR(1/IF(Inputs!$B$38="pvp",15,MAX(0.1,Skills!E19-IF(Skills!F19=TRUE,Inputs!$B$32,0))),0)</f>
        <v/>
      </c>
      <c r="R1063">
        <f>IF(AND(Inputs!$B$38&lt;&gt;"pvp",Inputs!$B$43&gt;0),IF(Inputs!$B$43&lt;=0,0,(INT(Inputs!$B$43/IF(Inputs!$B$38="pvp",15,MAX(0.1,Skills!E19-IF(Skills!F19=TRUE,Inputs!$B$32,0))))+1)),0)</f>
        <v/>
      </c>
      <c r="S1063" t="n">
        <v>0</v>
      </c>
      <c r="U1063" t="n">
        <v>0</v>
      </c>
    </row>
    <row r="1064">
      <c r="A1064">
        <f>Skills!A20</f>
        <v/>
      </c>
      <c r="B1064">
        <f>Skills!B20</f>
        <v/>
      </c>
      <c r="C1064">
        <f>TRUE</f>
        <v/>
      </c>
      <c r="D1064">
        <f>IF(Skills!C20=1,60+Inputs!$B$25+Inputs!$B$29,IF(Skills!C20=2,90+Inputs!$B$26+Inputs!$B$29,IF(Skills!C20=3,120+Inputs!$B$27+Inputs!$B$29,MAX(0,(Inputs!$B$3-100)*3)+Inputs!$B$28+Inputs!$B$29)))</f>
        <v/>
      </c>
      <c r="E1064">
        <f>INDEX(FactorTable!$B$2:$Y$301, MATCH(ROUND(MIN(300,MAX(1,D1064)),0), FactorTable!$A$2:$A$301,0), Skills!M20+1)</f>
        <v/>
      </c>
      <c r="F1064">
        <f>IF(Skills!N20=TRUE,(Skills!L20/10)*(E1064/1000),Skills!L20/10)+Skills!O20</f>
        <v/>
      </c>
      <c r="G1064">
        <f>Calc!G20</f>
        <v/>
      </c>
      <c r="H1064">
        <f>Calc!H20</f>
        <v/>
      </c>
      <c r="I1064">
        <f>IF(Skills!X20&lt;&gt;"",1+(Skills!X20/10)*(Z1047/1000)/100,1)</f>
        <v/>
      </c>
      <c r="J1064" t="inlineStr"/>
      <c r="K1064" t="inlineStr"/>
      <c r="L1064" t="inlineStr"/>
      <c r="M1064" t="inlineStr"/>
      <c r="N1064" t="inlineStr"/>
      <c r="O1064">
        <f>(1-Summary!$B$56)*S1064+Summary!$B$56*U1064</f>
        <v/>
      </c>
      <c r="P1064">
        <f>IF(B1085=0,0,O1064/B1085)</f>
        <v/>
      </c>
      <c r="Q1064">
        <f>IFERROR(1/IF(Inputs!$B$38="pvp",15,MAX(0.1,Skills!E20-IF(Skills!F20=TRUE,Inputs!$B$32,0))),0)</f>
        <v/>
      </c>
      <c r="R1064" t="n">
        <v>0</v>
      </c>
      <c r="S1064" t="n">
        <v>0</v>
      </c>
      <c r="U1064" t="n">
        <v>0</v>
      </c>
    </row>
    <row r="1065">
      <c r="A1065">
        <f>Skills!A21</f>
        <v/>
      </c>
      <c r="B1065">
        <f>Skills!B21</f>
        <v/>
      </c>
      <c r="C1065">
        <f>TRUE</f>
        <v/>
      </c>
      <c r="D1065">
        <f>IF(Skills!C21=1,60+Inputs!$B$25+Inputs!$B$29,IF(Skills!C21=2,90+Inputs!$B$26+Inputs!$B$29,IF(Skills!C21=3,120+Inputs!$B$27+Inputs!$B$29,MAX(0,(Inputs!$B$3-100)*3)+Inputs!$B$28+Inputs!$B$29)))</f>
        <v/>
      </c>
      <c r="E1065">
        <f>INDEX(FactorTable!$B$2:$Y$301, MATCH(ROUND(MIN(300,MAX(1,D1065)),0), FactorTable!$A$2:$A$301,0), Skills!M21+1)</f>
        <v/>
      </c>
      <c r="F1065">
        <f>IF(Skills!N21=TRUE,(Skills!L21/10)*(E1065/1000),Skills!L21/10)+Skills!O21</f>
        <v/>
      </c>
      <c r="G1065">
        <f>Calc!G21</f>
        <v/>
      </c>
      <c r="H1065">
        <f>Calc!H21</f>
        <v/>
      </c>
      <c r="I1065">
        <f>IF(Skills!X21&lt;&gt;"",1+(Skills!X21/10)*(Z1047/1000)/100,1)</f>
        <v/>
      </c>
      <c r="J1065" t="inlineStr"/>
      <c r="K1065" t="inlineStr"/>
      <c r="L1065" t="inlineStr"/>
      <c r="M1065" t="inlineStr"/>
      <c r="N1065" t="inlineStr"/>
      <c r="O1065">
        <f>(1-Summary!$B$56)*S1065+Summary!$B$56*U1065</f>
        <v/>
      </c>
      <c r="P1065">
        <f>IF(B1085=0,0,O1065/B1085)</f>
        <v/>
      </c>
      <c r="Q1065">
        <f>IFERROR(1/IF(Inputs!$B$38="pvp",15,MAX(0.1,Skills!E21-IF(Skills!F21=TRUE,Inputs!$B$32,0))),0)</f>
        <v/>
      </c>
      <c r="R1065" t="n">
        <v>0</v>
      </c>
      <c r="S1065" t="n">
        <v>0</v>
      </c>
      <c r="U1065" t="n">
        <v>0</v>
      </c>
    </row>
    <row r="1066">
      <c r="A1066">
        <f>Skills!A22</f>
        <v/>
      </c>
      <c r="B1066">
        <f>Skills!B22</f>
        <v/>
      </c>
      <c r="C1066">
        <f>TRUE</f>
        <v/>
      </c>
      <c r="D1066">
        <f>IF(Skills!C22=1,60+Inputs!$B$25+Inputs!$B$29,IF(Skills!C22=2,90+Inputs!$B$26+Inputs!$B$29,IF(Skills!C22=3,120+Inputs!$B$27+Inputs!$B$29,MAX(0,(Inputs!$B$3-100)*3)+Inputs!$B$28+Inputs!$B$29)))</f>
        <v/>
      </c>
      <c r="E1066">
        <f>INDEX(FactorTable!$B$2:$Y$301, MATCH(ROUND(MIN(300,MAX(1,D1066)),0), FactorTable!$A$2:$A$301,0), Skills!M22+1)</f>
        <v/>
      </c>
      <c r="F1066">
        <f>IF(Skills!N22=TRUE,(Skills!L22/10)*(E1066/1000),Skills!L22/10)+Skills!O22</f>
        <v/>
      </c>
      <c r="G1066">
        <f>Calc!G22</f>
        <v/>
      </c>
      <c r="H1066">
        <f>Calc!H22</f>
        <v/>
      </c>
      <c r="I1066">
        <f>IF(Skills!X22&lt;&gt;"",1+(Skills!X22/10)*(Z1047/1000)/100,1)</f>
        <v/>
      </c>
      <c r="J1066" t="inlineStr"/>
      <c r="K1066" t="inlineStr"/>
      <c r="L1066" t="inlineStr"/>
      <c r="M1066" t="inlineStr"/>
      <c r="N1066" t="inlineStr"/>
      <c r="O1066">
        <f>(1-Summary!$B$56)*S1066+Summary!$B$56*U1066</f>
        <v/>
      </c>
      <c r="P1066">
        <f>IF(B1085=0,0,O1066/B1085)</f>
        <v/>
      </c>
      <c r="Q1066">
        <f>IFERROR(1/IF(Inputs!$B$38="pvp",15,MAX(0.1,Skills!E22-IF(Skills!F22=TRUE,Inputs!$B$32,0))),0)</f>
        <v/>
      </c>
      <c r="R1066" t="n">
        <v>0</v>
      </c>
      <c r="S1066" t="n">
        <v>0</v>
      </c>
      <c r="U1066" t="n">
        <v>0</v>
      </c>
    </row>
    <row r="1067">
      <c r="A1067">
        <f>Skills!A23</f>
        <v/>
      </c>
      <c r="B1067">
        <f>Skills!B23</f>
        <v/>
      </c>
      <c r="C1067">
        <f>TRUE</f>
        <v/>
      </c>
      <c r="D1067">
        <f>IF(Skills!C23=1,60+Inputs!$B$25+Inputs!$B$29,IF(Skills!C23=2,90+Inputs!$B$26+Inputs!$B$29,IF(Skills!C23=3,120+Inputs!$B$27+Inputs!$B$29,MAX(0,(Inputs!$B$3-100)*3)+Inputs!$B$28+Inputs!$B$29)))</f>
        <v/>
      </c>
      <c r="E1067">
        <f>INDEX(FactorTable!$B$2:$Y$301, MATCH(ROUND(MIN(300,MAX(1,D1067)),0), FactorTable!$A$2:$A$301,0), Skills!M23+1)</f>
        <v/>
      </c>
      <c r="F1067">
        <f>IF(Skills!N23=TRUE,(Skills!L23/10)*(E1067/1000),Skills!L23/10)+Skills!O23</f>
        <v/>
      </c>
      <c r="G1067">
        <f>Calc!G23</f>
        <v/>
      </c>
      <c r="H1067">
        <f>Calc!H23</f>
        <v/>
      </c>
      <c r="I1067">
        <f>IF(Skills!X23&lt;&gt;"",1+(Skills!X23/10)*(Z1047/1000)/100,1)</f>
        <v/>
      </c>
      <c r="J1067" t="inlineStr"/>
      <c r="K1067" t="inlineStr"/>
      <c r="L1067" t="inlineStr"/>
      <c r="M1067" t="inlineStr"/>
      <c r="N1067" t="inlineStr"/>
      <c r="O1067">
        <f>(1-Summary!$B$56)*S1067+Summary!$B$56*U1067</f>
        <v/>
      </c>
      <c r="P1067">
        <f>IF(B1085=0,0,O1067/B1085)</f>
        <v/>
      </c>
      <c r="Q1067">
        <f>IFERROR(1/IF(Inputs!$B$38="pvp",15,MAX(0.1,Skills!E23-IF(Skills!F23=TRUE,Inputs!$B$32,0))),0)</f>
        <v/>
      </c>
      <c r="R1067" t="n">
        <v>0</v>
      </c>
      <c r="S1067" t="n">
        <v>0</v>
      </c>
      <c r="U1067" t="n">
        <v>0</v>
      </c>
    </row>
    <row r="1068">
      <c r="A1068">
        <f>Skills!A24</f>
        <v/>
      </c>
      <c r="B1068">
        <f>Skills!B24</f>
        <v/>
      </c>
      <c r="C1068">
        <f>Inputs!$B$3&gt;=115</f>
        <v/>
      </c>
      <c r="D1068">
        <f>IF(Skills!C24=1,60+Inputs!$B$25+Inputs!$B$29,IF(Skills!C24=2,90+Inputs!$B$26+Inputs!$B$29,IF(Skills!C24=3,120+Inputs!$B$27+Inputs!$B$29,MAX(0,(Inputs!$B$3-100)*3)+Inputs!$B$28+Inputs!$B$29)))</f>
        <v/>
      </c>
      <c r="E1068">
        <f>INDEX(FactorTable!$B$2:$Y$301, MATCH(ROUND(MIN(300,MAX(1,D1068)),0), FactorTable!$A$2:$A$301,0), Skills!M24+1)</f>
        <v/>
      </c>
      <c r="F1068">
        <f>IF(Skills!N24=TRUE,(Skills!L24/10)*(E1068/1000),Skills!L24/10)+Skills!O24</f>
        <v/>
      </c>
      <c r="G1068">
        <f>Calc!G24</f>
        <v/>
      </c>
      <c r="H1068">
        <f>Calc!H24</f>
        <v/>
      </c>
      <c r="I1068">
        <f>IF(Skills!X24&lt;&gt;"",1+(Skills!X24/10)*(Z1047/1000)/100,1)</f>
        <v/>
      </c>
      <c r="J1068">
        <f>((Inputs!$B$6*(1+Inputs!$B$7/100))+(((Inputs!$B$12*(1+Inputs!$B$13/100))-(Inputs!$B$12*(1+Inputs!$B$13/100)))+0.25*(Inputs!$B$14-Inputs!$B$14))*(1+Inputs!$B$7/100))*(F1068/100)</f>
        <v/>
      </c>
      <c r="K1068">
        <f>J1068*(1+((Inputs!$B$12*(1+Inputs!$B$13/100))*0.01+Inputs!$B$14*0.0025)/100)*(1+Inputs!$B$15/100)*(1+Inputs!$B$16/100)*(5000/(6000+Inputs!$B$42*(1-Inputs!$B$19/100)))*(1+Inputs!$B$24/100)*(1+F1067/100)*(1+IF(Inputs!$B$3&gt;=120,F1070,0)/100)^5*(1+(IF(Skills!A24="BASIC_ATTACK",Inputs!$B$17,Inputs!$B$18+IF(Inputs!$B$3&gt;=125,F1071*5,0)))/100)*(B1074*B1075*B1076*I1068)</f>
        <v/>
      </c>
      <c r="L1068">
        <f>K1068*(MIN(Inputs!$B$22+(F1066-Calc!F22),Inputs!$B$23)/100+Inputs!$B$23/100)/2</f>
        <v/>
      </c>
      <c r="M1068">
        <f>L1068*(1+(Inputs!$B$10+(F1065-Calc!F21))/100)</f>
        <v/>
      </c>
      <c r="N1068">
        <f>L1068*(1-MIN(Inputs!$B$9+(F1064-Calc!F20),100)/100)+M1068*(MIN(Inputs!$B$9+(F1064-Calc!F20),100)/100)</f>
        <v/>
      </c>
      <c r="O1068">
        <f>(1-Summary!$B$56)*S1068+Summary!$B$56*U1068</f>
        <v/>
      </c>
      <c r="P1068">
        <f>IF(B1085=0,0,O1068/B1085)</f>
        <v/>
      </c>
      <c r="Q1068">
        <f>IFERROR(1/IF(Inputs!$B$38="pvp",15,MAX(0.1,Skills!E24-IF(Skills!F24=TRUE,Inputs!$B$32,0))),0)</f>
        <v/>
      </c>
      <c r="R1068">
        <f>IF(AND(Inputs!$B$38&lt;&gt;"pvp",Inputs!$B$43&gt;0),IF(MAX(0,Inputs!$B$43-B1082)&lt;=0,0,(INT(MAX(0,Inputs!$B$43-B1082)/IF(Inputs!$B$38="pvp",15,MAX(0.1,Skills!E24-IF(Skills!F24=TRUE,Inputs!$B$32,0))))+1)),0)</f>
        <v/>
      </c>
      <c r="S1068">
        <f>IF(C1068,(H1068*N1068*IF(AND(Inputs!$B$38&lt;&gt;"pvp",Inputs!$B$43&gt;0),((Skills!G24*((R1068-1)*IF(Skills!H24&gt;0,Skills!I24/Skills!H24,1)+IF(Skills!H24&gt;0,MIN(Skills!I24,MAX(0,MAX(0,Inputs!$B$43-B1082)-((R1068-1)*IF(Inputs!$B$38="pvp",15,MAX(0.1,Skills!E24-IF(Skills!F24=TRUE,Inputs!$B$32,0))))))/Skills!H24,1)))/Inputs!$B$43),G1068*Q1068)*(1+IF(Inputs!$B$3&gt;=130,0.2*(Skills!I16/Skills!E15+IF(Inputs!$B$3&gt;=126,0.05*(B1080+Q1057+(H1058*B1081)/(1+Skills!H14*H1058*B1081)+Q1068),0)*Skills!I16),0)))*IF(Inputs!$B$38="pvp",1,1+(Inputs!$B$20+Skills!P24)/100),0)</f>
        <v/>
      </c>
      <c r="U1068">
        <f>IF(C1068,(H1068*N1068*IF(AND(Inputs!$B$38&lt;&gt;"pvp",Inputs!$B$43&gt;0),((Skills!G24*((R1068-1)*IF(Skills!H24&gt;0,Skills!I24/Skills!H24,1)+IF(Skills!H24&gt;0,MIN(Skills!I24,MAX(0,MAX(0,Inputs!$B$43-B1082)-((R1068-1)*IF(Inputs!$B$38="pvp",15,MAX(0.1,Skills!E24-IF(Skills!F24=TRUE,Inputs!$B$32,0))))))/Skills!H24,1)))/Inputs!$B$43),G1068*Q1068)*(1+IF(Inputs!$B$3&gt;=130,0.2*(Skills!I16/Skills!E15+IF(Inputs!$B$3&gt;=126,0.05*(B1080+Q1057+(H1058*B1081)/(1+Skills!H14*H1058*B1081)+Q1068),0)*Skills!I16),0)))*IF(Inputs!$B$38="pvp",1,(1+(Inputs!$B$21+Skills!Q24)/100)*(MIN(Skills!R24,Inputs!$B$37))),0)</f>
        <v/>
      </c>
    </row>
    <row r="1069">
      <c r="A1069">
        <f>Skills!A25</f>
        <v/>
      </c>
      <c r="B1069">
        <f>Skills!B25</f>
        <v/>
      </c>
      <c r="C1069">
        <f>Inputs!$B$3&gt;=117</f>
        <v/>
      </c>
      <c r="D1069">
        <f>IF(Skills!C25=1,60+Inputs!$B$25+Inputs!$B$29,IF(Skills!C25=2,90+Inputs!$B$26+Inputs!$B$29,IF(Skills!C25=3,120+Inputs!$B$27+Inputs!$B$29,MAX(0,(Inputs!$B$3-100)*3)+Inputs!$B$28+Inputs!$B$29)))</f>
        <v/>
      </c>
      <c r="E1069">
        <f>INDEX(FactorTable!$B$2:$Y$301, MATCH(ROUND(MIN(300,MAX(1,D1069)),0), FactorTable!$A$2:$A$301,0), Skills!M25+1)</f>
        <v/>
      </c>
      <c r="F1069">
        <f>IF(Skills!N25=TRUE,(Skills!L25/10)*(E1069/1000),Skills!L25/10)+Skills!O25</f>
        <v/>
      </c>
      <c r="G1069">
        <f>Calc!G25</f>
        <v/>
      </c>
      <c r="H1069">
        <f>Calc!H25</f>
        <v/>
      </c>
      <c r="I1069">
        <f>IF(Skills!X25&lt;&gt;"",1+(Skills!X25/10)*(Z1047/1000)/100,1)</f>
        <v/>
      </c>
      <c r="J1069" t="inlineStr"/>
      <c r="K1069" t="inlineStr"/>
      <c r="L1069" t="inlineStr"/>
      <c r="M1069" t="inlineStr"/>
      <c r="N1069" t="inlineStr"/>
      <c r="O1069">
        <f>(1-Summary!$B$56)*S1069+Summary!$B$56*U1069</f>
        <v/>
      </c>
      <c r="P1069">
        <f>IF(B1085=0,0,O1069/B1085)</f>
        <v/>
      </c>
      <c r="Q1069">
        <f>IFERROR(1/IF(Inputs!$B$38="pvp",15,MAX(0.1,Skills!E25-IF(Skills!F25=TRUE,Inputs!$B$32,0))),0)</f>
        <v/>
      </c>
      <c r="R1069" t="n">
        <v>0</v>
      </c>
      <c r="S1069" t="n">
        <v>0</v>
      </c>
      <c r="U1069" t="n">
        <v>0</v>
      </c>
    </row>
    <row r="1070">
      <c r="A1070">
        <f>Skills!A26</f>
        <v/>
      </c>
      <c r="B1070">
        <f>Skills!B26</f>
        <v/>
      </c>
      <c r="C1070">
        <f>Inputs!$B$3&gt;=120</f>
        <v/>
      </c>
      <c r="D1070">
        <f>IF(Skills!C26=1,60+Inputs!$B$25+Inputs!$B$29,IF(Skills!C26=2,90+Inputs!$B$26+Inputs!$B$29,IF(Skills!C26=3,120+Inputs!$B$27+Inputs!$B$29,MAX(0,(Inputs!$B$3-100)*3)+Inputs!$B$28+Inputs!$B$29)))</f>
        <v/>
      </c>
      <c r="E1070">
        <f>INDEX(FactorTable!$B$2:$Y$301, MATCH(ROUND(MIN(300,MAX(1,D1070)),0), FactorTable!$A$2:$A$301,0), Skills!M26+1)</f>
        <v/>
      </c>
      <c r="F1070">
        <f>IF(Skills!N26=TRUE,(Skills!L26/10)*(E1070/1000),Skills!L26/10)+Skills!O26</f>
        <v/>
      </c>
      <c r="G1070">
        <f>Calc!G26</f>
        <v/>
      </c>
      <c r="H1070">
        <f>Calc!H26</f>
        <v/>
      </c>
      <c r="I1070">
        <f>IF(Skills!X26&lt;&gt;"",1+(Skills!X26/10)*(Z1047/1000)/100,1)</f>
        <v/>
      </c>
      <c r="J1070" t="inlineStr"/>
      <c r="K1070" t="inlineStr"/>
      <c r="L1070" t="inlineStr"/>
      <c r="M1070" t="inlineStr"/>
      <c r="N1070" t="inlineStr"/>
      <c r="O1070">
        <f>(1-Summary!$B$56)*S1070+Summary!$B$56*U1070</f>
        <v/>
      </c>
      <c r="P1070">
        <f>IF(B1085=0,0,O1070/B1085)</f>
        <v/>
      </c>
      <c r="Q1070">
        <f>IFERROR(1/IF(Inputs!$B$38="pvp",15,MAX(0.1,Skills!E26-IF(Skills!F26=TRUE,Inputs!$B$32,0))),0)</f>
        <v/>
      </c>
      <c r="R1070" t="n">
        <v>0</v>
      </c>
      <c r="S1070" t="n">
        <v>0</v>
      </c>
      <c r="U1070" t="n">
        <v>0</v>
      </c>
    </row>
    <row r="1071">
      <c r="A1071">
        <f>Skills!A27</f>
        <v/>
      </c>
      <c r="B1071">
        <f>Skills!B27</f>
        <v/>
      </c>
      <c r="C1071">
        <f>Inputs!$B$3&gt;=125</f>
        <v/>
      </c>
      <c r="D1071">
        <f>IF(Skills!C27=1,60+Inputs!$B$25+Inputs!$B$29,IF(Skills!C27=2,90+Inputs!$B$26+Inputs!$B$29,IF(Skills!C27=3,120+Inputs!$B$27+Inputs!$B$29,MAX(0,(Inputs!$B$3-100)*3)+Inputs!$B$28+Inputs!$B$29)))</f>
        <v/>
      </c>
      <c r="E1071">
        <f>INDEX(FactorTable!$B$2:$Y$301, MATCH(ROUND(MIN(300,MAX(1,D1071)),0), FactorTable!$A$2:$A$301,0), Skills!M27+1)</f>
        <v/>
      </c>
      <c r="F1071">
        <f>IF(Skills!N27=TRUE,(Skills!L27/10)*(E1071/1000),Skills!L27/10)+Skills!O27</f>
        <v/>
      </c>
      <c r="G1071">
        <f>Calc!G27</f>
        <v/>
      </c>
      <c r="H1071">
        <f>Calc!H27</f>
        <v/>
      </c>
      <c r="I1071">
        <f>IF(Skills!X27&lt;&gt;"",1+(Skills!X27/10)*(Z1047/1000)/100,1)</f>
        <v/>
      </c>
      <c r="J1071" t="inlineStr"/>
      <c r="K1071" t="inlineStr"/>
      <c r="L1071" t="inlineStr"/>
      <c r="M1071" t="inlineStr"/>
      <c r="N1071" t="inlineStr"/>
      <c r="O1071">
        <f>(1-Summary!$B$56)*S1071+Summary!$B$56*U1071</f>
        <v/>
      </c>
      <c r="P1071">
        <f>IF(B1085=0,0,O1071/B1085)</f>
        <v/>
      </c>
      <c r="Q1071">
        <f>IFERROR(1/IF(Inputs!$B$38="pvp",15,MAX(0.1,Skills!E27-IF(Skills!F27=TRUE,Inputs!$B$32,0))),0)</f>
        <v/>
      </c>
      <c r="R1071" t="n">
        <v>0</v>
      </c>
      <c r="S1071" t="n">
        <v>0</v>
      </c>
      <c r="U1071" t="n">
        <v>0</v>
      </c>
    </row>
    <row r="1072">
      <c r="A1072">
        <f>Skills!A28</f>
        <v/>
      </c>
      <c r="B1072">
        <f>Skills!B28</f>
        <v/>
      </c>
      <c r="C1072">
        <f>Inputs!$B$3&gt;=118</f>
        <v/>
      </c>
      <c r="D1072">
        <f>IF(Skills!C28=1,60+Inputs!$B$25+Inputs!$B$29,IF(Skills!C28=2,90+Inputs!$B$26+Inputs!$B$29,IF(Skills!C28=3,120+Inputs!$B$27+Inputs!$B$29,MAX(0,(Inputs!$B$3-100)*3)+Inputs!$B$28+Inputs!$B$29)))</f>
        <v/>
      </c>
      <c r="E1072">
        <f>INDEX(FactorTable!$B$2:$Y$301, MATCH(ROUND(MIN(300,MAX(1,D1072)),0), FactorTable!$A$2:$A$301,0), Skills!M28+1)</f>
        <v/>
      </c>
      <c r="F1072">
        <f>IF(Skills!N28=TRUE,(Skills!L28/10)*(E1072/1000),Skills!L28/10)+Skills!O28</f>
        <v/>
      </c>
      <c r="G1072">
        <f>Calc!G28</f>
        <v/>
      </c>
      <c r="H1072">
        <f>Calc!H28</f>
        <v/>
      </c>
      <c r="I1072">
        <f>IF(Skills!X28&lt;&gt;"",1+(Skills!X28/10)*(Z1047/1000)/100,1)</f>
        <v/>
      </c>
      <c r="J1072">
        <f>((Inputs!$B$6*(1+Inputs!$B$7/100))+(((Inputs!$B$12*(1+Inputs!$B$13/100))-(Inputs!$B$12*(1+Inputs!$B$13/100)))+0.25*(Inputs!$B$14-Inputs!$B$14))*(1+Inputs!$B$7/100))*(F1072/100)</f>
        <v/>
      </c>
      <c r="K1072">
        <f>J1072*(1+((Inputs!$B$12*(1+Inputs!$B$13/100))*0.01+Inputs!$B$14*0.0025)/100)*(1+Inputs!$B$15/100)*(1+Inputs!$B$16/100)*(5000/(6000+Inputs!$B$42*(1-Inputs!$B$19/100)))*(1+Inputs!$B$24/100)*(1+F1067/100)*(1+IF(Inputs!$B$3&gt;=120,F1070,0)/100)^5*(1+(IF(Skills!A28="BASIC_ATTACK",Inputs!$B$17,Inputs!$B$18+IF(Inputs!$B$3&gt;=125,F1071*5,0)))/100)*(B1074*B1075*B1076*I1072)</f>
        <v/>
      </c>
      <c r="L1072">
        <f>K1072*(MIN(Inputs!$B$22+(F1066-Calc!F22),Inputs!$B$23)/100+Inputs!$B$23/100)/2</f>
        <v/>
      </c>
      <c r="M1072">
        <f>L1072*(1+(Inputs!$B$10+(F1065-Calc!F21))/100)</f>
        <v/>
      </c>
      <c r="N1072">
        <f>L1072*(1-MIN(Inputs!$B$9+(F1064-Calc!F20),100)/100)+M1072*(MIN(Inputs!$B$9+(F1064-Calc!F20),100)/100)</f>
        <v/>
      </c>
      <c r="O1072">
        <f>(1-Summary!$B$56)*S1072+Summary!$B$56*U1072</f>
        <v/>
      </c>
      <c r="P1072">
        <f>IF(B1085=0,0,O1072/B1085)</f>
        <v/>
      </c>
      <c r="Q1072">
        <f>IFERROR(1/IF(Inputs!$B$38="pvp",15,MAX(0.1,Skills!E28-IF(Skills!F28=TRUE,Inputs!$B$32,0))),0)</f>
        <v/>
      </c>
      <c r="R1072">
        <f>IF(AND(Inputs!$B$38&lt;&gt;"pvp",Inputs!$B$43&gt;0),IF(MAX(0,Inputs!$B$43-B1082)&lt;=0,0,(INT(MAX(0,Inputs!$B$43-B1082)/IF(Inputs!$B$38="pvp",15,MAX(0.1,Skills!E28-IF(Skills!F28=TRUE,Inputs!$B$32,0))))+1)),0)</f>
        <v/>
      </c>
      <c r="S1072">
        <f>IF(C1072,(H1072*N1072*IF(AND(Inputs!$B$38&lt;&gt;"pvp",Inputs!$B$43&gt;0),((Skills!G28*((R1072-1)*IF(Skills!H28&gt;0,Skills!I28/Skills!H28,1)+IF(Skills!H28&gt;0,MIN(Skills!I28,MAX(0,MAX(0,Inputs!$B$43-B1082)-((R1072-1)*IF(Inputs!$B$38="pvp",15,MAX(0.1,Skills!E28-IF(Skills!F28=TRUE,Inputs!$B$32,0))))))/Skills!H28,1)))/Inputs!$B$43),G1072*Q1072))*IF(Inputs!$B$38="pvp",1,1+(Inputs!$B$20+Skills!P28)/100),0)</f>
        <v/>
      </c>
      <c r="U1072">
        <f>IF(C1072,(H1072*N1072*IF(AND(Inputs!$B$38&lt;&gt;"pvp",Inputs!$B$43&gt;0),((Skills!G28*((R1072-1)*IF(Skills!H28&gt;0,Skills!I28/Skills!H28,1)+IF(Skills!H28&gt;0,MIN(Skills!I28,MAX(0,MAX(0,Inputs!$B$43-B1082)-((R1072-1)*IF(Inputs!$B$38="pvp",15,MAX(0.1,Skills!E28-IF(Skills!F28=TRUE,Inputs!$B$32,0))))))/Skills!H28,1)))/Inputs!$B$43),G1072*Q1072))*IF(Inputs!$B$38="pvp",1,(1+(Inputs!$B$21+Skills!Q28)/100)*(MIN(Skills!R28,Inputs!$B$37))),0)</f>
        <v/>
      </c>
    </row>
    <row r="1074">
      <c r="A1074" t="inlineStr">
        <is>
          <t>Burning Magic Multiplier</t>
        </is>
      </c>
      <c r="B1074">
        <f>1+(F1055*Skills!Z11)/100</f>
        <v/>
      </c>
    </row>
    <row r="1075">
      <c r="A1075" t="inlineStr">
        <is>
          <t>Elemental Decrease Multiplier (always-on)</t>
        </is>
      </c>
      <c r="B1075">
        <f>1+F1056/100</f>
        <v/>
      </c>
    </row>
    <row r="1076">
      <c r="A1076" t="inlineStr">
        <is>
          <t>Average Buff Multiplier (Magic Guard + Meditation, summed; then Infinity)</t>
        </is>
      </c>
      <c r="B1076">
        <f>(1+(F1050*IF(AND(Inputs!$B$38&lt;&gt;"pvp",Inputs!$B$43&gt;0),(((R1050-1)*(Skills!T6*(1+(Inputs!$B$34+IF(Inputs!$B$3&gt;=117,F1069,0))/100))+MIN((Skills!T6*(1+(Inputs!$B$34+IF(Inputs!$B$3&gt;=117,F1069,0))/100)),MAX(0,Inputs!$B$43-((R1050-1)*Skills!E6))))/Inputs!$B$43),IF(Inputs!$B$38="pvp",MIN((Skills!T6*(1+(Inputs!$B$34+IF(Inputs!$B$3&gt;=117,F1069,0))/100)),15)/15,(Skills!T6*(1+(Inputs!$B$34+IF(Inputs!$B$3&gt;=117,F1069,0))/100))/Skills!E6))+F1061*IF(AND(Inputs!$B$38&lt;&gt;"pvp",Inputs!$B$43&gt;0),(((R1061-1)*(Skills!T17*(1+(Inputs!$B$34+IF(Inputs!$B$3&gt;=117,F1069,0))/100))+MIN((Skills!T17*(1+(Inputs!$B$34+IF(Inputs!$B$3&gt;=117,F1069,0))/100)),MAX(0,Inputs!$B$43-((R1061-1)*Skills!E17))))/Inputs!$B$43),IF(Inputs!$B$38="pvp",MIN((Skills!T17*(1+(Inputs!$B$34+IF(Inputs!$B$3&gt;=117,F1069,0))/100)),15)/15,(Skills!T17*(1+(Inputs!$B$34+IF(Inputs!$B$3&gt;=117,F1069,0))/100))/Skills!E17)))/100)*IF(C1063=TRUE,(1+F1063*IF(AND(Inputs!$B$38&lt;&gt;"pvp",Inputs!$B$43&gt;0),(((R1063-1)*(Skills!T19*(1+(Inputs!$B$34+IF(Inputs!$B$3&gt;=117,F1069,0))/100))+MIN((Skills!T19*(1+(Inputs!$B$34+IF(Inputs!$B$3&gt;=117,F1069,0))/100)),MAX(0,Inputs!$B$43-((R1063-1)*Skills!E19))))/Inputs!$B$43),IF(Inputs!$B$38="pvp",MIN((Skills!T19*(1+(Inputs!$B$34+IF(Inputs!$B$3&gt;=117,F1069,0))/100)),15)/15,(Skills!T19*(1+(Inputs!$B$34+IF(Inputs!$B$3&gt;=117,F1069,0))/100))/Skills!E19))/100),1)</f>
        <v/>
      </c>
    </row>
    <row r="1077">
      <c r="A1077" t="inlineStr">
        <is>
          <t>Attack Speed Buff Bonus % (Nimble Feet, averaged)</t>
        </is>
      </c>
      <c r="B1077">
        <f>F1062*IF(AND(Inputs!$B$38&lt;&gt;"pvp",Inputs!$B$43&gt;0),(((R1062-1)*(Skills!T18*(1+(Inputs!$B$34+IF(Inputs!$B$3&gt;=117,F1069,0))/100))+MIN((Skills!T18*(1+(Inputs!$B$34+IF(Inputs!$B$3&gt;=117,F1069,0))/100)),MAX(0,Inputs!$B$43-((R1062-1)*Skills!E18))))/Inputs!$B$43),IF(Inputs!$B$38="pvp",MIN((Skills!T18*(1+(Inputs!$B$34+IF(Inputs!$B$3&gt;=117,F1069,0))/100)),15)/15,(Skills!T18*(1+(Inputs!$B$34+IF(Inputs!$B$3&gt;=117,F1069,0))/100))/Skills!E18))</f>
        <v/>
      </c>
    </row>
    <row r="1078">
      <c r="A1078" t="inlineStr">
        <is>
          <t>Actions Per Second</t>
        </is>
      </c>
      <c r="B1078">
        <f>1+MIN(150,150*(1-(1-Inputs!$B$11/150)*(1-B1077/150)))/100</f>
        <v/>
      </c>
    </row>
    <row r="1079">
      <c r="A1079" t="inlineStr">
        <is>
          <t>Skill + Buff Cast Rate</t>
        </is>
      </c>
      <c r="B1079">
        <f>IF(AND(Inputs!$B$38&lt;&gt;"pvp",Inputs!$B$43&gt;0),SUMPRODUCT((Skills!F2:F28=TRUE)*(C1046:C1072=TRUE)*R1046:R1072)/Inputs!$B$43,SUMPRODUCT((Skills!F2:F28=TRUE)*(C1046:C1072=TRUE)*Q1046:Q1072))</f>
        <v/>
      </c>
    </row>
    <row r="1080">
      <c r="A1080" t="inlineStr">
        <is>
          <t>Basic Attacks Per Second</t>
        </is>
      </c>
      <c r="B1080">
        <f>MAX(0,B1078-B1079)</f>
        <v/>
      </c>
    </row>
    <row r="1081">
      <c r="A1081" t="inlineStr">
        <is>
          <t>Meteor Proc — combined trigger cast rate</t>
        </is>
      </c>
      <c r="B1081">
        <f>IF(AND(Inputs!$B$38&lt;&gt;"pvp",Inputs!$B$43&gt;0),SUMPRODUCT((Skills!V2:V28=TRUE)*(C1046:C1072=TRUE)*R1046:R1072*Skills!W2:W28)/Inputs!$B$43,SUMPRODUCT((Skills!V2:V28=TRUE)*(C1046:C1072=TRUE)*Q1046:Q1072*Skills!W2:W28))+B1080</f>
        <v/>
      </c>
    </row>
    <row r="1082">
      <c r="A1082" t="inlineStr">
        <is>
          <t>Buff-Casting Startup Delay (s, fixed-duration only)</t>
        </is>
      </c>
      <c r="B1082">
        <f>IF(AND(Inputs!$B$38&lt;&gt;"pvp",Inputs!$B$43&gt;0),SUMPRODUCT((Skills!T2:T28&gt;0)*(Skills!F2:F28=TRUE)*(C1046:C1072=TRUE))/B1078,0)</f>
        <v/>
      </c>
    </row>
    <row r="1083">
      <c r="A1083" t="inlineStr">
        <is>
          <t>Boss-Only Total DPS (this block's swept value)</t>
        </is>
      </c>
      <c r="B1083">
        <f>SUM(S1046:S1072)</f>
        <v/>
      </c>
    </row>
    <row r="1084">
      <c r="A1084" t="inlineStr">
        <is>
          <t>Normal-Only Total DPS (this block's swept value)</t>
        </is>
      </c>
      <c r="B1084">
        <f>SUM(U1046:U1072)</f>
        <v/>
      </c>
    </row>
    <row r="1085">
      <c r="A1085" s="5" t="inlineStr">
        <is>
          <t>TOTAL DPS</t>
        </is>
      </c>
      <c r="B1085" s="5">
        <f>SUM(O1046:O1072)</f>
        <v/>
      </c>
    </row>
    <row r="1088">
      <c r="A1088" s="5" t="inlineStr">
        <is>
          <t>Stat: Buff Duration Increase %</t>
        </is>
      </c>
    </row>
    <row r="1089">
      <c r="A1089" s="9" t="inlineStr">
        <is>
          <t>Key</t>
        </is>
      </c>
      <c r="B1089" s="9" t="inlineStr">
        <is>
          <t>Name</t>
        </is>
      </c>
      <c r="C1089" s="9" t="inlineStr">
        <is>
          <t>Unlocked</t>
        </is>
      </c>
      <c r="D1089" s="9" t="inlineStr">
        <is>
          <t>InputLevel</t>
        </is>
      </c>
      <c r="E1089" s="9" t="inlineStr">
        <is>
          <t>Factor</t>
        </is>
      </c>
      <c r="F1089" s="9" t="inlineStr">
        <is>
          <t>CoefficientPercent</t>
        </is>
      </c>
      <c r="G1089" s="9" t="inlineStr">
        <is>
          <t>EffectiveHits</t>
        </is>
      </c>
      <c r="H1089" s="9" t="inlineStr">
        <is>
          <t>ProcProbability</t>
        </is>
      </c>
      <c r="I1089" s="9" t="inlineStr">
        <is>
          <t>MapleHeroMultiplier</t>
        </is>
      </c>
      <c r="J1089" s="9" t="inlineStr">
        <is>
          <t>BaseDamage</t>
        </is>
      </c>
      <c r="K1089" s="9" t="inlineStr">
        <is>
          <t>BaseHitDamage</t>
        </is>
      </c>
      <c r="L1089" s="9" t="inlineStr">
        <is>
          <t>NonCritAvg</t>
        </is>
      </c>
      <c r="M1089" s="9" t="inlineStr">
        <is>
          <t>CritAvg</t>
        </is>
      </c>
      <c r="N1089" s="9" t="inlineStr">
        <is>
          <t>ExpectedDamage(perHit)</t>
        </is>
      </c>
      <c r="O1089" s="9" t="inlineStr">
        <is>
          <t>DPS</t>
        </is>
      </c>
      <c r="P1089" s="9" t="inlineStr">
        <is>
          <t>% of Total</t>
        </is>
      </c>
      <c r="R1089" t="inlineStr">
        <is>
          <t>helpers</t>
        </is>
      </c>
    </row>
    <row r="1090">
      <c r="A1090">
        <f>Skills!A2</f>
        <v/>
      </c>
      <c r="B1090">
        <f>Skills!B2</f>
        <v/>
      </c>
      <c r="C1090">
        <f>TRUE</f>
        <v/>
      </c>
      <c r="D1090" t="inlineStr"/>
      <c r="E1090" t="inlineStr"/>
      <c r="F1090">
        <f>T1092+Skills!O2</f>
        <v/>
      </c>
      <c r="G1090">
        <f>Calc!G2</f>
        <v/>
      </c>
      <c r="H1090">
        <f>Calc!H2</f>
        <v/>
      </c>
      <c r="I1090">
        <f>IF(Skills!X2&lt;&gt;"",1+(Skills!X2/10)*(Z1091/1000)/100,1)</f>
        <v/>
      </c>
      <c r="J1090">
        <f>((Inputs!$B$6*(1+Inputs!$B$7/100))+(((Inputs!$B$12*(1+Inputs!$B$13/100))-(Inputs!$B$12*(1+Inputs!$B$13/100)))+0.25*(Inputs!$B$14-Inputs!$B$14))*(1+Inputs!$B$7/100))*(F1090/100)</f>
        <v/>
      </c>
      <c r="K1090">
        <f>J1090*(1+((Inputs!$B$12*(1+Inputs!$B$13/100))*0.01+Inputs!$B$14*0.0025)/100)*(1+Inputs!$B$15/100)*(1+Inputs!$B$16/100)*(5000/(6000+Inputs!$B$42*(1-Inputs!$B$19/100)))*(1+Inputs!$B$24/100)*(1+F1111/100)*(1+IF(Inputs!$B$3&gt;=120,F1114,0)/100)^5*(1+(IF(Skills!A2="BASIC_ATTACK",Inputs!$B$17,Inputs!$B$18+IF(Inputs!$B$3&gt;=125,F1115*5,0)))/100)*(B1118*B1119*B1120*I1090)</f>
        <v/>
      </c>
      <c r="L1090">
        <f>K1090*(MIN(Inputs!$B$22+(F1110-Calc!F22),Inputs!$B$23)/100+Inputs!$B$23/100)/2</f>
        <v/>
      </c>
      <c r="M1090">
        <f>L1090*(1+(Inputs!$B$10+(F1109-Calc!F21))/100)</f>
        <v/>
      </c>
      <c r="N1090">
        <f>L1090*(1-MIN(Inputs!$B$9+(F1108-Calc!F20),100)/100)+M1090*(MIN(Inputs!$B$9+(F1108-Calc!F20),100)/100)</f>
        <v/>
      </c>
      <c r="O1090">
        <f>(1-Summary!$B$56)*S1090+Summary!$B$56*U1090</f>
        <v/>
      </c>
      <c r="P1090">
        <f>IF(B1129=0,0,O1090/B1129)</f>
        <v/>
      </c>
      <c r="Q1090">
        <f>IFERROR(1/IF(Inputs!$B$38="pvp",15,MAX(0.1,Skills!E2-IF(Skills!F2=TRUE,Inputs!$B$32,0))),0)</f>
        <v/>
      </c>
      <c r="R1090" t="n">
        <v>0</v>
      </c>
      <c r="S1090">
        <f>(Skills!G2*N1090*B1124)*IF(Inputs!$B$38="pvp",1,1+(Inputs!$B$20+Skills!P2)/100)</f>
        <v/>
      </c>
      <c r="T1090">
        <f>MAX(0,(Inputs!$B$3-100)*3)+Inputs!$B$28+Inputs!$B$29</f>
        <v/>
      </c>
      <c r="U1090">
        <f>(Skills!G2*N1090*B1124)*IF(Inputs!$B$38="pvp",1,(1+(Inputs!$B$21+Skills!Q2)/100)*(MIN((6+Inputs!$B$33+IF(Inputs!$B$3&gt;=136,1,0)),Inputs!$B$37)))</f>
        <v/>
      </c>
      <c r="Z1090">
        <f>MAX(0,(Inputs!$B$3-100)*3)+Inputs!$B$28+Inputs!$B$29</f>
        <v/>
      </c>
    </row>
    <row r="1091">
      <c r="A1091">
        <f>Skills!A3</f>
        <v/>
      </c>
      <c r="B1091">
        <f>Skills!B3</f>
        <v/>
      </c>
      <c r="C1091">
        <f>TRUE</f>
        <v/>
      </c>
      <c r="D1091">
        <f>IF(Skills!C3=1,60+Inputs!$B$25+Inputs!$B$29,IF(Skills!C3=2,90+Inputs!$B$26+Inputs!$B$29,IF(Skills!C3=3,120+Inputs!$B$27+Inputs!$B$29,MAX(0,(Inputs!$B$3-100)*3)+Inputs!$B$28+Inputs!$B$29)))</f>
        <v/>
      </c>
      <c r="E1091">
        <f>INDEX(FactorTable!$B$2:$Y$301, MATCH(ROUND(MIN(300,MAX(1,D1091)),0), FactorTable!$A$2:$A$301,0), Skills!M3+1)</f>
        <v/>
      </c>
      <c r="F1091">
        <f>IF(Skills!N3=TRUE,(Skills!L3/10)*(E1091/1000),Skills!L3/10)+Skills!O3</f>
        <v/>
      </c>
      <c r="G1091">
        <f>Calc!G3</f>
        <v/>
      </c>
      <c r="H1091">
        <f>Calc!H3</f>
        <v/>
      </c>
      <c r="I1091">
        <f>IF(Skills!X3&lt;&gt;"",1+(Skills!X3/10)*(Z1091/1000)/100,1)</f>
        <v/>
      </c>
      <c r="J1091">
        <f>((Inputs!$B$6*(1+Inputs!$B$7/100))+(((Inputs!$B$12*(1+Inputs!$B$13/100))-(Inputs!$B$12*(1+Inputs!$B$13/100)))+0.25*(Inputs!$B$14-Inputs!$B$14))*(1+Inputs!$B$7/100))*(F1091/100)</f>
        <v/>
      </c>
      <c r="K1091">
        <f>J1091*(1+((Inputs!$B$12*(1+Inputs!$B$13/100))*0.01+Inputs!$B$14*0.0025)/100)*(1+Inputs!$B$15/100)*(1+Inputs!$B$16/100)*(5000/(6000+Inputs!$B$42*(1-Inputs!$B$19/100)))*(1+Inputs!$B$24/100)*(1+F1111/100)*(1+IF(Inputs!$B$3&gt;=120,F1114,0)/100)^5*(1+(IF(Skills!A3="BASIC_ATTACK",Inputs!$B$17,Inputs!$B$18+IF(Inputs!$B$3&gt;=125,F1115*5,0)))/100)*(B1118*B1119*B1120*I1091)</f>
        <v/>
      </c>
      <c r="L1091">
        <f>K1091*(MIN(Inputs!$B$22+(F1110-Calc!F22),Inputs!$B$23)/100+Inputs!$B$23/100)/2</f>
        <v/>
      </c>
      <c r="M1091">
        <f>L1091*(1+(Inputs!$B$10+(F1109-Calc!F21))/100)</f>
        <v/>
      </c>
      <c r="N1091">
        <f>L1091*(1-MIN(Inputs!$B$9+(F1108-Calc!F20),100)/100)+M1091*(MIN(Inputs!$B$9+(F1108-Calc!F20),100)/100)</f>
        <v/>
      </c>
      <c r="O1091">
        <f>(1-Summary!$B$56)*S1091+Summary!$B$56*U1091</f>
        <v/>
      </c>
      <c r="P1091">
        <f>IF(B1129=0,0,O1091/B1129)</f>
        <v/>
      </c>
      <c r="Q1091">
        <f>IFERROR(1/IF(Inputs!$B$38="pvp",15,MAX(0.1,Skills!E3-IF(Skills!F3=TRUE,Inputs!$B$32,0))),0)</f>
        <v/>
      </c>
      <c r="R1091">
        <f>IF(AND(Inputs!$B$38&lt;&gt;"pvp",Inputs!$B$43&gt;0),IF(MAX(0,Inputs!$B$43-B1126)&lt;=0,0,(INT(MAX(0,Inputs!$B$43-B1126)/IF(Inputs!$B$38="pvp",15,MAX(0.1,Skills!E3-IF(Skills!F3=TRUE,Inputs!$B$32,0))))+1)),0)</f>
        <v/>
      </c>
      <c r="S1091">
        <f>IF(C1091,(H1091*N1091*IF(AND(Inputs!$B$38&lt;&gt;"pvp",Inputs!$B$43&gt;0),((Skills!G3*((R1091-1)*IF(Skills!H3&gt;0,Skills!I3/Skills!H3,1)+IF(Skills!H3&gt;0,MIN(Skills!I3,MAX(0,MAX(0,Inputs!$B$43-B1126)-((R1091-1)*IF(Inputs!$B$38="pvp",15,MAX(0.1,Skills!E3-IF(Skills!F3=TRUE,Inputs!$B$32,0))))))/Skills!H3,1)))/Inputs!$B$43),G1091*Q1091))*IF(Inputs!$B$38="pvp",1,1+(Inputs!$B$20+Skills!P3)/100),0)</f>
        <v/>
      </c>
      <c r="T1091">
        <f>INDEX(FactorTable!$B$2:$Y$301, MATCH(ROUND(MIN(300,MAX(1,T1090)),0), FactorTable!$A$2:$A$301,0), 22)</f>
        <v/>
      </c>
      <c r="U1091">
        <f>IF(C1091,(H1091*N1091*IF(AND(Inputs!$B$38&lt;&gt;"pvp",Inputs!$B$43&gt;0),((Skills!G3*((R1091-1)*IF(Skills!H3&gt;0,Skills!I3/Skills!H3,1)+IF(Skills!H3&gt;0,MIN(Skills!I3,MAX(0,MAX(0,Inputs!$B$43-B1126)-((R1091-1)*IF(Inputs!$B$38="pvp",15,MAX(0.1,Skills!E3-IF(Skills!F3=TRUE,Inputs!$B$32,0))))))/Skills!H3,1)))/Inputs!$B$43),G1091*Q1091))*IF(Inputs!$B$38="pvp",1,(1+(Inputs!$B$21+Skills!Q3)/100)*(MIN(Skills!R3,Inputs!$B$37))),0)</f>
        <v/>
      </c>
      <c r="Z1091">
        <f>INDEX(FactorTable!$B$2:$Y$301, MATCH(ROUND(MIN(300,MAX(1,Z1090)),0), FactorTable!$A$2:$A$301,0), 24)</f>
        <v/>
      </c>
    </row>
    <row r="1092">
      <c r="A1092">
        <f>Skills!A4</f>
        <v/>
      </c>
      <c r="B1092">
        <f>Skills!B4</f>
        <v/>
      </c>
      <c r="C1092">
        <f>TRUE</f>
        <v/>
      </c>
      <c r="D1092">
        <f>IF(Skills!C4=1,60+Inputs!$B$25+Inputs!$B$29,IF(Skills!C4=2,90+Inputs!$B$26+Inputs!$B$29,IF(Skills!C4=3,120+Inputs!$B$27+Inputs!$B$29,MAX(0,(Inputs!$B$3-100)*3)+Inputs!$B$28+Inputs!$B$29)))</f>
        <v/>
      </c>
      <c r="E1092">
        <f>INDEX(FactorTable!$B$2:$Y$301, MATCH(ROUND(MIN(300,MAX(1,D1092)),0), FactorTable!$A$2:$A$301,0), Skills!M4+1)</f>
        <v/>
      </c>
      <c r="F1092">
        <f>IF(Skills!N4=TRUE,(Skills!L4/10)*(E1092/1000),Skills!L4/10)+Skills!O4</f>
        <v/>
      </c>
      <c r="G1092">
        <f>Calc!G4</f>
        <v/>
      </c>
      <c r="H1092">
        <f>Calc!H4</f>
        <v/>
      </c>
      <c r="I1092">
        <f>IF(Skills!X4&lt;&gt;"",1+(Skills!X4/10)*(Z1091/1000)/100,1)</f>
        <v/>
      </c>
      <c r="J1092">
        <f>((Inputs!$B$6*(1+Inputs!$B$7/100))+(((Inputs!$B$12*(1+Inputs!$B$13/100))-(Inputs!$B$12*(1+Inputs!$B$13/100)))+0.25*(Inputs!$B$14-Inputs!$B$14))*(1+Inputs!$B$7/100))*(F1092/100)</f>
        <v/>
      </c>
      <c r="K1092">
        <f>J1092*(1+((Inputs!$B$12*(1+Inputs!$B$13/100))*0.01+Inputs!$B$14*0.0025)/100)*(1+Inputs!$B$15/100)*(1+Inputs!$B$16/100)*(5000/(6000+Inputs!$B$42*(1-Inputs!$B$19/100)))*(1+Inputs!$B$24/100)*(1+F1111/100)*(1+IF(Inputs!$B$3&gt;=120,F1114,0)/100)^5*(1+(IF(Skills!A4="BASIC_ATTACK",Inputs!$B$17,Inputs!$B$18+IF(Inputs!$B$3&gt;=125,F1115*5,0)))/100)*(B1118*B1119*B1120*I1092)</f>
        <v/>
      </c>
      <c r="L1092">
        <f>K1092*(MIN(Inputs!$B$22+(F1110-Calc!F22),Inputs!$B$23)/100+Inputs!$B$23/100)/2</f>
        <v/>
      </c>
      <c r="M1092">
        <f>L1092*(1+(Inputs!$B$10+(F1109-Calc!F21))/100)</f>
        <v/>
      </c>
      <c r="N1092">
        <f>L1092*(1-MIN(Inputs!$B$9+(F1108-Calc!F20),100)/100)+M1092*(MIN(Inputs!$B$9+(F1108-Calc!F20),100)/100)</f>
        <v/>
      </c>
      <c r="O1092">
        <f>(1-Summary!$B$56)*S1092+Summary!$B$56*U1092</f>
        <v/>
      </c>
      <c r="P1092">
        <f>IF(B1129=0,0,O1092/B1129)</f>
        <v/>
      </c>
      <c r="Q1092">
        <f>IFERROR(1/IF(Inputs!$B$38="pvp",15,MAX(0.1,Skills!E4-IF(Skills!F4=TRUE,Inputs!$B$32,0))),0)</f>
        <v/>
      </c>
      <c r="R1092">
        <f>IF(AND(Inputs!$B$38&lt;&gt;"pvp",Inputs!$B$43&gt;0),IF(MAX(0,Inputs!$B$43-B1126)&lt;=0,0,(INT(MAX(0,Inputs!$B$43-B1126)/IF(Inputs!$B$38="pvp",15,MAX(0.1,Skills!E4-IF(Skills!F4=TRUE,Inputs!$B$32,0))))+1)),0)</f>
        <v/>
      </c>
      <c r="S1092">
        <f>IF(C1092,(H1092*N1092*IF(AND(Inputs!$B$38&lt;&gt;"pvp",Inputs!$B$43&gt;0),((Skills!G4*((R1092-1)*IF(Skills!H4&gt;0,Skills!I4/Skills!H4,1)+IF(Skills!H4&gt;0,MIN(Skills!I4,MAX(0,MAX(0,Inputs!$B$43-B1126)-((R1092-1)*IF(Inputs!$B$38="pvp",15,MAX(0.1,Skills!E4-IF(Skills!F4=TRUE,Inputs!$B$32,0))))))/Skills!H4,1)))/Inputs!$B$43),G1092*Q1092))*IF(Inputs!$B$38="pvp",1,1+(Inputs!$B$20+Skills!P4)/100),0)</f>
        <v/>
      </c>
      <c r="T1092">
        <f>290*T1091/1000</f>
        <v/>
      </c>
      <c r="U1092">
        <f>IF(C1092,(H1092*N1092*IF(AND(Inputs!$B$38&lt;&gt;"pvp",Inputs!$B$43&gt;0),((Skills!G4*((R1092-1)*IF(Skills!H4&gt;0,Skills!I4/Skills!H4,1)+IF(Skills!H4&gt;0,MIN(Skills!I4,MAX(0,MAX(0,Inputs!$B$43-B1126)-((R1092-1)*IF(Inputs!$B$38="pvp",15,MAX(0.1,Skills!E4-IF(Skills!F4=TRUE,Inputs!$B$32,0))))))/Skills!H4,1)))/Inputs!$B$43),G1092*Q1092))*IF(Inputs!$B$38="pvp",1,(1+(Inputs!$B$21+Skills!Q4)/100)*(MIN(Skills!R4,Inputs!$B$37))),0)</f>
        <v/>
      </c>
    </row>
    <row r="1093">
      <c r="A1093">
        <f>Skills!A5</f>
        <v/>
      </c>
      <c r="B1093">
        <f>Skills!B5</f>
        <v/>
      </c>
      <c r="C1093">
        <f>TRUE</f>
        <v/>
      </c>
      <c r="D1093">
        <f>IF(Skills!C5=1,60+Inputs!$B$25+Inputs!$B$29,IF(Skills!C5=2,90+Inputs!$B$26+Inputs!$B$29,IF(Skills!C5=3,120+Inputs!$B$27+Inputs!$B$29,MAX(0,(Inputs!$B$3-100)*3)+Inputs!$B$28+Inputs!$B$29)))</f>
        <v/>
      </c>
      <c r="E1093">
        <f>INDEX(FactorTable!$B$2:$Y$301, MATCH(ROUND(MIN(300,MAX(1,D1093)),0), FactorTable!$A$2:$A$301,0), Skills!M5+1)</f>
        <v/>
      </c>
      <c r="F1093">
        <f>IF(Skills!N5=TRUE,(Skills!L5/10)*(E1093/1000),Skills!L5/10)+Skills!O5</f>
        <v/>
      </c>
      <c r="G1093">
        <f>Calc!G5</f>
        <v/>
      </c>
      <c r="H1093">
        <f>Calc!H5</f>
        <v/>
      </c>
      <c r="I1093">
        <f>IF(Skills!X5&lt;&gt;"",1+(Skills!X5/10)*(Z1091/1000)/100,1)</f>
        <v/>
      </c>
      <c r="J1093">
        <f>((Inputs!$B$6*(1+Inputs!$B$7/100))+(((Inputs!$B$12*(1+Inputs!$B$13/100))-(Inputs!$B$12*(1+Inputs!$B$13/100)))+0.25*(Inputs!$B$14-Inputs!$B$14))*(1+Inputs!$B$7/100))*(F1093/100)</f>
        <v/>
      </c>
      <c r="K1093">
        <f>J1093*(1+((Inputs!$B$12*(1+Inputs!$B$13/100))*0.01+Inputs!$B$14*0.0025)/100)*(1+Inputs!$B$15/100)*(1+Inputs!$B$16/100)*(5000/(6000+Inputs!$B$42*(1-Inputs!$B$19/100)))*(1+Inputs!$B$24/100)*(1+F1111/100)*(1+IF(Inputs!$B$3&gt;=120,F1114,0)/100)^5*(1+(IF(Skills!A5="BASIC_ATTACK",Inputs!$B$17,Inputs!$B$18+IF(Inputs!$B$3&gt;=125,F1115*5,0)))/100)*(B1118*B1119*B1120*I1093)</f>
        <v/>
      </c>
      <c r="L1093">
        <f>K1093*(MIN(Inputs!$B$22+(F1110-Calc!F22),Inputs!$B$23)/100+Inputs!$B$23/100)/2</f>
        <v/>
      </c>
      <c r="M1093">
        <f>L1093*(1+(Inputs!$B$10+(F1109-Calc!F21))/100)</f>
        <v/>
      </c>
      <c r="N1093">
        <f>L1093*(1-MIN(Inputs!$B$9+(F1108-Calc!F20),100)/100)+M1093*(MIN(Inputs!$B$9+(F1108-Calc!F20),100)/100)</f>
        <v/>
      </c>
      <c r="O1093">
        <f>(1-Summary!$B$56)*S1093+Summary!$B$56*U1093</f>
        <v/>
      </c>
      <c r="P1093">
        <f>IF(B1129=0,0,O1093/B1129)</f>
        <v/>
      </c>
      <c r="Q1093">
        <f>IFERROR(1/IF(Inputs!$B$38="pvp",15,MAX(0.1,Skills!E5-IF(Skills!F5=TRUE,Inputs!$B$32,0))),0)</f>
        <v/>
      </c>
      <c r="R1093">
        <f>IF(AND(Inputs!$B$38&lt;&gt;"pvp",Inputs!$B$43&gt;0),IF(MAX(0,Inputs!$B$43-B1126)&lt;=0,0,(INT(MAX(0,Inputs!$B$43-B1126)/IF(Inputs!$B$38="pvp",15,MAX(0.1,Skills!E5-IF(Skills!F5=TRUE,Inputs!$B$32,0))))+1)),0)</f>
        <v/>
      </c>
      <c r="S1093">
        <f>IF(C1093,(H1093*N1093*IF(AND(Inputs!$B$38&lt;&gt;"pvp",Inputs!$B$43&gt;0),((Skills!G5*((R1093-1)*IF(Skills!H5&gt;0,Skills!I5/Skills!H5,1)+IF(Skills!H5&gt;0,MIN(Skills!I5,MAX(0,MAX(0,Inputs!$B$43-B1126)-((R1093-1)*IF(Inputs!$B$38="pvp",15,MAX(0.1,Skills!E5-IF(Skills!F5=TRUE,Inputs!$B$32,0))))))/Skills!H5,1)))/Inputs!$B$43),G1093*Q1093))*IF(Inputs!$B$38="pvp",1,1+(Inputs!$B$20+Skills!P5)/100),0)</f>
        <v/>
      </c>
      <c r="U1093">
        <f>IF(C1093,(H1093*N1093*IF(AND(Inputs!$B$38&lt;&gt;"pvp",Inputs!$B$43&gt;0),((Skills!G5*((R1093-1)*IF(Skills!H5&gt;0,Skills!I5/Skills!H5,1)+IF(Skills!H5&gt;0,MIN(Skills!I5,MAX(0,MAX(0,Inputs!$B$43-B1126)-((R1093-1)*IF(Inputs!$B$38="pvp",15,MAX(0.1,Skills!E5-IF(Skills!F5=TRUE,Inputs!$B$32,0))))))/Skills!H5,1)))/Inputs!$B$43),G1093*Q1093))*IF(Inputs!$B$38="pvp",1,(1+(Inputs!$B$21+Skills!Q5)/100)*(MIN(Skills!R5,Inputs!$B$37))),0)</f>
        <v/>
      </c>
    </row>
    <row r="1094">
      <c r="A1094">
        <f>Skills!A6</f>
        <v/>
      </c>
      <c r="B1094">
        <f>Skills!B6</f>
        <v/>
      </c>
      <c r="C1094">
        <f>TRUE</f>
        <v/>
      </c>
      <c r="D1094">
        <f>IF(Skills!C6=1,60+Inputs!$B$25+Inputs!$B$29,IF(Skills!C6=2,90+Inputs!$B$26+Inputs!$B$29,IF(Skills!C6=3,120+Inputs!$B$27+Inputs!$B$29,MAX(0,(Inputs!$B$3-100)*3)+Inputs!$B$28+Inputs!$B$29)))</f>
        <v/>
      </c>
      <c r="E1094">
        <f>INDEX(FactorTable!$B$2:$Y$301, MATCH(ROUND(MIN(300,MAX(1,D1094)),0), FactorTable!$A$2:$A$301,0), Skills!M6+1)</f>
        <v/>
      </c>
      <c r="F1094">
        <f>IF(Skills!N6=TRUE,(Skills!L6/10)*(E1094/1000),Skills!L6/10)+Skills!O6</f>
        <v/>
      </c>
      <c r="G1094">
        <f>Calc!G6</f>
        <v/>
      </c>
      <c r="H1094">
        <f>Calc!H6</f>
        <v/>
      </c>
      <c r="I1094">
        <f>IF(Skills!X6&lt;&gt;"",1+(Skills!X6/10)*(Z1091/1000)/100,1)</f>
        <v/>
      </c>
      <c r="J1094" t="inlineStr"/>
      <c r="K1094" t="inlineStr"/>
      <c r="L1094" t="inlineStr"/>
      <c r="M1094" t="inlineStr"/>
      <c r="N1094" t="inlineStr"/>
      <c r="O1094">
        <f>(1-Summary!$B$56)*S1094+Summary!$B$56*U1094</f>
        <v/>
      </c>
      <c r="P1094">
        <f>IF(B1129=0,0,O1094/B1129)</f>
        <v/>
      </c>
      <c r="Q1094">
        <f>IFERROR(1/IF(Inputs!$B$38="pvp",15,MAX(0.1,Skills!E6-IF(Skills!F6=TRUE,Inputs!$B$32,0))),0)</f>
        <v/>
      </c>
      <c r="R1094">
        <f>IF(AND(Inputs!$B$38&lt;&gt;"pvp",Inputs!$B$43&gt;0),IF(Inputs!$B$43&lt;=0,0,(INT(Inputs!$B$43/IF(Inputs!$B$38="pvp",15,MAX(0.1,Skills!E6-IF(Skills!F6=TRUE,Inputs!$B$32,0))))+1)),0)</f>
        <v/>
      </c>
      <c r="S1094" t="n">
        <v>0</v>
      </c>
      <c r="U1094" t="n">
        <v>0</v>
      </c>
    </row>
    <row r="1095">
      <c r="A1095">
        <f>Skills!A7</f>
        <v/>
      </c>
      <c r="B1095">
        <f>Skills!B7</f>
        <v/>
      </c>
      <c r="C1095">
        <f>TRUE</f>
        <v/>
      </c>
      <c r="D1095">
        <f>IF(Skills!C7=1,60+Inputs!$B$25+Inputs!$B$29,IF(Skills!C7=2,90+Inputs!$B$26+Inputs!$B$29,IF(Skills!C7=3,120+Inputs!$B$27+Inputs!$B$29,MAX(0,(Inputs!$B$3-100)*3)+Inputs!$B$28+Inputs!$B$29)))</f>
        <v/>
      </c>
      <c r="E1095">
        <f>INDEX(FactorTable!$B$2:$Y$301, MATCH(ROUND(MIN(300,MAX(1,D1095)),0), FactorTable!$A$2:$A$301,0), Skills!M7+1)</f>
        <v/>
      </c>
      <c r="F1095">
        <f>IF(Skills!N7=TRUE,(Skills!L7/10)*(E1095/1000),Skills!L7/10)+Skills!O7</f>
        <v/>
      </c>
      <c r="G1095">
        <f>Calc!G7</f>
        <v/>
      </c>
      <c r="H1095">
        <f>Calc!H7</f>
        <v/>
      </c>
      <c r="I1095">
        <f>IF(Skills!X7&lt;&gt;"",1+(Skills!X7/10)*(Z1091/1000)/100,1)</f>
        <v/>
      </c>
      <c r="J1095">
        <f>((Inputs!$B$6*(1+Inputs!$B$7/100))+(((Inputs!$B$12*(1+Inputs!$B$13/100))-(Inputs!$B$12*(1+Inputs!$B$13/100)))+0.25*(Inputs!$B$14-Inputs!$B$14))*(1+Inputs!$B$7/100))*(F1095/100)</f>
        <v/>
      </c>
      <c r="K1095">
        <f>J1095*(1+((Inputs!$B$12*(1+Inputs!$B$13/100))*0.01+Inputs!$B$14*0.0025)/100)*(1+Inputs!$B$15/100)*(1+Inputs!$B$16/100)*(5000/(6000+Inputs!$B$42*(1-Inputs!$B$19/100)))*(1+Inputs!$B$24/100)*(1+F1111/100)*(1+IF(Inputs!$B$3&gt;=120,F1114,0)/100)^5*(1+(IF(Skills!A7="BASIC_ATTACK",Inputs!$B$17,Inputs!$B$18+IF(Inputs!$B$3&gt;=125,F1115*5,0)))/100)*(B1118*B1119*B1120*I1095)</f>
        <v/>
      </c>
      <c r="L1095">
        <f>K1095*(MIN(Inputs!$B$22+(F1110-Calc!F22),Inputs!$B$23)/100+Inputs!$B$23/100)/2</f>
        <v/>
      </c>
      <c r="M1095">
        <f>L1095*(1+(Inputs!$B$10+(F1109-Calc!F21))/100)</f>
        <v/>
      </c>
      <c r="N1095">
        <f>L1095*(1-MIN(Inputs!$B$9+(F1108-Calc!F20),100)/100)+M1095*(MIN(Inputs!$B$9+(F1108-Calc!F20),100)/100)</f>
        <v/>
      </c>
      <c r="O1095">
        <f>(1-Summary!$B$56)*S1095+Summary!$B$56*U1095</f>
        <v/>
      </c>
      <c r="P1095">
        <f>IF(B1129=0,0,O1095/B1129)</f>
        <v/>
      </c>
      <c r="Q1095">
        <f>IFERROR(1/IF(Inputs!$B$38="pvp",15,MAX(0.1,Skills!E7-IF(Skills!F7=TRUE,Inputs!$B$32,0))),0)</f>
        <v/>
      </c>
      <c r="R1095">
        <f>IF(AND(Inputs!$B$38&lt;&gt;"pvp",Inputs!$B$43&gt;0),IF(MAX(0,Inputs!$B$43-B1126)&lt;=0,0,(INT(MAX(0,Inputs!$B$43-B1126)/IF(Inputs!$B$38="pvp",15,MAX(0.1,Skills!E7-IF(Skills!F7=TRUE,Inputs!$B$32,0))))+1)),0)</f>
        <v/>
      </c>
      <c r="S1095">
        <f>IF(C1095,(H1095*N1095*IF(AND(Inputs!$B$38&lt;&gt;"pvp",Inputs!$B$43&gt;0),((Skills!G7*((R1095-1)*IF(Skills!H7&gt;0,Skills!I7/Skills!H7,1)+IF(Skills!H7&gt;0,MIN(Skills!I7,MAX(0,MAX(0,Inputs!$B$43-B1126)-((R1095-1)*IF(Inputs!$B$38="pvp",15,MAX(0.1,Skills!E7-IF(Skills!F7=TRUE,Inputs!$B$32,0))))))/Skills!H7,1)))/Inputs!$B$43),G1095*Q1095))*IF(Inputs!$B$38="pvp",1,1+(Inputs!$B$20+Skills!P7)/100),0)</f>
        <v/>
      </c>
      <c r="U1095">
        <f>IF(C1095,(H1095*N1095*IF(AND(Inputs!$B$38&lt;&gt;"pvp",Inputs!$B$43&gt;0),((Skills!G7*((R1095-1)*IF(Skills!H7&gt;0,Skills!I7/Skills!H7,1)+IF(Skills!H7&gt;0,MIN(Skills!I7,MAX(0,MAX(0,Inputs!$B$43-B1126)-((R1095-1)*IF(Inputs!$B$38="pvp",15,MAX(0.1,Skills!E7-IF(Skills!F7=TRUE,Inputs!$B$32,0))))))/Skills!H7,1)))/Inputs!$B$43),G1095*Q1095))*IF(Inputs!$B$38="pvp",1,(1+(Inputs!$B$21+Skills!Q7)/100)*(MIN(Skills!R7,Inputs!$B$37))),0)</f>
        <v/>
      </c>
    </row>
    <row r="1096">
      <c r="A1096">
        <f>Skills!A8</f>
        <v/>
      </c>
      <c r="B1096">
        <f>Skills!B8</f>
        <v/>
      </c>
      <c r="C1096">
        <f>TRUE</f>
        <v/>
      </c>
      <c r="D1096">
        <f>IF(Skills!C8=1,60+Inputs!$B$25+Inputs!$B$29,IF(Skills!C8=2,90+Inputs!$B$26+Inputs!$B$29,IF(Skills!C8=3,120+Inputs!$B$27+Inputs!$B$29,MAX(0,(Inputs!$B$3-100)*3)+Inputs!$B$28+Inputs!$B$29)))</f>
        <v/>
      </c>
      <c r="E1096">
        <f>INDEX(FactorTable!$B$2:$Y$301, MATCH(ROUND(MIN(300,MAX(1,D1096)),0), FactorTable!$A$2:$A$301,0), Skills!M8+1)</f>
        <v/>
      </c>
      <c r="F1096">
        <f>IF(Skills!N8=TRUE,(Skills!L8/10)*(E1096/1000),Skills!L8/10)+Skills!O8</f>
        <v/>
      </c>
      <c r="G1096">
        <f>Calc!G8</f>
        <v/>
      </c>
      <c r="H1096">
        <f>Calc!H8</f>
        <v/>
      </c>
      <c r="I1096">
        <f>IF(Skills!X8&lt;&gt;"",1+(Skills!X8/10)*(Z1091/1000)/100,1)</f>
        <v/>
      </c>
      <c r="J1096">
        <f>((Inputs!$B$6*(1+Inputs!$B$7/100))+(((Inputs!$B$12*(1+Inputs!$B$13/100))-(Inputs!$B$12*(1+Inputs!$B$13/100)))+0.25*(Inputs!$B$14-Inputs!$B$14))*(1+Inputs!$B$7/100))*(F1096/100)</f>
        <v/>
      </c>
      <c r="K1096">
        <f>J1096*(1+((Inputs!$B$12*(1+Inputs!$B$13/100))*0.01+Inputs!$B$14*0.0025)/100)*(1+Inputs!$B$15/100)*(1+Inputs!$B$16/100)*(5000/(6000+Inputs!$B$42*(1-Inputs!$B$19/100)))*(1+Inputs!$B$24/100)*(1+F1111/100)*(1+IF(Inputs!$B$3&gt;=120,F1114,0)/100)^5*(1+(IF(Skills!A8="BASIC_ATTACK",Inputs!$B$17,Inputs!$B$18+IF(Inputs!$B$3&gt;=125,F1115*5,0)))/100)*(B1118*B1119*B1120*I1096)</f>
        <v/>
      </c>
      <c r="L1096">
        <f>K1096*(MIN(Inputs!$B$22+(F1110-Calc!F22),Inputs!$B$23)/100+Inputs!$B$23/100)/2</f>
        <v/>
      </c>
      <c r="M1096">
        <f>L1096*(1+(Inputs!$B$10+(F1109-Calc!F21))/100)</f>
        <v/>
      </c>
      <c r="N1096">
        <f>L1096*(1-MIN(Inputs!$B$9+(F1108-Calc!F20),100)/100)+M1096*(MIN(Inputs!$B$9+(F1108-Calc!F20),100)/100)</f>
        <v/>
      </c>
      <c r="O1096">
        <f>(1-Summary!$B$56)*S1096+Summary!$B$56*U1096</f>
        <v/>
      </c>
      <c r="P1096">
        <f>IF(B1129=0,0,O1096/B1129)</f>
        <v/>
      </c>
      <c r="Q1096">
        <f>IFERROR(1/IF(Inputs!$B$38="pvp",15,MAX(0.1,Skills!E8-IF(Skills!F8=TRUE,Inputs!$B$32,0))),0)</f>
        <v/>
      </c>
      <c r="R1096">
        <f>IF(AND(Inputs!$B$38&lt;&gt;"pvp",Inputs!$B$43&gt;0),IF(MAX(0,Inputs!$B$43-B1126)&lt;=0,0,(INT(MAX(0,Inputs!$B$43-B1126)/IF(Inputs!$B$38="pvp",15,MAX(0.1,Skills!E8-IF(Skills!F8=TRUE,Inputs!$B$32,0))))+1)),0)</f>
        <v/>
      </c>
      <c r="S1096">
        <f>IF(C1096,(H1096*N1096*IF(AND(Inputs!$B$38&lt;&gt;"pvp",Inputs!$B$43&gt;0),((Skills!G8*((R1096-1)*IF(Skills!H8&gt;0,Skills!I8/Skills!H8,1)+IF(Skills!H8&gt;0,MIN(Skills!I8,MAX(0,MAX(0,Inputs!$B$43-B1126)-((R1096-1)*IF(Inputs!$B$38="pvp",15,MAX(0.1,Skills!E8-IF(Skills!F8=TRUE,Inputs!$B$32,0))))))/Skills!H8,1)))/Inputs!$B$43),G1096*Q1096))*IF(Inputs!$B$38="pvp",1,1+(Inputs!$B$20+Skills!P8)/100),0)</f>
        <v/>
      </c>
      <c r="U1096">
        <f>IF(C1096,(H1096*N1096*IF(AND(Inputs!$B$38&lt;&gt;"pvp",Inputs!$B$43&gt;0),((Skills!G8*((R1096-1)*IF(Skills!H8&gt;0,Skills!I8/Skills!H8,1)+IF(Skills!H8&gt;0,MIN(Skills!I8,MAX(0,MAX(0,Inputs!$B$43-B1126)-((R1096-1)*IF(Inputs!$B$38="pvp",15,MAX(0.1,Skills!E8-IF(Skills!F8=TRUE,Inputs!$B$32,0))))))/Skills!H8,1)))/Inputs!$B$43),G1096*Q1096))*IF(Inputs!$B$38="pvp",1,(1+(Inputs!$B$21+Skills!Q8)/100)*(MIN(Skills!R8,Inputs!$B$37))),0)</f>
        <v/>
      </c>
    </row>
    <row r="1097">
      <c r="A1097">
        <f>Skills!A9</f>
        <v/>
      </c>
      <c r="B1097">
        <f>Skills!B9</f>
        <v/>
      </c>
      <c r="C1097">
        <f>Inputs!$B$3&gt;=103</f>
        <v/>
      </c>
      <c r="D1097">
        <f>IF(Skills!C9=1,60+Inputs!$B$25+Inputs!$B$29,IF(Skills!C9=2,90+Inputs!$B$26+Inputs!$B$29,IF(Skills!C9=3,120+Inputs!$B$27+Inputs!$B$29,MAX(0,(Inputs!$B$3-100)*3)+Inputs!$B$28+Inputs!$B$29)))</f>
        <v/>
      </c>
      <c r="E1097">
        <f>INDEX(FactorTable!$B$2:$Y$301, MATCH(ROUND(MIN(300,MAX(1,D1097)),0), FactorTable!$A$2:$A$301,0), Skills!M9+1)</f>
        <v/>
      </c>
      <c r="F1097">
        <f>IF(Skills!N9=TRUE,(Skills!L9/10)*(E1097/1000),Skills!L9/10)+Skills!O9</f>
        <v/>
      </c>
      <c r="G1097">
        <f>Calc!G9</f>
        <v/>
      </c>
      <c r="H1097">
        <f>Calc!H9</f>
        <v/>
      </c>
      <c r="I1097">
        <f>IF(Skills!X9&lt;&gt;"",1+(Skills!X9/10)*(Z1091/1000)/100,1)</f>
        <v/>
      </c>
      <c r="J1097">
        <f>((Inputs!$B$6*(1+Inputs!$B$7/100))+(((Inputs!$B$12*(1+Inputs!$B$13/100))-(Inputs!$B$12*(1+Inputs!$B$13/100)))+0.25*(Inputs!$B$14-Inputs!$B$14))*(1+Inputs!$B$7/100))*(F1097/100)</f>
        <v/>
      </c>
      <c r="K1097">
        <f>J1097*(1+((Inputs!$B$12*(1+Inputs!$B$13/100))*0.01+Inputs!$B$14*0.0025)/100)*(1+Inputs!$B$15/100)*(1+Inputs!$B$16/100)*(5000/(6000+Inputs!$B$42*(1-Inputs!$B$19/100)))*(1+Inputs!$B$24/100)*(1+F1111/100)*(1+IF(Inputs!$B$3&gt;=120,F1114,0)/100)^5*(1+(IF(Skills!A9="BASIC_ATTACK",Inputs!$B$17,Inputs!$B$18+IF(Inputs!$B$3&gt;=125,F1115*5,0)))/100)*(B1118*B1119*B1120*I1097)</f>
        <v/>
      </c>
      <c r="L1097">
        <f>K1097*(MIN(Inputs!$B$22+(F1110-Calc!F22),Inputs!$B$23)/100+Inputs!$B$23/100)/2</f>
        <v/>
      </c>
      <c r="M1097">
        <f>L1097*(1+(Inputs!$B$10+(F1109-Calc!F21))/100)</f>
        <v/>
      </c>
      <c r="N1097">
        <f>L1097*(1-MIN(Inputs!$B$9+(F1108-Calc!F20),100)/100)+M1097*(MIN(Inputs!$B$9+(F1108-Calc!F20),100)/100)</f>
        <v/>
      </c>
      <c r="O1097">
        <f>(1-Summary!$B$56)*S1097+Summary!$B$56*U1097</f>
        <v/>
      </c>
      <c r="P1097">
        <f>IF(B1129=0,0,O1097/B1129)</f>
        <v/>
      </c>
      <c r="Q1097">
        <f>IFERROR(1/IF(Inputs!$B$38="pvp",15,MAX(0.1,Skills!E9-IF(Skills!F7=TRUE,Inputs!$B$32,0))),0)</f>
        <v/>
      </c>
      <c r="R1097">
        <f>IF(AND(Inputs!$B$38&lt;&gt;"pvp",Inputs!$B$43&gt;0),IF(MAX(0,Inputs!$B$43-B1126)&lt;=0,0,(INT(MAX(0,Inputs!$B$43-B1126)/IF(Inputs!$B$38="pvp",15,MAX(0.1,Skills!E9-IF(Skills!F7=TRUE,Inputs!$B$32,0))))+1)),0)</f>
        <v/>
      </c>
      <c r="S1097">
        <f>IF(C1097,(H1097*N1097*IF(AND(Inputs!$B$38&lt;&gt;"pvp",Inputs!$B$43&gt;0),((Skills!G9*((R1097-1)*IF(Skills!H9&gt;0,Skills!I9/Skills!H9,1)+IF(Skills!H9&gt;0,MIN(Skills!I9,MAX(0,MAX(0,Inputs!$B$43-B1126)-((R1097-1)*IF(Inputs!$B$38="pvp",15,MAX(0.1,Skills!E9-IF(Skills!F7=TRUE,Inputs!$B$32,0))))))/Skills!H9,1)))/Inputs!$B$43),G1097*Q1097))*IF(Inputs!$B$38="pvp",1,1+(Inputs!$B$20+Skills!P9)/100),0)</f>
        <v/>
      </c>
      <c r="U1097">
        <f>IF(C1097,(H1097*N1097*IF(AND(Inputs!$B$38&lt;&gt;"pvp",Inputs!$B$43&gt;0),((Skills!G9*((R1097-1)*IF(Skills!H9&gt;0,Skills!I9/Skills!H9,1)+IF(Skills!H9&gt;0,MIN(Skills!I9,MAX(0,MAX(0,Inputs!$B$43-B1126)-((R1097-1)*IF(Inputs!$B$38="pvp",15,MAX(0.1,Skills!E9-IF(Skills!F7=TRUE,Inputs!$B$32,0))))))/Skills!H9,1)))/Inputs!$B$43),G1097*Q1097))*IF(Inputs!$B$38="pvp",1,(1+(Inputs!$B$21+Skills!Q9)/100)*(MIN(Skills!R9,Inputs!$B$37))),0)</f>
        <v/>
      </c>
    </row>
    <row r="1098">
      <c r="A1098">
        <f>Skills!A10</f>
        <v/>
      </c>
      <c r="B1098">
        <f>Skills!B10</f>
        <v/>
      </c>
      <c r="C1098">
        <f>TRUE</f>
        <v/>
      </c>
      <c r="D1098">
        <f>IF(Skills!C10=1,60+Inputs!$B$25+Inputs!$B$29,IF(Skills!C10=2,90+Inputs!$B$26+Inputs!$B$29,IF(Skills!C10=3,120+Inputs!$B$27+Inputs!$B$29,MAX(0,(Inputs!$B$3-100)*3)+Inputs!$B$28+Inputs!$B$29)))</f>
        <v/>
      </c>
      <c r="E1098">
        <f>INDEX(FactorTable!$B$2:$Y$301, MATCH(ROUND(MIN(300,MAX(1,D1098)),0), FactorTable!$A$2:$A$301,0), Skills!M10+1)</f>
        <v/>
      </c>
      <c r="F1098">
        <f>IF(Skills!N10=TRUE,(Skills!L10/10)*(E1098/1000),Skills!L10/10)+Skills!O10</f>
        <v/>
      </c>
      <c r="G1098">
        <f>Calc!G10</f>
        <v/>
      </c>
      <c r="H1098">
        <f>Calc!H10</f>
        <v/>
      </c>
      <c r="I1098">
        <f>IF(Skills!X10&lt;&gt;"",1+(Skills!X10/10)*(Z1091/1000)/100,1)</f>
        <v/>
      </c>
      <c r="J1098">
        <f>((Inputs!$B$6*(1+Inputs!$B$7/100))+(((Inputs!$B$12*(1+Inputs!$B$13/100))-(Inputs!$B$12*(1+Inputs!$B$13/100)))+0.25*(Inputs!$B$14-Inputs!$B$14))*(1+Inputs!$B$7/100))*(F1098/100)</f>
        <v/>
      </c>
      <c r="K1098">
        <f>J1098*(1+((Inputs!$B$12*(1+Inputs!$B$13/100))*0.01+Inputs!$B$14*0.0025)/100)*(1+Inputs!$B$15/100)*(1+Inputs!$B$16/100)*(5000/(6000+Inputs!$B$42*(1-Inputs!$B$19/100)))*(1+Inputs!$B$24/100)*(1+F1111/100)*(1+IF(Inputs!$B$3&gt;=120,F1114,0)/100)^5*(1+(IF(Skills!A10="BASIC_ATTACK",Inputs!$B$17,Inputs!$B$18+IF(Inputs!$B$3&gt;=125,F1115*5,0)))/100)*(B1118*B1119*B1120*I1098)</f>
        <v/>
      </c>
      <c r="L1098">
        <f>K1098*(MIN(Inputs!$B$22+(F1110-Calc!F22),Inputs!$B$23)/100+Inputs!$B$23/100)/2</f>
        <v/>
      </c>
      <c r="M1098">
        <f>L1098*(1+(Inputs!$B$10+(F1109-Calc!F21))/100)</f>
        <v/>
      </c>
      <c r="N1098">
        <f>L1098*(1-MIN(Inputs!$B$9+(F1108-Calc!F20),100)/100)+M1098*(MIN(Inputs!$B$9+(F1108-Calc!F20),100)/100)</f>
        <v/>
      </c>
      <c r="O1098">
        <f>(1-Summary!$B$56)*S1098+Summary!$B$56*U1098</f>
        <v/>
      </c>
      <c r="P1098">
        <f>IF(B1129=0,0,O1098/B1129)</f>
        <v/>
      </c>
      <c r="Q1098">
        <f>IFERROR(1/IF(Inputs!$B$38="pvp",15,MAX(0.1,Skills!E10-IF(Skills!F10=TRUE,Inputs!$B$32,0))),0)</f>
        <v/>
      </c>
      <c r="R1098">
        <f>IF(AND(Inputs!$B$38&lt;&gt;"pvp",Inputs!$B$43&gt;0),IF(MAX(0,Inputs!$B$43-B1126)&lt;=0,0,(INT(MAX(0,Inputs!$B$43-B1126)/IF(Inputs!$B$38="pvp",15,MAX(0.1,Skills!E10-IF(Skills!F10=TRUE,Inputs!$B$32,0))))+1)),0)</f>
        <v/>
      </c>
      <c r="S1098">
        <f>IF(C1098,(H1098*N1098*IF(AND(Inputs!$B$38&lt;&gt;"pvp",Inputs!$B$43&gt;0),((Skills!G10*((R1098-1)*IF(Skills!H10&gt;0,Skills!I10/Skills!H10,1)+IF(Skills!H10&gt;0,MIN(Skills!I10,MAX(0,MAX(0,Inputs!$B$43-B1126)-((R1098-1)*IF(Inputs!$B$38="pvp",15,MAX(0.1,Skills!E10-IF(Skills!F10=TRUE,Inputs!$B$32,0))))))/Skills!H10,1)))/Inputs!$B$43),G1098*Q1098))*IF(Inputs!$B$38="pvp",1,1+(Inputs!$B$20+Skills!P10)/100),0)</f>
        <v/>
      </c>
      <c r="U1098">
        <f>IF(C1098,(H1098*N1098*IF(AND(Inputs!$B$38&lt;&gt;"pvp",Inputs!$B$43&gt;0),((Skills!G10*((R1098-1)*IF(Skills!H10&gt;0,Skills!I10/Skills!H10,1)+IF(Skills!H10&gt;0,MIN(Skills!I10,MAX(0,MAX(0,Inputs!$B$43-B1126)-((R1098-1)*IF(Inputs!$B$38="pvp",15,MAX(0.1,Skills!E10-IF(Skills!F10=TRUE,Inputs!$B$32,0))))))/Skills!H10,1)))/Inputs!$B$43),G1098*Q1098))*IF(Inputs!$B$38="pvp",1,(1+(Inputs!$B$21+Skills!Q10)/100)*(MIN(Skills!R10,Inputs!$B$37))),0)</f>
        <v/>
      </c>
    </row>
    <row r="1099">
      <c r="A1099">
        <f>Skills!A11</f>
        <v/>
      </c>
      <c r="B1099">
        <f>Skills!B11</f>
        <v/>
      </c>
      <c r="C1099">
        <f>TRUE</f>
        <v/>
      </c>
      <c r="D1099">
        <f>IF(Skills!C11=1,60+Inputs!$B$25+Inputs!$B$29,IF(Skills!C11=2,90+Inputs!$B$26+Inputs!$B$29,IF(Skills!C11=3,120+Inputs!$B$27+Inputs!$B$29,MAX(0,(Inputs!$B$3-100)*3)+Inputs!$B$28+Inputs!$B$29)))</f>
        <v/>
      </c>
      <c r="E1099">
        <f>INDEX(FactorTable!$B$2:$Y$301, MATCH(ROUND(MIN(300,MAX(1,D1099)),0), FactorTable!$A$2:$A$301,0), Skills!M11+1)</f>
        <v/>
      </c>
      <c r="F1099">
        <f>IF(Skills!N11=TRUE,(Skills!L11/10)*(E1099/1000),Skills!L11/10)+Skills!O11</f>
        <v/>
      </c>
      <c r="G1099">
        <f>Calc!G11</f>
        <v/>
      </c>
      <c r="H1099">
        <f>Calc!H11</f>
        <v/>
      </c>
      <c r="I1099">
        <f>IF(Skills!X11&lt;&gt;"",1+(Skills!X11/10)*(Z1091/1000)/100,1)</f>
        <v/>
      </c>
      <c r="J1099" t="inlineStr"/>
      <c r="K1099" t="inlineStr"/>
      <c r="L1099" t="inlineStr"/>
      <c r="M1099" t="inlineStr"/>
      <c r="N1099" t="inlineStr"/>
      <c r="O1099">
        <f>(1-Summary!$B$56)*S1099+Summary!$B$56*U1099</f>
        <v/>
      </c>
      <c r="P1099">
        <f>IF(B1129=0,0,O1099/B1129)</f>
        <v/>
      </c>
      <c r="Q1099">
        <f>IFERROR(1/IF(Inputs!$B$38="pvp",15,MAX(0.1,Skills!E11-IF(Skills!F11=TRUE,Inputs!$B$32,0))),0)</f>
        <v/>
      </c>
      <c r="R1099" t="n">
        <v>0</v>
      </c>
      <c r="S1099" t="n">
        <v>0</v>
      </c>
      <c r="U1099" t="n">
        <v>0</v>
      </c>
    </row>
    <row r="1100">
      <c r="A1100">
        <f>Skills!A12</f>
        <v/>
      </c>
      <c r="B1100">
        <f>Skills!B12</f>
        <v/>
      </c>
      <c r="C1100">
        <f>TRUE</f>
        <v/>
      </c>
      <c r="D1100">
        <f>IF(Skills!C12=1,60+Inputs!$B$25+Inputs!$B$29,IF(Skills!C12=2,90+Inputs!$B$26+Inputs!$B$29,IF(Skills!C12=3,120+Inputs!$B$27+Inputs!$B$29,MAX(0,(Inputs!$B$3-100)*3)+Inputs!$B$28+Inputs!$B$29)))</f>
        <v/>
      </c>
      <c r="E1100">
        <f>INDEX(FactorTable!$B$2:$Y$301, MATCH(ROUND(MIN(300,MAX(1,D1100)),0), FactorTable!$A$2:$A$301,0), Skills!M12+1)</f>
        <v/>
      </c>
      <c r="F1100">
        <f>IF(Skills!N12=TRUE,(Skills!L12/10)*(E1100/1000),Skills!L12/10)+Skills!O12</f>
        <v/>
      </c>
      <c r="G1100">
        <f>Calc!G12</f>
        <v/>
      </c>
      <c r="H1100">
        <f>Calc!H12</f>
        <v/>
      </c>
      <c r="I1100">
        <f>IF(Skills!X12&lt;&gt;"",1+(Skills!X12/10)*(Z1091/1000)/100,1)</f>
        <v/>
      </c>
      <c r="J1100" t="inlineStr"/>
      <c r="K1100" t="inlineStr"/>
      <c r="L1100" t="inlineStr"/>
      <c r="M1100" t="inlineStr"/>
      <c r="N1100" t="inlineStr"/>
      <c r="O1100">
        <f>(1-Summary!$B$56)*S1100+Summary!$B$56*U1100</f>
        <v/>
      </c>
      <c r="P1100">
        <f>IF(B1129=0,0,O1100/B1129)</f>
        <v/>
      </c>
      <c r="Q1100">
        <f>IFERROR(1/IF(Inputs!$B$38="pvp",15,MAX(0.1,Skills!E12-IF(Skills!F12=TRUE,Inputs!$B$32,0))),0)</f>
        <v/>
      </c>
      <c r="R1100" t="n">
        <v>0</v>
      </c>
      <c r="S1100" t="n">
        <v>0</v>
      </c>
      <c r="U1100" t="n">
        <v>0</v>
      </c>
    </row>
    <row r="1101">
      <c r="A1101">
        <f>Skills!A13</f>
        <v/>
      </c>
      <c r="B1101">
        <f>Skills!B13</f>
        <v/>
      </c>
      <c r="C1101">
        <f>Inputs!$B$3&gt;=105</f>
        <v/>
      </c>
      <c r="D1101">
        <f>IF(Skills!C13=1,60+Inputs!$B$25+Inputs!$B$29,IF(Skills!C13=2,90+Inputs!$B$26+Inputs!$B$29,IF(Skills!C13=3,120+Inputs!$B$27+Inputs!$B$29,MAX(0,(Inputs!$B$3-100)*3)+Inputs!$B$28+Inputs!$B$29)))</f>
        <v/>
      </c>
      <c r="E1101">
        <f>INDEX(FactorTable!$B$2:$Y$301, MATCH(ROUND(MIN(300,MAX(1,D1101)),0), FactorTable!$A$2:$A$301,0), Skills!M13+1)</f>
        <v/>
      </c>
      <c r="F1101">
        <f>IF(Skills!N13=TRUE,(Skills!L13/10)*(E1101/1000),Skills!L13/10)+Skills!O13</f>
        <v/>
      </c>
      <c r="G1101">
        <f>Calc!G13</f>
        <v/>
      </c>
      <c r="H1101">
        <f>Calc!H13</f>
        <v/>
      </c>
      <c r="I1101">
        <f>IF(Skills!X13&lt;&gt;"",1+(Skills!X13/10)*(Z1091/1000)/100,1)</f>
        <v/>
      </c>
      <c r="J1101">
        <f>((Inputs!$B$6*(1+Inputs!$B$7/100))+(((Inputs!$B$12*(1+Inputs!$B$13/100))-(Inputs!$B$12*(1+Inputs!$B$13/100)))+0.25*(Inputs!$B$14-Inputs!$B$14))*(1+Inputs!$B$7/100))*(F1101/100)</f>
        <v/>
      </c>
      <c r="K1101">
        <f>J1101*(1+((Inputs!$B$12*(1+Inputs!$B$13/100))*0.01+Inputs!$B$14*0.0025)/100)*(1+Inputs!$B$15/100)*(1+Inputs!$B$16/100)*(5000/(6000+Inputs!$B$42*(1-Inputs!$B$19/100)))*(1+Inputs!$B$24/100)*(1+F1111/100)*(1+IF(Inputs!$B$3&gt;=120,F1114,0)/100)^5*(1+(IF(Skills!A13="BASIC_ATTACK",Inputs!$B$17,Inputs!$B$18+IF(Inputs!$B$3&gt;=125,F1115*5,0)))/100)*(B1118*B1119*B1120*I1101)</f>
        <v/>
      </c>
      <c r="L1101">
        <f>K1101*(MIN(Inputs!$B$22+(F1110-Calc!F22),Inputs!$B$23)/100+Inputs!$B$23/100)/2</f>
        <v/>
      </c>
      <c r="M1101">
        <f>L1101*(1+(Inputs!$B$10+(F1109-Calc!F21))/100)</f>
        <v/>
      </c>
      <c r="N1101">
        <f>L1101*(1-MIN(Inputs!$B$9+(F1108-Calc!F20),100)/100)+M1101*(MIN(Inputs!$B$9+(F1108-Calc!F20),100)/100)</f>
        <v/>
      </c>
      <c r="O1101">
        <f>(1-Summary!$B$56)*S1101+Summary!$B$56*U1101</f>
        <v/>
      </c>
      <c r="P1101">
        <f>IF(B1129=0,0,O1101/B1129)</f>
        <v/>
      </c>
      <c r="Q1101">
        <f>IFERROR(1/IF(Inputs!$B$38="pvp",15,MAX(0.1,Skills!E13-IF(Skills!F13=TRUE,Inputs!$B$32,0))),0)</f>
        <v/>
      </c>
      <c r="R1101">
        <f>IF(AND(Inputs!$B$38&lt;&gt;"pvp",Inputs!$B$43&gt;0),IF(MAX(0,Inputs!$B$43-B1126)&lt;=0,0,(INT(MAX(0,Inputs!$B$43-B1126)/IF(Inputs!$B$38="pvp",15,MAX(0.1,Skills!E13-IF(Skills!F13=TRUE,Inputs!$B$32,0))))+1)),0)</f>
        <v/>
      </c>
      <c r="S1101">
        <f>IF(C1101,(H1101*N1101*IF(AND(Inputs!$B$38&lt;&gt;"pvp",Inputs!$B$43&gt;0),((Skills!G13*((R1101-1)*IF(Skills!H13&gt;0,Skills!I13/Skills!H13,1)+IF(Skills!H13&gt;0,MIN(Skills!I13,MAX(0,MAX(0,Inputs!$B$43-B1126)-((R1101-1)*IF(Inputs!$B$38="pvp",15,MAX(0.1,Skills!E13-IF(Skills!F13=TRUE,Inputs!$B$32,0))))))/Skills!H13,1)))/Inputs!$B$43),G1101*Q1101))*IF(Inputs!$B$38="pvp",1,1+(Inputs!$B$20+Skills!P13)/100),0)</f>
        <v/>
      </c>
      <c r="U1101">
        <f>IF(C1101,(H1101*N1101*IF(AND(Inputs!$B$38&lt;&gt;"pvp",Inputs!$B$43&gt;0),((Skills!G13*((R1101-1)*IF(Skills!H13&gt;0,Skills!I13/Skills!H13,1)+IF(Skills!H13&gt;0,MIN(Skills!I13,MAX(0,MAX(0,Inputs!$B$43-B1126)-((R1101-1)*IF(Inputs!$B$38="pvp",15,MAX(0.1,Skills!E13-IF(Skills!F13=TRUE,Inputs!$B$32,0))))))/Skills!H13,1)))/Inputs!$B$43),G1101*Q1101))*IF(Inputs!$B$38="pvp",1,(1+(Inputs!$B$21+Skills!Q13)/100)*(MIN(Skills!R13,Inputs!$B$37))),0)</f>
        <v/>
      </c>
    </row>
    <row r="1102">
      <c r="A1102">
        <f>Skills!A14</f>
        <v/>
      </c>
      <c r="B1102">
        <f>Skills!B14</f>
        <v/>
      </c>
      <c r="C1102">
        <f>Inputs!$B$3&gt;=113</f>
        <v/>
      </c>
      <c r="D1102">
        <f>IF(Skills!C14=1,60+Inputs!$B$25+Inputs!$B$29,IF(Skills!C14=2,90+Inputs!$B$26+Inputs!$B$29,IF(Skills!C14=3,120+Inputs!$B$27+Inputs!$B$29,MAX(0,(Inputs!$B$3-100)*3)+Inputs!$B$28+Inputs!$B$29)))</f>
        <v/>
      </c>
      <c r="E1102">
        <f>INDEX(FactorTable!$B$2:$Y$301, MATCH(ROUND(MIN(300,MAX(1,D1102)),0), FactorTable!$A$2:$A$301,0), Skills!M14+1)</f>
        <v/>
      </c>
      <c r="F1102">
        <f>IF(Skills!N14=TRUE,(Skills!L14/10)*(E1102/1000),Skills!L14/10)+Skills!O14</f>
        <v/>
      </c>
      <c r="G1102">
        <f>Calc!G14</f>
        <v/>
      </c>
      <c r="H1102">
        <f>Calc!H14</f>
        <v/>
      </c>
      <c r="I1102">
        <f>IF(Skills!X14&lt;&gt;"",1+(Skills!X14/10)*(Z1091/1000)/100,1)</f>
        <v/>
      </c>
      <c r="J1102">
        <f>((Inputs!$B$6*(1+Inputs!$B$7/100))+(((Inputs!$B$12*(1+Inputs!$B$13/100))-(Inputs!$B$12*(1+Inputs!$B$13/100)))+0.25*(Inputs!$B$14-Inputs!$B$14))*(1+Inputs!$B$7/100))*(F1102/100)</f>
        <v/>
      </c>
      <c r="K1102">
        <f>J1102*(1+((Inputs!$B$12*(1+Inputs!$B$13/100))*0.01+Inputs!$B$14*0.0025)/100)*(1+Inputs!$B$15/100)*(1+Inputs!$B$16/100)*(5000/(6000+Inputs!$B$42*(1-Inputs!$B$19/100)))*(1+Inputs!$B$24/100)*(1+F1111/100)*(1+IF(Inputs!$B$3&gt;=120,F1114,0)/100)^5*(1+(IF(Skills!A14="BASIC_ATTACK",Inputs!$B$17,Inputs!$B$18+IF(Inputs!$B$3&gt;=125,F1115*5,0)))/100)*(B1118*B1119*B1120*I1102)</f>
        <v/>
      </c>
      <c r="L1102">
        <f>K1102*(MIN(Inputs!$B$22+(F1110-Calc!F22),Inputs!$B$23)/100+Inputs!$B$23/100)/2</f>
        <v/>
      </c>
      <c r="M1102">
        <f>L1102*(1+(Inputs!$B$10+(F1109-Calc!F21))/100)</f>
        <v/>
      </c>
      <c r="N1102">
        <f>L1102*(1-MIN(Inputs!$B$9+(F1108-Calc!F20),100)/100)+M1102*(MIN(Inputs!$B$9+(F1108-Calc!F20),100)/100)</f>
        <v/>
      </c>
      <c r="O1102">
        <f>(1-Summary!$B$56)*S1102+Summary!$B$56*U1102</f>
        <v/>
      </c>
      <c r="P1102">
        <f>IF(B1129=0,0,O1102/B1129)</f>
        <v/>
      </c>
      <c r="Q1102">
        <f>IFERROR(1/IF(Inputs!$B$38="pvp",15,MAX(0.1,Skills!E14-IF(Skills!F14=TRUE,Inputs!$B$32,0))),0)</f>
        <v/>
      </c>
      <c r="R1102" t="n">
        <v>0</v>
      </c>
      <c r="S1102">
        <f>IF(C1102,((H1102*B1125)/(1+Skills!H14*H1102*B1125)*N1102)*IF(Inputs!$B$38="pvp",1,1+(Inputs!$B$20+Skills!P14)/100),0)</f>
        <v/>
      </c>
      <c r="U1102">
        <f>IF(C1102,((H1102*B1125)/(1+Skills!H14*H1102*B1125)*N1102)*IF(Inputs!$B$38="pvp",1,(1+(Inputs!$B$21+Skills!Q14)/100)*(MIN(Skills!R14,Inputs!$B$37))),0)</f>
        <v/>
      </c>
    </row>
    <row r="1103">
      <c r="A1103">
        <f>Skills!A15</f>
        <v/>
      </c>
      <c r="B1103">
        <f>Skills!B15</f>
        <v/>
      </c>
      <c r="C1103">
        <f>Inputs!$B$3&gt;=107</f>
        <v/>
      </c>
      <c r="D1103">
        <f>IF(Skills!C15=1,60+Inputs!$B$25+Inputs!$B$29,IF(Skills!C15=2,90+Inputs!$B$26+Inputs!$B$29,IF(Skills!C15=3,120+Inputs!$B$27+Inputs!$B$29,MAX(0,(Inputs!$B$3-100)*3)+Inputs!$B$28+Inputs!$B$29)))</f>
        <v/>
      </c>
      <c r="E1103">
        <f>INDEX(FactorTable!$B$2:$Y$301, MATCH(ROUND(MIN(300,MAX(1,D1103)),0), FactorTable!$A$2:$A$301,0), Skills!M15+1)</f>
        <v/>
      </c>
      <c r="F1103">
        <f>IF(Skills!N15=TRUE,(Skills!L15/10)*(E1103/1000),Skills!L15/10)+Skills!O15</f>
        <v/>
      </c>
      <c r="G1103">
        <f>Calc!G15</f>
        <v/>
      </c>
      <c r="H1103">
        <f>Calc!H15</f>
        <v/>
      </c>
      <c r="I1103">
        <f>IF(Skills!X15&lt;&gt;"",1+(Skills!X15/10)*(Z1091/1000)/100,1)</f>
        <v/>
      </c>
      <c r="J1103">
        <f>((Inputs!$B$6*(1+Inputs!$B$7/100))+(((Inputs!$B$12*(1+Inputs!$B$13/100))-(Inputs!$B$12*(1+Inputs!$B$13/100)))+0.25*(Inputs!$B$14-Inputs!$B$14))*(1+Inputs!$B$7/100))*(F1103/100)</f>
        <v/>
      </c>
      <c r="K1103">
        <f>J1103*(1+((Inputs!$B$12*(1+Inputs!$B$13/100))*0.01+Inputs!$B$14*0.0025)/100)*(1+Inputs!$B$15/100)*(1+Inputs!$B$16/100)*(5000/(6000+Inputs!$B$42*(1-Inputs!$B$19/100)))*(1+Inputs!$B$24/100)*(1+F1111/100)*(1+IF(Inputs!$B$3&gt;=120,F1114,0)/100)^5*(1+(IF(Skills!A15="BASIC_ATTACK",Inputs!$B$17,Inputs!$B$18+IF(Inputs!$B$3&gt;=125,F1115*5,0)))/100)*(B1118*B1119*B1120*I1103)</f>
        <v/>
      </c>
      <c r="L1103">
        <f>K1103*(MIN(Inputs!$B$22+(F1110-Calc!F22),Inputs!$B$23)/100+Inputs!$B$23/100)/2</f>
        <v/>
      </c>
      <c r="M1103">
        <f>L1103*(1+(Inputs!$B$10+(F1109-Calc!F21))/100)</f>
        <v/>
      </c>
      <c r="N1103">
        <f>L1103*(1-MIN(Inputs!$B$9+(F1108-Calc!F20),100)/100)+M1103*(MIN(Inputs!$B$9+(F1108-Calc!F20),100)/100)</f>
        <v/>
      </c>
      <c r="O1103">
        <f>(1-Summary!$B$56)*S1103+Summary!$B$56*U1103</f>
        <v/>
      </c>
      <c r="P1103">
        <f>IF(B1129=0,0,O1103/B1129)</f>
        <v/>
      </c>
      <c r="Q1103">
        <f>IFERROR(1/IF(Inputs!$B$38="pvp",15,MAX(0.1,Skills!E15-IF(Skills!F15=TRUE,Inputs!$B$32,0))),0)</f>
        <v/>
      </c>
      <c r="R1103">
        <f>IF(AND(Inputs!$B$38&lt;&gt;"pvp",Inputs!$B$43&gt;0),IF(MAX(0,Inputs!$B$43-B1126)&lt;=0,0,(INT(MAX(0,Inputs!$B$43-B1126)/IF(Inputs!$B$38="pvp",15,MAX(0.1,Skills!E15-IF(Skills!F15=TRUE,Inputs!$B$32,0))))+1)),0)</f>
        <v/>
      </c>
      <c r="S1103">
        <f>IF(C1103,(H1103*N1103*IF(AND(Inputs!$B$38&lt;&gt;"pvp",Inputs!$B$43&gt;0),((Skills!G15*((R1103-1)*IF(Skills!H15&gt;0,Skills!I15/Skills!H15,1)+IF(Skills!H15&gt;0,MIN(Skills!I15,MAX(0,MAX(0,Inputs!$B$43-B1126)-((R1103-1)*IF(Inputs!$B$38="pvp",15,MAX(0.1,Skills!E15-IF(Skills!F15=TRUE,Inputs!$B$32,0))))))/Skills!H15,1)))/Inputs!$B$43),G1103*Q1103))*IF(Inputs!$B$38="pvp",1,1+(Inputs!$B$20+Skills!P15)/100),0)</f>
        <v/>
      </c>
      <c r="U1103">
        <f>IF(C1103,(H1103*N1103*IF(AND(Inputs!$B$38&lt;&gt;"pvp",Inputs!$B$43&gt;0),((Skills!G15*((R1103-1)*IF(Skills!H15&gt;0,Skills!I15/Skills!H15,1)+IF(Skills!H15&gt;0,MIN(Skills!I15,MAX(0,MAX(0,Inputs!$B$43-B1126)-((R1103-1)*IF(Inputs!$B$38="pvp",15,MAX(0.1,Skills!E15-IF(Skills!F15=TRUE,Inputs!$B$32,0))))))/Skills!H15,1)))/Inputs!$B$43),G1103*Q1103))*IF(Inputs!$B$38="pvp",1,(1+(Inputs!$B$21+Skills!Q15)/100)*(MIN(Skills!R15,Inputs!$B$37))),0)</f>
        <v/>
      </c>
    </row>
    <row r="1104">
      <c r="A1104">
        <f>Skills!A16</f>
        <v/>
      </c>
      <c r="B1104">
        <f>Skills!B16</f>
        <v/>
      </c>
      <c r="C1104">
        <f>Inputs!$B$3&gt;=107</f>
        <v/>
      </c>
      <c r="D1104">
        <f>IF(Skills!C16=1,60+Inputs!$B$25+Inputs!$B$29,IF(Skills!C16=2,90+Inputs!$B$26+Inputs!$B$29,IF(Skills!C16=3,120+Inputs!$B$27+Inputs!$B$29,MAX(0,(Inputs!$B$3-100)*3)+Inputs!$B$28+Inputs!$B$29)))</f>
        <v/>
      </c>
      <c r="E1104">
        <f>INDEX(FactorTable!$B$2:$Y$301, MATCH(ROUND(MIN(300,MAX(1,D1104)),0), FactorTable!$A$2:$A$301,0), Skills!M16+1)</f>
        <v/>
      </c>
      <c r="F1104">
        <f>IF(Skills!N16=TRUE,(Skills!L16/10)*(E1104/1000),Skills!L16/10)+Skills!O16</f>
        <v/>
      </c>
      <c r="G1104">
        <f>Calc!G16</f>
        <v/>
      </c>
      <c r="H1104">
        <f>Calc!H16</f>
        <v/>
      </c>
      <c r="I1104">
        <f>IF(Skills!X16&lt;&gt;"",1+(Skills!X16/10)*(Z1091/1000)/100,1)</f>
        <v/>
      </c>
      <c r="J1104">
        <f>((Inputs!$B$6*(1+Inputs!$B$7/100))+(((Inputs!$B$12*(1+Inputs!$B$13/100))-(Inputs!$B$12*(1+Inputs!$B$13/100)))+0.25*(Inputs!$B$14-Inputs!$B$14))*(1+Inputs!$B$7/100))*(F1104/100)</f>
        <v/>
      </c>
      <c r="K1104">
        <f>J1104*(1+((Inputs!$B$12*(1+Inputs!$B$13/100))*0.01+Inputs!$B$14*0.0025)/100)*(1+Inputs!$B$15/100)*(1+Inputs!$B$16/100)*(5000/(6000+Inputs!$B$42*(1-Inputs!$B$19/100)))*(1+Inputs!$B$24/100)*(1+F1111/100)*(1+IF(Inputs!$B$3&gt;=120,F1114,0)/100)^5*(1+(IF(Skills!A16="BASIC_ATTACK",Inputs!$B$17,Inputs!$B$18+IF(Inputs!$B$3&gt;=125,F1115*5,0)))/100)*(B1118*B1119*B1120*I1104)</f>
        <v/>
      </c>
      <c r="L1104">
        <f>K1104*(MIN(Inputs!$B$22+(F1110-Calc!F22),Inputs!$B$23)/100+Inputs!$B$23/100)/2</f>
        <v/>
      </c>
      <c r="M1104">
        <f>L1104*(1+(Inputs!$B$10+(F1109-Calc!F21))/100)</f>
        <v/>
      </c>
      <c r="N1104">
        <f>L1104*(1-MIN(Inputs!$B$9+(F1108-Calc!F20),100)/100)+M1104*(MIN(Inputs!$B$9+(F1108-Calc!F20),100)/100)</f>
        <v/>
      </c>
      <c r="O1104">
        <f>(1-Summary!$B$56)*S1104+Summary!$B$56*U1104</f>
        <v/>
      </c>
      <c r="P1104">
        <f>IF(B1129=0,0,O1104/B1129)</f>
        <v/>
      </c>
      <c r="Q1104">
        <f>IFERROR(1/IF(Inputs!$B$38="pvp",15,MAX(0.1,Skills!E16-IF(Skills!F16=TRUE,Inputs!$B$32,0))),0)</f>
        <v/>
      </c>
      <c r="R1104">
        <f>IF(AND(Inputs!$B$38&lt;&gt;"pvp",Inputs!$B$43&gt;0),IF(MAX(0,Inputs!$B$43-B1126)&lt;=0,0,(INT(MAX(0,Inputs!$B$43-B1126)/IF(Inputs!$B$38="pvp",15,MAX(0.1,Skills!E16-IF(Skills!F16=TRUE,Inputs!$B$32,0))))+1)),0)</f>
        <v/>
      </c>
      <c r="S1104">
        <f>IF(C1104,(H1104*N1104*IF(AND(Inputs!$B$38&lt;&gt;"pvp",Inputs!$B$43&gt;0),((Skills!G16*((R1104-1)*IF(Skills!H16&gt;0,Skills!I16/Skills!H16,1)+IF(Skills!H16&gt;0,MIN(Skills!I16,MAX(0,MAX(0,Inputs!$B$43-B1126)-((R1104-1)*IF(Inputs!$B$38="pvp",15,MAX(0.1,Skills!E16-IF(Skills!F16=TRUE,Inputs!$B$32,0))))))/Skills!H16,1)))/Inputs!$B$43),G1104*Q1104)*(1+IF(Inputs!$B$3&gt;=126,0.05*(B1124+Q1101+(H1102*B1125)/(1+Skills!H14*H1102*B1125)+Q1112),0)*Skills!E15))*IF(Inputs!$B$38="pvp",1,1+(Inputs!$B$20+Skills!P16)/100),0)</f>
        <v/>
      </c>
      <c r="U1104">
        <f>IF(C1104,(H1104*N1104*IF(AND(Inputs!$B$38&lt;&gt;"pvp",Inputs!$B$43&gt;0),((Skills!G16*((R1104-1)*IF(Skills!H16&gt;0,Skills!I16/Skills!H16,1)+IF(Skills!H16&gt;0,MIN(Skills!I16,MAX(0,MAX(0,Inputs!$B$43-B1126)-((R1104-1)*IF(Inputs!$B$38="pvp",15,MAX(0.1,Skills!E16-IF(Skills!F16=TRUE,Inputs!$B$32,0))))))/Skills!H16,1)))/Inputs!$B$43),G1104*Q1104)*(1+IF(Inputs!$B$3&gt;=126,0.05*(B1124+Q1101+(H1102*B1125)/(1+Skills!H14*H1102*B1125)+Q1112),0)*Skills!E15))*IF(Inputs!$B$38="pvp",1,(1+(Inputs!$B$21+Skills!Q16)/100)*(MIN(Skills!R16,Inputs!$B$37))),0)</f>
        <v/>
      </c>
    </row>
    <row r="1105">
      <c r="A1105">
        <f>Skills!A17</f>
        <v/>
      </c>
      <c r="B1105">
        <f>Skills!B17</f>
        <v/>
      </c>
      <c r="C1105">
        <f>TRUE</f>
        <v/>
      </c>
      <c r="D1105">
        <f>IF(Skills!C17=1,60+Inputs!$B$25+Inputs!$B$29,IF(Skills!C17=2,90+Inputs!$B$26+Inputs!$B$29,IF(Skills!C17=3,120+Inputs!$B$27+Inputs!$B$29,MAX(0,(Inputs!$B$3-100)*3)+Inputs!$B$28+Inputs!$B$29)))</f>
        <v/>
      </c>
      <c r="E1105">
        <f>INDEX(FactorTable!$B$2:$Y$301, MATCH(ROUND(MIN(300,MAX(1,D1105)),0), FactorTable!$A$2:$A$301,0), Skills!M17+1)</f>
        <v/>
      </c>
      <c r="F1105">
        <f>IF(Skills!N17=TRUE,(Skills!L17/10)*(E1105/1000),Skills!L17/10)+Skills!O17</f>
        <v/>
      </c>
      <c r="G1105">
        <f>Calc!G17</f>
        <v/>
      </c>
      <c r="H1105">
        <f>Calc!H17</f>
        <v/>
      </c>
      <c r="I1105">
        <f>IF(Skills!X17&lt;&gt;"",1+(Skills!X17/10)*(Z1091/1000)/100,1)</f>
        <v/>
      </c>
      <c r="J1105" t="inlineStr"/>
      <c r="K1105" t="inlineStr"/>
      <c r="L1105" t="inlineStr"/>
      <c r="M1105" t="inlineStr"/>
      <c r="N1105" t="inlineStr"/>
      <c r="O1105">
        <f>(1-Summary!$B$56)*S1105+Summary!$B$56*U1105</f>
        <v/>
      </c>
      <c r="P1105">
        <f>IF(B1129=0,0,O1105/B1129)</f>
        <v/>
      </c>
      <c r="Q1105">
        <f>IFERROR(1/IF(Inputs!$B$38="pvp",15,MAX(0.1,Skills!E17-IF(Skills!F17=TRUE,Inputs!$B$32,0))),0)</f>
        <v/>
      </c>
      <c r="R1105">
        <f>IF(AND(Inputs!$B$38&lt;&gt;"pvp",Inputs!$B$43&gt;0),IF(Inputs!$B$43&lt;=0,0,(INT(Inputs!$B$43/IF(Inputs!$B$38="pvp",15,MAX(0.1,Skills!E17-IF(Skills!F17=TRUE,Inputs!$B$32,0))))+1)),0)</f>
        <v/>
      </c>
      <c r="S1105" t="n">
        <v>0</v>
      </c>
      <c r="U1105" t="n">
        <v>0</v>
      </c>
    </row>
    <row r="1106">
      <c r="A1106">
        <f>Skills!A18</f>
        <v/>
      </c>
      <c r="B1106">
        <f>Skills!B18</f>
        <v/>
      </c>
      <c r="C1106">
        <f>TRUE</f>
        <v/>
      </c>
      <c r="D1106">
        <f>IF(Skills!C18=1,60+Inputs!$B$25+Inputs!$B$29,IF(Skills!C18=2,90+Inputs!$B$26+Inputs!$B$29,IF(Skills!C18=3,120+Inputs!$B$27+Inputs!$B$29,MAX(0,(Inputs!$B$3-100)*3)+Inputs!$B$28+Inputs!$B$29)))</f>
        <v/>
      </c>
      <c r="E1106">
        <f>INDEX(FactorTable!$B$2:$Y$301, MATCH(ROUND(MIN(300,MAX(1,D1106)),0), FactorTable!$A$2:$A$301,0), Skills!M18+1)</f>
        <v/>
      </c>
      <c r="F1106">
        <f>IF(Skills!N18=TRUE,(Skills!L18/10)*(E1106/1000),Skills!L18/10)+Skills!O18</f>
        <v/>
      </c>
      <c r="G1106">
        <f>Calc!G18</f>
        <v/>
      </c>
      <c r="H1106">
        <f>Calc!H18</f>
        <v/>
      </c>
      <c r="I1106">
        <f>IF(Skills!X18&lt;&gt;"",1+(Skills!X18/10)*(Z1091/1000)/100,1)</f>
        <v/>
      </c>
      <c r="J1106" t="inlineStr"/>
      <c r="K1106" t="inlineStr"/>
      <c r="L1106" t="inlineStr"/>
      <c r="M1106" t="inlineStr"/>
      <c r="N1106" t="inlineStr"/>
      <c r="O1106">
        <f>(1-Summary!$B$56)*S1106+Summary!$B$56*U1106</f>
        <v/>
      </c>
      <c r="P1106">
        <f>IF(B1129=0,0,O1106/B1129)</f>
        <v/>
      </c>
      <c r="Q1106">
        <f>IFERROR(1/IF(Inputs!$B$38="pvp",15,MAX(0.1,Skills!E18-IF(Skills!F18=TRUE,Inputs!$B$32,0))),0)</f>
        <v/>
      </c>
      <c r="R1106">
        <f>IF(AND(Inputs!$B$38&lt;&gt;"pvp",Inputs!$B$43&gt;0),IF(Inputs!$B$43&lt;=0,0,(INT(Inputs!$B$43/IF(Inputs!$B$38="pvp",15,MAX(0.1,Skills!E18-IF(Skills!F18=TRUE,Inputs!$B$32,0))))+1)),0)</f>
        <v/>
      </c>
      <c r="S1106" t="n">
        <v>0</v>
      </c>
      <c r="U1106" t="n">
        <v>0</v>
      </c>
    </row>
    <row r="1107">
      <c r="A1107">
        <f>Skills!A19</f>
        <v/>
      </c>
      <c r="B1107">
        <f>Skills!B19</f>
        <v/>
      </c>
      <c r="C1107">
        <f>Inputs!$B$3&gt;=110</f>
        <v/>
      </c>
      <c r="D1107">
        <f>IF(Skills!C19=1,60+Inputs!$B$25+Inputs!$B$29,IF(Skills!C19=2,90+Inputs!$B$26+Inputs!$B$29,IF(Skills!C19=3,120+Inputs!$B$27+Inputs!$B$29,MAX(0,(Inputs!$B$3-100)*3)+Inputs!$B$28+Inputs!$B$29)))</f>
        <v/>
      </c>
      <c r="E1107">
        <f>INDEX(FactorTable!$B$2:$Y$301, MATCH(ROUND(MIN(300,MAX(1,D1107)),0), FactorTable!$A$2:$A$301,0), Skills!M19+1)</f>
        <v/>
      </c>
      <c r="F1107">
        <f>IF(Skills!N19=TRUE,(Skills!L19/10)*(E1107/1000),Skills!L19/10)+Skills!O19</f>
        <v/>
      </c>
      <c r="G1107">
        <f>Calc!G19</f>
        <v/>
      </c>
      <c r="H1107">
        <f>Calc!H19</f>
        <v/>
      </c>
      <c r="I1107">
        <f>IF(Skills!X19&lt;&gt;"",1+(Skills!X19/10)*(Z1091/1000)/100,1)</f>
        <v/>
      </c>
      <c r="J1107" t="inlineStr"/>
      <c r="K1107" t="inlineStr"/>
      <c r="L1107" t="inlineStr"/>
      <c r="M1107" t="inlineStr"/>
      <c r="N1107" t="inlineStr"/>
      <c r="O1107">
        <f>(1-Summary!$B$56)*S1107+Summary!$B$56*U1107</f>
        <v/>
      </c>
      <c r="P1107">
        <f>IF(B1129=0,0,O1107/B1129)</f>
        <v/>
      </c>
      <c r="Q1107">
        <f>IFERROR(1/IF(Inputs!$B$38="pvp",15,MAX(0.1,Skills!E19-IF(Skills!F19=TRUE,Inputs!$B$32,0))),0)</f>
        <v/>
      </c>
      <c r="R1107">
        <f>IF(AND(Inputs!$B$38&lt;&gt;"pvp",Inputs!$B$43&gt;0),IF(Inputs!$B$43&lt;=0,0,(INT(Inputs!$B$43/IF(Inputs!$B$38="pvp",15,MAX(0.1,Skills!E19-IF(Skills!F19=TRUE,Inputs!$B$32,0))))+1)),0)</f>
        <v/>
      </c>
      <c r="S1107" t="n">
        <v>0</v>
      </c>
      <c r="U1107" t="n">
        <v>0</v>
      </c>
    </row>
    <row r="1108">
      <c r="A1108">
        <f>Skills!A20</f>
        <v/>
      </c>
      <c r="B1108">
        <f>Skills!B20</f>
        <v/>
      </c>
      <c r="C1108">
        <f>TRUE</f>
        <v/>
      </c>
      <c r="D1108">
        <f>IF(Skills!C20=1,60+Inputs!$B$25+Inputs!$B$29,IF(Skills!C20=2,90+Inputs!$B$26+Inputs!$B$29,IF(Skills!C20=3,120+Inputs!$B$27+Inputs!$B$29,MAX(0,(Inputs!$B$3-100)*3)+Inputs!$B$28+Inputs!$B$29)))</f>
        <v/>
      </c>
      <c r="E1108">
        <f>INDEX(FactorTable!$B$2:$Y$301, MATCH(ROUND(MIN(300,MAX(1,D1108)),0), FactorTable!$A$2:$A$301,0), Skills!M20+1)</f>
        <v/>
      </c>
      <c r="F1108">
        <f>IF(Skills!N20=TRUE,(Skills!L20/10)*(E1108/1000),Skills!L20/10)+Skills!O20</f>
        <v/>
      </c>
      <c r="G1108">
        <f>Calc!G20</f>
        <v/>
      </c>
      <c r="H1108">
        <f>Calc!H20</f>
        <v/>
      </c>
      <c r="I1108">
        <f>IF(Skills!X20&lt;&gt;"",1+(Skills!X20/10)*(Z1091/1000)/100,1)</f>
        <v/>
      </c>
      <c r="J1108" t="inlineStr"/>
      <c r="K1108" t="inlineStr"/>
      <c r="L1108" t="inlineStr"/>
      <c r="M1108" t="inlineStr"/>
      <c r="N1108" t="inlineStr"/>
      <c r="O1108">
        <f>(1-Summary!$B$56)*S1108+Summary!$B$56*U1108</f>
        <v/>
      </c>
      <c r="P1108">
        <f>IF(B1129=0,0,O1108/B1129)</f>
        <v/>
      </c>
      <c r="Q1108">
        <f>IFERROR(1/IF(Inputs!$B$38="pvp",15,MAX(0.1,Skills!E20-IF(Skills!F20=TRUE,Inputs!$B$32,0))),0)</f>
        <v/>
      </c>
      <c r="R1108" t="n">
        <v>0</v>
      </c>
      <c r="S1108" t="n">
        <v>0</v>
      </c>
      <c r="U1108" t="n">
        <v>0</v>
      </c>
    </row>
    <row r="1109">
      <c r="A1109">
        <f>Skills!A21</f>
        <v/>
      </c>
      <c r="B1109">
        <f>Skills!B21</f>
        <v/>
      </c>
      <c r="C1109">
        <f>TRUE</f>
        <v/>
      </c>
      <c r="D1109">
        <f>IF(Skills!C21=1,60+Inputs!$B$25+Inputs!$B$29,IF(Skills!C21=2,90+Inputs!$B$26+Inputs!$B$29,IF(Skills!C21=3,120+Inputs!$B$27+Inputs!$B$29,MAX(0,(Inputs!$B$3-100)*3)+Inputs!$B$28+Inputs!$B$29)))</f>
        <v/>
      </c>
      <c r="E1109">
        <f>INDEX(FactorTable!$B$2:$Y$301, MATCH(ROUND(MIN(300,MAX(1,D1109)),0), FactorTable!$A$2:$A$301,0), Skills!M21+1)</f>
        <v/>
      </c>
      <c r="F1109">
        <f>IF(Skills!N21=TRUE,(Skills!L21/10)*(E1109/1000),Skills!L21/10)+Skills!O21</f>
        <v/>
      </c>
      <c r="G1109">
        <f>Calc!G21</f>
        <v/>
      </c>
      <c r="H1109">
        <f>Calc!H21</f>
        <v/>
      </c>
      <c r="I1109">
        <f>IF(Skills!X21&lt;&gt;"",1+(Skills!X21/10)*(Z1091/1000)/100,1)</f>
        <v/>
      </c>
      <c r="J1109" t="inlineStr"/>
      <c r="K1109" t="inlineStr"/>
      <c r="L1109" t="inlineStr"/>
      <c r="M1109" t="inlineStr"/>
      <c r="N1109" t="inlineStr"/>
      <c r="O1109">
        <f>(1-Summary!$B$56)*S1109+Summary!$B$56*U1109</f>
        <v/>
      </c>
      <c r="P1109">
        <f>IF(B1129=0,0,O1109/B1129)</f>
        <v/>
      </c>
      <c r="Q1109">
        <f>IFERROR(1/IF(Inputs!$B$38="pvp",15,MAX(0.1,Skills!E21-IF(Skills!F21=TRUE,Inputs!$B$32,0))),0)</f>
        <v/>
      </c>
      <c r="R1109" t="n">
        <v>0</v>
      </c>
      <c r="S1109" t="n">
        <v>0</v>
      </c>
      <c r="U1109" t="n">
        <v>0</v>
      </c>
    </row>
    <row r="1110">
      <c r="A1110">
        <f>Skills!A22</f>
        <v/>
      </c>
      <c r="B1110">
        <f>Skills!B22</f>
        <v/>
      </c>
      <c r="C1110">
        <f>TRUE</f>
        <v/>
      </c>
      <c r="D1110">
        <f>IF(Skills!C22=1,60+Inputs!$B$25+Inputs!$B$29,IF(Skills!C22=2,90+Inputs!$B$26+Inputs!$B$29,IF(Skills!C22=3,120+Inputs!$B$27+Inputs!$B$29,MAX(0,(Inputs!$B$3-100)*3)+Inputs!$B$28+Inputs!$B$29)))</f>
        <v/>
      </c>
      <c r="E1110">
        <f>INDEX(FactorTable!$B$2:$Y$301, MATCH(ROUND(MIN(300,MAX(1,D1110)),0), FactorTable!$A$2:$A$301,0), Skills!M22+1)</f>
        <v/>
      </c>
      <c r="F1110">
        <f>IF(Skills!N22=TRUE,(Skills!L22/10)*(E1110/1000),Skills!L22/10)+Skills!O22</f>
        <v/>
      </c>
      <c r="G1110">
        <f>Calc!G22</f>
        <v/>
      </c>
      <c r="H1110">
        <f>Calc!H22</f>
        <v/>
      </c>
      <c r="I1110">
        <f>IF(Skills!X22&lt;&gt;"",1+(Skills!X22/10)*(Z1091/1000)/100,1)</f>
        <v/>
      </c>
      <c r="J1110" t="inlineStr"/>
      <c r="K1110" t="inlineStr"/>
      <c r="L1110" t="inlineStr"/>
      <c r="M1110" t="inlineStr"/>
      <c r="N1110" t="inlineStr"/>
      <c r="O1110">
        <f>(1-Summary!$B$56)*S1110+Summary!$B$56*U1110</f>
        <v/>
      </c>
      <c r="P1110">
        <f>IF(B1129=0,0,O1110/B1129)</f>
        <v/>
      </c>
      <c r="Q1110">
        <f>IFERROR(1/IF(Inputs!$B$38="pvp",15,MAX(0.1,Skills!E22-IF(Skills!F22=TRUE,Inputs!$B$32,0))),0)</f>
        <v/>
      </c>
      <c r="R1110" t="n">
        <v>0</v>
      </c>
      <c r="S1110" t="n">
        <v>0</v>
      </c>
      <c r="U1110" t="n">
        <v>0</v>
      </c>
    </row>
    <row r="1111">
      <c r="A1111">
        <f>Skills!A23</f>
        <v/>
      </c>
      <c r="B1111">
        <f>Skills!B23</f>
        <v/>
      </c>
      <c r="C1111">
        <f>TRUE</f>
        <v/>
      </c>
      <c r="D1111">
        <f>IF(Skills!C23=1,60+Inputs!$B$25+Inputs!$B$29,IF(Skills!C23=2,90+Inputs!$B$26+Inputs!$B$29,IF(Skills!C23=3,120+Inputs!$B$27+Inputs!$B$29,MAX(0,(Inputs!$B$3-100)*3)+Inputs!$B$28+Inputs!$B$29)))</f>
        <v/>
      </c>
      <c r="E1111">
        <f>INDEX(FactorTable!$B$2:$Y$301, MATCH(ROUND(MIN(300,MAX(1,D1111)),0), FactorTable!$A$2:$A$301,0), Skills!M23+1)</f>
        <v/>
      </c>
      <c r="F1111">
        <f>IF(Skills!N23=TRUE,(Skills!L23/10)*(E1111/1000),Skills!L23/10)+Skills!O23</f>
        <v/>
      </c>
      <c r="G1111">
        <f>Calc!G23</f>
        <v/>
      </c>
      <c r="H1111">
        <f>Calc!H23</f>
        <v/>
      </c>
      <c r="I1111">
        <f>IF(Skills!X23&lt;&gt;"",1+(Skills!X23/10)*(Z1091/1000)/100,1)</f>
        <v/>
      </c>
      <c r="J1111" t="inlineStr"/>
      <c r="K1111" t="inlineStr"/>
      <c r="L1111" t="inlineStr"/>
      <c r="M1111" t="inlineStr"/>
      <c r="N1111" t="inlineStr"/>
      <c r="O1111">
        <f>(1-Summary!$B$56)*S1111+Summary!$B$56*U1111</f>
        <v/>
      </c>
      <c r="P1111">
        <f>IF(B1129=0,0,O1111/B1129)</f>
        <v/>
      </c>
      <c r="Q1111">
        <f>IFERROR(1/IF(Inputs!$B$38="pvp",15,MAX(0.1,Skills!E23-IF(Skills!F23=TRUE,Inputs!$B$32,0))),0)</f>
        <v/>
      </c>
      <c r="R1111" t="n">
        <v>0</v>
      </c>
      <c r="S1111" t="n">
        <v>0</v>
      </c>
      <c r="U1111" t="n">
        <v>0</v>
      </c>
    </row>
    <row r="1112">
      <c r="A1112">
        <f>Skills!A24</f>
        <v/>
      </c>
      <c r="B1112">
        <f>Skills!B24</f>
        <v/>
      </c>
      <c r="C1112">
        <f>Inputs!$B$3&gt;=115</f>
        <v/>
      </c>
      <c r="D1112">
        <f>IF(Skills!C24=1,60+Inputs!$B$25+Inputs!$B$29,IF(Skills!C24=2,90+Inputs!$B$26+Inputs!$B$29,IF(Skills!C24=3,120+Inputs!$B$27+Inputs!$B$29,MAX(0,(Inputs!$B$3-100)*3)+Inputs!$B$28+Inputs!$B$29)))</f>
        <v/>
      </c>
      <c r="E1112">
        <f>INDEX(FactorTable!$B$2:$Y$301, MATCH(ROUND(MIN(300,MAX(1,D1112)),0), FactorTable!$A$2:$A$301,0), Skills!M24+1)</f>
        <v/>
      </c>
      <c r="F1112">
        <f>IF(Skills!N24=TRUE,(Skills!L24/10)*(E1112/1000),Skills!L24/10)+Skills!O24</f>
        <v/>
      </c>
      <c r="G1112">
        <f>Calc!G24</f>
        <v/>
      </c>
      <c r="H1112">
        <f>Calc!H24</f>
        <v/>
      </c>
      <c r="I1112">
        <f>IF(Skills!X24&lt;&gt;"",1+(Skills!X24/10)*(Z1091/1000)/100,1)</f>
        <v/>
      </c>
      <c r="J1112">
        <f>((Inputs!$B$6*(1+Inputs!$B$7/100))+(((Inputs!$B$12*(1+Inputs!$B$13/100))-(Inputs!$B$12*(1+Inputs!$B$13/100)))+0.25*(Inputs!$B$14-Inputs!$B$14))*(1+Inputs!$B$7/100))*(F1112/100)</f>
        <v/>
      </c>
      <c r="K1112">
        <f>J1112*(1+((Inputs!$B$12*(1+Inputs!$B$13/100))*0.01+Inputs!$B$14*0.0025)/100)*(1+Inputs!$B$15/100)*(1+Inputs!$B$16/100)*(5000/(6000+Inputs!$B$42*(1-Inputs!$B$19/100)))*(1+Inputs!$B$24/100)*(1+F1111/100)*(1+IF(Inputs!$B$3&gt;=120,F1114,0)/100)^5*(1+(IF(Skills!A24="BASIC_ATTACK",Inputs!$B$17,Inputs!$B$18+IF(Inputs!$B$3&gt;=125,F1115*5,0)))/100)*(B1118*B1119*B1120*I1112)</f>
        <v/>
      </c>
      <c r="L1112">
        <f>K1112*(MIN(Inputs!$B$22+(F1110-Calc!F22),Inputs!$B$23)/100+Inputs!$B$23/100)/2</f>
        <v/>
      </c>
      <c r="M1112">
        <f>L1112*(1+(Inputs!$B$10+(F1109-Calc!F21))/100)</f>
        <v/>
      </c>
      <c r="N1112">
        <f>L1112*(1-MIN(Inputs!$B$9+(F1108-Calc!F20),100)/100)+M1112*(MIN(Inputs!$B$9+(F1108-Calc!F20),100)/100)</f>
        <v/>
      </c>
      <c r="O1112">
        <f>(1-Summary!$B$56)*S1112+Summary!$B$56*U1112</f>
        <v/>
      </c>
      <c r="P1112">
        <f>IF(B1129=0,0,O1112/B1129)</f>
        <v/>
      </c>
      <c r="Q1112">
        <f>IFERROR(1/IF(Inputs!$B$38="pvp",15,MAX(0.1,Skills!E24-IF(Skills!F24=TRUE,Inputs!$B$32,0))),0)</f>
        <v/>
      </c>
      <c r="R1112">
        <f>IF(AND(Inputs!$B$38&lt;&gt;"pvp",Inputs!$B$43&gt;0),IF(MAX(0,Inputs!$B$43-B1126)&lt;=0,0,(INT(MAX(0,Inputs!$B$43-B1126)/IF(Inputs!$B$38="pvp",15,MAX(0.1,Skills!E24-IF(Skills!F24=TRUE,Inputs!$B$32,0))))+1)),0)</f>
        <v/>
      </c>
      <c r="S1112">
        <f>IF(C1112,(H1112*N1112*IF(AND(Inputs!$B$38&lt;&gt;"pvp",Inputs!$B$43&gt;0),((Skills!G24*((R1112-1)*IF(Skills!H24&gt;0,Skills!I24/Skills!H24,1)+IF(Skills!H24&gt;0,MIN(Skills!I24,MAX(0,MAX(0,Inputs!$B$43-B1126)-((R1112-1)*IF(Inputs!$B$38="pvp",15,MAX(0.1,Skills!E24-IF(Skills!F24=TRUE,Inputs!$B$32,0))))))/Skills!H24,1)))/Inputs!$B$43),G1112*Q1112)*(1+IF(Inputs!$B$3&gt;=130,0.2*(Skills!I16/Skills!E15+IF(Inputs!$B$3&gt;=126,0.05*(B1124+Q1101+(H1102*B1125)/(1+Skills!H14*H1102*B1125)+Q1112),0)*Skills!I16),0)))*IF(Inputs!$B$38="pvp",1,1+(Inputs!$B$20+Skills!P24)/100),0)</f>
        <v/>
      </c>
      <c r="U1112">
        <f>IF(C1112,(H1112*N1112*IF(AND(Inputs!$B$38&lt;&gt;"pvp",Inputs!$B$43&gt;0),((Skills!G24*((R1112-1)*IF(Skills!H24&gt;0,Skills!I24/Skills!H24,1)+IF(Skills!H24&gt;0,MIN(Skills!I24,MAX(0,MAX(0,Inputs!$B$43-B1126)-((R1112-1)*IF(Inputs!$B$38="pvp",15,MAX(0.1,Skills!E24-IF(Skills!F24=TRUE,Inputs!$B$32,0))))))/Skills!H24,1)))/Inputs!$B$43),G1112*Q1112)*(1+IF(Inputs!$B$3&gt;=130,0.2*(Skills!I16/Skills!E15+IF(Inputs!$B$3&gt;=126,0.05*(B1124+Q1101+(H1102*B1125)/(1+Skills!H14*H1102*B1125)+Q1112),0)*Skills!I16),0)))*IF(Inputs!$B$38="pvp",1,(1+(Inputs!$B$21+Skills!Q24)/100)*(MIN(Skills!R24,Inputs!$B$37))),0)</f>
        <v/>
      </c>
    </row>
    <row r="1113">
      <c r="A1113">
        <f>Skills!A25</f>
        <v/>
      </c>
      <c r="B1113">
        <f>Skills!B25</f>
        <v/>
      </c>
      <c r="C1113">
        <f>Inputs!$B$3&gt;=117</f>
        <v/>
      </c>
      <c r="D1113">
        <f>IF(Skills!C25=1,60+Inputs!$B$25+Inputs!$B$29,IF(Skills!C25=2,90+Inputs!$B$26+Inputs!$B$29,IF(Skills!C25=3,120+Inputs!$B$27+Inputs!$B$29,MAX(0,(Inputs!$B$3-100)*3)+Inputs!$B$28+Inputs!$B$29)))</f>
        <v/>
      </c>
      <c r="E1113">
        <f>INDEX(FactorTable!$B$2:$Y$301, MATCH(ROUND(MIN(300,MAX(1,D1113)),0), FactorTable!$A$2:$A$301,0), Skills!M25+1)</f>
        <v/>
      </c>
      <c r="F1113">
        <f>IF(Skills!N25=TRUE,(Skills!L25/10)*(E1113/1000),Skills!L25/10)+Skills!O25</f>
        <v/>
      </c>
      <c r="G1113">
        <f>Calc!G25</f>
        <v/>
      </c>
      <c r="H1113">
        <f>Calc!H25</f>
        <v/>
      </c>
      <c r="I1113">
        <f>IF(Skills!X25&lt;&gt;"",1+(Skills!X25/10)*(Z1091/1000)/100,1)</f>
        <v/>
      </c>
      <c r="J1113" t="inlineStr"/>
      <c r="K1113" t="inlineStr"/>
      <c r="L1113" t="inlineStr"/>
      <c r="M1113" t="inlineStr"/>
      <c r="N1113" t="inlineStr"/>
      <c r="O1113">
        <f>(1-Summary!$B$56)*S1113+Summary!$B$56*U1113</f>
        <v/>
      </c>
      <c r="P1113">
        <f>IF(B1129=0,0,O1113/B1129)</f>
        <v/>
      </c>
      <c r="Q1113">
        <f>IFERROR(1/IF(Inputs!$B$38="pvp",15,MAX(0.1,Skills!E25-IF(Skills!F25=TRUE,Inputs!$B$32,0))),0)</f>
        <v/>
      </c>
      <c r="R1113" t="n">
        <v>0</v>
      </c>
      <c r="S1113" t="n">
        <v>0</v>
      </c>
      <c r="U1113" t="n">
        <v>0</v>
      </c>
    </row>
    <row r="1114">
      <c r="A1114">
        <f>Skills!A26</f>
        <v/>
      </c>
      <c r="B1114">
        <f>Skills!B26</f>
        <v/>
      </c>
      <c r="C1114">
        <f>Inputs!$B$3&gt;=120</f>
        <v/>
      </c>
      <c r="D1114">
        <f>IF(Skills!C26=1,60+Inputs!$B$25+Inputs!$B$29,IF(Skills!C26=2,90+Inputs!$B$26+Inputs!$B$29,IF(Skills!C26=3,120+Inputs!$B$27+Inputs!$B$29,MAX(0,(Inputs!$B$3-100)*3)+Inputs!$B$28+Inputs!$B$29)))</f>
        <v/>
      </c>
      <c r="E1114">
        <f>INDEX(FactorTable!$B$2:$Y$301, MATCH(ROUND(MIN(300,MAX(1,D1114)),0), FactorTable!$A$2:$A$301,0), Skills!M26+1)</f>
        <v/>
      </c>
      <c r="F1114">
        <f>IF(Skills!N26=TRUE,(Skills!L26/10)*(E1114/1000),Skills!L26/10)+Skills!O26</f>
        <v/>
      </c>
      <c r="G1114">
        <f>Calc!G26</f>
        <v/>
      </c>
      <c r="H1114">
        <f>Calc!H26</f>
        <v/>
      </c>
      <c r="I1114">
        <f>IF(Skills!X26&lt;&gt;"",1+(Skills!X26/10)*(Z1091/1000)/100,1)</f>
        <v/>
      </c>
      <c r="J1114" t="inlineStr"/>
      <c r="K1114" t="inlineStr"/>
      <c r="L1114" t="inlineStr"/>
      <c r="M1114" t="inlineStr"/>
      <c r="N1114" t="inlineStr"/>
      <c r="O1114">
        <f>(1-Summary!$B$56)*S1114+Summary!$B$56*U1114</f>
        <v/>
      </c>
      <c r="P1114">
        <f>IF(B1129=0,0,O1114/B1129)</f>
        <v/>
      </c>
      <c r="Q1114">
        <f>IFERROR(1/IF(Inputs!$B$38="pvp",15,MAX(0.1,Skills!E26-IF(Skills!F26=TRUE,Inputs!$B$32,0))),0)</f>
        <v/>
      </c>
      <c r="R1114" t="n">
        <v>0</v>
      </c>
      <c r="S1114" t="n">
        <v>0</v>
      </c>
      <c r="U1114" t="n">
        <v>0</v>
      </c>
    </row>
    <row r="1115">
      <c r="A1115">
        <f>Skills!A27</f>
        <v/>
      </c>
      <c r="B1115">
        <f>Skills!B27</f>
        <v/>
      </c>
      <c r="C1115">
        <f>Inputs!$B$3&gt;=125</f>
        <v/>
      </c>
      <c r="D1115">
        <f>IF(Skills!C27=1,60+Inputs!$B$25+Inputs!$B$29,IF(Skills!C27=2,90+Inputs!$B$26+Inputs!$B$29,IF(Skills!C27=3,120+Inputs!$B$27+Inputs!$B$29,MAX(0,(Inputs!$B$3-100)*3)+Inputs!$B$28+Inputs!$B$29)))</f>
        <v/>
      </c>
      <c r="E1115">
        <f>INDEX(FactorTable!$B$2:$Y$301, MATCH(ROUND(MIN(300,MAX(1,D1115)),0), FactorTable!$A$2:$A$301,0), Skills!M27+1)</f>
        <v/>
      </c>
      <c r="F1115">
        <f>IF(Skills!N27=TRUE,(Skills!L27/10)*(E1115/1000),Skills!L27/10)+Skills!O27</f>
        <v/>
      </c>
      <c r="G1115">
        <f>Calc!G27</f>
        <v/>
      </c>
      <c r="H1115">
        <f>Calc!H27</f>
        <v/>
      </c>
      <c r="I1115">
        <f>IF(Skills!X27&lt;&gt;"",1+(Skills!X27/10)*(Z1091/1000)/100,1)</f>
        <v/>
      </c>
      <c r="J1115" t="inlineStr"/>
      <c r="K1115" t="inlineStr"/>
      <c r="L1115" t="inlineStr"/>
      <c r="M1115" t="inlineStr"/>
      <c r="N1115" t="inlineStr"/>
      <c r="O1115">
        <f>(1-Summary!$B$56)*S1115+Summary!$B$56*U1115</f>
        <v/>
      </c>
      <c r="P1115">
        <f>IF(B1129=0,0,O1115/B1129)</f>
        <v/>
      </c>
      <c r="Q1115">
        <f>IFERROR(1/IF(Inputs!$B$38="pvp",15,MAX(0.1,Skills!E27-IF(Skills!F27=TRUE,Inputs!$B$32,0))),0)</f>
        <v/>
      </c>
      <c r="R1115" t="n">
        <v>0</v>
      </c>
      <c r="S1115" t="n">
        <v>0</v>
      </c>
      <c r="U1115" t="n">
        <v>0</v>
      </c>
    </row>
    <row r="1116">
      <c r="A1116">
        <f>Skills!A28</f>
        <v/>
      </c>
      <c r="B1116">
        <f>Skills!B28</f>
        <v/>
      </c>
      <c r="C1116">
        <f>Inputs!$B$3&gt;=118</f>
        <v/>
      </c>
      <c r="D1116">
        <f>IF(Skills!C28=1,60+Inputs!$B$25+Inputs!$B$29,IF(Skills!C28=2,90+Inputs!$B$26+Inputs!$B$29,IF(Skills!C28=3,120+Inputs!$B$27+Inputs!$B$29,MAX(0,(Inputs!$B$3-100)*3)+Inputs!$B$28+Inputs!$B$29)))</f>
        <v/>
      </c>
      <c r="E1116">
        <f>INDEX(FactorTable!$B$2:$Y$301, MATCH(ROUND(MIN(300,MAX(1,D1116)),0), FactorTable!$A$2:$A$301,0), Skills!M28+1)</f>
        <v/>
      </c>
      <c r="F1116">
        <f>IF(Skills!N28=TRUE,(Skills!L28/10)*(E1116/1000),Skills!L28/10)+Skills!O28</f>
        <v/>
      </c>
      <c r="G1116">
        <f>Calc!G28</f>
        <v/>
      </c>
      <c r="H1116">
        <f>Calc!H28</f>
        <v/>
      </c>
      <c r="I1116">
        <f>IF(Skills!X28&lt;&gt;"",1+(Skills!X28/10)*(Z1091/1000)/100,1)</f>
        <v/>
      </c>
      <c r="J1116">
        <f>((Inputs!$B$6*(1+Inputs!$B$7/100))+(((Inputs!$B$12*(1+Inputs!$B$13/100))-(Inputs!$B$12*(1+Inputs!$B$13/100)))+0.25*(Inputs!$B$14-Inputs!$B$14))*(1+Inputs!$B$7/100))*(F1116/100)</f>
        <v/>
      </c>
      <c r="K1116">
        <f>J1116*(1+((Inputs!$B$12*(1+Inputs!$B$13/100))*0.01+Inputs!$B$14*0.0025)/100)*(1+Inputs!$B$15/100)*(1+Inputs!$B$16/100)*(5000/(6000+Inputs!$B$42*(1-Inputs!$B$19/100)))*(1+Inputs!$B$24/100)*(1+F1111/100)*(1+IF(Inputs!$B$3&gt;=120,F1114,0)/100)^5*(1+(IF(Skills!A28="BASIC_ATTACK",Inputs!$B$17,Inputs!$B$18+IF(Inputs!$B$3&gt;=125,F1115*5,0)))/100)*(B1118*B1119*B1120*I1116)</f>
        <v/>
      </c>
      <c r="L1116">
        <f>K1116*(MIN(Inputs!$B$22+(F1110-Calc!F22),Inputs!$B$23)/100+Inputs!$B$23/100)/2</f>
        <v/>
      </c>
      <c r="M1116">
        <f>L1116*(1+(Inputs!$B$10+(F1109-Calc!F21))/100)</f>
        <v/>
      </c>
      <c r="N1116">
        <f>L1116*(1-MIN(Inputs!$B$9+(F1108-Calc!F20),100)/100)+M1116*(MIN(Inputs!$B$9+(F1108-Calc!F20),100)/100)</f>
        <v/>
      </c>
      <c r="O1116">
        <f>(1-Summary!$B$56)*S1116+Summary!$B$56*U1116</f>
        <v/>
      </c>
      <c r="P1116">
        <f>IF(B1129=0,0,O1116/B1129)</f>
        <v/>
      </c>
      <c r="Q1116">
        <f>IFERROR(1/IF(Inputs!$B$38="pvp",15,MAX(0.1,Skills!E28-IF(Skills!F28=TRUE,Inputs!$B$32,0))),0)</f>
        <v/>
      </c>
      <c r="R1116">
        <f>IF(AND(Inputs!$B$38&lt;&gt;"pvp",Inputs!$B$43&gt;0),IF(MAX(0,Inputs!$B$43-B1126)&lt;=0,0,(INT(MAX(0,Inputs!$B$43-B1126)/IF(Inputs!$B$38="pvp",15,MAX(0.1,Skills!E28-IF(Skills!F28=TRUE,Inputs!$B$32,0))))+1)),0)</f>
        <v/>
      </c>
      <c r="S1116">
        <f>IF(C1116,(H1116*N1116*IF(AND(Inputs!$B$38&lt;&gt;"pvp",Inputs!$B$43&gt;0),((Skills!G28*((R1116-1)*IF(Skills!H28&gt;0,Skills!I28/Skills!H28,1)+IF(Skills!H28&gt;0,MIN(Skills!I28,MAX(0,MAX(0,Inputs!$B$43-B1126)-((R1116-1)*IF(Inputs!$B$38="pvp",15,MAX(0.1,Skills!E28-IF(Skills!F28=TRUE,Inputs!$B$32,0))))))/Skills!H28,1)))/Inputs!$B$43),G1116*Q1116))*IF(Inputs!$B$38="pvp",1,1+(Inputs!$B$20+Skills!P28)/100),0)</f>
        <v/>
      </c>
      <c r="U1116">
        <f>IF(C1116,(H1116*N1116*IF(AND(Inputs!$B$38&lt;&gt;"pvp",Inputs!$B$43&gt;0),((Skills!G28*((R1116-1)*IF(Skills!H28&gt;0,Skills!I28/Skills!H28,1)+IF(Skills!H28&gt;0,MIN(Skills!I28,MAX(0,MAX(0,Inputs!$B$43-B1126)-((R1116-1)*IF(Inputs!$B$38="pvp",15,MAX(0.1,Skills!E28-IF(Skills!F28=TRUE,Inputs!$B$32,0))))))/Skills!H28,1)))/Inputs!$B$43),G1116*Q1116))*IF(Inputs!$B$38="pvp",1,(1+(Inputs!$B$21+Skills!Q28)/100)*(MIN(Skills!R28,Inputs!$B$37))),0)</f>
        <v/>
      </c>
    </row>
    <row r="1118">
      <c r="A1118" t="inlineStr">
        <is>
          <t>Burning Magic Multiplier</t>
        </is>
      </c>
      <c r="B1118">
        <f>1+(F1099*Skills!Z11)/100</f>
        <v/>
      </c>
    </row>
    <row r="1119">
      <c r="A1119" t="inlineStr">
        <is>
          <t>Elemental Decrease Multiplier (always-on)</t>
        </is>
      </c>
      <c r="B1119">
        <f>1+F1100/100</f>
        <v/>
      </c>
    </row>
    <row r="1120">
      <c r="A1120" t="inlineStr">
        <is>
          <t>Average Buff Multiplier (Magic Guard + Meditation, summed; then Infinity)</t>
        </is>
      </c>
      <c r="B1120">
        <f>(1+(F1094*IF(AND(Inputs!$B$38&lt;&gt;"pvp",Inputs!$B$43&gt;0),(((R1094-1)*(Skills!T6*(1+((Inputs!$B$34+1)+IF(Inputs!$B$3&gt;=117,F1113,0))/100))+MIN((Skills!T6*(1+((Inputs!$B$34+1)+IF(Inputs!$B$3&gt;=117,F1113,0))/100)),MAX(0,Inputs!$B$43-((R1094-1)*Skills!E6))))/Inputs!$B$43),IF(Inputs!$B$38="pvp",MIN((Skills!T6*(1+((Inputs!$B$34+1)+IF(Inputs!$B$3&gt;=117,F1113,0))/100)),15)/15,(Skills!T6*(1+((Inputs!$B$34+1)+IF(Inputs!$B$3&gt;=117,F1113,0))/100))/Skills!E6))+F1105*IF(AND(Inputs!$B$38&lt;&gt;"pvp",Inputs!$B$43&gt;0),(((R1105-1)*(Skills!T17*(1+((Inputs!$B$34+1)+IF(Inputs!$B$3&gt;=117,F1113,0))/100))+MIN((Skills!T17*(1+((Inputs!$B$34+1)+IF(Inputs!$B$3&gt;=117,F1113,0))/100)),MAX(0,Inputs!$B$43-((R1105-1)*Skills!E17))))/Inputs!$B$43),IF(Inputs!$B$38="pvp",MIN((Skills!T17*(1+((Inputs!$B$34+1)+IF(Inputs!$B$3&gt;=117,F1113,0))/100)),15)/15,(Skills!T17*(1+((Inputs!$B$34+1)+IF(Inputs!$B$3&gt;=117,F1113,0))/100))/Skills!E17)))/100)*IF(C1107=TRUE,(1+F1107*IF(AND(Inputs!$B$38&lt;&gt;"pvp",Inputs!$B$43&gt;0),(((R1107-1)*(Skills!T19*(1+((Inputs!$B$34+1)+IF(Inputs!$B$3&gt;=117,F1113,0))/100))+MIN((Skills!T19*(1+((Inputs!$B$34+1)+IF(Inputs!$B$3&gt;=117,F1113,0))/100)),MAX(0,Inputs!$B$43-((R1107-1)*Skills!E19))))/Inputs!$B$43),IF(Inputs!$B$38="pvp",MIN((Skills!T19*(1+((Inputs!$B$34+1)+IF(Inputs!$B$3&gt;=117,F1113,0))/100)),15)/15,(Skills!T19*(1+((Inputs!$B$34+1)+IF(Inputs!$B$3&gt;=117,F1113,0))/100))/Skills!E19))/100),1)</f>
        <v/>
      </c>
    </row>
    <row r="1121">
      <c r="A1121" t="inlineStr">
        <is>
          <t>Attack Speed Buff Bonus % (Nimble Feet, averaged)</t>
        </is>
      </c>
      <c r="B1121">
        <f>F1106*IF(AND(Inputs!$B$38&lt;&gt;"pvp",Inputs!$B$43&gt;0),(((R1106-1)*(Skills!T18*(1+((Inputs!$B$34+1)+IF(Inputs!$B$3&gt;=117,F1113,0))/100))+MIN((Skills!T18*(1+((Inputs!$B$34+1)+IF(Inputs!$B$3&gt;=117,F1113,0))/100)),MAX(0,Inputs!$B$43-((R1106-1)*Skills!E18))))/Inputs!$B$43),IF(Inputs!$B$38="pvp",MIN((Skills!T18*(1+((Inputs!$B$34+1)+IF(Inputs!$B$3&gt;=117,F1113,0))/100)),15)/15,(Skills!T18*(1+((Inputs!$B$34+1)+IF(Inputs!$B$3&gt;=117,F1113,0))/100))/Skills!E18))</f>
        <v/>
      </c>
    </row>
    <row r="1122">
      <c r="A1122" t="inlineStr">
        <is>
          <t>Actions Per Second</t>
        </is>
      </c>
      <c r="B1122">
        <f>1+MIN(150,150*(1-(1-Inputs!$B$11/150)*(1-B1121/150)))/100</f>
        <v/>
      </c>
    </row>
    <row r="1123">
      <c r="A1123" t="inlineStr">
        <is>
          <t>Skill + Buff Cast Rate</t>
        </is>
      </c>
      <c r="B1123">
        <f>IF(AND(Inputs!$B$38&lt;&gt;"pvp",Inputs!$B$43&gt;0),SUMPRODUCT((Skills!F2:F28=TRUE)*(C1090:C1116=TRUE)*R1090:R1116)/Inputs!$B$43,SUMPRODUCT((Skills!F2:F28=TRUE)*(C1090:C1116=TRUE)*Q1090:Q1116))</f>
        <v/>
      </c>
    </row>
    <row r="1124">
      <c r="A1124" t="inlineStr">
        <is>
          <t>Basic Attacks Per Second</t>
        </is>
      </c>
      <c r="B1124">
        <f>MAX(0,B1122-B1123)</f>
        <v/>
      </c>
    </row>
    <row r="1125">
      <c r="A1125" t="inlineStr">
        <is>
          <t>Meteor Proc — combined trigger cast rate</t>
        </is>
      </c>
      <c r="B1125">
        <f>IF(AND(Inputs!$B$38&lt;&gt;"pvp",Inputs!$B$43&gt;0),SUMPRODUCT((Skills!V2:V28=TRUE)*(C1090:C1116=TRUE)*R1090:R1116*Skills!W2:W28)/Inputs!$B$43,SUMPRODUCT((Skills!V2:V28=TRUE)*(C1090:C1116=TRUE)*Q1090:Q1116*Skills!W2:W28))+B1124</f>
        <v/>
      </c>
    </row>
    <row r="1126">
      <c r="A1126" t="inlineStr">
        <is>
          <t>Buff-Casting Startup Delay (s, fixed-duration only)</t>
        </is>
      </c>
      <c r="B1126">
        <f>IF(AND(Inputs!$B$38&lt;&gt;"pvp",Inputs!$B$43&gt;0),SUMPRODUCT((Skills!T2:T28&gt;0)*(Skills!F2:F28=TRUE)*(C1090:C1116=TRUE))/B1122,0)</f>
        <v/>
      </c>
    </row>
    <row r="1127">
      <c r="A1127" t="inlineStr">
        <is>
          <t>Boss-Only Total DPS (this block's swept value)</t>
        </is>
      </c>
      <c r="B1127">
        <f>SUM(S1090:S1116)</f>
        <v/>
      </c>
    </row>
    <row r="1128">
      <c r="A1128" t="inlineStr">
        <is>
          <t>Normal-Only Total DPS (this block's swept value)</t>
        </is>
      </c>
      <c r="B1128">
        <f>SUM(U1090:U1116)</f>
        <v/>
      </c>
    </row>
    <row r="1129">
      <c r="A1129" s="5" t="inlineStr">
        <is>
          <t>TOTAL DPS</t>
        </is>
      </c>
      <c r="B1129" s="5">
        <f>SUM(O1090:O1116)</f>
        <v/>
      </c>
    </row>
    <row r="1132">
      <c r="A1132" s="7" t="inlineStr">
        <is>
          <t>Cooldown Reduction Milestone Sweep (absolute CDR seconds, fixed-duration content only)</t>
        </is>
      </c>
    </row>
    <row r="1133">
      <c r="A1133" s="9" t="inlineStr">
        <is>
          <t>CDR (s)</t>
        </is>
      </c>
      <c r="B1133" s="9" t="inlineStr">
        <is>
          <t>Total DPS</t>
        </is>
      </c>
      <c r="C1133" s="9" t="inlineStr">
        <is>
          <t>DPS Gain (vs prior step)</t>
        </is>
      </c>
      <c r="D1133" s="9" t="inlineStr">
        <is>
          <t>% Gain (vs current CDR)</t>
        </is>
      </c>
    </row>
    <row r="1134">
      <c r="A1134" t="n">
        <v>0.5</v>
      </c>
      <c r="B1134">
        <f>B1187</f>
        <v/>
      </c>
      <c r="C1134" t="n">
        <v>0</v>
      </c>
      <c r="D1134">
        <f>IF(Summary!$B$3=0,0,(B1134-Summary!$B$3)/Summary!$B$3*100)</f>
        <v/>
      </c>
    </row>
    <row r="1135">
      <c r="A1135" t="n">
        <v>1</v>
      </c>
      <c r="B1135">
        <f>B1231</f>
        <v/>
      </c>
      <c r="C1135">
        <f>B1135-B1134</f>
        <v/>
      </c>
      <c r="D1135">
        <f>IF(Summary!$B$3=0,0,(B1135-Summary!$B$3)/Summary!$B$3*100)</f>
        <v/>
      </c>
    </row>
    <row r="1136">
      <c r="A1136" t="n">
        <v>1.5</v>
      </c>
      <c r="B1136">
        <f>B1275</f>
        <v/>
      </c>
      <c r="C1136">
        <f>B1136-B1135</f>
        <v/>
      </c>
      <c r="D1136">
        <f>IF(Summary!$B$3=0,0,(B1136-Summary!$B$3)/Summary!$B$3*100)</f>
        <v/>
      </c>
    </row>
    <row r="1137">
      <c r="A1137" t="n">
        <v>2</v>
      </c>
      <c r="B1137">
        <f>B1319</f>
        <v/>
      </c>
      <c r="C1137">
        <f>B1137-B1136</f>
        <v/>
      </c>
      <c r="D1137">
        <f>IF(Summary!$B$3=0,0,(B1137-Summary!$B$3)/Summary!$B$3*100)</f>
        <v/>
      </c>
    </row>
    <row r="1138">
      <c r="A1138" t="n">
        <v>2.5</v>
      </c>
      <c r="B1138">
        <f>B1363</f>
        <v/>
      </c>
      <c r="C1138">
        <f>B1138-B1137</f>
        <v/>
      </c>
      <c r="D1138">
        <f>IF(Summary!$B$3=0,0,(B1138-Summary!$B$3)/Summary!$B$3*100)</f>
        <v/>
      </c>
    </row>
    <row r="1139">
      <c r="A1139" t="n">
        <v>3</v>
      </c>
      <c r="B1139">
        <f>B1407</f>
        <v/>
      </c>
      <c r="C1139">
        <f>B1139-B1138</f>
        <v/>
      </c>
      <c r="D1139">
        <f>IF(Summary!$B$3=0,0,(B1139-Summary!$B$3)/Summary!$B$3*100)</f>
        <v/>
      </c>
    </row>
    <row r="1140">
      <c r="A1140" t="n">
        <v>3.5</v>
      </c>
      <c r="B1140">
        <f>B1451</f>
        <v/>
      </c>
      <c r="C1140">
        <f>B1140-B1139</f>
        <v/>
      </c>
      <c r="D1140">
        <f>IF(Summary!$B$3=0,0,(B1140-Summary!$B$3)/Summary!$B$3*100)</f>
        <v/>
      </c>
    </row>
    <row r="1141">
      <c r="A1141" t="n">
        <v>4</v>
      </c>
      <c r="B1141">
        <f>B1495</f>
        <v/>
      </c>
      <c r="C1141">
        <f>B1141-B1140</f>
        <v/>
      </c>
      <c r="D1141">
        <f>IF(Summary!$B$3=0,0,(B1141-Summary!$B$3)/Summary!$B$3*100)</f>
        <v/>
      </c>
    </row>
    <row r="1142">
      <c r="A1142" t="n">
        <v>4.5</v>
      </c>
      <c r="B1142">
        <f>B1539</f>
        <v/>
      </c>
      <c r="C1142">
        <f>B1142-B1141</f>
        <v/>
      </c>
      <c r="D1142">
        <f>IF(Summary!$B$3=0,0,(B1142-Summary!$B$3)/Summary!$B$3*100)</f>
        <v/>
      </c>
    </row>
    <row r="1143">
      <c r="A1143" t="n">
        <v>5</v>
      </c>
      <c r="B1143">
        <f>B1583</f>
        <v/>
      </c>
      <c r="C1143">
        <f>B1143-B1142</f>
        <v/>
      </c>
      <c r="D1143">
        <f>IF(Summary!$B$3=0,0,(B1143-Summary!$B$3)/Summary!$B$3*100)</f>
        <v/>
      </c>
    </row>
    <row r="1146">
      <c r="A1146" s="5" t="inlineStr">
        <is>
          <t>Stat: CDR = 0.5s</t>
        </is>
      </c>
    </row>
    <row r="1147">
      <c r="A1147" s="9" t="inlineStr">
        <is>
          <t>Key</t>
        </is>
      </c>
      <c r="B1147" s="9" t="inlineStr">
        <is>
          <t>Name</t>
        </is>
      </c>
      <c r="C1147" s="9" t="inlineStr">
        <is>
          <t>Unlocked</t>
        </is>
      </c>
      <c r="D1147" s="9" t="inlineStr">
        <is>
          <t>InputLevel</t>
        </is>
      </c>
      <c r="E1147" s="9" t="inlineStr">
        <is>
          <t>Factor</t>
        </is>
      </c>
      <c r="F1147" s="9" t="inlineStr">
        <is>
          <t>CoefficientPercent</t>
        </is>
      </c>
      <c r="G1147" s="9" t="inlineStr">
        <is>
          <t>EffectiveHits</t>
        </is>
      </c>
      <c r="H1147" s="9" t="inlineStr">
        <is>
          <t>ProcProbability</t>
        </is>
      </c>
      <c r="I1147" s="9" t="inlineStr">
        <is>
          <t>MapleHeroMultiplier</t>
        </is>
      </c>
      <c r="J1147" s="9" t="inlineStr">
        <is>
          <t>BaseDamage</t>
        </is>
      </c>
      <c r="K1147" s="9" t="inlineStr">
        <is>
          <t>BaseHitDamage</t>
        </is>
      </c>
      <c r="L1147" s="9" t="inlineStr">
        <is>
          <t>NonCritAvg</t>
        </is>
      </c>
      <c r="M1147" s="9" t="inlineStr">
        <is>
          <t>CritAvg</t>
        </is>
      </c>
      <c r="N1147" s="9" t="inlineStr">
        <is>
          <t>ExpectedDamage(perHit)</t>
        </is>
      </c>
      <c r="O1147" s="9" t="inlineStr">
        <is>
          <t>DPS</t>
        </is>
      </c>
      <c r="P1147" s="9" t="inlineStr">
        <is>
          <t>% of Total</t>
        </is>
      </c>
      <c r="R1147" t="inlineStr">
        <is>
          <t>helpers</t>
        </is>
      </c>
    </row>
    <row r="1148">
      <c r="A1148">
        <f>Skills!A2</f>
        <v/>
      </c>
      <c r="B1148">
        <f>Skills!B2</f>
        <v/>
      </c>
      <c r="C1148">
        <f>TRUE</f>
        <v/>
      </c>
      <c r="D1148" t="inlineStr"/>
      <c r="E1148" t="inlineStr"/>
      <c r="F1148">
        <f>T1150+Skills!O2</f>
        <v/>
      </c>
      <c r="G1148">
        <f>Calc!G2</f>
        <v/>
      </c>
      <c r="H1148">
        <f>Calc!H2</f>
        <v/>
      </c>
      <c r="I1148">
        <f>IF(Skills!X2&lt;&gt;"",1+(Skills!X2/10)*(Z1149/1000)/100,1)</f>
        <v/>
      </c>
      <c r="J1148">
        <f>((Inputs!$B$6*(1+Inputs!$B$7/100))+(((Inputs!$B$12*(1+Inputs!$B$13/100))-(Inputs!$B$12*(1+Inputs!$B$13/100)))+0.25*(Inputs!$B$14-Inputs!$B$14))*(1+Inputs!$B$7/100))*(F1148/100)</f>
        <v/>
      </c>
      <c r="K1148">
        <f>J1148*(1+((Inputs!$B$12*(1+Inputs!$B$13/100))*0.01+Inputs!$B$14*0.0025)/100)*(1+Inputs!$B$15/100)*(1+Inputs!$B$16/100)*(5000/(6000+Inputs!$B$42*(1-Inputs!$B$19/100)))*(1+Inputs!$B$24/100)*(1+F1169/100)*(1+IF(Inputs!$B$3&gt;=120,F1172,0)/100)^5*(1+(IF(Skills!A2="BASIC_ATTACK",Inputs!$B$17,Inputs!$B$18+IF(Inputs!$B$3&gt;=125,F1173*5,0)))/100)*(B1176*B1177*B1178*I1148)</f>
        <v/>
      </c>
      <c r="L1148">
        <f>K1148*(MIN(Inputs!$B$22+(F1168-Calc!F22),Inputs!$B$23)/100+Inputs!$B$23/100)/2</f>
        <v/>
      </c>
      <c r="M1148">
        <f>L1148*(1+(Inputs!$B$10+(F1167-Calc!F21))/100)</f>
        <v/>
      </c>
      <c r="N1148">
        <f>L1148*(1-MIN(Inputs!$B$9+(F1166-Calc!F20),100)/100)+M1148*(MIN(Inputs!$B$9+(F1166-Calc!F20),100)/100)</f>
        <v/>
      </c>
      <c r="O1148">
        <f>(1-Summary!$B$56)*S1148+Summary!$B$56*U1148</f>
        <v/>
      </c>
      <c r="P1148">
        <f>IF(B1187=0,0,O1148/B1187)</f>
        <v/>
      </c>
      <c r="Q1148">
        <f>IFERROR(1/IF(Inputs!$B$38="pvp",15,MAX(0.1,Skills!E2-IF(Skills!F2=TRUE,0.5,0))),0)</f>
        <v/>
      </c>
      <c r="R1148" t="n">
        <v>0</v>
      </c>
      <c r="S1148">
        <f>(Skills!G2*N1148*B1182)*IF(Inputs!$B$38="pvp",1,1+(Inputs!$B$20+Skills!P2)/100)</f>
        <v/>
      </c>
      <c r="T1148">
        <f>MAX(0,(Inputs!$B$3-100)*3)+Inputs!$B$28+Inputs!$B$29</f>
        <v/>
      </c>
      <c r="U1148">
        <f>(Skills!G2*N1148*B1182)*IF(Inputs!$B$38="pvp",1,(1+(Inputs!$B$21+Skills!Q2)/100)*(MIN((6+Inputs!$B$33+IF(Inputs!$B$3&gt;=136,1,0)),Inputs!$B$37)))</f>
        <v/>
      </c>
      <c r="Z1148">
        <f>MAX(0,(Inputs!$B$3-100)*3)+Inputs!$B$28+Inputs!$B$29</f>
        <v/>
      </c>
    </row>
    <row r="1149">
      <c r="A1149">
        <f>Skills!A3</f>
        <v/>
      </c>
      <c r="B1149">
        <f>Skills!B3</f>
        <v/>
      </c>
      <c r="C1149">
        <f>TRUE</f>
        <v/>
      </c>
      <c r="D1149">
        <f>IF(Skills!C3=1,60+Inputs!$B$25+Inputs!$B$29,IF(Skills!C3=2,90+Inputs!$B$26+Inputs!$B$29,IF(Skills!C3=3,120+Inputs!$B$27+Inputs!$B$29,MAX(0,(Inputs!$B$3-100)*3)+Inputs!$B$28+Inputs!$B$29)))</f>
        <v/>
      </c>
      <c r="E1149">
        <f>INDEX(FactorTable!$B$2:$Y$301, MATCH(ROUND(MIN(300,MAX(1,D1149)),0), FactorTable!$A$2:$A$301,0), Skills!M3+1)</f>
        <v/>
      </c>
      <c r="F1149">
        <f>IF(Skills!N3=TRUE,(Skills!L3/10)*(E1149/1000),Skills!L3/10)+Skills!O3</f>
        <v/>
      </c>
      <c r="G1149">
        <f>Calc!G3</f>
        <v/>
      </c>
      <c r="H1149">
        <f>Calc!H3</f>
        <v/>
      </c>
      <c r="I1149">
        <f>IF(Skills!X3&lt;&gt;"",1+(Skills!X3/10)*(Z1149/1000)/100,1)</f>
        <v/>
      </c>
      <c r="J1149">
        <f>((Inputs!$B$6*(1+Inputs!$B$7/100))+(((Inputs!$B$12*(1+Inputs!$B$13/100))-(Inputs!$B$12*(1+Inputs!$B$13/100)))+0.25*(Inputs!$B$14-Inputs!$B$14))*(1+Inputs!$B$7/100))*(F1149/100)</f>
        <v/>
      </c>
      <c r="K1149">
        <f>J1149*(1+((Inputs!$B$12*(1+Inputs!$B$13/100))*0.01+Inputs!$B$14*0.0025)/100)*(1+Inputs!$B$15/100)*(1+Inputs!$B$16/100)*(5000/(6000+Inputs!$B$42*(1-Inputs!$B$19/100)))*(1+Inputs!$B$24/100)*(1+F1169/100)*(1+IF(Inputs!$B$3&gt;=120,F1172,0)/100)^5*(1+(IF(Skills!A3="BASIC_ATTACK",Inputs!$B$17,Inputs!$B$18+IF(Inputs!$B$3&gt;=125,F1173*5,0)))/100)*(B1176*B1177*B1178*I1149)</f>
        <v/>
      </c>
      <c r="L1149">
        <f>K1149*(MIN(Inputs!$B$22+(F1168-Calc!F22),Inputs!$B$23)/100+Inputs!$B$23/100)/2</f>
        <v/>
      </c>
      <c r="M1149">
        <f>L1149*(1+(Inputs!$B$10+(F1167-Calc!F21))/100)</f>
        <v/>
      </c>
      <c r="N1149">
        <f>L1149*(1-MIN(Inputs!$B$9+(F1166-Calc!F20),100)/100)+M1149*(MIN(Inputs!$B$9+(F1166-Calc!F20),100)/100)</f>
        <v/>
      </c>
      <c r="O1149">
        <f>(1-Summary!$B$56)*S1149+Summary!$B$56*U1149</f>
        <v/>
      </c>
      <c r="P1149">
        <f>IF(B1187=0,0,O1149/B1187)</f>
        <v/>
      </c>
      <c r="Q1149">
        <f>IFERROR(1/IF(Inputs!$B$38="pvp",15,MAX(0.1,Skills!E3-IF(Skills!F3=TRUE,0.5,0))),0)</f>
        <v/>
      </c>
      <c r="R1149">
        <f>IF(AND(Inputs!$B$38&lt;&gt;"pvp",Inputs!$B$43&gt;0),IF(MAX(0,Inputs!$B$43-B1184)&lt;=0,0,(INT(MAX(0,Inputs!$B$43-B1184)/IF(Inputs!$B$38="pvp",15,MAX(0.1,Skills!E3-IF(Skills!F3=TRUE,0.5,0))))+1)),0)</f>
        <v/>
      </c>
      <c r="S1149">
        <f>IF(C1149,(H1149*N1149*IF(AND(Inputs!$B$38&lt;&gt;"pvp",Inputs!$B$43&gt;0),((Skills!G3*((R1149-1)*IF(Skills!H3&gt;0,Skills!I3/Skills!H3,1)+IF(Skills!H3&gt;0,MIN(Skills!I3,MAX(0,MAX(0,Inputs!$B$43-B1184)-((R1149-1)*IF(Inputs!$B$38="pvp",15,MAX(0.1,Skills!E3-IF(Skills!F3=TRUE,0.5,0))))))/Skills!H3,1)))/Inputs!$B$43),G1149*Q1149))*IF(Inputs!$B$38="pvp",1,1+(Inputs!$B$20+Skills!P3)/100),0)</f>
        <v/>
      </c>
      <c r="T1149">
        <f>INDEX(FactorTable!$B$2:$Y$301, MATCH(ROUND(MIN(300,MAX(1,T1148)),0), FactorTable!$A$2:$A$301,0), 22)</f>
        <v/>
      </c>
      <c r="U1149">
        <f>IF(C1149,(H1149*N1149*IF(AND(Inputs!$B$38&lt;&gt;"pvp",Inputs!$B$43&gt;0),((Skills!G3*((R1149-1)*IF(Skills!H3&gt;0,Skills!I3/Skills!H3,1)+IF(Skills!H3&gt;0,MIN(Skills!I3,MAX(0,MAX(0,Inputs!$B$43-B1184)-((R1149-1)*IF(Inputs!$B$38="pvp",15,MAX(0.1,Skills!E3-IF(Skills!F3=TRUE,0.5,0))))))/Skills!H3,1)))/Inputs!$B$43),G1149*Q1149))*IF(Inputs!$B$38="pvp",1,(1+(Inputs!$B$21+Skills!Q3)/100)*(MIN(Skills!R3,Inputs!$B$37))),0)</f>
        <v/>
      </c>
      <c r="Z1149">
        <f>INDEX(FactorTable!$B$2:$Y$301, MATCH(ROUND(MIN(300,MAX(1,Z1148)),0), FactorTable!$A$2:$A$301,0), 24)</f>
        <v/>
      </c>
    </row>
    <row r="1150">
      <c r="A1150">
        <f>Skills!A4</f>
        <v/>
      </c>
      <c r="B1150">
        <f>Skills!B4</f>
        <v/>
      </c>
      <c r="C1150">
        <f>TRUE</f>
        <v/>
      </c>
      <c r="D1150">
        <f>IF(Skills!C4=1,60+Inputs!$B$25+Inputs!$B$29,IF(Skills!C4=2,90+Inputs!$B$26+Inputs!$B$29,IF(Skills!C4=3,120+Inputs!$B$27+Inputs!$B$29,MAX(0,(Inputs!$B$3-100)*3)+Inputs!$B$28+Inputs!$B$29)))</f>
        <v/>
      </c>
      <c r="E1150">
        <f>INDEX(FactorTable!$B$2:$Y$301, MATCH(ROUND(MIN(300,MAX(1,D1150)),0), FactorTable!$A$2:$A$301,0), Skills!M4+1)</f>
        <v/>
      </c>
      <c r="F1150">
        <f>IF(Skills!N4=TRUE,(Skills!L4/10)*(E1150/1000),Skills!L4/10)+Skills!O4</f>
        <v/>
      </c>
      <c r="G1150">
        <f>Calc!G4</f>
        <v/>
      </c>
      <c r="H1150">
        <f>Calc!H4</f>
        <v/>
      </c>
      <c r="I1150">
        <f>IF(Skills!X4&lt;&gt;"",1+(Skills!X4/10)*(Z1149/1000)/100,1)</f>
        <v/>
      </c>
      <c r="J1150">
        <f>((Inputs!$B$6*(1+Inputs!$B$7/100))+(((Inputs!$B$12*(1+Inputs!$B$13/100))-(Inputs!$B$12*(1+Inputs!$B$13/100)))+0.25*(Inputs!$B$14-Inputs!$B$14))*(1+Inputs!$B$7/100))*(F1150/100)</f>
        <v/>
      </c>
      <c r="K1150">
        <f>J1150*(1+((Inputs!$B$12*(1+Inputs!$B$13/100))*0.01+Inputs!$B$14*0.0025)/100)*(1+Inputs!$B$15/100)*(1+Inputs!$B$16/100)*(5000/(6000+Inputs!$B$42*(1-Inputs!$B$19/100)))*(1+Inputs!$B$24/100)*(1+F1169/100)*(1+IF(Inputs!$B$3&gt;=120,F1172,0)/100)^5*(1+(IF(Skills!A4="BASIC_ATTACK",Inputs!$B$17,Inputs!$B$18+IF(Inputs!$B$3&gt;=125,F1173*5,0)))/100)*(B1176*B1177*B1178*I1150)</f>
        <v/>
      </c>
      <c r="L1150">
        <f>K1150*(MIN(Inputs!$B$22+(F1168-Calc!F22),Inputs!$B$23)/100+Inputs!$B$23/100)/2</f>
        <v/>
      </c>
      <c r="M1150">
        <f>L1150*(1+(Inputs!$B$10+(F1167-Calc!F21))/100)</f>
        <v/>
      </c>
      <c r="N1150">
        <f>L1150*(1-MIN(Inputs!$B$9+(F1166-Calc!F20),100)/100)+M1150*(MIN(Inputs!$B$9+(F1166-Calc!F20),100)/100)</f>
        <v/>
      </c>
      <c r="O1150">
        <f>(1-Summary!$B$56)*S1150+Summary!$B$56*U1150</f>
        <v/>
      </c>
      <c r="P1150">
        <f>IF(B1187=0,0,O1150/B1187)</f>
        <v/>
      </c>
      <c r="Q1150">
        <f>IFERROR(1/IF(Inputs!$B$38="pvp",15,MAX(0.1,Skills!E4-IF(Skills!F4=TRUE,0.5,0))),0)</f>
        <v/>
      </c>
      <c r="R1150">
        <f>IF(AND(Inputs!$B$38&lt;&gt;"pvp",Inputs!$B$43&gt;0),IF(MAX(0,Inputs!$B$43-B1184)&lt;=0,0,(INT(MAX(0,Inputs!$B$43-B1184)/IF(Inputs!$B$38="pvp",15,MAX(0.1,Skills!E4-IF(Skills!F4=TRUE,0.5,0))))+1)),0)</f>
        <v/>
      </c>
      <c r="S1150">
        <f>IF(C1150,(H1150*N1150*IF(AND(Inputs!$B$38&lt;&gt;"pvp",Inputs!$B$43&gt;0),((Skills!G4*((R1150-1)*IF(Skills!H4&gt;0,Skills!I4/Skills!H4,1)+IF(Skills!H4&gt;0,MIN(Skills!I4,MAX(0,MAX(0,Inputs!$B$43-B1184)-((R1150-1)*IF(Inputs!$B$38="pvp",15,MAX(0.1,Skills!E4-IF(Skills!F4=TRUE,0.5,0))))))/Skills!H4,1)))/Inputs!$B$43),G1150*Q1150))*IF(Inputs!$B$38="pvp",1,1+(Inputs!$B$20+Skills!P4)/100),0)</f>
        <v/>
      </c>
      <c r="T1150">
        <f>290*T1149/1000</f>
        <v/>
      </c>
      <c r="U1150">
        <f>IF(C1150,(H1150*N1150*IF(AND(Inputs!$B$38&lt;&gt;"pvp",Inputs!$B$43&gt;0),((Skills!G4*((R1150-1)*IF(Skills!H4&gt;0,Skills!I4/Skills!H4,1)+IF(Skills!H4&gt;0,MIN(Skills!I4,MAX(0,MAX(0,Inputs!$B$43-B1184)-((R1150-1)*IF(Inputs!$B$38="pvp",15,MAX(0.1,Skills!E4-IF(Skills!F4=TRUE,0.5,0))))))/Skills!H4,1)))/Inputs!$B$43),G1150*Q1150))*IF(Inputs!$B$38="pvp",1,(1+(Inputs!$B$21+Skills!Q4)/100)*(MIN(Skills!R4,Inputs!$B$37))),0)</f>
        <v/>
      </c>
    </row>
    <row r="1151">
      <c r="A1151">
        <f>Skills!A5</f>
        <v/>
      </c>
      <c r="B1151">
        <f>Skills!B5</f>
        <v/>
      </c>
      <c r="C1151">
        <f>TRUE</f>
        <v/>
      </c>
      <c r="D1151">
        <f>IF(Skills!C5=1,60+Inputs!$B$25+Inputs!$B$29,IF(Skills!C5=2,90+Inputs!$B$26+Inputs!$B$29,IF(Skills!C5=3,120+Inputs!$B$27+Inputs!$B$29,MAX(0,(Inputs!$B$3-100)*3)+Inputs!$B$28+Inputs!$B$29)))</f>
        <v/>
      </c>
      <c r="E1151">
        <f>INDEX(FactorTable!$B$2:$Y$301, MATCH(ROUND(MIN(300,MAX(1,D1151)),0), FactorTable!$A$2:$A$301,0), Skills!M5+1)</f>
        <v/>
      </c>
      <c r="F1151">
        <f>IF(Skills!N5=TRUE,(Skills!L5/10)*(E1151/1000),Skills!L5/10)+Skills!O5</f>
        <v/>
      </c>
      <c r="G1151">
        <f>Calc!G5</f>
        <v/>
      </c>
      <c r="H1151">
        <f>Calc!H5</f>
        <v/>
      </c>
      <c r="I1151">
        <f>IF(Skills!X5&lt;&gt;"",1+(Skills!X5/10)*(Z1149/1000)/100,1)</f>
        <v/>
      </c>
      <c r="J1151">
        <f>((Inputs!$B$6*(1+Inputs!$B$7/100))+(((Inputs!$B$12*(1+Inputs!$B$13/100))-(Inputs!$B$12*(1+Inputs!$B$13/100)))+0.25*(Inputs!$B$14-Inputs!$B$14))*(1+Inputs!$B$7/100))*(F1151/100)</f>
        <v/>
      </c>
      <c r="K1151">
        <f>J1151*(1+((Inputs!$B$12*(1+Inputs!$B$13/100))*0.01+Inputs!$B$14*0.0025)/100)*(1+Inputs!$B$15/100)*(1+Inputs!$B$16/100)*(5000/(6000+Inputs!$B$42*(1-Inputs!$B$19/100)))*(1+Inputs!$B$24/100)*(1+F1169/100)*(1+IF(Inputs!$B$3&gt;=120,F1172,0)/100)^5*(1+(IF(Skills!A5="BASIC_ATTACK",Inputs!$B$17,Inputs!$B$18+IF(Inputs!$B$3&gt;=125,F1173*5,0)))/100)*(B1176*B1177*B1178*I1151)</f>
        <v/>
      </c>
      <c r="L1151">
        <f>K1151*(MIN(Inputs!$B$22+(F1168-Calc!F22),Inputs!$B$23)/100+Inputs!$B$23/100)/2</f>
        <v/>
      </c>
      <c r="M1151">
        <f>L1151*(1+(Inputs!$B$10+(F1167-Calc!F21))/100)</f>
        <v/>
      </c>
      <c r="N1151">
        <f>L1151*(1-MIN(Inputs!$B$9+(F1166-Calc!F20),100)/100)+M1151*(MIN(Inputs!$B$9+(F1166-Calc!F20),100)/100)</f>
        <v/>
      </c>
      <c r="O1151">
        <f>(1-Summary!$B$56)*S1151+Summary!$B$56*U1151</f>
        <v/>
      </c>
      <c r="P1151">
        <f>IF(B1187=0,0,O1151/B1187)</f>
        <v/>
      </c>
      <c r="Q1151">
        <f>IFERROR(1/IF(Inputs!$B$38="pvp",15,MAX(0.1,Skills!E5-IF(Skills!F5=TRUE,0.5,0))),0)</f>
        <v/>
      </c>
      <c r="R1151">
        <f>IF(AND(Inputs!$B$38&lt;&gt;"pvp",Inputs!$B$43&gt;0),IF(MAX(0,Inputs!$B$43-B1184)&lt;=0,0,(INT(MAX(0,Inputs!$B$43-B1184)/IF(Inputs!$B$38="pvp",15,MAX(0.1,Skills!E5-IF(Skills!F5=TRUE,0.5,0))))+1)),0)</f>
        <v/>
      </c>
      <c r="S1151">
        <f>IF(C1151,(H1151*N1151*IF(AND(Inputs!$B$38&lt;&gt;"pvp",Inputs!$B$43&gt;0),((Skills!G5*((R1151-1)*IF(Skills!H5&gt;0,Skills!I5/Skills!H5,1)+IF(Skills!H5&gt;0,MIN(Skills!I5,MAX(0,MAX(0,Inputs!$B$43-B1184)-((R1151-1)*IF(Inputs!$B$38="pvp",15,MAX(0.1,Skills!E5-IF(Skills!F5=TRUE,0.5,0))))))/Skills!H5,1)))/Inputs!$B$43),G1151*Q1151))*IF(Inputs!$B$38="pvp",1,1+(Inputs!$B$20+Skills!P5)/100),0)</f>
        <v/>
      </c>
      <c r="U1151">
        <f>IF(C1151,(H1151*N1151*IF(AND(Inputs!$B$38&lt;&gt;"pvp",Inputs!$B$43&gt;0),((Skills!G5*((R1151-1)*IF(Skills!H5&gt;0,Skills!I5/Skills!H5,1)+IF(Skills!H5&gt;0,MIN(Skills!I5,MAX(0,MAX(0,Inputs!$B$43-B1184)-((R1151-1)*IF(Inputs!$B$38="pvp",15,MAX(0.1,Skills!E5-IF(Skills!F5=TRUE,0.5,0))))))/Skills!H5,1)))/Inputs!$B$43),G1151*Q1151))*IF(Inputs!$B$38="pvp",1,(1+(Inputs!$B$21+Skills!Q5)/100)*(MIN(Skills!R5,Inputs!$B$37))),0)</f>
        <v/>
      </c>
    </row>
    <row r="1152">
      <c r="A1152">
        <f>Skills!A6</f>
        <v/>
      </c>
      <c r="B1152">
        <f>Skills!B6</f>
        <v/>
      </c>
      <c r="C1152">
        <f>TRUE</f>
        <v/>
      </c>
      <c r="D1152">
        <f>IF(Skills!C6=1,60+Inputs!$B$25+Inputs!$B$29,IF(Skills!C6=2,90+Inputs!$B$26+Inputs!$B$29,IF(Skills!C6=3,120+Inputs!$B$27+Inputs!$B$29,MAX(0,(Inputs!$B$3-100)*3)+Inputs!$B$28+Inputs!$B$29)))</f>
        <v/>
      </c>
      <c r="E1152">
        <f>INDEX(FactorTable!$B$2:$Y$301, MATCH(ROUND(MIN(300,MAX(1,D1152)),0), FactorTable!$A$2:$A$301,0), Skills!M6+1)</f>
        <v/>
      </c>
      <c r="F1152">
        <f>IF(Skills!N6=TRUE,(Skills!L6/10)*(E1152/1000),Skills!L6/10)+Skills!O6</f>
        <v/>
      </c>
      <c r="G1152">
        <f>Calc!G6</f>
        <v/>
      </c>
      <c r="H1152">
        <f>Calc!H6</f>
        <v/>
      </c>
      <c r="I1152">
        <f>IF(Skills!X6&lt;&gt;"",1+(Skills!X6/10)*(Z1149/1000)/100,1)</f>
        <v/>
      </c>
      <c r="J1152" t="inlineStr"/>
      <c r="K1152" t="inlineStr"/>
      <c r="L1152" t="inlineStr"/>
      <c r="M1152" t="inlineStr"/>
      <c r="N1152" t="inlineStr"/>
      <c r="O1152">
        <f>(1-Summary!$B$56)*S1152+Summary!$B$56*U1152</f>
        <v/>
      </c>
      <c r="P1152">
        <f>IF(B1187=0,0,O1152/B1187)</f>
        <v/>
      </c>
      <c r="Q1152">
        <f>IFERROR(1/IF(Inputs!$B$38="pvp",15,MAX(0.1,Skills!E6-IF(Skills!F6=TRUE,0.5,0))),0)</f>
        <v/>
      </c>
      <c r="R1152">
        <f>IF(AND(Inputs!$B$38&lt;&gt;"pvp",Inputs!$B$43&gt;0),IF(Inputs!$B$43&lt;=0,0,(INT(Inputs!$B$43/IF(Inputs!$B$38="pvp",15,MAX(0.1,Skills!E6-IF(Skills!F6=TRUE,0.5,0))))+1)),0)</f>
        <v/>
      </c>
      <c r="S1152" t="n">
        <v>0</v>
      </c>
      <c r="U1152" t="n">
        <v>0</v>
      </c>
    </row>
    <row r="1153">
      <c r="A1153">
        <f>Skills!A7</f>
        <v/>
      </c>
      <c r="B1153">
        <f>Skills!B7</f>
        <v/>
      </c>
      <c r="C1153">
        <f>TRUE</f>
        <v/>
      </c>
      <c r="D1153">
        <f>IF(Skills!C7=1,60+Inputs!$B$25+Inputs!$B$29,IF(Skills!C7=2,90+Inputs!$B$26+Inputs!$B$29,IF(Skills!C7=3,120+Inputs!$B$27+Inputs!$B$29,MAX(0,(Inputs!$B$3-100)*3)+Inputs!$B$28+Inputs!$B$29)))</f>
        <v/>
      </c>
      <c r="E1153">
        <f>INDEX(FactorTable!$B$2:$Y$301, MATCH(ROUND(MIN(300,MAX(1,D1153)),0), FactorTable!$A$2:$A$301,0), Skills!M7+1)</f>
        <v/>
      </c>
      <c r="F1153">
        <f>IF(Skills!N7=TRUE,(Skills!L7/10)*(E1153/1000),Skills!L7/10)+Skills!O7</f>
        <v/>
      </c>
      <c r="G1153">
        <f>Calc!G7</f>
        <v/>
      </c>
      <c r="H1153">
        <f>Calc!H7</f>
        <v/>
      </c>
      <c r="I1153">
        <f>IF(Skills!X7&lt;&gt;"",1+(Skills!X7/10)*(Z1149/1000)/100,1)</f>
        <v/>
      </c>
      <c r="J1153">
        <f>((Inputs!$B$6*(1+Inputs!$B$7/100))+(((Inputs!$B$12*(1+Inputs!$B$13/100))-(Inputs!$B$12*(1+Inputs!$B$13/100)))+0.25*(Inputs!$B$14-Inputs!$B$14))*(1+Inputs!$B$7/100))*(F1153/100)</f>
        <v/>
      </c>
      <c r="K1153">
        <f>J1153*(1+((Inputs!$B$12*(1+Inputs!$B$13/100))*0.01+Inputs!$B$14*0.0025)/100)*(1+Inputs!$B$15/100)*(1+Inputs!$B$16/100)*(5000/(6000+Inputs!$B$42*(1-Inputs!$B$19/100)))*(1+Inputs!$B$24/100)*(1+F1169/100)*(1+IF(Inputs!$B$3&gt;=120,F1172,0)/100)^5*(1+(IF(Skills!A7="BASIC_ATTACK",Inputs!$B$17,Inputs!$B$18+IF(Inputs!$B$3&gt;=125,F1173*5,0)))/100)*(B1176*B1177*B1178*I1153)</f>
        <v/>
      </c>
      <c r="L1153">
        <f>K1153*(MIN(Inputs!$B$22+(F1168-Calc!F22),Inputs!$B$23)/100+Inputs!$B$23/100)/2</f>
        <v/>
      </c>
      <c r="M1153">
        <f>L1153*(1+(Inputs!$B$10+(F1167-Calc!F21))/100)</f>
        <v/>
      </c>
      <c r="N1153">
        <f>L1153*(1-MIN(Inputs!$B$9+(F1166-Calc!F20),100)/100)+M1153*(MIN(Inputs!$B$9+(F1166-Calc!F20),100)/100)</f>
        <v/>
      </c>
      <c r="O1153">
        <f>(1-Summary!$B$56)*S1153+Summary!$B$56*U1153</f>
        <v/>
      </c>
      <c r="P1153">
        <f>IF(B1187=0,0,O1153/B1187)</f>
        <v/>
      </c>
      <c r="Q1153">
        <f>IFERROR(1/IF(Inputs!$B$38="pvp",15,MAX(0.1,Skills!E7-IF(Skills!F7=TRUE,0.5,0))),0)</f>
        <v/>
      </c>
      <c r="R1153">
        <f>IF(AND(Inputs!$B$38&lt;&gt;"pvp",Inputs!$B$43&gt;0),IF(MAX(0,Inputs!$B$43-B1184)&lt;=0,0,(INT(MAX(0,Inputs!$B$43-B1184)/IF(Inputs!$B$38="pvp",15,MAX(0.1,Skills!E7-IF(Skills!F7=TRUE,0.5,0))))+1)),0)</f>
        <v/>
      </c>
      <c r="S1153">
        <f>IF(C1153,(H1153*N1153*IF(AND(Inputs!$B$38&lt;&gt;"pvp",Inputs!$B$43&gt;0),((Skills!G7*((R1153-1)*IF(Skills!H7&gt;0,Skills!I7/Skills!H7,1)+IF(Skills!H7&gt;0,MIN(Skills!I7,MAX(0,MAX(0,Inputs!$B$43-B1184)-((R1153-1)*IF(Inputs!$B$38="pvp",15,MAX(0.1,Skills!E7-IF(Skills!F7=TRUE,0.5,0))))))/Skills!H7,1)))/Inputs!$B$43),G1153*Q1153))*IF(Inputs!$B$38="pvp",1,1+(Inputs!$B$20+Skills!P7)/100),0)</f>
        <v/>
      </c>
      <c r="U1153">
        <f>IF(C1153,(H1153*N1153*IF(AND(Inputs!$B$38&lt;&gt;"pvp",Inputs!$B$43&gt;0),((Skills!G7*((R1153-1)*IF(Skills!H7&gt;0,Skills!I7/Skills!H7,1)+IF(Skills!H7&gt;0,MIN(Skills!I7,MAX(0,MAX(0,Inputs!$B$43-B1184)-((R1153-1)*IF(Inputs!$B$38="pvp",15,MAX(0.1,Skills!E7-IF(Skills!F7=TRUE,0.5,0))))))/Skills!H7,1)))/Inputs!$B$43),G1153*Q1153))*IF(Inputs!$B$38="pvp",1,(1+(Inputs!$B$21+Skills!Q7)/100)*(MIN(Skills!R7,Inputs!$B$37))),0)</f>
        <v/>
      </c>
    </row>
    <row r="1154">
      <c r="A1154">
        <f>Skills!A8</f>
        <v/>
      </c>
      <c r="B1154">
        <f>Skills!B8</f>
        <v/>
      </c>
      <c r="C1154">
        <f>TRUE</f>
        <v/>
      </c>
      <c r="D1154">
        <f>IF(Skills!C8=1,60+Inputs!$B$25+Inputs!$B$29,IF(Skills!C8=2,90+Inputs!$B$26+Inputs!$B$29,IF(Skills!C8=3,120+Inputs!$B$27+Inputs!$B$29,MAX(0,(Inputs!$B$3-100)*3)+Inputs!$B$28+Inputs!$B$29)))</f>
        <v/>
      </c>
      <c r="E1154">
        <f>INDEX(FactorTable!$B$2:$Y$301, MATCH(ROUND(MIN(300,MAX(1,D1154)),0), FactorTable!$A$2:$A$301,0), Skills!M8+1)</f>
        <v/>
      </c>
      <c r="F1154">
        <f>IF(Skills!N8=TRUE,(Skills!L8/10)*(E1154/1000),Skills!L8/10)+Skills!O8</f>
        <v/>
      </c>
      <c r="G1154">
        <f>Calc!G8</f>
        <v/>
      </c>
      <c r="H1154">
        <f>Calc!H8</f>
        <v/>
      </c>
      <c r="I1154">
        <f>IF(Skills!X8&lt;&gt;"",1+(Skills!X8/10)*(Z1149/1000)/100,1)</f>
        <v/>
      </c>
      <c r="J1154">
        <f>((Inputs!$B$6*(1+Inputs!$B$7/100))+(((Inputs!$B$12*(1+Inputs!$B$13/100))-(Inputs!$B$12*(1+Inputs!$B$13/100)))+0.25*(Inputs!$B$14-Inputs!$B$14))*(1+Inputs!$B$7/100))*(F1154/100)</f>
        <v/>
      </c>
      <c r="K1154">
        <f>J1154*(1+((Inputs!$B$12*(1+Inputs!$B$13/100))*0.01+Inputs!$B$14*0.0025)/100)*(1+Inputs!$B$15/100)*(1+Inputs!$B$16/100)*(5000/(6000+Inputs!$B$42*(1-Inputs!$B$19/100)))*(1+Inputs!$B$24/100)*(1+F1169/100)*(1+IF(Inputs!$B$3&gt;=120,F1172,0)/100)^5*(1+(IF(Skills!A8="BASIC_ATTACK",Inputs!$B$17,Inputs!$B$18+IF(Inputs!$B$3&gt;=125,F1173*5,0)))/100)*(B1176*B1177*B1178*I1154)</f>
        <v/>
      </c>
      <c r="L1154">
        <f>K1154*(MIN(Inputs!$B$22+(F1168-Calc!F22),Inputs!$B$23)/100+Inputs!$B$23/100)/2</f>
        <v/>
      </c>
      <c r="M1154">
        <f>L1154*(1+(Inputs!$B$10+(F1167-Calc!F21))/100)</f>
        <v/>
      </c>
      <c r="N1154">
        <f>L1154*(1-MIN(Inputs!$B$9+(F1166-Calc!F20),100)/100)+M1154*(MIN(Inputs!$B$9+(F1166-Calc!F20),100)/100)</f>
        <v/>
      </c>
      <c r="O1154">
        <f>(1-Summary!$B$56)*S1154+Summary!$B$56*U1154</f>
        <v/>
      </c>
      <c r="P1154">
        <f>IF(B1187=0,0,O1154/B1187)</f>
        <v/>
      </c>
      <c r="Q1154">
        <f>IFERROR(1/IF(Inputs!$B$38="pvp",15,MAX(0.1,Skills!E8-IF(Skills!F8=TRUE,0.5,0))),0)</f>
        <v/>
      </c>
      <c r="R1154">
        <f>IF(AND(Inputs!$B$38&lt;&gt;"pvp",Inputs!$B$43&gt;0),IF(MAX(0,Inputs!$B$43-B1184)&lt;=0,0,(INT(MAX(0,Inputs!$B$43-B1184)/IF(Inputs!$B$38="pvp",15,MAX(0.1,Skills!E8-IF(Skills!F8=TRUE,0.5,0))))+1)),0)</f>
        <v/>
      </c>
      <c r="S1154">
        <f>IF(C1154,(H1154*N1154*IF(AND(Inputs!$B$38&lt;&gt;"pvp",Inputs!$B$43&gt;0),((Skills!G8*((R1154-1)*IF(Skills!H8&gt;0,Skills!I8/Skills!H8,1)+IF(Skills!H8&gt;0,MIN(Skills!I8,MAX(0,MAX(0,Inputs!$B$43-B1184)-((R1154-1)*IF(Inputs!$B$38="pvp",15,MAX(0.1,Skills!E8-IF(Skills!F8=TRUE,0.5,0))))))/Skills!H8,1)))/Inputs!$B$43),G1154*Q1154))*IF(Inputs!$B$38="pvp",1,1+(Inputs!$B$20+Skills!P8)/100),0)</f>
        <v/>
      </c>
      <c r="U1154">
        <f>IF(C1154,(H1154*N1154*IF(AND(Inputs!$B$38&lt;&gt;"pvp",Inputs!$B$43&gt;0),((Skills!G8*((R1154-1)*IF(Skills!H8&gt;0,Skills!I8/Skills!H8,1)+IF(Skills!H8&gt;0,MIN(Skills!I8,MAX(0,MAX(0,Inputs!$B$43-B1184)-((R1154-1)*IF(Inputs!$B$38="pvp",15,MAX(0.1,Skills!E8-IF(Skills!F8=TRUE,0.5,0))))))/Skills!H8,1)))/Inputs!$B$43),G1154*Q1154))*IF(Inputs!$B$38="pvp",1,(1+(Inputs!$B$21+Skills!Q8)/100)*(MIN(Skills!R8,Inputs!$B$37))),0)</f>
        <v/>
      </c>
    </row>
    <row r="1155">
      <c r="A1155">
        <f>Skills!A9</f>
        <v/>
      </c>
      <c r="B1155">
        <f>Skills!B9</f>
        <v/>
      </c>
      <c r="C1155">
        <f>Inputs!$B$3&gt;=103</f>
        <v/>
      </c>
      <c r="D1155">
        <f>IF(Skills!C9=1,60+Inputs!$B$25+Inputs!$B$29,IF(Skills!C9=2,90+Inputs!$B$26+Inputs!$B$29,IF(Skills!C9=3,120+Inputs!$B$27+Inputs!$B$29,MAX(0,(Inputs!$B$3-100)*3)+Inputs!$B$28+Inputs!$B$29)))</f>
        <v/>
      </c>
      <c r="E1155">
        <f>INDEX(FactorTable!$B$2:$Y$301, MATCH(ROUND(MIN(300,MAX(1,D1155)),0), FactorTable!$A$2:$A$301,0), Skills!M9+1)</f>
        <v/>
      </c>
      <c r="F1155">
        <f>IF(Skills!N9=TRUE,(Skills!L9/10)*(E1155/1000),Skills!L9/10)+Skills!O9</f>
        <v/>
      </c>
      <c r="G1155">
        <f>Calc!G9</f>
        <v/>
      </c>
      <c r="H1155">
        <f>Calc!H9</f>
        <v/>
      </c>
      <c r="I1155">
        <f>IF(Skills!X9&lt;&gt;"",1+(Skills!X9/10)*(Z1149/1000)/100,1)</f>
        <v/>
      </c>
      <c r="J1155">
        <f>((Inputs!$B$6*(1+Inputs!$B$7/100))+(((Inputs!$B$12*(1+Inputs!$B$13/100))-(Inputs!$B$12*(1+Inputs!$B$13/100)))+0.25*(Inputs!$B$14-Inputs!$B$14))*(1+Inputs!$B$7/100))*(F1155/100)</f>
        <v/>
      </c>
      <c r="K1155">
        <f>J1155*(1+((Inputs!$B$12*(1+Inputs!$B$13/100))*0.01+Inputs!$B$14*0.0025)/100)*(1+Inputs!$B$15/100)*(1+Inputs!$B$16/100)*(5000/(6000+Inputs!$B$42*(1-Inputs!$B$19/100)))*(1+Inputs!$B$24/100)*(1+F1169/100)*(1+IF(Inputs!$B$3&gt;=120,F1172,0)/100)^5*(1+(IF(Skills!A9="BASIC_ATTACK",Inputs!$B$17,Inputs!$B$18+IF(Inputs!$B$3&gt;=125,F1173*5,0)))/100)*(B1176*B1177*B1178*I1155)</f>
        <v/>
      </c>
      <c r="L1155">
        <f>K1155*(MIN(Inputs!$B$22+(F1168-Calc!F22),Inputs!$B$23)/100+Inputs!$B$23/100)/2</f>
        <v/>
      </c>
      <c r="M1155">
        <f>L1155*(1+(Inputs!$B$10+(F1167-Calc!F21))/100)</f>
        <v/>
      </c>
      <c r="N1155">
        <f>L1155*(1-MIN(Inputs!$B$9+(F1166-Calc!F20),100)/100)+M1155*(MIN(Inputs!$B$9+(F1166-Calc!F20),100)/100)</f>
        <v/>
      </c>
      <c r="O1155">
        <f>(1-Summary!$B$56)*S1155+Summary!$B$56*U1155</f>
        <v/>
      </c>
      <c r="P1155">
        <f>IF(B1187=0,0,O1155/B1187)</f>
        <v/>
      </c>
      <c r="Q1155">
        <f>IFERROR(1/IF(Inputs!$B$38="pvp",15,MAX(0.1,Skills!E9-IF(Skills!F7=TRUE,0.5,0))),0)</f>
        <v/>
      </c>
      <c r="R1155">
        <f>IF(AND(Inputs!$B$38&lt;&gt;"pvp",Inputs!$B$43&gt;0),IF(MAX(0,Inputs!$B$43-B1184)&lt;=0,0,(INT(MAX(0,Inputs!$B$43-B1184)/IF(Inputs!$B$38="pvp",15,MAX(0.1,Skills!E9-IF(Skills!F7=TRUE,0.5,0))))+1)),0)</f>
        <v/>
      </c>
      <c r="S1155">
        <f>IF(C1155,(H1155*N1155*IF(AND(Inputs!$B$38&lt;&gt;"pvp",Inputs!$B$43&gt;0),((Skills!G9*((R1155-1)*IF(Skills!H9&gt;0,Skills!I9/Skills!H9,1)+IF(Skills!H9&gt;0,MIN(Skills!I9,MAX(0,MAX(0,Inputs!$B$43-B1184)-((R1155-1)*IF(Inputs!$B$38="pvp",15,MAX(0.1,Skills!E9-IF(Skills!F7=TRUE,0.5,0))))))/Skills!H9,1)))/Inputs!$B$43),G1155*Q1155))*IF(Inputs!$B$38="pvp",1,1+(Inputs!$B$20+Skills!P9)/100),0)</f>
        <v/>
      </c>
      <c r="U1155">
        <f>IF(C1155,(H1155*N1155*IF(AND(Inputs!$B$38&lt;&gt;"pvp",Inputs!$B$43&gt;0),((Skills!G9*((R1155-1)*IF(Skills!H9&gt;0,Skills!I9/Skills!H9,1)+IF(Skills!H9&gt;0,MIN(Skills!I9,MAX(0,MAX(0,Inputs!$B$43-B1184)-((R1155-1)*IF(Inputs!$B$38="pvp",15,MAX(0.1,Skills!E9-IF(Skills!F7=TRUE,0.5,0))))))/Skills!H9,1)))/Inputs!$B$43),G1155*Q1155))*IF(Inputs!$B$38="pvp",1,(1+(Inputs!$B$21+Skills!Q9)/100)*(MIN(Skills!R9,Inputs!$B$37))),0)</f>
        <v/>
      </c>
    </row>
    <row r="1156">
      <c r="A1156">
        <f>Skills!A10</f>
        <v/>
      </c>
      <c r="B1156">
        <f>Skills!B10</f>
        <v/>
      </c>
      <c r="C1156">
        <f>TRUE</f>
        <v/>
      </c>
      <c r="D1156">
        <f>IF(Skills!C10=1,60+Inputs!$B$25+Inputs!$B$29,IF(Skills!C10=2,90+Inputs!$B$26+Inputs!$B$29,IF(Skills!C10=3,120+Inputs!$B$27+Inputs!$B$29,MAX(0,(Inputs!$B$3-100)*3)+Inputs!$B$28+Inputs!$B$29)))</f>
        <v/>
      </c>
      <c r="E1156">
        <f>INDEX(FactorTable!$B$2:$Y$301, MATCH(ROUND(MIN(300,MAX(1,D1156)),0), FactorTable!$A$2:$A$301,0), Skills!M10+1)</f>
        <v/>
      </c>
      <c r="F1156">
        <f>IF(Skills!N10=TRUE,(Skills!L10/10)*(E1156/1000),Skills!L10/10)+Skills!O10</f>
        <v/>
      </c>
      <c r="G1156">
        <f>Calc!G10</f>
        <v/>
      </c>
      <c r="H1156">
        <f>Calc!H10</f>
        <v/>
      </c>
      <c r="I1156">
        <f>IF(Skills!X10&lt;&gt;"",1+(Skills!X10/10)*(Z1149/1000)/100,1)</f>
        <v/>
      </c>
      <c r="J1156">
        <f>((Inputs!$B$6*(1+Inputs!$B$7/100))+(((Inputs!$B$12*(1+Inputs!$B$13/100))-(Inputs!$B$12*(1+Inputs!$B$13/100)))+0.25*(Inputs!$B$14-Inputs!$B$14))*(1+Inputs!$B$7/100))*(F1156/100)</f>
        <v/>
      </c>
      <c r="K1156">
        <f>J1156*(1+((Inputs!$B$12*(1+Inputs!$B$13/100))*0.01+Inputs!$B$14*0.0025)/100)*(1+Inputs!$B$15/100)*(1+Inputs!$B$16/100)*(5000/(6000+Inputs!$B$42*(1-Inputs!$B$19/100)))*(1+Inputs!$B$24/100)*(1+F1169/100)*(1+IF(Inputs!$B$3&gt;=120,F1172,0)/100)^5*(1+(IF(Skills!A10="BASIC_ATTACK",Inputs!$B$17,Inputs!$B$18+IF(Inputs!$B$3&gt;=125,F1173*5,0)))/100)*(B1176*B1177*B1178*I1156)</f>
        <v/>
      </c>
      <c r="L1156">
        <f>K1156*(MIN(Inputs!$B$22+(F1168-Calc!F22),Inputs!$B$23)/100+Inputs!$B$23/100)/2</f>
        <v/>
      </c>
      <c r="M1156">
        <f>L1156*(1+(Inputs!$B$10+(F1167-Calc!F21))/100)</f>
        <v/>
      </c>
      <c r="N1156">
        <f>L1156*(1-MIN(Inputs!$B$9+(F1166-Calc!F20),100)/100)+M1156*(MIN(Inputs!$B$9+(F1166-Calc!F20),100)/100)</f>
        <v/>
      </c>
      <c r="O1156">
        <f>(1-Summary!$B$56)*S1156+Summary!$B$56*U1156</f>
        <v/>
      </c>
      <c r="P1156">
        <f>IF(B1187=0,0,O1156/B1187)</f>
        <v/>
      </c>
      <c r="Q1156">
        <f>IFERROR(1/IF(Inputs!$B$38="pvp",15,MAX(0.1,Skills!E10-IF(Skills!F10=TRUE,0.5,0))),0)</f>
        <v/>
      </c>
      <c r="R1156">
        <f>IF(AND(Inputs!$B$38&lt;&gt;"pvp",Inputs!$B$43&gt;0),IF(MAX(0,Inputs!$B$43-B1184)&lt;=0,0,(INT(MAX(0,Inputs!$B$43-B1184)/IF(Inputs!$B$38="pvp",15,MAX(0.1,Skills!E10-IF(Skills!F10=TRUE,0.5,0))))+1)),0)</f>
        <v/>
      </c>
      <c r="S1156">
        <f>IF(C1156,(H1156*N1156*IF(AND(Inputs!$B$38&lt;&gt;"pvp",Inputs!$B$43&gt;0),((Skills!G10*((R1156-1)*IF(Skills!H10&gt;0,Skills!I10/Skills!H10,1)+IF(Skills!H10&gt;0,MIN(Skills!I10,MAX(0,MAX(0,Inputs!$B$43-B1184)-((R1156-1)*IF(Inputs!$B$38="pvp",15,MAX(0.1,Skills!E10-IF(Skills!F10=TRUE,0.5,0))))))/Skills!H10,1)))/Inputs!$B$43),G1156*Q1156))*IF(Inputs!$B$38="pvp",1,1+(Inputs!$B$20+Skills!P10)/100),0)</f>
        <v/>
      </c>
      <c r="U1156">
        <f>IF(C1156,(H1156*N1156*IF(AND(Inputs!$B$38&lt;&gt;"pvp",Inputs!$B$43&gt;0),((Skills!G10*((R1156-1)*IF(Skills!H10&gt;0,Skills!I10/Skills!H10,1)+IF(Skills!H10&gt;0,MIN(Skills!I10,MAX(0,MAX(0,Inputs!$B$43-B1184)-((R1156-1)*IF(Inputs!$B$38="pvp",15,MAX(0.1,Skills!E10-IF(Skills!F10=TRUE,0.5,0))))))/Skills!H10,1)))/Inputs!$B$43),G1156*Q1156))*IF(Inputs!$B$38="pvp",1,(1+(Inputs!$B$21+Skills!Q10)/100)*(MIN(Skills!R10,Inputs!$B$37))),0)</f>
        <v/>
      </c>
    </row>
    <row r="1157">
      <c r="A1157">
        <f>Skills!A11</f>
        <v/>
      </c>
      <c r="B1157">
        <f>Skills!B11</f>
        <v/>
      </c>
      <c r="C1157">
        <f>TRUE</f>
        <v/>
      </c>
      <c r="D1157">
        <f>IF(Skills!C11=1,60+Inputs!$B$25+Inputs!$B$29,IF(Skills!C11=2,90+Inputs!$B$26+Inputs!$B$29,IF(Skills!C11=3,120+Inputs!$B$27+Inputs!$B$29,MAX(0,(Inputs!$B$3-100)*3)+Inputs!$B$28+Inputs!$B$29)))</f>
        <v/>
      </c>
      <c r="E1157">
        <f>INDEX(FactorTable!$B$2:$Y$301, MATCH(ROUND(MIN(300,MAX(1,D1157)),0), FactorTable!$A$2:$A$301,0), Skills!M11+1)</f>
        <v/>
      </c>
      <c r="F1157">
        <f>IF(Skills!N11=TRUE,(Skills!L11/10)*(E1157/1000),Skills!L11/10)+Skills!O11</f>
        <v/>
      </c>
      <c r="G1157">
        <f>Calc!G11</f>
        <v/>
      </c>
      <c r="H1157">
        <f>Calc!H11</f>
        <v/>
      </c>
      <c r="I1157">
        <f>IF(Skills!X11&lt;&gt;"",1+(Skills!X11/10)*(Z1149/1000)/100,1)</f>
        <v/>
      </c>
      <c r="J1157" t="inlineStr"/>
      <c r="K1157" t="inlineStr"/>
      <c r="L1157" t="inlineStr"/>
      <c r="M1157" t="inlineStr"/>
      <c r="N1157" t="inlineStr"/>
      <c r="O1157">
        <f>(1-Summary!$B$56)*S1157+Summary!$B$56*U1157</f>
        <v/>
      </c>
      <c r="P1157">
        <f>IF(B1187=0,0,O1157/B1187)</f>
        <v/>
      </c>
      <c r="Q1157">
        <f>IFERROR(1/IF(Inputs!$B$38="pvp",15,MAX(0.1,Skills!E11-IF(Skills!F11=TRUE,0.5,0))),0)</f>
        <v/>
      </c>
      <c r="R1157" t="n">
        <v>0</v>
      </c>
      <c r="S1157" t="n">
        <v>0</v>
      </c>
      <c r="U1157" t="n">
        <v>0</v>
      </c>
    </row>
    <row r="1158">
      <c r="A1158">
        <f>Skills!A12</f>
        <v/>
      </c>
      <c r="B1158">
        <f>Skills!B12</f>
        <v/>
      </c>
      <c r="C1158">
        <f>TRUE</f>
        <v/>
      </c>
      <c r="D1158">
        <f>IF(Skills!C12=1,60+Inputs!$B$25+Inputs!$B$29,IF(Skills!C12=2,90+Inputs!$B$26+Inputs!$B$29,IF(Skills!C12=3,120+Inputs!$B$27+Inputs!$B$29,MAX(0,(Inputs!$B$3-100)*3)+Inputs!$B$28+Inputs!$B$29)))</f>
        <v/>
      </c>
      <c r="E1158">
        <f>INDEX(FactorTable!$B$2:$Y$301, MATCH(ROUND(MIN(300,MAX(1,D1158)),0), FactorTable!$A$2:$A$301,0), Skills!M12+1)</f>
        <v/>
      </c>
      <c r="F1158">
        <f>IF(Skills!N12=TRUE,(Skills!L12/10)*(E1158/1000),Skills!L12/10)+Skills!O12</f>
        <v/>
      </c>
      <c r="G1158">
        <f>Calc!G12</f>
        <v/>
      </c>
      <c r="H1158">
        <f>Calc!H12</f>
        <v/>
      </c>
      <c r="I1158">
        <f>IF(Skills!X12&lt;&gt;"",1+(Skills!X12/10)*(Z1149/1000)/100,1)</f>
        <v/>
      </c>
      <c r="J1158" t="inlineStr"/>
      <c r="K1158" t="inlineStr"/>
      <c r="L1158" t="inlineStr"/>
      <c r="M1158" t="inlineStr"/>
      <c r="N1158" t="inlineStr"/>
      <c r="O1158">
        <f>(1-Summary!$B$56)*S1158+Summary!$B$56*U1158</f>
        <v/>
      </c>
      <c r="P1158">
        <f>IF(B1187=0,0,O1158/B1187)</f>
        <v/>
      </c>
      <c r="Q1158">
        <f>IFERROR(1/IF(Inputs!$B$38="pvp",15,MAX(0.1,Skills!E12-IF(Skills!F12=TRUE,0.5,0))),0)</f>
        <v/>
      </c>
      <c r="R1158" t="n">
        <v>0</v>
      </c>
      <c r="S1158" t="n">
        <v>0</v>
      </c>
      <c r="U1158" t="n">
        <v>0</v>
      </c>
    </row>
    <row r="1159">
      <c r="A1159">
        <f>Skills!A13</f>
        <v/>
      </c>
      <c r="B1159">
        <f>Skills!B13</f>
        <v/>
      </c>
      <c r="C1159">
        <f>Inputs!$B$3&gt;=105</f>
        <v/>
      </c>
      <c r="D1159">
        <f>IF(Skills!C13=1,60+Inputs!$B$25+Inputs!$B$29,IF(Skills!C13=2,90+Inputs!$B$26+Inputs!$B$29,IF(Skills!C13=3,120+Inputs!$B$27+Inputs!$B$29,MAX(0,(Inputs!$B$3-100)*3)+Inputs!$B$28+Inputs!$B$29)))</f>
        <v/>
      </c>
      <c r="E1159">
        <f>INDEX(FactorTable!$B$2:$Y$301, MATCH(ROUND(MIN(300,MAX(1,D1159)),0), FactorTable!$A$2:$A$301,0), Skills!M13+1)</f>
        <v/>
      </c>
      <c r="F1159">
        <f>IF(Skills!N13=TRUE,(Skills!L13/10)*(E1159/1000),Skills!L13/10)+Skills!O13</f>
        <v/>
      </c>
      <c r="G1159">
        <f>Calc!G13</f>
        <v/>
      </c>
      <c r="H1159">
        <f>Calc!H13</f>
        <v/>
      </c>
      <c r="I1159">
        <f>IF(Skills!X13&lt;&gt;"",1+(Skills!X13/10)*(Z1149/1000)/100,1)</f>
        <v/>
      </c>
      <c r="J1159">
        <f>((Inputs!$B$6*(1+Inputs!$B$7/100))+(((Inputs!$B$12*(1+Inputs!$B$13/100))-(Inputs!$B$12*(1+Inputs!$B$13/100)))+0.25*(Inputs!$B$14-Inputs!$B$14))*(1+Inputs!$B$7/100))*(F1159/100)</f>
        <v/>
      </c>
      <c r="K1159">
        <f>J1159*(1+((Inputs!$B$12*(1+Inputs!$B$13/100))*0.01+Inputs!$B$14*0.0025)/100)*(1+Inputs!$B$15/100)*(1+Inputs!$B$16/100)*(5000/(6000+Inputs!$B$42*(1-Inputs!$B$19/100)))*(1+Inputs!$B$24/100)*(1+F1169/100)*(1+IF(Inputs!$B$3&gt;=120,F1172,0)/100)^5*(1+(IF(Skills!A13="BASIC_ATTACK",Inputs!$B$17,Inputs!$B$18+IF(Inputs!$B$3&gt;=125,F1173*5,0)))/100)*(B1176*B1177*B1178*I1159)</f>
        <v/>
      </c>
      <c r="L1159">
        <f>K1159*(MIN(Inputs!$B$22+(F1168-Calc!F22),Inputs!$B$23)/100+Inputs!$B$23/100)/2</f>
        <v/>
      </c>
      <c r="M1159">
        <f>L1159*(1+(Inputs!$B$10+(F1167-Calc!F21))/100)</f>
        <v/>
      </c>
      <c r="N1159">
        <f>L1159*(1-MIN(Inputs!$B$9+(F1166-Calc!F20),100)/100)+M1159*(MIN(Inputs!$B$9+(F1166-Calc!F20),100)/100)</f>
        <v/>
      </c>
      <c r="O1159">
        <f>(1-Summary!$B$56)*S1159+Summary!$B$56*U1159</f>
        <v/>
      </c>
      <c r="P1159">
        <f>IF(B1187=0,0,O1159/B1187)</f>
        <v/>
      </c>
      <c r="Q1159">
        <f>IFERROR(1/IF(Inputs!$B$38="pvp",15,MAX(0.1,Skills!E13-IF(Skills!F13=TRUE,0.5,0))),0)</f>
        <v/>
      </c>
      <c r="R1159">
        <f>IF(AND(Inputs!$B$38&lt;&gt;"pvp",Inputs!$B$43&gt;0),IF(MAX(0,Inputs!$B$43-B1184)&lt;=0,0,(INT(MAX(0,Inputs!$B$43-B1184)/IF(Inputs!$B$38="pvp",15,MAX(0.1,Skills!E13-IF(Skills!F13=TRUE,0.5,0))))+1)),0)</f>
        <v/>
      </c>
      <c r="S1159">
        <f>IF(C1159,(H1159*N1159*IF(AND(Inputs!$B$38&lt;&gt;"pvp",Inputs!$B$43&gt;0),((Skills!G13*((R1159-1)*IF(Skills!H13&gt;0,Skills!I13/Skills!H13,1)+IF(Skills!H13&gt;0,MIN(Skills!I13,MAX(0,MAX(0,Inputs!$B$43-B1184)-((R1159-1)*IF(Inputs!$B$38="pvp",15,MAX(0.1,Skills!E13-IF(Skills!F13=TRUE,0.5,0))))))/Skills!H13,1)))/Inputs!$B$43),G1159*Q1159))*IF(Inputs!$B$38="pvp",1,1+(Inputs!$B$20+Skills!P13)/100),0)</f>
        <v/>
      </c>
      <c r="U1159">
        <f>IF(C1159,(H1159*N1159*IF(AND(Inputs!$B$38&lt;&gt;"pvp",Inputs!$B$43&gt;0),((Skills!G13*((R1159-1)*IF(Skills!H13&gt;0,Skills!I13/Skills!H13,1)+IF(Skills!H13&gt;0,MIN(Skills!I13,MAX(0,MAX(0,Inputs!$B$43-B1184)-((R1159-1)*IF(Inputs!$B$38="pvp",15,MAX(0.1,Skills!E13-IF(Skills!F13=TRUE,0.5,0))))))/Skills!H13,1)))/Inputs!$B$43),G1159*Q1159))*IF(Inputs!$B$38="pvp",1,(1+(Inputs!$B$21+Skills!Q13)/100)*(MIN(Skills!R13,Inputs!$B$37))),0)</f>
        <v/>
      </c>
    </row>
    <row r="1160">
      <c r="A1160">
        <f>Skills!A14</f>
        <v/>
      </c>
      <c r="B1160">
        <f>Skills!B14</f>
        <v/>
      </c>
      <c r="C1160">
        <f>Inputs!$B$3&gt;=113</f>
        <v/>
      </c>
      <c r="D1160">
        <f>IF(Skills!C14=1,60+Inputs!$B$25+Inputs!$B$29,IF(Skills!C14=2,90+Inputs!$B$26+Inputs!$B$29,IF(Skills!C14=3,120+Inputs!$B$27+Inputs!$B$29,MAX(0,(Inputs!$B$3-100)*3)+Inputs!$B$28+Inputs!$B$29)))</f>
        <v/>
      </c>
      <c r="E1160">
        <f>INDEX(FactorTable!$B$2:$Y$301, MATCH(ROUND(MIN(300,MAX(1,D1160)),0), FactorTable!$A$2:$A$301,0), Skills!M14+1)</f>
        <v/>
      </c>
      <c r="F1160">
        <f>IF(Skills!N14=TRUE,(Skills!L14/10)*(E1160/1000),Skills!L14/10)+Skills!O14</f>
        <v/>
      </c>
      <c r="G1160">
        <f>Calc!G14</f>
        <v/>
      </c>
      <c r="H1160">
        <f>Calc!H14</f>
        <v/>
      </c>
      <c r="I1160">
        <f>IF(Skills!X14&lt;&gt;"",1+(Skills!X14/10)*(Z1149/1000)/100,1)</f>
        <v/>
      </c>
      <c r="J1160">
        <f>((Inputs!$B$6*(1+Inputs!$B$7/100))+(((Inputs!$B$12*(1+Inputs!$B$13/100))-(Inputs!$B$12*(1+Inputs!$B$13/100)))+0.25*(Inputs!$B$14-Inputs!$B$14))*(1+Inputs!$B$7/100))*(F1160/100)</f>
        <v/>
      </c>
      <c r="K1160">
        <f>J1160*(1+((Inputs!$B$12*(1+Inputs!$B$13/100))*0.01+Inputs!$B$14*0.0025)/100)*(1+Inputs!$B$15/100)*(1+Inputs!$B$16/100)*(5000/(6000+Inputs!$B$42*(1-Inputs!$B$19/100)))*(1+Inputs!$B$24/100)*(1+F1169/100)*(1+IF(Inputs!$B$3&gt;=120,F1172,0)/100)^5*(1+(IF(Skills!A14="BASIC_ATTACK",Inputs!$B$17,Inputs!$B$18+IF(Inputs!$B$3&gt;=125,F1173*5,0)))/100)*(B1176*B1177*B1178*I1160)</f>
        <v/>
      </c>
      <c r="L1160">
        <f>K1160*(MIN(Inputs!$B$22+(F1168-Calc!F22),Inputs!$B$23)/100+Inputs!$B$23/100)/2</f>
        <v/>
      </c>
      <c r="M1160">
        <f>L1160*(1+(Inputs!$B$10+(F1167-Calc!F21))/100)</f>
        <v/>
      </c>
      <c r="N1160">
        <f>L1160*(1-MIN(Inputs!$B$9+(F1166-Calc!F20),100)/100)+M1160*(MIN(Inputs!$B$9+(F1166-Calc!F20),100)/100)</f>
        <v/>
      </c>
      <c r="O1160">
        <f>(1-Summary!$B$56)*S1160+Summary!$B$56*U1160</f>
        <v/>
      </c>
      <c r="P1160">
        <f>IF(B1187=0,0,O1160/B1187)</f>
        <v/>
      </c>
      <c r="Q1160">
        <f>IFERROR(1/IF(Inputs!$B$38="pvp",15,MAX(0.1,Skills!E14-IF(Skills!F14=TRUE,0.5,0))),0)</f>
        <v/>
      </c>
      <c r="R1160" t="n">
        <v>0</v>
      </c>
      <c r="S1160">
        <f>IF(C1160,((H1160*B1183)/(1+Skills!H14*H1160*B1183)*N1160)*IF(Inputs!$B$38="pvp",1,1+(Inputs!$B$20+Skills!P14)/100),0)</f>
        <v/>
      </c>
      <c r="U1160">
        <f>IF(C1160,((H1160*B1183)/(1+Skills!H14*H1160*B1183)*N1160)*IF(Inputs!$B$38="pvp",1,(1+(Inputs!$B$21+Skills!Q14)/100)*(MIN(Skills!R14,Inputs!$B$37))),0)</f>
        <v/>
      </c>
    </row>
    <row r="1161">
      <c r="A1161">
        <f>Skills!A15</f>
        <v/>
      </c>
      <c r="B1161">
        <f>Skills!B15</f>
        <v/>
      </c>
      <c r="C1161">
        <f>Inputs!$B$3&gt;=107</f>
        <v/>
      </c>
      <c r="D1161">
        <f>IF(Skills!C15=1,60+Inputs!$B$25+Inputs!$B$29,IF(Skills!C15=2,90+Inputs!$B$26+Inputs!$B$29,IF(Skills!C15=3,120+Inputs!$B$27+Inputs!$B$29,MAX(0,(Inputs!$B$3-100)*3)+Inputs!$B$28+Inputs!$B$29)))</f>
        <v/>
      </c>
      <c r="E1161">
        <f>INDEX(FactorTable!$B$2:$Y$301, MATCH(ROUND(MIN(300,MAX(1,D1161)),0), FactorTable!$A$2:$A$301,0), Skills!M15+1)</f>
        <v/>
      </c>
      <c r="F1161">
        <f>IF(Skills!N15=TRUE,(Skills!L15/10)*(E1161/1000),Skills!L15/10)+Skills!O15</f>
        <v/>
      </c>
      <c r="G1161">
        <f>Calc!G15</f>
        <v/>
      </c>
      <c r="H1161">
        <f>Calc!H15</f>
        <v/>
      </c>
      <c r="I1161">
        <f>IF(Skills!X15&lt;&gt;"",1+(Skills!X15/10)*(Z1149/1000)/100,1)</f>
        <v/>
      </c>
      <c r="J1161">
        <f>((Inputs!$B$6*(1+Inputs!$B$7/100))+(((Inputs!$B$12*(1+Inputs!$B$13/100))-(Inputs!$B$12*(1+Inputs!$B$13/100)))+0.25*(Inputs!$B$14-Inputs!$B$14))*(1+Inputs!$B$7/100))*(F1161/100)</f>
        <v/>
      </c>
      <c r="K1161">
        <f>J1161*(1+((Inputs!$B$12*(1+Inputs!$B$13/100))*0.01+Inputs!$B$14*0.0025)/100)*(1+Inputs!$B$15/100)*(1+Inputs!$B$16/100)*(5000/(6000+Inputs!$B$42*(1-Inputs!$B$19/100)))*(1+Inputs!$B$24/100)*(1+F1169/100)*(1+IF(Inputs!$B$3&gt;=120,F1172,0)/100)^5*(1+(IF(Skills!A15="BASIC_ATTACK",Inputs!$B$17,Inputs!$B$18+IF(Inputs!$B$3&gt;=125,F1173*5,0)))/100)*(B1176*B1177*B1178*I1161)</f>
        <v/>
      </c>
      <c r="L1161">
        <f>K1161*(MIN(Inputs!$B$22+(F1168-Calc!F22),Inputs!$B$23)/100+Inputs!$B$23/100)/2</f>
        <v/>
      </c>
      <c r="M1161">
        <f>L1161*(1+(Inputs!$B$10+(F1167-Calc!F21))/100)</f>
        <v/>
      </c>
      <c r="N1161">
        <f>L1161*(1-MIN(Inputs!$B$9+(F1166-Calc!F20),100)/100)+M1161*(MIN(Inputs!$B$9+(F1166-Calc!F20),100)/100)</f>
        <v/>
      </c>
      <c r="O1161">
        <f>(1-Summary!$B$56)*S1161+Summary!$B$56*U1161</f>
        <v/>
      </c>
      <c r="P1161">
        <f>IF(B1187=0,0,O1161/B1187)</f>
        <v/>
      </c>
      <c r="Q1161">
        <f>IFERROR(1/IF(Inputs!$B$38="pvp",15,MAX(0.1,Skills!E15-IF(Skills!F15=TRUE,0.5,0))),0)</f>
        <v/>
      </c>
      <c r="R1161">
        <f>IF(AND(Inputs!$B$38&lt;&gt;"pvp",Inputs!$B$43&gt;0),IF(MAX(0,Inputs!$B$43-B1184)&lt;=0,0,(INT(MAX(0,Inputs!$B$43-B1184)/IF(Inputs!$B$38="pvp",15,MAX(0.1,Skills!E15-IF(Skills!F15=TRUE,0.5,0))))+1)),0)</f>
        <v/>
      </c>
      <c r="S1161">
        <f>IF(C1161,(H1161*N1161*IF(AND(Inputs!$B$38&lt;&gt;"pvp",Inputs!$B$43&gt;0),((Skills!G15*((R1161-1)*IF(Skills!H15&gt;0,Skills!I15/Skills!H15,1)+IF(Skills!H15&gt;0,MIN(Skills!I15,MAX(0,MAX(0,Inputs!$B$43-B1184)-((R1161-1)*IF(Inputs!$B$38="pvp",15,MAX(0.1,Skills!E15-IF(Skills!F15=TRUE,0.5,0))))))/Skills!H15,1)))/Inputs!$B$43),G1161*Q1161))*IF(Inputs!$B$38="pvp",1,1+(Inputs!$B$20+Skills!P15)/100),0)</f>
        <v/>
      </c>
      <c r="U1161">
        <f>IF(C1161,(H1161*N1161*IF(AND(Inputs!$B$38&lt;&gt;"pvp",Inputs!$B$43&gt;0),((Skills!G15*((R1161-1)*IF(Skills!H15&gt;0,Skills!I15/Skills!H15,1)+IF(Skills!H15&gt;0,MIN(Skills!I15,MAX(0,MAX(0,Inputs!$B$43-B1184)-((R1161-1)*IF(Inputs!$B$38="pvp",15,MAX(0.1,Skills!E15-IF(Skills!F15=TRUE,0.5,0))))))/Skills!H15,1)))/Inputs!$B$43),G1161*Q1161))*IF(Inputs!$B$38="pvp",1,(1+(Inputs!$B$21+Skills!Q15)/100)*(MIN(Skills!R15,Inputs!$B$37))),0)</f>
        <v/>
      </c>
    </row>
    <row r="1162">
      <c r="A1162">
        <f>Skills!A16</f>
        <v/>
      </c>
      <c r="B1162">
        <f>Skills!B16</f>
        <v/>
      </c>
      <c r="C1162">
        <f>Inputs!$B$3&gt;=107</f>
        <v/>
      </c>
      <c r="D1162">
        <f>IF(Skills!C16=1,60+Inputs!$B$25+Inputs!$B$29,IF(Skills!C16=2,90+Inputs!$B$26+Inputs!$B$29,IF(Skills!C16=3,120+Inputs!$B$27+Inputs!$B$29,MAX(0,(Inputs!$B$3-100)*3)+Inputs!$B$28+Inputs!$B$29)))</f>
        <v/>
      </c>
      <c r="E1162">
        <f>INDEX(FactorTable!$B$2:$Y$301, MATCH(ROUND(MIN(300,MAX(1,D1162)),0), FactorTable!$A$2:$A$301,0), Skills!M16+1)</f>
        <v/>
      </c>
      <c r="F1162">
        <f>IF(Skills!N16=TRUE,(Skills!L16/10)*(E1162/1000),Skills!L16/10)+Skills!O16</f>
        <v/>
      </c>
      <c r="G1162">
        <f>Calc!G16</f>
        <v/>
      </c>
      <c r="H1162">
        <f>Calc!H16</f>
        <v/>
      </c>
      <c r="I1162">
        <f>IF(Skills!X16&lt;&gt;"",1+(Skills!X16/10)*(Z1149/1000)/100,1)</f>
        <v/>
      </c>
      <c r="J1162">
        <f>((Inputs!$B$6*(1+Inputs!$B$7/100))+(((Inputs!$B$12*(1+Inputs!$B$13/100))-(Inputs!$B$12*(1+Inputs!$B$13/100)))+0.25*(Inputs!$B$14-Inputs!$B$14))*(1+Inputs!$B$7/100))*(F1162/100)</f>
        <v/>
      </c>
      <c r="K1162">
        <f>J1162*(1+((Inputs!$B$12*(1+Inputs!$B$13/100))*0.01+Inputs!$B$14*0.0025)/100)*(1+Inputs!$B$15/100)*(1+Inputs!$B$16/100)*(5000/(6000+Inputs!$B$42*(1-Inputs!$B$19/100)))*(1+Inputs!$B$24/100)*(1+F1169/100)*(1+IF(Inputs!$B$3&gt;=120,F1172,0)/100)^5*(1+(IF(Skills!A16="BASIC_ATTACK",Inputs!$B$17,Inputs!$B$18+IF(Inputs!$B$3&gt;=125,F1173*5,0)))/100)*(B1176*B1177*B1178*I1162)</f>
        <v/>
      </c>
      <c r="L1162">
        <f>K1162*(MIN(Inputs!$B$22+(F1168-Calc!F22),Inputs!$B$23)/100+Inputs!$B$23/100)/2</f>
        <v/>
      </c>
      <c r="M1162">
        <f>L1162*(1+(Inputs!$B$10+(F1167-Calc!F21))/100)</f>
        <v/>
      </c>
      <c r="N1162">
        <f>L1162*(1-MIN(Inputs!$B$9+(F1166-Calc!F20),100)/100)+M1162*(MIN(Inputs!$B$9+(F1166-Calc!F20),100)/100)</f>
        <v/>
      </c>
      <c r="O1162">
        <f>(1-Summary!$B$56)*S1162+Summary!$B$56*U1162</f>
        <v/>
      </c>
      <c r="P1162">
        <f>IF(B1187=0,0,O1162/B1187)</f>
        <v/>
      </c>
      <c r="Q1162">
        <f>IFERROR(1/IF(Inputs!$B$38="pvp",15,MAX(0.1,Skills!E16-IF(Skills!F16=TRUE,0.5,0))),0)</f>
        <v/>
      </c>
      <c r="R1162">
        <f>IF(AND(Inputs!$B$38&lt;&gt;"pvp",Inputs!$B$43&gt;0),IF(MAX(0,Inputs!$B$43-B1184)&lt;=0,0,(INT(MAX(0,Inputs!$B$43-B1184)/IF(Inputs!$B$38="pvp",15,MAX(0.1,Skills!E16-IF(Skills!F16=TRUE,0.5,0))))+1)),0)</f>
        <v/>
      </c>
      <c r="S1162">
        <f>IF(C1162,(H1162*N1162*IF(AND(Inputs!$B$38&lt;&gt;"pvp",Inputs!$B$43&gt;0),((Skills!G16*((R1162-1)*IF(Skills!H16&gt;0,Skills!I16/Skills!H16,1)+IF(Skills!H16&gt;0,MIN(Skills!I16,MAX(0,MAX(0,Inputs!$B$43-B1184)-((R1162-1)*IF(Inputs!$B$38="pvp",15,MAX(0.1,Skills!E16-IF(Skills!F16=TRUE,0.5,0))))))/Skills!H16,1)))/Inputs!$B$43),G1162*Q1162)*(1+IF(Inputs!$B$3&gt;=126,0.05*(B1182+Q1159+(H1160*B1183)/(1+Skills!H14*H1160*B1183)+Q1170),0)*Skills!E15))*IF(Inputs!$B$38="pvp",1,1+(Inputs!$B$20+Skills!P16)/100),0)</f>
        <v/>
      </c>
      <c r="U1162">
        <f>IF(C1162,(H1162*N1162*IF(AND(Inputs!$B$38&lt;&gt;"pvp",Inputs!$B$43&gt;0),((Skills!G16*((R1162-1)*IF(Skills!H16&gt;0,Skills!I16/Skills!H16,1)+IF(Skills!H16&gt;0,MIN(Skills!I16,MAX(0,MAX(0,Inputs!$B$43-B1184)-((R1162-1)*IF(Inputs!$B$38="pvp",15,MAX(0.1,Skills!E16-IF(Skills!F16=TRUE,0.5,0))))))/Skills!H16,1)))/Inputs!$B$43),G1162*Q1162)*(1+IF(Inputs!$B$3&gt;=126,0.05*(B1182+Q1159+(H1160*B1183)/(1+Skills!H14*H1160*B1183)+Q1170),0)*Skills!E15))*IF(Inputs!$B$38="pvp",1,(1+(Inputs!$B$21+Skills!Q16)/100)*(MIN(Skills!R16,Inputs!$B$37))),0)</f>
        <v/>
      </c>
    </row>
    <row r="1163">
      <c r="A1163">
        <f>Skills!A17</f>
        <v/>
      </c>
      <c r="B1163">
        <f>Skills!B17</f>
        <v/>
      </c>
      <c r="C1163">
        <f>TRUE</f>
        <v/>
      </c>
      <c r="D1163">
        <f>IF(Skills!C17=1,60+Inputs!$B$25+Inputs!$B$29,IF(Skills!C17=2,90+Inputs!$B$26+Inputs!$B$29,IF(Skills!C17=3,120+Inputs!$B$27+Inputs!$B$29,MAX(0,(Inputs!$B$3-100)*3)+Inputs!$B$28+Inputs!$B$29)))</f>
        <v/>
      </c>
      <c r="E1163">
        <f>INDEX(FactorTable!$B$2:$Y$301, MATCH(ROUND(MIN(300,MAX(1,D1163)),0), FactorTable!$A$2:$A$301,0), Skills!M17+1)</f>
        <v/>
      </c>
      <c r="F1163">
        <f>IF(Skills!N17=TRUE,(Skills!L17/10)*(E1163/1000),Skills!L17/10)+Skills!O17</f>
        <v/>
      </c>
      <c r="G1163">
        <f>Calc!G17</f>
        <v/>
      </c>
      <c r="H1163">
        <f>Calc!H17</f>
        <v/>
      </c>
      <c r="I1163">
        <f>IF(Skills!X17&lt;&gt;"",1+(Skills!X17/10)*(Z1149/1000)/100,1)</f>
        <v/>
      </c>
      <c r="J1163" t="inlineStr"/>
      <c r="K1163" t="inlineStr"/>
      <c r="L1163" t="inlineStr"/>
      <c r="M1163" t="inlineStr"/>
      <c r="N1163" t="inlineStr"/>
      <c r="O1163">
        <f>(1-Summary!$B$56)*S1163+Summary!$B$56*U1163</f>
        <v/>
      </c>
      <c r="P1163">
        <f>IF(B1187=0,0,O1163/B1187)</f>
        <v/>
      </c>
      <c r="Q1163">
        <f>IFERROR(1/IF(Inputs!$B$38="pvp",15,MAX(0.1,Skills!E17-IF(Skills!F17=TRUE,0.5,0))),0)</f>
        <v/>
      </c>
      <c r="R1163">
        <f>IF(AND(Inputs!$B$38&lt;&gt;"pvp",Inputs!$B$43&gt;0),IF(Inputs!$B$43&lt;=0,0,(INT(Inputs!$B$43/IF(Inputs!$B$38="pvp",15,MAX(0.1,Skills!E17-IF(Skills!F17=TRUE,0.5,0))))+1)),0)</f>
        <v/>
      </c>
      <c r="S1163" t="n">
        <v>0</v>
      </c>
      <c r="U1163" t="n">
        <v>0</v>
      </c>
    </row>
    <row r="1164">
      <c r="A1164">
        <f>Skills!A18</f>
        <v/>
      </c>
      <c r="B1164">
        <f>Skills!B18</f>
        <v/>
      </c>
      <c r="C1164">
        <f>TRUE</f>
        <v/>
      </c>
      <c r="D1164">
        <f>IF(Skills!C18=1,60+Inputs!$B$25+Inputs!$B$29,IF(Skills!C18=2,90+Inputs!$B$26+Inputs!$B$29,IF(Skills!C18=3,120+Inputs!$B$27+Inputs!$B$29,MAX(0,(Inputs!$B$3-100)*3)+Inputs!$B$28+Inputs!$B$29)))</f>
        <v/>
      </c>
      <c r="E1164">
        <f>INDEX(FactorTable!$B$2:$Y$301, MATCH(ROUND(MIN(300,MAX(1,D1164)),0), FactorTable!$A$2:$A$301,0), Skills!M18+1)</f>
        <v/>
      </c>
      <c r="F1164">
        <f>IF(Skills!N18=TRUE,(Skills!L18/10)*(E1164/1000),Skills!L18/10)+Skills!O18</f>
        <v/>
      </c>
      <c r="G1164">
        <f>Calc!G18</f>
        <v/>
      </c>
      <c r="H1164">
        <f>Calc!H18</f>
        <v/>
      </c>
      <c r="I1164">
        <f>IF(Skills!X18&lt;&gt;"",1+(Skills!X18/10)*(Z1149/1000)/100,1)</f>
        <v/>
      </c>
      <c r="J1164" t="inlineStr"/>
      <c r="K1164" t="inlineStr"/>
      <c r="L1164" t="inlineStr"/>
      <c r="M1164" t="inlineStr"/>
      <c r="N1164" t="inlineStr"/>
      <c r="O1164">
        <f>(1-Summary!$B$56)*S1164+Summary!$B$56*U1164</f>
        <v/>
      </c>
      <c r="P1164">
        <f>IF(B1187=0,0,O1164/B1187)</f>
        <v/>
      </c>
      <c r="Q1164">
        <f>IFERROR(1/IF(Inputs!$B$38="pvp",15,MAX(0.1,Skills!E18-IF(Skills!F18=TRUE,0.5,0))),0)</f>
        <v/>
      </c>
      <c r="R1164">
        <f>IF(AND(Inputs!$B$38&lt;&gt;"pvp",Inputs!$B$43&gt;0),IF(Inputs!$B$43&lt;=0,0,(INT(Inputs!$B$43/IF(Inputs!$B$38="pvp",15,MAX(0.1,Skills!E18-IF(Skills!F18=TRUE,0.5,0))))+1)),0)</f>
        <v/>
      </c>
      <c r="S1164" t="n">
        <v>0</v>
      </c>
      <c r="U1164" t="n">
        <v>0</v>
      </c>
    </row>
    <row r="1165">
      <c r="A1165">
        <f>Skills!A19</f>
        <v/>
      </c>
      <c r="B1165">
        <f>Skills!B19</f>
        <v/>
      </c>
      <c r="C1165">
        <f>Inputs!$B$3&gt;=110</f>
        <v/>
      </c>
      <c r="D1165">
        <f>IF(Skills!C19=1,60+Inputs!$B$25+Inputs!$B$29,IF(Skills!C19=2,90+Inputs!$B$26+Inputs!$B$29,IF(Skills!C19=3,120+Inputs!$B$27+Inputs!$B$29,MAX(0,(Inputs!$B$3-100)*3)+Inputs!$B$28+Inputs!$B$29)))</f>
        <v/>
      </c>
      <c r="E1165">
        <f>INDEX(FactorTable!$B$2:$Y$301, MATCH(ROUND(MIN(300,MAX(1,D1165)),0), FactorTable!$A$2:$A$301,0), Skills!M19+1)</f>
        <v/>
      </c>
      <c r="F1165">
        <f>IF(Skills!N19=TRUE,(Skills!L19/10)*(E1165/1000),Skills!L19/10)+Skills!O19</f>
        <v/>
      </c>
      <c r="G1165">
        <f>Calc!G19</f>
        <v/>
      </c>
      <c r="H1165">
        <f>Calc!H19</f>
        <v/>
      </c>
      <c r="I1165">
        <f>IF(Skills!X19&lt;&gt;"",1+(Skills!X19/10)*(Z1149/1000)/100,1)</f>
        <v/>
      </c>
      <c r="J1165" t="inlineStr"/>
      <c r="K1165" t="inlineStr"/>
      <c r="L1165" t="inlineStr"/>
      <c r="M1165" t="inlineStr"/>
      <c r="N1165" t="inlineStr"/>
      <c r="O1165">
        <f>(1-Summary!$B$56)*S1165+Summary!$B$56*U1165</f>
        <v/>
      </c>
      <c r="P1165">
        <f>IF(B1187=0,0,O1165/B1187)</f>
        <v/>
      </c>
      <c r="Q1165">
        <f>IFERROR(1/IF(Inputs!$B$38="pvp",15,MAX(0.1,Skills!E19-IF(Skills!F19=TRUE,0.5,0))),0)</f>
        <v/>
      </c>
      <c r="R1165">
        <f>IF(AND(Inputs!$B$38&lt;&gt;"pvp",Inputs!$B$43&gt;0),IF(Inputs!$B$43&lt;=0,0,(INT(Inputs!$B$43/IF(Inputs!$B$38="pvp",15,MAX(0.1,Skills!E19-IF(Skills!F19=TRUE,0.5,0))))+1)),0)</f>
        <v/>
      </c>
      <c r="S1165" t="n">
        <v>0</v>
      </c>
      <c r="U1165" t="n">
        <v>0</v>
      </c>
    </row>
    <row r="1166">
      <c r="A1166">
        <f>Skills!A20</f>
        <v/>
      </c>
      <c r="B1166">
        <f>Skills!B20</f>
        <v/>
      </c>
      <c r="C1166">
        <f>TRUE</f>
        <v/>
      </c>
      <c r="D1166">
        <f>IF(Skills!C20=1,60+Inputs!$B$25+Inputs!$B$29,IF(Skills!C20=2,90+Inputs!$B$26+Inputs!$B$29,IF(Skills!C20=3,120+Inputs!$B$27+Inputs!$B$29,MAX(0,(Inputs!$B$3-100)*3)+Inputs!$B$28+Inputs!$B$29)))</f>
        <v/>
      </c>
      <c r="E1166">
        <f>INDEX(FactorTable!$B$2:$Y$301, MATCH(ROUND(MIN(300,MAX(1,D1166)),0), FactorTable!$A$2:$A$301,0), Skills!M20+1)</f>
        <v/>
      </c>
      <c r="F1166">
        <f>IF(Skills!N20=TRUE,(Skills!L20/10)*(E1166/1000),Skills!L20/10)+Skills!O20</f>
        <v/>
      </c>
      <c r="G1166">
        <f>Calc!G20</f>
        <v/>
      </c>
      <c r="H1166">
        <f>Calc!H20</f>
        <v/>
      </c>
      <c r="I1166">
        <f>IF(Skills!X20&lt;&gt;"",1+(Skills!X20/10)*(Z1149/1000)/100,1)</f>
        <v/>
      </c>
      <c r="J1166" t="inlineStr"/>
      <c r="K1166" t="inlineStr"/>
      <c r="L1166" t="inlineStr"/>
      <c r="M1166" t="inlineStr"/>
      <c r="N1166" t="inlineStr"/>
      <c r="O1166">
        <f>(1-Summary!$B$56)*S1166+Summary!$B$56*U1166</f>
        <v/>
      </c>
      <c r="P1166">
        <f>IF(B1187=0,0,O1166/B1187)</f>
        <v/>
      </c>
      <c r="Q1166">
        <f>IFERROR(1/IF(Inputs!$B$38="pvp",15,MAX(0.1,Skills!E20-IF(Skills!F20=TRUE,0.5,0))),0)</f>
        <v/>
      </c>
      <c r="R1166" t="n">
        <v>0</v>
      </c>
      <c r="S1166" t="n">
        <v>0</v>
      </c>
      <c r="U1166" t="n">
        <v>0</v>
      </c>
    </row>
    <row r="1167">
      <c r="A1167">
        <f>Skills!A21</f>
        <v/>
      </c>
      <c r="B1167">
        <f>Skills!B21</f>
        <v/>
      </c>
      <c r="C1167">
        <f>TRUE</f>
        <v/>
      </c>
      <c r="D1167">
        <f>IF(Skills!C21=1,60+Inputs!$B$25+Inputs!$B$29,IF(Skills!C21=2,90+Inputs!$B$26+Inputs!$B$29,IF(Skills!C21=3,120+Inputs!$B$27+Inputs!$B$29,MAX(0,(Inputs!$B$3-100)*3)+Inputs!$B$28+Inputs!$B$29)))</f>
        <v/>
      </c>
      <c r="E1167">
        <f>INDEX(FactorTable!$B$2:$Y$301, MATCH(ROUND(MIN(300,MAX(1,D1167)),0), FactorTable!$A$2:$A$301,0), Skills!M21+1)</f>
        <v/>
      </c>
      <c r="F1167">
        <f>IF(Skills!N21=TRUE,(Skills!L21/10)*(E1167/1000),Skills!L21/10)+Skills!O21</f>
        <v/>
      </c>
      <c r="G1167">
        <f>Calc!G21</f>
        <v/>
      </c>
      <c r="H1167">
        <f>Calc!H21</f>
        <v/>
      </c>
      <c r="I1167">
        <f>IF(Skills!X21&lt;&gt;"",1+(Skills!X21/10)*(Z1149/1000)/100,1)</f>
        <v/>
      </c>
      <c r="J1167" t="inlineStr"/>
      <c r="K1167" t="inlineStr"/>
      <c r="L1167" t="inlineStr"/>
      <c r="M1167" t="inlineStr"/>
      <c r="N1167" t="inlineStr"/>
      <c r="O1167">
        <f>(1-Summary!$B$56)*S1167+Summary!$B$56*U1167</f>
        <v/>
      </c>
      <c r="P1167">
        <f>IF(B1187=0,0,O1167/B1187)</f>
        <v/>
      </c>
      <c r="Q1167">
        <f>IFERROR(1/IF(Inputs!$B$38="pvp",15,MAX(0.1,Skills!E21-IF(Skills!F21=TRUE,0.5,0))),0)</f>
        <v/>
      </c>
      <c r="R1167" t="n">
        <v>0</v>
      </c>
      <c r="S1167" t="n">
        <v>0</v>
      </c>
      <c r="U1167" t="n">
        <v>0</v>
      </c>
    </row>
    <row r="1168">
      <c r="A1168">
        <f>Skills!A22</f>
        <v/>
      </c>
      <c r="B1168">
        <f>Skills!B22</f>
        <v/>
      </c>
      <c r="C1168">
        <f>TRUE</f>
        <v/>
      </c>
      <c r="D1168">
        <f>IF(Skills!C22=1,60+Inputs!$B$25+Inputs!$B$29,IF(Skills!C22=2,90+Inputs!$B$26+Inputs!$B$29,IF(Skills!C22=3,120+Inputs!$B$27+Inputs!$B$29,MAX(0,(Inputs!$B$3-100)*3)+Inputs!$B$28+Inputs!$B$29)))</f>
        <v/>
      </c>
      <c r="E1168">
        <f>INDEX(FactorTable!$B$2:$Y$301, MATCH(ROUND(MIN(300,MAX(1,D1168)),0), FactorTable!$A$2:$A$301,0), Skills!M22+1)</f>
        <v/>
      </c>
      <c r="F1168">
        <f>IF(Skills!N22=TRUE,(Skills!L22/10)*(E1168/1000),Skills!L22/10)+Skills!O22</f>
        <v/>
      </c>
      <c r="G1168">
        <f>Calc!G22</f>
        <v/>
      </c>
      <c r="H1168">
        <f>Calc!H22</f>
        <v/>
      </c>
      <c r="I1168">
        <f>IF(Skills!X22&lt;&gt;"",1+(Skills!X22/10)*(Z1149/1000)/100,1)</f>
        <v/>
      </c>
      <c r="J1168" t="inlineStr"/>
      <c r="K1168" t="inlineStr"/>
      <c r="L1168" t="inlineStr"/>
      <c r="M1168" t="inlineStr"/>
      <c r="N1168" t="inlineStr"/>
      <c r="O1168">
        <f>(1-Summary!$B$56)*S1168+Summary!$B$56*U1168</f>
        <v/>
      </c>
      <c r="P1168">
        <f>IF(B1187=0,0,O1168/B1187)</f>
        <v/>
      </c>
      <c r="Q1168">
        <f>IFERROR(1/IF(Inputs!$B$38="pvp",15,MAX(0.1,Skills!E22-IF(Skills!F22=TRUE,0.5,0))),0)</f>
        <v/>
      </c>
      <c r="R1168" t="n">
        <v>0</v>
      </c>
      <c r="S1168" t="n">
        <v>0</v>
      </c>
      <c r="U1168" t="n">
        <v>0</v>
      </c>
    </row>
    <row r="1169">
      <c r="A1169">
        <f>Skills!A23</f>
        <v/>
      </c>
      <c r="B1169">
        <f>Skills!B23</f>
        <v/>
      </c>
      <c r="C1169">
        <f>TRUE</f>
        <v/>
      </c>
      <c r="D1169">
        <f>IF(Skills!C23=1,60+Inputs!$B$25+Inputs!$B$29,IF(Skills!C23=2,90+Inputs!$B$26+Inputs!$B$29,IF(Skills!C23=3,120+Inputs!$B$27+Inputs!$B$29,MAX(0,(Inputs!$B$3-100)*3)+Inputs!$B$28+Inputs!$B$29)))</f>
        <v/>
      </c>
      <c r="E1169">
        <f>INDEX(FactorTable!$B$2:$Y$301, MATCH(ROUND(MIN(300,MAX(1,D1169)),0), FactorTable!$A$2:$A$301,0), Skills!M23+1)</f>
        <v/>
      </c>
      <c r="F1169">
        <f>IF(Skills!N23=TRUE,(Skills!L23/10)*(E1169/1000),Skills!L23/10)+Skills!O23</f>
        <v/>
      </c>
      <c r="G1169">
        <f>Calc!G23</f>
        <v/>
      </c>
      <c r="H1169">
        <f>Calc!H23</f>
        <v/>
      </c>
      <c r="I1169">
        <f>IF(Skills!X23&lt;&gt;"",1+(Skills!X23/10)*(Z1149/1000)/100,1)</f>
        <v/>
      </c>
      <c r="J1169" t="inlineStr"/>
      <c r="K1169" t="inlineStr"/>
      <c r="L1169" t="inlineStr"/>
      <c r="M1169" t="inlineStr"/>
      <c r="N1169" t="inlineStr"/>
      <c r="O1169">
        <f>(1-Summary!$B$56)*S1169+Summary!$B$56*U1169</f>
        <v/>
      </c>
      <c r="P1169">
        <f>IF(B1187=0,0,O1169/B1187)</f>
        <v/>
      </c>
      <c r="Q1169">
        <f>IFERROR(1/IF(Inputs!$B$38="pvp",15,MAX(0.1,Skills!E23-IF(Skills!F23=TRUE,0.5,0))),0)</f>
        <v/>
      </c>
      <c r="R1169" t="n">
        <v>0</v>
      </c>
      <c r="S1169" t="n">
        <v>0</v>
      </c>
      <c r="U1169" t="n">
        <v>0</v>
      </c>
    </row>
    <row r="1170">
      <c r="A1170">
        <f>Skills!A24</f>
        <v/>
      </c>
      <c r="B1170">
        <f>Skills!B24</f>
        <v/>
      </c>
      <c r="C1170">
        <f>Inputs!$B$3&gt;=115</f>
        <v/>
      </c>
      <c r="D1170">
        <f>IF(Skills!C24=1,60+Inputs!$B$25+Inputs!$B$29,IF(Skills!C24=2,90+Inputs!$B$26+Inputs!$B$29,IF(Skills!C24=3,120+Inputs!$B$27+Inputs!$B$29,MAX(0,(Inputs!$B$3-100)*3)+Inputs!$B$28+Inputs!$B$29)))</f>
        <v/>
      </c>
      <c r="E1170">
        <f>INDEX(FactorTable!$B$2:$Y$301, MATCH(ROUND(MIN(300,MAX(1,D1170)),0), FactorTable!$A$2:$A$301,0), Skills!M24+1)</f>
        <v/>
      </c>
      <c r="F1170">
        <f>IF(Skills!N24=TRUE,(Skills!L24/10)*(E1170/1000),Skills!L24/10)+Skills!O24</f>
        <v/>
      </c>
      <c r="G1170">
        <f>Calc!G24</f>
        <v/>
      </c>
      <c r="H1170">
        <f>Calc!H24</f>
        <v/>
      </c>
      <c r="I1170">
        <f>IF(Skills!X24&lt;&gt;"",1+(Skills!X24/10)*(Z1149/1000)/100,1)</f>
        <v/>
      </c>
      <c r="J1170">
        <f>((Inputs!$B$6*(1+Inputs!$B$7/100))+(((Inputs!$B$12*(1+Inputs!$B$13/100))-(Inputs!$B$12*(1+Inputs!$B$13/100)))+0.25*(Inputs!$B$14-Inputs!$B$14))*(1+Inputs!$B$7/100))*(F1170/100)</f>
        <v/>
      </c>
      <c r="K1170">
        <f>J1170*(1+((Inputs!$B$12*(1+Inputs!$B$13/100))*0.01+Inputs!$B$14*0.0025)/100)*(1+Inputs!$B$15/100)*(1+Inputs!$B$16/100)*(5000/(6000+Inputs!$B$42*(1-Inputs!$B$19/100)))*(1+Inputs!$B$24/100)*(1+F1169/100)*(1+IF(Inputs!$B$3&gt;=120,F1172,0)/100)^5*(1+(IF(Skills!A24="BASIC_ATTACK",Inputs!$B$17,Inputs!$B$18+IF(Inputs!$B$3&gt;=125,F1173*5,0)))/100)*(B1176*B1177*B1178*I1170)</f>
        <v/>
      </c>
      <c r="L1170">
        <f>K1170*(MIN(Inputs!$B$22+(F1168-Calc!F22),Inputs!$B$23)/100+Inputs!$B$23/100)/2</f>
        <v/>
      </c>
      <c r="M1170">
        <f>L1170*(1+(Inputs!$B$10+(F1167-Calc!F21))/100)</f>
        <v/>
      </c>
      <c r="N1170">
        <f>L1170*(1-MIN(Inputs!$B$9+(F1166-Calc!F20),100)/100)+M1170*(MIN(Inputs!$B$9+(F1166-Calc!F20),100)/100)</f>
        <v/>
      </c>
      <c r="O1170">
        <f>(1-Summary!$B$56)*S1170+Summary!$B$56*U1170</f>
        <v/>
      </c>
      <c r="P1170">
        <f>IF(B1187=0,0,O1170/B1187)</f>
        <v/>
      </c>
      <c r="Q1170">
        <f>IFERROR(1/IF(Inputs!$B$38="pvp",15,MAX(0.1,Skills!E24-IF(Skills!F24=TRUE,0.5,0))),0)</f>
        <v/>
      </c>
      <c r="R1170">
        <f>IF(AND(Inputs!$B$38&lt;&gt;"pvp",Inputs!$B$43&gt;0),IF(MAX(0,Inputs!$B$43-B1184)&lt;=0,0,(INT(MAX(0,Inputs!$B$43-B1184)/IF(Inputs!$B$38="pvp",15,MAX(0.1,Skills!E24-IF(Skills!F24=TRUE,0.5,0))))+1)),0)</f>
        <v/>
      </c>
      <c r="S1170">
        <f>IF(C1170,(H1170*N1170*IF(AND(Inputs!$B$38&lt;&gt;"pvp",Inputs!$B$43&gt;0),((Skills!G24*((R1170-1)*IF(Skills!H24&gt;0,Skills!I24/Skills!H24,1)+IF(Skills!H24&gt;0,MIN(Skills!I24,MAX(0,MAX(0,Inputs!$B$43-B1184)-((R1170-1)*IF(Inputs!$B$38="pvp",15,MAX(0.1,Skills!E24-IF(Skills!F24=TRUE,0.5,0))))))/Skills!H24,1)))/Inputs!$B$43),G1170*Q1170)*(1+IF(Inputs!$B$3&gt;=130,0.2*(Skills!I16/Skills!E15+IF(Inputs!$B$3&gt;=126,0.05*(B1182+Q1159+(H1160*B1183)/(1+Skills!H14*H1160*B1183)+Q1170),0)*Skills!I16),0)))*IF(Inputs!$B$38="pvp",1,1+(Inputs!$B$20+Skills!P24)/100),0)</f>
        <v/>
      </c>
      <c r="U1170">
        <f>IF(C1170,(H1170*N1170*IF(AND(Inputs!$B$38&lt;&gt;"pvp",Inputs!$B$43&gt;0),((Skills!G24*((R1170-1)*IF(Skills!H24&gt;0,Skills!I24/Skills!H24,1)+IF(Skills!H24&gt;0,MIN(Skills!I24,MAX(0,MAX(0,Inputs!$B$43-B1184)-((R1170-1)*IF(Inputs!$B$38="pvp",15,MAX(0.1,Skills!E24-IF(Skills!F24=TRUE,0.5,0))))))/Skills!H24,1)))/Inputs!$B$43),G1170*Q1170)*(1+IF(Inputs!$B$3&gt;=130,0.2*(Skills!I16/Skills!E15+IF(Inputs!$B$3&gt;=126,0.05*(B1182+Q1159+(H1160*B1183)/(1+Skills!H14*H1160*B1183)+Q1170),0)*Skills!I16),0)))*IF(Inputs!$B$38="pvp",1,(1+(Inputs!$B$21+Skills!Q24)/100)*(MIN(Skills!R24,Inputs!$B$37))),0)</f>
        <v/>
      </c>
    </row>
    <row r="1171">
      <c r="A1171">
        <f>Skills!A25</f>
        <v/>
      </c>
      <c r="B1171">
        <f>Skills!B25</f>
        <v/>
      </c>
      <c r="C1171">
        <f>Inputs!$B$3&gt;=117</f>
        <v/>
      </c>
      <c r="D1171">
        <f>IF(Skills!C25=1,60+Inputs!$B$25+Inputs!$B$29,IF(Skills!C25=2,90+Inputs!$B$26+Inputs!$B$29,IF(Skills!C25=3,120+Inputs!$B$27+Inputs!$B$29,MAX(0,(Inputs!$B$3-100)*3)+Inputs!$B$28+Inputs!$B$29)))</f>
        <v/>
      </c>
      <c r="E1171">
        <f>INDEX(FactorTable!$B$2:$Y$301, MATCH(ROUND(MIN(300,MAX(1,D1171)),0), FactorTable!$A$2:$A$301,0), Skills!M25+1)</f>
        <v/>
      </c>
      <c r="F1171">
        <f>IF(Skills!N25=TRUE,(Skills!L25/10)*(E1171/1000),Skills!L25/10)+Skills!O25</f>
        <v/>
      </c>
      <c r="G1171">
        <f>Calc!G25</f>
        <v/>
      </c>
      <c r="H1171">
        <f>Calc!H25</f>
        <v/>
      </c>
      <c r="I1171">
        <f>IF(Skills!X25&lt;&gt;"",1+(Skills!X25/10)*(Z1149/1000)/100,1)</f>
        <v/>
      </c>
      <c r="J1171" t="inlineStr"/>
      <c r="K1171" t="inlineStr"/>
      <c r="L1171" t="inlineStr"/>
      <c r="M1171" t="inlineStr"/>
      <c r="N1171" t="inlineStr"/>
      <c r="O1171">
        <f>(1-Summary!$B$56)*S1171+Summary!$B$56*U1171</f>
        <v/>
      </c>
      <c r="P1171">
        <f>IF(B1187=0,0,O1171/B1187)</f>
        <v/>
      </c>
      <c r="Q1171">
        <f>IFERROR(1/IF(Inputs!$B$38="pvp",15,MAX(0.1,Skills!E25-IF(Skills!F25=TRUE,0.5,0))),0)</f>
        <v/>
      </c>
      <c r="R1171" t="n">
        <v>0</v>
      </c>
      <c r="S1171" t="n">
        <v>0</v>
      </c>
      <c r="U1171" t="n">
        <v>0</v>
      </c>
    </row>
    <row r="1172">
      <c r="A1172">
        <f>Skills!A26</f>
        <v/>
      </c>
      <c r="B1172">
        <f>Skills!B26</f>
        <v/>
      </c>
      <c r="C1172">
        <f>Inputs!$B$3&gt;=120</f>
        <v/>
      </c>
      <c r="D1172">
        <f>IF(Skills!C26=1,60+Inputs!$B$25+Inputs!$B$29,IF(Skills!C26=2,90+Inputs!$B$26+Inputs!$B$29,IF(Skills!C26=3,120+Inputs!$B$27+Inputs!$B$29,MAX(0,(Inputs!$B$3-100)*3)+Inputs!$B$28+Inputs!$B$29)))</f>
        <v/>
      </c>
      <c r="E1172">
        <f>INDEX(FactorTable!$B$2:$Y$301, MATCH(ROUND(MIN(300,MAX(1,D1172)),0), FactorTable!$A$2:$A$301,0), Skills!M26+1)</f>
        <v/>
      </c>
      <c r="F1172">
        <f>IF(Skills!N26=TRUE,(Skills!L26/10)*(E1172/1000),Skills!L26/10)+Skills!O26</f>
        <v/>
      </c>
      <c r="G1172">
        <f>Calc!G26</f>
        <v/>
      </c>
      <c r="H1172">
        <f>Calc!H26</f>
        <v/>
      </c>
      <c r="I1172">
        <f>IF(Skills!X26&lt;&gt;"",1+(Skills!X26/10)*(Z1149/1000)/100,1)</f>
        <v/>
      </c>
      <c r="J1172" t="inlineStr"/>
      <c r="K1172" t="inlineStr"/>
      <c r="L1172" t="inlineStr"/>
      <c r="M1172" t="inlineStr"/>
      <c r="N1172" t="inlineStr"/>
      <c r="O1172">
        <f>(1-Summary!$B$56)*S1172+Summary!$B$56*U1172</f>
        <v/>
      </c>
      <c r="P1172">
        <f>IF(B1187=0,0,O1172/B1187)</f>
        <v/>
      </c>
      <c r="Q1172">
        <f>IFERROR(1/IF(Inputs!$B$38="pvp",15,MAX(0.1,Skills!E26-IF(Skills!F26=TRUE,0.5,0))),0)</f>
        <v/>
      </c>
      <c r="R1172" t="n">
        <v>0</v>
      </c>
      <c r="S1172" t="n">
        <v>0</v>
      </c>
      <c r="U1172" t="n">
        <v>0</v>
      </c>
    </row>
    <row r="1173">
      <c r="A1173">
        <f>Skills!A27</f>
        <v/>
      </c>
      <c r="B1173">
        <f>Skills!B27</f>
        <v/>
      </c>
      <c r="C1173">
        <f>Inputs!$B$3&gt;=125</f>
        <v/>
      </c>
      <c r="D1173">
        <f>IF(Skills!C27=1,60+Inputs!$B$25+Inputs!$B$29,IF(Skills!C27=2,90+Inputs!$B$26+Inputs!$B$29,IF(Skills!C27=3,120+Inputs!$B$27+Inputs!$B$29,MAX(0,(Inputs!$B$3-100)*3)+Inputs!$B$28+Inputs!$B$29)))</f>
        <v/>
      </c>
      <c r="E1173">
        <f>INDEX(FactorTable!$B$2:$Y$301, MATCH(ROUND(MIN(300,MAX(1,D1173)),0), FactorTable!$A$2:$A$301,0), Skills!M27+1)</f>
        <v/>
      </c>
      <c r="F1173">
        <f>IF(Skills!N27=TRUE,(Skills!L27/10)*(E1173/1000),Skills!L27/10)+Skills!O27</f>
        <v/>
      </c>
      <c r="G1173">
        <f>Calc!G27</f>
        <v/>
      </c>
      <c r="H1173">
        <f>Calc!H27</f>
        <v/>
      </c>
      <c r="I1173">
        <f>IF(Skills!X27&lt;&gt;"",1+(Skills!X27/10)*(Z1149/1000)/100,1)</f>
        <v/>
      </c>
      <c r="J1173" t="inlineStr"/>
      <c r="K1173" t="inlineStr"/>
      <c r="L1173" t="inlineStr"/>
      <c r="M1173" t="inlineStr"/>
      <c r="N1173" t="inlineStr"/>
      <c r="O1173">
        <f>(1-Summary!$B$56)*S1173+Summary!$B$56*U1173</f>
        <v/>
      </c>
      <c r="P1173">
        <f>IF(B1187=0,0,O1173/B1187)</f>
        <v/>
      </c>
      <c r="Q1173">
        <f>IFERROR(1/IF(Inputs!$B$38="pvp",15,MAX(0.1,Skills!E27-IF(Skills!F27=TRUE,0.5,0))),0)</f>
        <v/>
      </c>
      <c r="R1173" t="n">
        <v>0</v>
      </c>
      <c r="S1173" t="n">
        <v>0</v>
      </c>
      <c r="U1173" t="n">
        <v>0</v>
      </c>
    </row>
    <row r="1174">
      <c r="A1174">
        <f>Skills!A28</f>
        <v/>
      </c>
      <c r="B1174">
        <f>Skills!B28</f>
        <v/>
      </c>
      <c r="C1174">
        <f>Inputs!$B$3&gt;=118</f>
        <v/>
      </c>
      <c r="D1174">
        <f>IF(Skills!C28=1,60+Inputs!$B$25+Inputs!$B$29,IF(Skills!C28=2,90+Inputs!$B$26+Inputs!$B$29,IF(Skills!C28=3,120+Inputs!$B$27+Inputs!$B$29,MAX(0,(Inputs!$B$3-100)*3)+Inputs!$B$28+Inputs!$B$29)))</f>
        <v/>
      </c>
      <c r="E1174">
        <f>INDEX(FactorTable!$B$2:$Y$301, MATCH(ROUND(MIN(300,MAX(1,D1174)),0), FactorTable!$A$2:$A$301,0), Skills!M28+1)</f>
        <v/>
      </c>
      <c r="F1174">
        <f>IF(Skills!N28=TRUE,(Skills!L28/10)*(E1174/1000),Skills!L28/10)+Skills!O28</f>
        <v/>
      </c>
      <c r="G1174">
        <f>Calc!G28</f>
        <v/>
      </c>
      <c r="H1174">
        <f>Calc!H28</f>
        <v/>
      </c>
      <c r="I1174">
        <f>IF(Skills!X28&lt;&gt;"",1+(Skills!X28/10)*(Z1149/1000)/100,1)</f>
        <v/>
      </c>
      <c r="J1174">
        <f>((Inputs!$B$6*(1+Inputs!$B$7/100))+(((Inputs!$B$12*(1+Inputs!$B$13/100))-(Inputs!$B$12*(1+Inputs!$B$13/100)))+0.25*(Inputs!$B$14-Inputs!$B$14))*(1+Inputs!$B$7/100))*(F1174/100)</f>
        <v/>
      </c>
      <c r="K1174">
        <f>J1174*(1+((Inputs!$B$12*(1+Inputs!$B$13/100))*0.01+Inputs!$B$14*0.0025)/100)*(1+Inputs!$B$15/100)*(1+Inputs!$B$16/100)*(5000/(6000+Inputs!$B$42*(1-Inputs!$B$19/100)))*(1+Inputs!$B$24/100)*(1+F1169/100)*(1+IF(Inputs!$B$3&gt;=120,F1172,0)/100)^5*(1+(IF(Skills!A28="BASIC_ATTACK",Inputs!$B$17,Inputs!$B$18+IF(Inputs!$B$3&gt;=125,F1173*5,0)))/100)*(B1176*B1177*B1178*I1174)</f>
        <v/>
      </c>
      <c r="L1174">
        <f>K1174*(MIN(Inputs!$B$22+(F1168-Calc!F22),Inputs!$B$23)/100+Inputs!$B$23/100)/2</f>
        <v/>
      </c>
      <c r="M1174">
        <f>L1174*(1+(Inputs!$B$10+(F1167-Calc!F21))/100)</f>
        <v/>
      </c>
      <c r="N1174">
        <f>L1174*(1-MIN(Inputs!$B$9+(F1166-Calc!F20),100)/100)+M1174*(MIN(Inputs!$B$9+(F1166-Calc!F20),100)/100)</f>
        <v/>
      </c>
      <c r="O1174">
        <f>(1-Summary!$B$56)*S1174+Summary!$B$56*U1174</f>
        <v/>
      </c>
      <c r="P1174">
        <f>IF(B1187=0,0,O1174/B1187)</f>
        <v/>
      </c>
      <c r="Q1174">
        <f>IFERROR(1/IF(Inputs!$B$38="pvp",15,MAX(0.1,Skills!E28-IF(Skills!F28=TRUE,0.5,0))),0)</f>
        <v/>
      </c>
      <c r="R1174">
        <f>IF(AND(Inputs!$B$38&lt;&gt;"pvp",Inputs!$B$43&gt;0),IF(MAX(0,Inputs!$B$43-B1184)&lt;=0,0,(INT(MAX(0,Inputs!$B$43-B1184)/IF(Inputs!$B$38="pvp",15,MAX(0.1,Skills!E28-IF(Skills!F28=TRUE,0.5,0))))+1)),0)</f>
        <v/>
      </c>
      <c r="S1174">
        <f>IF(C1174,(H1174*N1174*IF(AND(Inputs!$B$38&lt;&gt;"pvp",Inputs!$B$43&gt;0),((Skills!G28*((R1174-1)*IF(Skills!H28&gt;0,Skills!I28/Skills!H28,1)+IF(Skills!H28&gt;0,MIN(Skills!I28,MAX(0,MAX(0,Inputs!$B$43-B1184)-((R1174-1)*IF(Inputs!$B$38="pvp",15,MAX(0.1,Skills!E28-IF(Skills!F28=TRUE,0.5,0))))))/Skills!H28,1)))/Inputs!$B$43),G1174*Q1174))*IF(Inputs!$B$38="pvp",1,1+(Inputs!$B$20+Skills!P28)/100),0)</f>
        <v/>
      </c>
      <c r="U1174">
        <f>IF(C1174,(H1174*N1174*IF(AND(Inputs!$B$38&lt;&gt;"pvp",Inputs!$B$43&gt;0),((Skills!G28*((R1174-1)*IF(Skills!H28&gt;0,Skills!I28/Skills!H28,1)+IF(Skills!H28&gt;0,MIN(Skills!I28,MAX(0,MAX(0,Inputs!$B$43-B1184)-((R1174-1)*IF(Inputs!$B$38="pvp",15,MAX(0.1,Skills!E28-IF(Skills!F28=TRUE,0.5,0))))))/Skills!H28,1)))/Inputs!$B$43),G1174*Q1174))*IF(Inputs!$B$38="pvp",1,(1+(Inputs!$B$21+Skills!Q28)/100)*(MIN(Skills!R28,Inputs!$B$37))),0)</f>
        <v/>
      </c>
    </row>
    <row r="1176">
      <c r="A1176" t="inlineStr">
        <is>
          <t>Burning Magic Multiplier</t>
        </is>
      </c>
      <c r="B1176">
        <f>1+(F1157*Skills!Z11)/100</f>
        <v/>
      </c>
    </row>
    <row r="1177">
      <c r="A1177" t="inlineStr">
        <is>
          <t>Elemental Decrease Multiplier (always-on)</t>
        </is>
      </c>
      <c r="B1177">
        <f>1+F1158/100</f>
        <v/>
      </c>
    </row>
    <row r="1178">
      <c r="A1178" t="inlineStr">
        <is>
          <t>Average Buff Multiplier (Magic Guard + Meditation, summed; then Infinity)</t>
        </is>
      </c>
      <c r="B1178">
        <f>(1+(F1152*IF(AND(Inputs!$B$38&lt;&gt;"pvp",Inputs!$B$43&gt;0),(((R1152-1)*(Skills!T6*(1+(Inputs!$B$34+IF(Inputs!$B$3&gt;=117,F1171,0))/100))+MIN((Skills!T6*(1+(Inputs!$B$34+IF(Inputs!$B$3&gt;=117,F1171,0))/100)),MAX(0,Inputs!$B$43-((R1152-1)*Skills!E6))))/Inputs!$B$43),IF(Inputs!$B$38="pvp",MIN((Skills!T6*(1+(Inputs!$B$34+IF(Inputs!$B$3&gt;=117,F1171,0))/100)),15)/15,(Skills!T6*(1+(Inputs!$B$34+IF(Inputs!$B$3&gt;=117,F1171,0))/100))/Skills!E6))+F1163*IF(AND(Inputs!$B$38&lt;&gt;"pvp",Inputs!$B$43&gt;0),(((R1163-1)*(Skills!T17*(1+(Inputs!$B$34+IF(Inputs!$B$3&gt;=117,F1171,0))/100))+MIN((Skills!T17*(1+(Inputs!$B$34+IF(Inputs!$B$3&gt;=117,F1171,0))/100)),MAX(0,Inputs!$B$43-((R1163-1)*Skills!E17))))/Inputs!$B$43),IF(Inputs!$B$38="pvp",MIN((Skills!T17*(1+(Inputs!$B$34+IF(Inputs!$B$3&gt;=117,F1171,0))/100)),15)/15,(Skills!T17*(1+(Inputs!$B$34+IF(Inputs!$B$3&gt;=117,F1171,0))/100))/Skills!E17)))/100)*IF(C1165=TRUE,(1+F1165*IF(AND(Inputs!$B$38&lt;&gt;"pvp",Inputs!$B$43&gt;0),(((R1165-1)*(Skills!T19*(1+(Inputs!$B$34+IF(Inputs!$B$3&gt;=117,F1171,0))/100))+MIN((Skills!T19*(1+(Inputs!$B$34+IF(Inputs!$B$3&gt;=117,F1171,0))/100)),MAX(0,Inputs!$B$43-((R1165-1)*Skills!E19))))/Inputs!$B$43),IF(Inputs!$B$38="pvp",MIN((Skills!T19*(1+(Inputs!$B$34+IF(Inputs!$B$3&gt;=117,F1171,0))/100)),15)/15,(Skills!T19*(1+(Inputs!$B$34+IF(Inputs!$B$3&gt;=117,F1171,0))/100))/Skills!E19))/100),1)</f>
        <v/>
      </c>
    </row>
    <row r="1179">
      <c r="A1179" t="inlineStr">
        <is>
          <t>Attack Speed Buff Bonus % (Nimble Feet, averaged)</t>
        </is>
      </c>
      <c r="B1179">
        <f>F1164*IF(AND(Inputs!$B$38&lt;&gt;"pvp",Inputs!$B$43&gt;0),(((R1164-1)*(Skills!T18*(1+(Inputs!$B$34+IF(Inputs!$B$3&gt;=117,F1171,0))/100))+MIN((Skills!T18*(1+(Inputs!$B$34+IF(Inputs!$B$3&gt;=117,F1171,0))/100)),MAX(0,Inputs!$B$43-((R1164-1)*Skills!E18))))/Inputs!$B$43),IF(Inputs!$B$38="pvp",MIN((Skills!T18*(1+(Inputs!$B$34+IF(Inputs!$B$3&gt;=117,F1171,0))/100)),15)/15,(Skills!T18*(1+(Inputs!$B$34+IF(Inputs!$B$3&gt;=117,F1171,0))/100))/Skills!E18))</f>
        <v/>
      </c>
    </row>
    <row r="1180">
      <c r="A1180" t="inlineStr">
        <is>
          <t>Actions Per Second</t>
        </is>
      </c>
      <c r="B1180">
        <f>1+MIN(150,150*(1-(1-Inputs!$B$11/150)*(1-B1179/150)))/100</f>
        <v/>
      </c>
    </row>
    <row r="1181">
      <c r="A1181" t="inlineStr">
        <is>
          <t>Skill + Buff Cast Rate</t>
        </is>
      </c>
      <c r="B1181">
        <f>IF(AND(Inputs!$B$38&lt;&gt;"pvp",Inputs!$B$43&gt;0),SUMPRODUCT((Skills!F2:F28=TRUE)*(C1148:C1174=TRUE)*R1148:R1174)/Inputs!$B$43,SUMPRODUCT((Skills!F2:F28=TRUE)*(C1148:C1174=TRUE)*Q1148:Q1174))</f>
        <v/>
      </c>
    </row>
    <row r="1182">
      <c r="A1182" t="inlineStr">
        <is>
          <t>Basic Attacks Per Second</t>
        </is>
      </c>
      <c r="B1182">
        <f>MAX(0,B1180-B1181)</f>
        <v/>
      </c>
    </row>
    <row r="1183">
      <c r="A1183" t="inlineStr">
        <is>
          <t>Meteor Proc — combined trigger cast rate</t>
        </is>
      </c>
      <c r="B1183">
        <f>IF(AND(Inputs!$B$38&lt;&gt;"pvp",Inputs!$B$43&gt;0),SUMPRODUCT((Skills!V2:V28=TRUE)*(C1148:C1174=TRUE)*R1148:R1174*Skills!W2:W28)/Inputs!$B$43,SUMPRODUCT((Skills!V2:V28=TRUE)*(C1148:C1174=TRUE)*Q1148:Q1174*Skills!W2:W28))+B1182</f>
        <v/>
      </c>
    </row>
    <row r="1184">
      <c r="A1184" t="inlineStr">
        <is>
          <t>Buff-Casting Startup Delay (s, fixed-duration only)</t>
        </is>
      </c>
      <c r="B1184">
        <f>IF(AND(Inputs!$B$38&lt;&gt;"pvp",Inputs!$B$43&gt;0),SUMPRODUCT((Skills!T2:T28&gt;0)*(Skills!F2:F28=TRUE)*(C1148:C1174=TRUE))/B1180,0)</f>
        <v/>
      </c>
    </row>
    <row r="1185">
      <c r="A1185" t="inlineStr">
        <is>
          <t>Boss-Only Total DPS (this block's swept value)</t>
        </is>
      </c>
      <c r="B1185">
        <f>SUM(S1148:S1174)</f>
        <v/>
      </c>
    </row>
    <row r="1186">
      <c r="A1186" t="inlineStr">
        <is>
          <t>Normal-Only Total DPS (this block's swept value)</t>
        </is>
      </c>
      <c r="B1186">
        <f>SUM(U1148:U1174)</f>
        <v/>
      </c>
    </row>
    <row r="1187">
      <c r="A1187" s="5" t="inlineStr">
        <is>
          <t>TOTAL DPS</t>
        </is>
      </c>
      <c r="B1187" s="5">
        <f>SUM(O1148:O1174)</f>
        <v/>
      </c>
    </row>
    <row r="1190">
      <c r="A1190" s="5" t="inlineStr">
        <is>
          <t>Stat: CDR = 1.0s</t>
        </is>
      </c>
    </row>
    <row r="1191">
      <c r="A1191" s="9" t="inlineStr">
        <is>
          <t>Key</t>
        </is>
      </c>
      <c r="B1191" s="9" t="inlineStr">
        <is>
          <t>Name</t>
        </is>
      </c>
      <c r="C1191" s="9" t="inlineStr">
        <is>
          <t>Unlocked</t>
        </is>
      </c>
      <c r="D1191" s="9" t="inlineStr">
        <is>
          <t>InputLevel</t>
        </is>
      </c>
      <c r="E1191" s="9" t="inlineStr">
        <is>
          <t>Factor</t>
        </is>
      </c>
      <c r="F1191" s="9" t="inlineStr">
        <is>
          <t>CoefficientPercent</t>
        </is>
      </c>
      <c r="G1191" s="9" t="inlineStr">
        <is>
          <t>EffectiveHits</t>
        </is>
      </c>
      <c r="H1191" s="9" t="inlineStr">
        <is>
          <t>ProcProbability</t>
        </is>
      </c>
      <c r="I1191" s="9" t="inlineStr">
        <is>
          <t>MapleHeroMultiplier</t>
        </is>
      </c>
      <c r="J1191" s="9" t="inlineStr">
        <is>
          <t>BaseDamage</t>
        </is>
      </c>
      <c r="K1191" s="9" t="inlineStr">
        <is>
          <t>BaseHitDamage</t>
        </is>
      </c>
      <c r="L1191" s="9" t="inlineStr">
        <is>
          <t>NonCritAvg</t>
        </is>
      </c>
      <c r="M1191" s="9" t="inlineStr">
        <is>
          <t>CritAvg</t>
        </is>
      </c>
      <c r="N1191" s="9" t="inlineStr">
        <is>
          <t>ExpectedDamage(perHit)</t>
        </is>
      </c>
      <c r="O1191" s="9" t="inlineStr">
        <is>
          <t>DPS</t>
        </is>
      </c>
      <c r="P1191" s="9" t="inlineStr">
        <is>
          <t>% of Total</t>
        </is>
      </c>
      <c r="R1191" t="inlineStr">
        <is>
          <t>helpers</t>
        </is>
      </c>
    </row>
    <row r="1192">
      <c r="A1192">
        <f>Skills!A2</f>
        <v/>
      </c>
      <c r="B1192">
        <f>Skills!B2</f>
        <v/>
      </c>
      <c r="C1192">
        <f>TRUE</f>
        <v/>
      </c>
      <c r="D1192" t="inlineStr"/>
      <c r="E1192" t="inlineStr"/>
      <c r="F1192">
        <f>T1194+Skills!O2</f>
        <v/>
      </c>
      <c r="G1192">
        <f>Calc!G2</f>
        <v/>
      </c>
      <c r="H1192">
        <f>Calc!H2</f>
        <v/>
      </c>
      <c r="I1192">
        <f>IF(Skills!X2&lt;&gt;"",1+(Skills!X2/10)*(Z1193/1000)/100,1)</f>
        <v/>
      </c>
      <c r="J1192">
        <f>((Inputs!$B$6*(1+Inputs!$B$7/100))+(((Inputs!$B$12*(1+Inputs!$B$13/100))-(Inputs!$B$12*(1+Inputs!$B$13/100)))+0.25*(Inputs!$B$14-Inputs!$B$14))*(1+Inputs!$B$7/100))*(F1192/100)</f>
        <v/>
      </c>
      <c r="K1192">
        <f>J1192*(1+((Inputs!$B$12*(1+Inputs!$B$13/100))*0.01+Inputs!$B$14*0.0025)/100)*(1+Inputs!$B$15/100)*(1+Inputs!$B$16/100)*(5000/(6000+Inputs!$B$42*(1-Inputs!$B$19/100)))*(1+Inputs!$B$24/100)*(1+F1213/100)*(1+IF(Inputs!$B$3&gt;=120,F1216,0)/100)^5*(1+(IF(Skills!A2="BASIC_ATTACK",Inputs!$B$17,Inputs!$B$18+IF(Inputs!$B$3&gt;=125,F1217*5,0)))/100)*(B1220*B1221*B1222*I1192)</f>
        <v/>
      </c>
      <c r="L1192">
        <f>K1192*(MIN(Inputs!$B$22+(F1212-Calc!F22),Inputs!$B$23)/100+Inputs!$B$23/100)/2</f>
        <v/>
      </c>
      <c r="M1192">
        <f>L1192*(1+(Inputs!$B$10+(F1211-Calc!F21))/100)</f>
        <v/>
      </c>
      <c r="N1192">
        <f>L1192*(1-MIN(Inputs!$B$9+(F1210-Calc!F20),100)/100)+M1192*(MIN(Inputs!$B$9+(F1210-Calc!F20),100)/100)</f>
        <v/>
      </c>
      <c r="O1192">
        <f>(1-Summary!$B$56)*S1192+Summary!$B$56*U1192</f>
        <v/>
      </c>
      <c r="P1192">
        <f>IF(B1231=0,0,O1192/B1231)</f>
        <v/>
      </c>
      <c r="Q1192">
        <f>IFERROR(1/IF(Inputs!$B$38="pvp",15,MAX(0.1,Skills!E2-IF(Skills!F2=TRUE,1.0,0))),0)</f>
        <v/>
      </c>
      <c r="R1192" t="n">
        <v>0</v>
      </c>
      <c r="S1192">
        <f>(Skills!G2*N1192*B1226)*IF(Inputs!$B$38="pvp",1,1+(Inputs!$B$20+Skills!P2)/100)</f>
        <v/>
      </c>
      <c r="T1192">
        <f>MAX(0,(Inputs!$B$3-100)*3)+Inputs!$B$28+Inputs!$B$29</f>
        <v/>
      </c>
      <c r="U1192">
        <f>(Skills!G2*N1192*B1226)*IF(Inputs!$B$38="pvp",1,(1+(Inputs!$B$21+Skills!Q2)/100)*(MIN((6+Inputs!$B$33+IF(Inputs!$B$3&gt;=136,1,0)),Inputs!$B$37)))</f>
        <v/>
      </c>
      <c r="Z1192">
        <f>MAX(0,(Inputs!$B$3-100)*3)+Inputs!$B$28+Inputs!$B$29</f>
        <v/>
      </c>
    </row>
    <row r="1193">
      <c r="A1193">
        <f>Skills!A3</f>
        <v/>
      </c>
      <c r="B1193">
        <f>Skills!B3</f>
        <v/>
      </c>
      <c r="C1193">
        <f>TRUE</f>
        <v/>
      </c>
      <c r="D1193">
        <f>IF(Skills!C3=1,60+Inputs!$B$25+Inputs!$B$29,IF(Skills!C3=2,90+Inputs!$B$26+Inputs!$B$29,IF(Skills!C3=3,120+Inputs!$B$27+Inputs!$B$29,MAX(0,(Inputs!$B$3-100)*3)+Inputs!$B$28+Inputs!$B$29)))</f>
        <v/>
      </c>
      <c r="E1193">
        <f>INDEX(FactorTable!$B$2:$Y$301, MATCH(ROUND(MIN(300,MAX(1,D1193)),0), FactorTable!$A$2:$A$301,0), Skills!M3+1)</f>
        <v/>
      </c>
      <c r="F1193">
        <f>IF(Skills!N3=TRUE,(Skills!L3/10)*(E1193/1000),Skills!L3/10)+Skills!O3</f>
        <v/>
      </c>
      <c r="G1193">
        <f>Calc!G3</f>
        <v/>
      </c>
      <c r="H1193">
        <f>Calc!H3</f>
        <v/>
      </c>
      <c r="I1193">
        <f>IF(Skills!X3&lt;&gt;"",1+(Skills!X3/10)*(Z1193/1000)/100,1)</f>
        <v/>
      </c>
      <c r="J1193">
        <f>((Inputs!$B$6*(1+Inputs!$B$7/100))+(((Inputs!$B$12*(1+Inputs!$B$13/100))-(Inputs!$B$12*(1+Inputs!$B$13/100)))+0.25*(Inputs!$B$14-Inputs!$B$14))*(1+Inputs!$B$7/100))*(F1193/100)</f>
        <v/>
      </c>
      <c r="K1193">
        <f>J1193*(1+((Inputs!$B$12*(1+Inputs!$B$13/100))*0.01+Inputs!$B$14*0.0025)/100)*(1+Inputs!$B$15/100)*(1+Inputs!$B$16/100)*(5000/(6000+Inputs!$B$42*(1-Inputs!$B$19/100)))*(1+Inputs!$B$24/100)*(1+F1213/100)*(1+IF(Inputs!$B$3&gt;=120,F1216,0)/100)^5*(1+(IF(Skills!A3="BASIC_ATTACK",Inputs!$B$17,Inputs!$B$18+IF(Inputs!$B$3&gt;=125,F1217*5,0)))/100)*(B1220*B1221*B1222*I1193)</f>
        <v/>
      </c>
      <c r="L1193">
        <f>K1193*(MIN(Inputs!$B$22+(F1212-Calc!F22),Inputs!$B$23)/100+Inputs!$B$23/100)/2</f>
        <v/>
      </c>
      <c r="M1193">
        <f>L1193*(1+(Inputs!$B$10+(F1211-Calc!F21))/100)</f>
        <v/>
      </c>
      <c r="N1193">
        <f>L1193*(1-MIN(Inputs!$B$9+(F1210-Calc!F20),100)/100)+M1193*(MIN(Inputs!$B$9+(F1210-Calc!F20),100)/100)</f>
        <v/>
      </c>
      <c r="O1193">
        <f>(1-Summary!$B$56)*S1193+Summary!$B$56*U1193</f>
        <v/>
      </c>
      <c r="P1193">
        <f>IF(B1231=0,0,O1193/B1231)</f>
        <v/>
      </c>
      <c r="Q1193">
        <f>IFERROR(1/IF(Inputs!$B$38="pvp",15,MAX(0.1,Skills!E3-IF(Skills!F3=TRUE,1.0,0))),0)</f>
        <v/>
      </c>
      <c r="R1193">
        <f>IF(AND(Inputs!$B$38&lt;&gt;"pvp",Inputs!$B$43&gt;0),IF(MAX(0,Inputs!$B$43-B1228)&lt;=0,0,(INT(MAX(0,Inputs!$B$43-B1228)/IF(Inputs!$B$38="pvp",15,MAX(0.1,Skills!E3-IF(Skills!F3=TRUE,1.0,0))))+1)),0)</f>
        <v/>
      </c>
      <c r="S1193">
        <f>IF(C1193,(H1193*N1193*IF(AND(Inputs!$B$38&lt;&gt;"pvp",Inputs!$B$43&gt;0),((Skills!G3*((R1193-1)*IF(Skills!H3&gt;0,Skills!I3/Skills!H3,1)+IF(Skills!H3&gt;0,MIN(Skills!I3,MAX(0,MAX(0,Inputs!$B$43-B1228)-((R1193-1)*IF(Inputs!$B$38="pvp",15,MAX(0.1,Skills!E3-IF(Skills!F3=TRUE,1.0,0))))))/Skills!H3,1)))/Inputs!$B$43),G1193*Q1193))*IF(Inputs!$B$38="pvp",1,1+(Inputs!$B$20+Skills!P3)/100),0)</f>
        <v/>
      </c>
      <c r="T1193">
        <f>INDEX(FactorTable!$B$2:$Y$301, MATCH(ROUND(MIN(300,MAX(1,T1192)),0), FactorTable!$A$2:$A$301,0), 22)</f>
        <v/>
      </c>
      <c r="U1193">
        <f>IF(C1193,(H1193*N1193*IF(AND(Inputs!$B$38&lt;&gt;"pvp",Inputs!$B$43&gt;0),((Skills!G3*((R1193-1)*IF(Skills!H3&gt;0,Skills!I3/Skills!H3,1)+IF(Skills!H3&gt;0,MIN(Skills!I3,MAX(0,MAX(0,Inputs!$B$43-B1228)-((R1193-1)*IF(Inputs!$B$38="pvp",15,MAX(0.1,Skills!E3-IF(Skills!F3=TRUE,1.0,0))))))/Skills!H3,1)))/Inputs!$B$43),G1193*Q1193))*IF(Inputs!$B$38="pvp",1,(1+(Inputs!$B$21+Skills!Q3)/100)*(MIN(Skills!R3,Inputs!$B$37))),0)</f>
        <v/>
      </c>
      <c r="Z1193">
        <f>INDEX(FactorTable!$B$2:$Y$301, MATCH(ROUND(MIN(300,MAX(1,Z1192)),0), FactorTable!$A$2:$A$301,0), 24)</f>
        <v/>
      </c>
    </row>
    <row r="1194">
      <c r="A1194">
        <f>Skills!A4</f>
        <v/>
      </c>
      <c r="B1194">
        <f>Skills!B4</f>
        <v/>
      </c>
      <c r="C1194">
        <f>TRUE</f>
        <v/>
      </c>
      <c r="D1194">
        <f>IF(Skills!C4=1,60+Inputs!$B$25+Inputs!$B$29,IF(Skills!C4=2,90+Inputs!$B$26+Inputs!$B$29,IF(Skills!C4=3,120+Inputs!$B$27+Inputs!$B$29,MAX(0,(Inputs!$B$3-100)*3)+Inputs!$B$28+Inputs!$B$29)))</f>
        <v/>
      </c>
      <c r="E1194">
        <f>INDEX(FactorTable!$B$2:$Y$301, MATCH(ROUND(MIN(300,MAX(1,D1194)),0), FactorTable!$A$2:$A$301,0), Skills!M4+1)</f>
        <v/>
      </c>
      <c r="F1194">
        <f>IF(Skills!N4=TRUE,(Skills!L4/10)*(E1194/1000),Skills!L4/10)+Skills!O4</f>
        <v/>
      </c>
      <c r="G1194">
        <f>Calc!G4</f>
        <v/>
      </c>
      <c r="H1194">
        <f>Calc!H4</f>
        <v/>
      </c>
      <c r="I1194">
        <f>IF(Skills!X4&lt;&gt;"",1+(Skills!X4/10)*(Z1193/1000)/100,1)</f>
        <v/>
      </c>
      <c r="J1194">
        <f>((Inputs!$B$6*(1+Inputs!$B$7/100))+(((Inputs!$B$12*(1+Inputs!$B$13/100))-(Inputs!$B$12*(1+Inputs!$B$13/100)))+0.25*(Inputs!$B$14-Inputs!$B$14))*(1+Inputs!$B$7/100))*(F1194/100)</f>
        <v/>
      </c>
      <c r="K1194">
        <f>J1194*(1+((Inputs!$B$12*(1+Inputs!$B$13/100))*0.01+Inputs!$B$14*0.0025)/100)*(1+Inputs!$B$15/100)*(1+Inputs!$B$16/100)*(5000/(6000+Inputs!$B$42*(1-Inputs!$B$19/100)))*(1+Inputs!$B$24/100)*(1+F1213/100)*(1+IF(Inputs!$B$3&gt;=120,F1216,0)/100)^5*(1+(IF(Skills!A4="BASIC_ATTACK",Inputs!$B$17,Inputs!$B$18+IF(Inputs!$B$3&gt;=125,F1217*5,0)))/100)*(B1220*B1221*B1222*I1194)</f>
        <v/>
      </c>
      <c r="L1194">
        <f>K1194*(MIN(Inputs!$B$22+(F1212-Calc!F22),Inputs!$B$23)/100+Inputs!$B$23/100)/2</f>
        <v/>
      </c>
      <c r="M1194">
        <f>L1194*(1+(Inputs!$B$10+(F1211-Calc!F21))/100)</f>
        <v/>
      </c>
      <c r="N1194">
        <f>L1194*(1-MIN(Inputs!$B$9+(F1210-Calc!F20),100)/100)+M1194*(MIN(Inputs!$B$9+(F1210-Calc!F20),100)/100)</f>
        <v/>
      </c>
      <c r="O1194">
        <f>(1-Summary!$B$56)*S1194+Summary!$B$56*U1194</f>
        <v/>
      </c>
      <c r="P1194">
        <f>IF(B1231=0,0,O1194/B1231)</f>
        <v/>
      </c>
      <c r="Q1194">
        <f>IFERROR(1/IF(Inputs!$B$38="pvp",15,MAX(0.1,Skills!E4-IF(Skills!F4=TRUE,1.0,0))),0)</f>
        <v/>
      </c>
      <c r="R1194">
        <f>IF(AND(Inputs!$B$38&lt;&gt;"pvp",Inputs!$B$43&gt;0),IF(MAX(0,Inputs!$B$43-B1228)&lt;=0,0,(INT(MAX(0,Inputs!$B$43-B1228)/IF(Inputs!$B$38="pvp",15,MAX(0.1,Skills!E4-IF(Skills!F4=TRUE,1.0,0))))+1)),0)</f>
        <v/>
      </c>
      <c r="S1194">
        <f>IF(C1194,(H1194*N1194*IF(AND(Inputs!$B$38&lt;&gt;"pvp",Inputs!$B$43&gt;0),((Skills!G4*((R1194-1)*IF(Skills!H4&gt;0,Skills!I4/Skills!H4,1)+IF(Skills!H4&gt;0,MIN(Skills!I4,MAX(0,MAX(0,Inputs!$B$43-B1228)-((R1194-1)*IF(Inputs!$B$38="pvp",15,MAX(0.1,Skills!E4-IF(Skills!F4=TRUE,1.0,0))))))/Skills!H4,1)))/Inputs!$B$43),G1194*Q1194))*IF(Inputs!$B$38="pvp",1,1+(Inputs!$B$20+Skills!P4)/100),0)</f>
        <v/>
      </c>
      <c r="T1194">
        <f>290*T1193/1000</f>
        <v/>
      </c>
      <c r="U1194">
        <f>IF(C1194,(H1194*N1194*IF(AND(Inputs!$B$38&lt;&gt;"pvp",Inputs!$B$43&gt;0),((Skills!G4*((R1194-1)*IF(Skills!H4&gt;0,Skills!I4/Skills!H4,1)+IF(Skills!H4&gt;0,MIN(Skills!I4,MAX(0,MAX(0,Inputs!$B$43-B1228)-((R1194-1)*IF(Inputs!$B$38="pvp",15,MAX(0.1,Skills!E4-IF(Skills!F4=TRUE,1.0,0))))))/Skills!H4,1)))/Inputs!$B$43),G1194*Q1194))*IF(Inputs!$B$38="pvp",1,(1+(Inputs!$B$21+Skills!Q4)/100)*(MIN(Skills!R4,Inputs!$B$37))),0)</f>
        <v/>
      </c>
    </row>
    <row r="1195">
      <c r="A1195">
        <f>Skills!A5</f>
        <v/>
      </c>
      <c r="B1195">
        <f>Skills!B5</f>
        <v/>
      </c>
      <c r="C1195">
        <f>TRUE</f>
        <v/>
      </c>
      <c r="D1195">
        <f>IF(Skills!C5=1,60+Inputs!$B$25+Inputs!$B$29,IF(Skills!C5=2,90+Inputs!$B$26+Inputs!$B$29,IF(Skills!C5=3,120+Inputs!$B$27+Inputs!$B$29,MAX(0,(Inputs!$B$3-100)*3)+Inputs!$B$28+Inputs!$B$29)))</f>
        <v/>
      </c>
      <c r="E1195">
        <f>INDEX(FactorTable!$B$2:$Y$301, MATCH(ROUND(MIN(300,MAX(1,D1195)),0), FactorTable!$A$2:$A$301,0), Skills!M5+1)</f>
        <v/>
      </c>
      <c r="F1195">
        <f>IF(Skills!N5=TRUE,(Skills!L5/10)*(E1195/1000),Skills!L5/10)+Skills!O5</f>
        <v/>
      </c>
      <c r="G1195">
        <f>Calc!G5</f>
        <v/>
      </c>
      <c r="H1195">
        <f>Calc!H5</f>
        <v/>
      </c>
      <c r="I1195">
        <f>IF(Skills!X5&lt;&gt;"",1+(Skills!X5/10)*(Z1193/1000)/100,1)</f>
        <v/>
      </c>
      <c r="J1195">
        <f>((Inputs!$B$6*(1+Inputs!$B$7/100))+(((Inputs!$B$12*(1+Inputs!$B$13/100))-(Inputs!$B$12*(1+Inputs!$B$13/100)))+0.25*(Inputs!$B$14-Inputs!$B$14))*(1+Inputs!$B$7/100))*(F1195/100)</f>
        <v/>
      </c>
      <c r="K1195">
        <f>J1195*(1+((Inputs!$B$12*(1+Inputs!$B$13/100))*0.01+Inputs!$B$14*0.0025)/100)*(1+Inputs!$B$15/100)*(1+Inputs!$B$16/100)*(5000/(6000+Inputs!$B$42*(1-Inputs!$B$19/100)))*(1+Inputs!$B$24/100)*(1+F1213/100)*(1+IF(Inputs!$B$3&gt;=120,F1216,0)/100)^5*(1+(IF(Skills!A5="BASIC_ATTACK",Inputs!$B$17,Inputs!$B$18+IF(Inputs!$B$3&gt;=125,F1217*5,0)))/100)*(B1220*B1221*B1222*I1195)</f>
        <v/>
      </c>
      <c r="L1195">
        <f>K1195*(MIN(Inputs!$B$22+(F1212-Calc!F22),Inputs!$B$23)/100+Inputs!$B$23/100)/2</f>
        <v/>
      </c>
      <c r="M1195">
        <f>L1195*(1+(Inputs!$B$10+(F1211-Calc!F21))/100)</f>
        <v/>
      </c>
      <c r="N1195">
        <f>L1195*(1-MIN(Inputs!$B$9+(F1210-Calc!F20),100)/100)+M1195*(MIN(Inputs!$B$9+(F1210-Calc!F20),100)/100)</f>
        <v/>
      </c>
      <c r="O1195">
        <f>(1-Summary!$B$56)*S1195+Summary!$B$56*U1195</f>
        <v/>
      </c>
      <c r="P1195">
        <f>IF(B1231=0,0,O1195/B1231)</f>
        <v/>
      </c>
      <c r="Q1195">
        <f>IFERROR(1/IF(Inputs!$B$38="pvp",15,MAX(0.1,Skills!E5-IF(Skills!F5=TRUE,1.0,0))),0)</f>
        <v/>
      </c>
      <c r="R1195">
        <f>IF(AND(Inputs!$B$38&lt;&gt;"pvp",Inputs!$B$43&gt;0),IF(MAX(0,Inputs!$B$43-B1228)&lt;=0,0,(INT(MAX(0,Inputs!$B$43-B1228)/IF(Inputs!$B$38="pvp",15,MAX(0.1,Skills!E5-IF(Skills!F5=TRUE,1.0,0))))+1)),0)</f>
        <v/>
      </c>
      <c r="S1195">
        <f>IF(C1195,(H1195*N1195*IF(AND(Inputs!$B$38&lt;&gt;"pvp",Inputs!$B$43&gt;0),((Skills!G5*((R1195-1)*IF(Skills!H5&gt;0,Skills!I5/Skills!H5,1)+IF(Skills!H5&gt;0,MIN(Skills!I5,MAX(0,MAX(0,Inputs!$B$43-B1228)-((R1195-1)*IF(Inputs!$B$38="pvp",15,MAX(0.1,Skills!E5-IF(Skills!F5=TRUE,1.0,0))))))/Skills!H5,1)))/Inputs!$B$43),G1195*Q1195))*IF(Inputs!$B$38="pvp",1,1+(Inputs!$B$20+Skills!P5)/100),0)</f>
        <v/>
      </c>
      <c r="U1195">
        <f>IF(C1195,(H1195*N1195*IF(AND(Inputs!$B$38&lt;&gt;"pvp",Inputs!$B$43&gt;0),((Skills!G5*((R1195-1)*IF(Skills!H5&gt;0,Skills!I5/Skills!H5,1)+IF(Skills!H5&gt;0,MIN(Skills!I5,MAX(0,MAX(0,Inputs!$B$43-B1228)-((R1195-1)*IF(Inputs!$B$38="pvp",15,MAX(0.1,Skills!E5-IF(Skills!F5=TRUE,1.0,0))))))/Skills!H5,1)))/Inputs!$B$43),G1195*Q1195))*IF(Inputs!$B$38="pvp",1,(1+(Inputs!$B$21+Skills!Q5)/100)*(MIN(Skills!R5,Inputs!$B$37))),0)</f>
        <v/>
      </c>
    </row>
    <row r="1196">
      <c r="A1196">
        <f>Skills!A6</f>
        <v/>
      </c>
      <c r="B1196">
        <f>Skills!B6</f>
        <v/>
      </c>
      <c r="C1196">
        <f>TRUE</f>
        <v/>
      </c>
      <c r="D1196">
        <f>IF(Skills!C6=1,60+Inputs!$B$25+Inputs!$B$29,IF(Skills!C6=2,90+Inputs!$B$26+Inputs!$B$29,IF(Skills!C6=3,120+Inputs!$B$27+Inputs!$B$29,MAX(0,(Inputs!$B$3-100)*3)+Inputs!$B$28+Inputs!$B$29)))</f>
        <v/>
      </c>
      <c r="E1196">
        <f>INDEX(FactorTable!$B$2:$Y$301, MATCH(ROUND(MIN(300,MAX(1,D1196)),0), FactorTable!$A$2:$A$301,0), Skills!M6+1)</f>
        <v/>
      </c>
      <c r="F1196">
        <f>IF(Skills!N6=TRUE,(Skills!L6/10)*(E1196/1000),Skills!L6/10)+Skills!O6</f>
        <v/>
      </c>
      <c r="G1196">
        <f>Calc!G6</f>
        <v/>
      </c>
      <c r="H1196">
        <f>Calc!H6</f>
        <v/>
      </c>
      <c r="I1196">
        <f>IF(Skills!X6&lt;&gt;"",1+(Skills!X6/10)*(Z1193/1000)/100,1)</f>
        <v/>
      </c>
      <c r="J1196" t="inlineStr"/>
      <c r="K1196" t="inlineStr"/>
      <c r="L1196" t="inlineStr"/>
      <c r="M1196" t="inlineStr"/>
      <c r="N1196" t="inlineStr"/>
      <c r="O1196">
        <f>(1-Summary!$B$56)*S1196+Summary!$B$56*U1196</f>
        <v/>
      </c>
      <c r="P1196">
        <f>IF(B1231=0,0,O1196/B1231)</f>
        <v/>
      </c>
      <c r="Q1196">
        <f>IFERROR(1/IF(Inputs!$B$38="pvp",15,MAX(0.1,Skills!E6-IF(Skills!F6=TRUE,1.0,0))),0)</f>
        <v/>
      </c>
      <c r="R1196">
        <f>IF(AND(Inputs!$B$38&lt;&gt;"pvp",Inputs!$B$43&gt;0),IF(Inputs!$B$43&lt;=0,0,(INT(Inputs!$B$43/IF(Inputs!$B$38="pvp",15,MAX(0.1,Skills!E6-IF(Skills!F6=TRUE,1.0,0))))+1)),0)</f>
        <v/>
      </c>
      <c r="S1196" t="n">
        <v>0</v>
      </c>
      <c r="U1196" t="n">
        <v>0</v>
      </c>
    </row>
    <row r="1197">
      <c r="A1197">
        <f>Skills!A7</f>
        <v/>
      </c>
      <c r="B1197">
        <f>Skills!B7</f>
        <v/>
      </c>
      <c r="C1197">
        <f>TRUE</f>
        <v/>
      </c>
      <c r="D1197">
        <f>IF(Skills!C7=1,60+Inputs!$B$25+Inputs!$B$29,IF(Skills!C7=2,90+Inputs!$B$26+Inputs!$B$29,IF(Skills!C7=3,120+Inputs!$B$27+Inputs!$B$29,MAX(0,(Inputs!$B$3-100)*3)+Inputs!$B$28+Inputs!$B$29)))</f>
        <v/>
      </c>
      <c r="E1197">
        <f>INDEX(FactorTable!$B$2:$Y$301, MATCH(ROUND(MIN(300,MAX(1,D1197)),0), FactorTable!$A$2:$A$301,0), Skills!M7+1)</f>
        <v/>
      </c>
      <c r="F1197">
        <f>IF(Skills!N7=TRUE,(Skills!L7/10)*(E1197/1000),Skills!L7/10)+Skills!O7</f>
        <v/>
      </c>
      <c r="G1197">
        <f>Calc!G7</f>
        <v/>
      </c>
      <c r="H1197">
        <f>Calc!H7</f>
        <v/>
      </c>
      <c r="I1197">
        <f>IF(Skills!X7&lt;&gt;"",1+(Skills!X7/10)*(Z1193/1000)/100,1)</f>
        <v/>
      </c>
      <c r="J1197">
        <f>((Inputs!$B$6*(1+Inputs!$B$7/100))+(((Inputs!$B$12*(1+Inputs!$B$13/100))-(Inputs!$B$12*(1+Inputs!$B$13/100)))+0.25*(Inputs!$B$14-Inputs!$B$14))*(1+Inputs!$B$7/100))*(F1197/100)</f>
        <v/>
      </c>
      <c r="K1197">
        <f>J1197*(1+((Inputs!$B$12*(1+Inputs!$B$13/100))*0.01+Inputs!$B$14*0.0025)/100)*(1+Inputs!$B$15/100)*(1+Inputs!$B$16/100)*(5000/(6000+Inputs!$B$42*(1-Inputs!$B$19/100)))*(1+Inputs!$B$24/100)*(1+F1213/100)*(1+IF(Inputs!$B$3&gt;=120,F1216,0)/100)^5*(1+(IF(Skills!A7="BASIC_ATTACK",Inputs!$B$17,Inputs!$B$18+IF(Inputs!$B$3&gt;=125,F1217*5,0)))/100)*(B1220*B1221*B1222*I1197)</f>
        <v/>
      </c>
      <c r="L1197">
        <f>K1197*(MIN(Inputs!$B$22+(F1212-Calc!F22),Inputs!$B$23)/100+Inputs!$B$23/100)/2</f>
        <v/>
      </c>
      <c r="M1197">
        <f>L1197*(1+(Inputs!$B$10+(F1211-Calc!F21))/100)</f>
        <v/>
      </c>
      <c r="N1197">
        <f>L1197*(1-MIN(Inputs!$B$9+(F1210-Calc!F20),100)/100)+M1197*(MIN(Inputs!$B$9+(F1210-Calc!F20),100)/100)</f>
        <v/>
      </c>
      <c r="O1197">
        <f>(1-Summary!$B$56)*S1197+Summary!$B$56*U1197</f>
        <v/>
      </c>
      <c r="P1197">
        <f>IF(B1231=0,0,O1197/B1231)</f>
        <v/>
      </c>
      <c r="Q1197">
        <f>IFERROR(1/IF(Inputs!$B$38="pvp",15,MAX(0.1,Skills!E7-IF(Skills!F7=TRUE,1.0,0))),0)</f>
        <v/>
      </c>
      <c r="R1197">
        <f>IF(AND(Inputs!$B$38&lt;&gt;"pvp",Inputs!$B$43&gt;0),IF(MAX(0,Inputs!$B$43-B1228)&lt;=0,0,(INT(MAX(0,Inputs!$B$43-B1228)/IF(Inputs!$B$38="pvp",15,MAX(0.1,Skills!E7-IF(Skills!F7=TRUE,1.0,0))))+1)),0)</f>
        <v/>
      </c>
      <c r="S1197">
        <f>IF(C1197,(H1197*N1197*IF(AND(Inputs!$B$38&lt;&gt;"pvp",Inputs!$B$43&gt;0),((Skills!G7*((R1197-1)*IF(Skills!H7&gt;0,Skills!I7/Skills!H7,1)+IF(Skills!H7&gt;0,MIN(Skills!I7,MAX(0,MAX(0,Inputs!$B$43-B1228)-((R1197-1)*IF(Inputs!$B$38="pvp",15,MAX(0.1,Skills!E7-IF(Skills!F7=TRUE,1.0,0))))))/Skills!H7,1)))/Inputs!$B$43),G1197*Q1197))*IF(Inputs!$B$38="pvp",1,1+(Inputs!$B$20+Skills!P7)/100),0)</f>
        <v/>
      </c>
      <c r="U1197">
        <f>IF(C1197,(H1197*N1197*IF(AND(Inputs!$B$38&lt;&gt;"pvp",Inputs!$B$43&gt;0),((Skills!G7*((R1197-1)*IF(Skills!H7&gt;0,Skills!I7/Skills!H7,1)+IF(Skills!H7&gt;0,MIN(Skills!I7,MAX(0,MAX(0,Inputs!$B$43-B1228)-((R1197-1)*IF(Inputs!$B$38="pvp",15,MAX(0.1,Skills!E7-IF(Skills!F7=TRUE,1.0,0))))))/Skills!H7,1)))/Inputs!$B$43),G1197*Q1197))*IF(Inputs!$B$38="pvp",1,(1+(Inputs!$B$21+Skills!Q7)/100)*(MIN(Skills!R7,Inputs!$B$37))),0)</f>
        <v/>
      </c>
    </row>
    <row r="1198">
      <c r="A1198">
        <f>Skills!A8</f>
        <v/>
      </c>
      <c r="B1198">
        <f>Skills!B8</f>
        <v/>
      </c>
      <c r="C1198">
        <f>TRUE</f>
        <v/>
      </c>
      <c r="D1198">
        <f>IF(Skills!C8=1,60+Inputs!$B$25+Inputs!$B$29,IF(Skills!C8=2,90+Inputs!$B$26+Inputs!$B$29,IF(Skills!C8=3,120+Inputs!$B$27+Inputs!$B$29,MAX(0,(Inputs!$B$3-100)*3)+Inputs!$B$28+Inputs!$B$29)))</f>
        <v/>
      </c>
      <c r="E1198">
        <f>INDEX(FactorTable!$B$2:$Y$301, MATCH(ROUND(MIN(300,MAX(1,D1198)),0), FactorTable!$A$2:$A$301,0), Skills!M8+1)</f>
        <v/>
      </c>
      <c r="F1198">
        <f>IF(Skills!N8=TRUE,(Skills!L8/10)*(E1198/1000),Skills!L8/10)+Skills!O8</f>
        <v/>
      </c>
      <c r="G1198">
        <f>Calc!G8</f>
        <v/>
      </c>
      <c r="H1198">
        <f>Calc!H8</f>
        <v/>
      </c>
      <c r="I1198">
        <f>IF(Skills!X8&lt;&gt;"",1+(Skills!X8/10)*(Z1193/1000)/100,1)</f>
        <v/>
      </c>
      <c r="J1198">
        <f>((Inputs!$B$6*(1+Inputs!$B$7/100))+(((Inputs!$B$12*(1+Inputs!$B$13/100))-(Inputs!$B$12*(1+Inputs!$B$13/100)))+0.25*(Inputs!$B$14-Inputs!$B$14))*(1+Inputs!$B$7/100))*(F1198/100)</f>
        <v/>
      </c>
      <c r="K1198">
        <f>J1198*(1+((Inputs!$B$12*(1+Inputs!$B$13/100))*0.01+Inputs!$B$14*0.0025)/100)*(1+Inputs!$B$15/100)*(1+Inputs!$B$16/100)*(5000/(6000+Inputs!$B$42*(1-Inputs!$B$19/100)))*(1+Inputs!$B$24/100)*(1+F1213/100)*(1+IF(Inputs!$B$3&gt;=120,F1216,0)/100)^5*(1+(IF(Skills!A8="BASIC_ATTACK",Inputs!$B$17,Inputs!$B$18+IF(Inputs!$B$3&gt;=125,F1217*5,0)))/100)*(B1220*B1221*B1222*I1198)</f>
        <v/>
      </c>
      <c r="L1198">
        <f>K1198*(MIN(Inputs!$B$22+(F1212-Calc!F22),Inputs!$B$23)/100+Inputs!$B$23/100)/2</f>
        <v/>
      </c>
      <c r="M1198">
        <f>L1198*(1+(Inputs!$B$10+(F1211-Calc!F21))/100)</f>
        <v/>
      </c>
      <c r="N1198">
        <f>L1198*(1-MIN(Inputs!$B$9+(F1210-Calc!F20),100)/100)+M1198*(MIN(Inputs!$B$9+(F1210-Calc!F20),100)/100)</f>
        <v/>
      </c>
      <c r="O1198">
        <f>(1-Summary!$B$56)*S1198+Summary!$B$56*U1198</f>
        <v/>
      </c>
      <c r="P1198">
        <f>IF(B1231=0,0,O1198/B1231)</f>
        <v/>
      </c>
      <c r="Q1198">
        <f>IFERROR(1/IF(Inputs!$B$38="pvp",15,MAX(0.1,Skills!E8-IF(Skills!F8=TRUE,1.0,0))),0)</f>
        <v/>
      </c>
      <c r="R1198">
        <f>IF(AND(Inputs!$B$38&lt;&gt;"pvp",Inputs!$B$43&gt;0),IF(MAX(0,Inputs!$B$43-B1228)&lt;=0,0,(INT(MAX(0,Inputs!$B$43-B1228)/IF(Inputs!$B$38="pvp",15,MAX(0.1,Skills!E8-IF(Skills!F8=TRUE,1.0,0))))+1)),0)</f>
        <v/>
      </c>
      <c r="S1198">
        <f>IF(C1198,(H1198*N1198*IF(AND(Inputs!$B$38&lt;&gt;"pvp",Inputs!$B$43&gt;0),((Skills!G8*((R1198-1)*IF(Skills!H8&gt;0,Skills!I8/Skills!H8,1)+IF(Skills!H8&gt;0,MIN(Skills!I8,MAX(0,MAX(0,Inputs!$B$43-B1228)-((R1198-1)*IF(Inputs!$B$38="pvp",15,MAX(0.1,Skills!E8-IF(Skills!F8=TRUE,1.0,0))))))/Skills!H8,1)))/Inputs!$B$43),G1198*Q1198))*IF(Inputs!$B$38="pvp",1,1+(Inputs!$B$20+Skills!P8)/100),0)</f>
        <v/>
      </c>
      <c r="U1198">
        <f>IF(C1198,(H1198*N1198*IF(AND(Inputs!$B$38&lt;&gt;"pvp",Inputs!$B$43&gt;0),((Skills!G8*((R1198-1)*IF(Skills!H8&gt;0,Skills!I8/Skills!H8,1)+IF(Skills!H8&gt;0,MIN(Skills!I8,MAX(0,MAX(0,Inputs!$B$43-B1228)-((R1198-1)*IF(Inputs!$B$38="pvp",15,MAX(0.1,Skills!E8-IF(Skills!F8=TRUE,1.0,0))))))/Skills!H8,1)))/Inputs!$B$43),G1198*Q1198))*IF(Inputs!$B$38="pvp",1,(1+(Inputs!$B$21+Skills!Q8)/100)*(MIN(Skills!R8,Inputs!$B$37))),0)</f>
        <v/>
      </c>
    </row>
    <row r="1199">
      <c r="A1199">
        <f>Skills!A9</f>
        <v/>
      </c>
      <c r="B1199">
        <f>Skills!B9</f>
        <v/>
      </c>
      <c r="C1199">
        <f>Inputs!$B$3&gt;=103</f>
        <v/>
      </c>
      <c r="D1199">
        <f>IF(Skills!C9=1,60+Inputs!$B$25+Inputs!$B$29,IF(Skills!C9=2,90+Inputs!$B$26+Inputs!$B$29,IF(Skills!C9=3,120+Inputs!$B$27+Inputs!$B$29,MAX(0,(Inputs!$B$3-100)*3)+Inputs!$B$28+Inputs!$B$29)))</f>
        <v/>
      </c>
      <c r="E1199">
        <f>INDEX(FactorTable!$B$2:$Y$301, MATCH(ROUND(MIN(300,MAX(1,D1199)),0), FactorTable!$A$2:$A$301,0), Skills!M9+1)</f>
        <v/>
      </c>
      <c r="F1199">
        <f>IF(Skills!N9=TRUE,(Skills!L9/10)*(E1199/1000),Skills!L9/10)+Skills!O9</f>
        <v/>
      </c>
      <c r="G1199">
        <f>Calc!G9</f>
        <v/>
      </c>
      <c r="H1199">
        <f>Calc!H9</f>
        <v/>
      </c>
      <c r="I1199">
        <f>IF(Skills!X9&lt;&gt;"",1+(Skills!X9/10)*(Z1193/1000)/100,1)</f>
        <v/>
      </c>
      <c r="J1199">
        <f>((Inputs!$B$6*(1+Inputs!$B$7/100))+(((Inputs!$B$12*(1+Inputs!$B$13/100))-(Inputs!$B$12*(1+Inputs!$B$13/100)))+0.25*(Inputs!$B$14-Inputs!$B$14))*(1+Inputs!$B$7/100))*(F1199/100)</f>
        <v/>
      </c>
      <c r="K1199">
        <f>J1199*(1+((Inputs!$B$12*(1+Inputs!$B$13/100))*0.01+Inputs!$B$14*0.0025)/100)*(1+Inputs!$B$15/100)*(1+Inputs!$B$16/100)*(5000/(6000+Inputs!$B$42*(1-Inputs!$B$19/100)))*(1+Inputs!$B$24/100)*(1+F1213/100)*(1+IF(Inputs!$B$3&gt;=120,F1216,0)/100)^5*(1+(IF(Skills!A9="BASIC_ATTACK",Inputs!$B$17,Inputs!$B$18+IF(Inputs!$B$3&gt;=125,F1217*5,0)))/100)*(B1220*B1221*B1222*I1199)</f>
        <v/>
      </c>
      <c r="L1199">
        <f>K1199*(MIN(Inputs!$B$22+(F1212-Calc!F22),Inputs!$B$23)/100+Inputs!$B$23/100)/2</f>
        <v/>
      </c>
      <c r="M1199">
        <f>L1199*(1+(Inputs!$B$10+(F1211-Calc!F21))/100)</f>
        <v/>
      </c>
      <c r="N1199">
        <f>L1199*(1-MIN(Inputs!$B$9+(F1210-Calc!F20),100)/100)+M1199*(MIN(Inputs!$B$9+(F1210-Calc!F20),100)/100)</f>
        <v/>
      </c>
      <c r="O1199">
        <f>(1-Summary!$B$56)*S1199+Summary!$B$56*U1199</f>
        <v/>
      </c>
      <c r="P1199">
        <f>IF(B1231=0,0,O1199/B1231)</f>
        <v/>
      </c>
      <c r="Q1199">
        <f>IFERROR(1/IF(Inputs!$B$38="pvp",15,MAX(0.1,Skills!E9-IF(Skills!F7=TRUE,1.0,0))),0)</f>
        <v/>
      </c>
      <c r="R1199">
        <f>IF(AND(Inputs!$B$38&lt;&gt;"pvp",Inputs!$B$43&gt;0),IF(MAX(0,Inputs!$B$43-B1228)&lt;=0,0,(INT(MAX(0,Inputs!$B$43-B1228)/IF(Inputs!$B$38="pvp",15,MAX(0.1,Skills!E9-IF(Skills!F7=TRUE,1.0,0))))+1)),0)</f>
        <v/>
      </c>
      <c r="S1199">
        <f>IF(C1199,(H1199*N1199*IF(AND(Inputs!$B$38&lt;&gt;"pvp",Inputs!$B$43&gt;0),((Skills!G9*((R1199-1)*IF(Skills!H9&gt;0,Skills!I9/Skills!H9,1)+IF(Skills!H9&gt;0,MIN(Skills!I9,MAX(0,MAX(0,Inputs!$B$43-B1228)-((R1199-1)*IF(Inputs!$B$38="pvp",15,MAX(0.1,Skills!E9-IF(Skills!F7=TRUE,1.0,0))))))/Skills!H9,1)))/Inputs!$B$43),G1199*Q1199))*IF(Inputs!$B$38="pvp",1,1+(Inputs!$B$20+Skills!P9)/100),0)</f>
        <v/>
      </c>
      <c r="U1199">
        <f>IF(C1199,(H1199*N1199*IF(AND(Inputs!$B$38&lt;&gt;"pvp",Inputs!$B$43&gt;0),((Skills!G9*((R1199-1)*IF(Skills!H9&gt;0,Skills!I9/Skills!H9,1)+IF(Skills!H9&gt;0,MIN(Skills!I9,MAX(0,MAX(0,Inputs!$B$43-B1228)-((R1199-1)*IF(Inputs!$B$38="pvp",15,MAX(0.1,Skills!E9-IF(Skills!F7=TRUE,1.0,0))))))/Skills!H9,1)))/Inputs!$B$43),G1199*Q1199))*IF(Inputs!$B$38="pvp",1,(1+(Inputs!$B$21+Skills!Q9)/100)*(MIN(Skills!R9,Inputs!$B$37))),0)</f>
        <v/>
      </c>
    </row>
    <row r="1200">
      <c r="A1200">
        <f>Skills!A10</f>
        <v/>
      </c>
      <c r="B1200">
        <f>Skills!B10</f>
        <v/>
      </c>
      <c r="C1200">
        <f>TRUE</f>
        <v/>
      </c>
      <c r="D1200">
        <f>IF(Skills!C10=1,60+Inputs!$B$25+Inputs!$B$29,IF(Skills!C10=2,90+Inputs!$B$26+Inputs!$B$29,IF(Skills!C10=3,120+Inputs!$B$27+Inputs!$B$29,MAX(0,(Inputs!$B$3-100)*3)+Inputs!$B$28+Inputs!$B$29)))</f>
        <v/>
      </c>
      <c r="E1200">
        <f>INDEX(FactorTable!$B$2:$Y$301, MATCH(ROUND(MIN(300,MAX(1,D1200)),0), FactorTable!$A$2:$A$301,0), Skills!M10+1)</f>
        <v/>
      </c>
      <c r="F1200">
        <f>IF(Skills!N10=TRUE,(Skills!L10/10)*(E1200/1000),Skills!L10/10)+Skills!O10</f>
        <v/>
      </c>
      <c r="G1200">
        <f>Calc!G10</f>
        <v/>
      </c>
      <c r="H1200">
        <f>Calc!H10</f>
        <v/>
      </c>
      <c r="I1200">
        <f>IF(Skills!X10&lt;&gt;"",1+(Skills!X10/10)*(Z1193/1000)/100,1)</f>
        <v/>
      </c>
      <c r="J1200">
        <f>((Inputs!$B$6*(1+Inputs!$B$7/100))+(((Inputs!$B$12*(1+Inputs!$B$13/100))-(Inputs!$B$12*(1+Inputs!$B$13/100)))+0.25*(Inputs!$B$14-Inputs!$B$14))*(1+Inputs!$B$7/100))*(F1200/100)</f>
        <v/>
      </c>
      <c r="K1200">
        <f>J1200*(1+((Inputs!$B$12*(1+Inputs!$B$13/100))*0.01+Inputs!$B$14*0.0025)/100)*(1+Inputs!$B$15/100)*(1+Inputs!$B$16/100)*(5000/(6000+Inputs!$B$42*(1-Inputs!$B$19/100)))*(1+Inputs!$B$24/100)*(1+F1213/100)*(1+IF(Inputs!$B$3&gt;=120,F1216,0)/100)^5*(1+(IF(Skills!A10="BASIC_ATTACK",Inputs!$B$17,Inputs!$B$18+IF(Inputs!$B$3&gt;=125,F1217*5,0)))/100)*(B1220*B1221*B1222*I1200)</f>
        <v/>
      </c>
      <c r="L1200">
        <f>K1200*(MIN(Inputs!$B$22+(F1212-Calc!F22),Inputs!$B$23)/100+Inputs!$B$23/100)/2</f>
        <v/>
      </c>
      <c r="M1200">
        <f>L1200*(1+(Inputs!$B$10+(F1211-Calc!F21))/100)</f>
        <v/>
      </c>
      <c r="N1200">
        <f>L1200*(1-MIN(Inputs!$B$9+(F1210-Calc!F20),100)/100)+M1200*(MIN(Inputs!$B$9+(F1210-Calc!F20),100)/100)</f>
        <v/>
      </c>
      <c r="O1200">
        <f>(1-Summary!$B$56)*S1200+Summary!$B$56*U1200</f>
        <v/>
      </c>
      <c r="P1200">
        <f>IF(B1231=0,0,O1200/B1231)</f>
        <v/>
      </c>
      <c r="Q1200">
        <f>IFERROR(1/IF(Inputs!$B$38="pvp",15,MAX(0.1,Skills!E10-IF(Skills!F10=TRUE,1.0,0))),0)</f>
        <v/>
      </c>
      <c r="R1200">
        <f>IF(AND(Inputs!$B$38&lt;&gt;"pvp",Inputs!$B$43&gt;0),IF(MAX(0,Inputs!$B$43-B1228)&lt;=0,0,(INT(MAX(0,Inputs!$B$43-B1228)/IF(Inputs!$B$38="pvp",15,MAX(0.1,Skills!E10-IF(Skills!F10=TRUE,1.0,0))))+1)),0)</f>
        <v/>
      </c>
      <c r="S1200">
        <f>IF(C1200,(H1200*N1200*IF(AND(Inputs!$B$38&lt;&gt;"pvp",Inputs!$B$43&gt;0),((Skills!G10*((R1200-1)*IF(Skills!H10&gt;0,Skills!I10/Skills!H10,1)+IF(Skills!H10&gt;0,MIN(Skills!I10,MAX(0,MAX(0,Inputs!$B$43-B1228)-((R1200-1)*IF(Inputs!$B$38="pvp",15,MAX(0.1,Skills!E10-IF(Skills!F10=TRUE,1.0,0))))))/Skills!H10,1)))/Inputs!$B$43),G1200*Q1200))*IF(Inputs!$B$38="pvp",1,1+(Inputs!$B$20+Skills!P10)/100),0)</f>
        <v/>
      </c>
      <c r="U1200">
        <f>IF(C1200,(H1200*N1200*IF(AND(Inputs!$B$38&lt;&gt;"pvp",Inputs!$B$43&gt;0),((Skills!G10*((R1200-1)*IF(Skills!H10&gt;0,Skills!I10/Skills!H10,1)+IF(Skills!H10&gt;0,MIN(Skills!I10,MAX(0,MAX(0,Inputs!$B$43-B1228)-((R1200-1)*IF(Inputs!$B$38="pvp",15,MAX(0.1,Skills!E10-IF(Skills!F10=TRUE,1.0,0))))))/Skills!H10,1)))/Inputs!$B$43),G1200*Q1200))*IF(Inputs!$B$38="pvp",1,(1+(Inputs!$B$21+Skills!Q10)/100)*(MIN(Skills!R10,Inputs!$B$37))),0)</f>
        <v/>
      </c>
    </row>
    <row r="1201">
      <c r="A1201">
        <f>Skills!A11</f>
        <v/>
      </c>
      <c r="B1201">
        <f>Skills!B11</f>
        <v/>
      </c>
      <c r="C1201">
        <f>TRUE</f>
        <v/>
      </c>
      <c r="D1201">
        <f>IF(Skills!C11=1,60+Inputs!$B$25+Inputs!$B$29,IF(Skills!C11=2,90+Inputs!$B$26+Inputs!$B$29,IF(Skills!C11=3,120+Inputs!$B$27+Inputs!$B$29,MAX(0,(Inputs!$B$3-100)*3)+Inputs!$B$28+Inputs!$B$29)))</f>
        <v/>
      </c>
      <c r="E1201">
        <f>INDEX(FactorTable!$B$2:$Y$301, MATCH(ROUND(MIN(300,MAX(1,D1201)),0), FactorTable!$A$2:$A$301,0), Skills!M11+1)</f>
        <v/>
      </c>
      <c r="F1201">
        <f>IF(Skills!N11=TRUE,(Skills!L11/10)*(E1201/1000),Skills!L11/10)+Skills!O11</f>
        <v/>
      </c>
      <c r="G1201">
        <f>Calc!G11</f>
        <v/>
      </c>
      <c r="H1201">
        <f>Calc!H11</f>
        <v/>
      </c>
      <c r="I1201">
        <f>IF(Skills!X11&lt;&gt;"",1+(Skills!X11/10)*(Z1193/1000)/100,1)</f>
        <v/>
      </c>
      <c r="J1201" t="inlineStr"/>
      <c r="K1201" t="inlineStr"/>
      <c r="L1201" t="inlineStr"/>
      <c r="M1201" t="inlineStr"/>
      <c r="N1201" t="inlineStr"/>
      <c r="O1201">
        <f>(1-Summary!$B$56)*S1201+Summary!$B$56*U1201</f>
        <v/>
      </c>
      <c r="P1201">
        <f>IF(B1231=0,0,O1201/B1231)</f>
        <v/>
      </c>
      <c r="Q1201">
        <f>IFERROR(1/IF(Inputs!$B$38="pvp",15,MAX(0.1,Skills!E11-IF(Skills!F11=TRUE,1.0,0))),0)</f>
        <v/>
      </c>
      <c r="R1201" t="n">
        <v>0</v>
      </c>
      <c r="S1201" t="n">
        <v>0</v>
      </c>
      <c r="U1201" t="n">
        <v>0</v>
      </c>
    </row>
    <row r="1202">
      <c r="A1202">
        <f>Skills!A12</f>
        <v/>
      </c>
      <c r="B1202">
        <f>Skills!B12</f>
        <v/>
      </c>
      <c r="C1202">
        <f>TRUE</f>
        <v/>
      </c>
      <c r="D1202">
        <f>IF(Skills!C12=1,60+Inputs!$B$25+Inputs!$B$29,IF(Skills!C12=2,90+Inputs!$B$26+Inputs!$B$29,IF(Skills!C12=3,120+Inputs!$B$27+Inputs!$B$29,MAX(0,(Inputs!$B$3-100)*3)+Inputs!$B$28+Inputs!$B$29)))</f>
        <v/>
      </c>
      <c r="E1202">
        <f>INDEX(FactorTable!$B$2:$Y$301, MATCH(ROUND(MIN(300,MAX(1,D1202)),0), FactorTable!$A$2:$A$301,0), Skills!M12+1)</f>
        <v/>
      </c>
      <c r="F1202">
        <f>IF(Skills!N12=TRUE,(Skills!L12/10)*(E1202/1000),Skills!L12/10)+Skills!O12</f>
        <v/>
      </c>
      <c r="G1202">
        <f>Calc!G12</f>
        <v/>
      </c>
      <c r="H1202">
        <f>Calc!H12</f>
        <v/>
      </c>
      <c r="I1202">
        <f>IF(Skills!X12&lt;&gt;"",1+(Skills!X12/10)*(Z1193/1000)/100,1)</f>
        <v/>
      </c>
      <c r="J1202" t="inlineStr"/>
      <c r="K1202" t="inlineStr"/>
      <c r="L1202" t="inlineStr"/>
      <c r="M1202" t="inlineStr"/>
      <c r="N1202" t="inlineStr"/>
      <c r="O1202">
        <f>(1-Summary!$B$56)*S1202+Summary!$B$56*U1202</f>
        <v/>
      </c>
      <c r="P1202">
        <f>IF(B1231=0,0,O1202/B1231)</f>
        <v/>
      </c>
      <c r="Q1202">
        <f>IFERROR(1/IF(Inputs!$B$38="pvp",15,MAX(0.1,Skills!E12-IF(Skills!F12=TRUE,1.0,0))),0)</f>
        <v/>
      </c>
      <c r="R1202" t="n">
        <v>0</v>
      </c>
      <c r="S1202" t="n">
        <v>0</v>
      </c>
      <c r="U1202" t="n">
        <v>0</v>
      </c>
    </row>
    <row r="1203">
      <c r="A1203">
        <f>Skills!A13</f>
        <v/>
      </c>
      <c r="B1203">
        <f>Skills!B13</f>
        <v/>
      </c>
      <c r="C1203">
        <f>Inputs!$B$3&gt;=105</f>
        <v/>
      </c>
      <c r="D1203">
        <f>IF(Skills!C13=1,60+Inputs!$B$25+Inputs!$B$29,IF(Skills!C13=2,90+Inputs!$B$26+Inputs!$B$29,IF(Skills!C13=3,120+Inputs!$B$27+Inputs!$B$29,MAX(0,(Inputs!$B$3-100)*3)+Inputs!$B$28+Inputs!$B$29)))</f>
        <v/>
      </c>
      <c r="E1203">
        <f>INDEX(FactorTable!$B$2:$Y$301, MATCH(ROUND(MIN(300,MAX(1,D1203)),0), FactorTable!$A$2:$A$301,0), Skills!M13+1)</f>
        <v/>
      </c>
      <c r="F1203">
        <f>IF(Skills!N13=TRUE,(Skills!L13/10)*(E1203/1000),Skills!L13/10)+Skills!O13</f>
        <v/>
      </c>
      <c r="G1203">
        <f>Calc!G13</f>
        <v/>
      </c>
      <c r="H1203">
        <f>Calc!H13</f>
        <v/>
      </c>
      <c r="I1203">
        <f>IF(Skills!X13&lt;&gt;"",1+(Skills!X13/10)*(Z1193/1000)/100,1)</f>
        <v/>
      </c>
      <c r="J1203">
        <f>((Inputs!$B$6*(1+Inputs!$B$7/100))+(((Inputs!$B$12*(1+Inputs!$B$13/100))-(Inputs!$B$12*(1+Inputs!$B$13/100)))+0.25*(Inputs!$B$14-Inputs!$B$14))*(1+Inputs!$B$7/100))*(F1203/100)</f>
        <v/>
      </c>
      <c r="K1203">
        <f>J1203*(1+((Inputs!$B$12*(1+Inputs!$B$13/100))*0.01+Inputs!$B$14*0.0025)/100)*(1+Inputs!$B$15/100)*(1+Inputs!$B$16/100)*(5000/(6000+Inputs!$B$42*(1-Inputs!$B$19/100)))*(1+Inputs!$B$24/100)*(1+F1213/100)*(1+IF(Inputs!$B$3&gt;=120,F1216,0)/100)^5*(1+(IF(Skills!A13="BASIC_ATTACK",Inputs!$B$17,Inputs!$B$18+IF(Inputs!$B$3&gt;=125,F1217*5,0)))/100)*(B1220*B1221*B1222*I1203)</f>
        <v/>
      </c>
      <c r="L1203">
        <f>K1203*(MIN(Inputs!$B$22+(F1212-Calc!F22),Inputs!$B$23)/100+Inputs!$B$23/100)/2</f>
        <v/>
      </c>
      <c r="M1203">
        <f>L1203*(1+(Inputs!$B$10+(F1211-Calc!F21))/100)</f>
        <v/>
      </c>
      <c r="N1203">
        <f>L1203*(1-MIN(Inputs!$B$9+(F1210-Calc!F20),100)/100)+M1203*(MIN(Inputs!$B$9+(F1210-Calc!F20),100)/100)</f>
        <v/>
      </c>
      <c r="O1203">
        <f>(1-Summary!$B$56)*S1203+Summary!$B$56*U1203</f>
        <v/>
      </c>
      <c r="P1203">
        <f>IF(B1231=0,0,O1203/B1231)</f>
        <v/>
      </c>
      <c r="Q1203">
        <f>IFERROR(1/IF(Inputs!$B$38="pvp",15,MAX(0.1,Skills!E13-IF(Skills!F13=TRUE,1.0,0))),0)</f>
        <v/>
      </c>
      <c r="R1203">
        <f>IF(AND(Inputs!$B$38&lt;&gt;"pvp",Inputs!$B$43&gt;0),IF(MAX(0,Inputs!$B$43-B1228)&lt;=0,0,(INT(MAX(0,Inputs!$B$43-B1228)/IF(Inputs!$B$38="pvp",15,MAX(0.1,Skills!E13-IF(Skills!F13=TRUE,1.0,0))))+1)),0)</f>
        <v/>
      </c>
      <c r="S1203">
        <f>IF(C1203,(H1203*N1203*IF(AND(Inputs!$B$38&lt;&gt;"pvp",Inputs!$B$43&gt;0),((Skills!G13*((R1203-1)*IF(Skills!H13&gt;0,Skills!I13/Skills!H13,1)+IF(Skills!H13&gt;0,MIN(Skills!I13,MAX(0,MAX(0,Inputs!$B$43-B1228)-((R1203-1)*IF(Inputs!$B$38="pvp",15,MAX(0.1,Skills!E13-IF(Skills!F13=TRUE,1.0,0))))))/Skills!H13,1)))/Inputs!$B$43),G1203*Q1203))*IF(Inputs!$B$38="pvp",1,1+(Inputs!$B$20+Skills!P13)/100),0)</f>
        <v/>
      </c>
      <c r="U1203">
        <f>IF(C1203,(H1203*N1203*IF(AND(Inputs!$B$38&lt;&gt;"pvp",Inputs!$B$43&gt;0),((Skills!G13*((R1203-1)*IF(Skills!H13&gt;0,Skills!I13/Skills!H13,1)+IF(Skills!H13&gt;0,MIN(Skills!I13,MAX(0,MAX(0,Inputs!$B$43-B1228)-((R1203-1)*IF(Inputs!$B$38="pvp",15,MAX(0.1,Skills!E13-IF(Skills!F13=TRUE,1.0,0))))))/Skills!H13,1)))/Inputs!$B$43),G1203*Q1203))*IF(Inputs!$B$38="pvp",1,(1+(Inputs!$B$21+Skills!Q13)/100)*(MIN(Skills!R13,Inputs!$B$37))),0)</f>
        <v/>
      </c>
    </row>
    <row r="1204">
      <c r="A1204">
        <f>Skills!A14</f>
        <v/>
      </c>
      <c r="B1204">
        <f>Skills!B14</f>
        <v/>
      </c>
      <c r="C1204">
        <f>Inputs!$B$3&gt;=113</f>
        <v/>
      </c>
      <c r="D1204">
        <f>IF(Skills!C14=1,60+Inputs!$B$25+Inputs!$B$29,IF(Skills!C14=2,90+Inputs!$B$26+Inputs!$B$29,IF(Skills!C14=3,120+Inputs!$B$27+Inputs!$B$29,MAX(0,(Inputs!$B$3-100)*3)+Inputs!$B$28+Inputs!$B$29)))</f>
        <v/>
      </c>
      <c r="E1204">
        <f>INDEX(FactorTable!$B$2:$Y$301, MATCH(ROUND(MIN(300,MAX(1,D1204)),0), FactorTable!$A$2:$A$301,0), Skills!M14+1)</f>
        <v/>
      </c>
      <c r="F1204">
        <f>IF(Skills!N14=TRUE,(Skills!L14/10)*(E1204/1000),Skills!L14/10)+Skills!O14</f>
        <v/>
      </c>
      <c r="G1204">
        <f>Calc!G14</f>
        <v/>
      </c>
      <c r="H1204">
        <f>Calc!H14</f>
        <v/>
      </c>
      <c r="I1204">
        <f>IF(Skills!X14&lt;&gt;"",1+(Skills!X14/10)*(Z1193/1000)/100,1)</f>
        <v/>
      </c>
      <c r="J1204">
        <f>((Inputs!$B$6*(1+Inputs!$B$7/100))+(((Inputs!$B$12*(1+Inputs!$B$13/100))-(Inputs!$B$12*(1+Inputs!$B$13/100)))+0.25*(Inputs!$B$14-Inputs!$B$14))*(1+Inputs!$B$7/100))*(F1204/100)</f>
        <v/>
      </c>
      <c r="K1204">
        <f>J1204*(1+((Inputs!$B$12*(1+Inputs!$B$13/100))*0.01+Inputs!$B$14*0.0025)/100)*(1+Inputs!$B$15/100)*(1+Inputs!$B$16/100)*(5000/(6000+Inputs!$B$42*(1-Inputs!$B$19/100)))*(1+Inputs!$B$24/100)*(1+F1213/100)*(1+IF(Inputs!$B$3&gt;=120,F1216,0)/100)^5*(1+(IF(Skills!A14="BASIC_ATTACK",Inputs!$B$17,Inputs!$B$18+IF(Inputs!$B$3&gt;=125,F1217*5,0)))/100)*(B1220*B1221*B1222*I1204)</f>
        <v/>
      </c>
      <c r="L1204">
        <f>K1204*(MIN(Inputs!$B$22+(F1212-Calc!F22),Inputs!$B$23)/100+Inputs!$B$23/100)/2</f>
        <v/>
      </c>
      <c r="M1204">
        <f>L1204*(1+(Inputs!$B$10+(F1211-Calc!F21))/100)</f>
        <v/>
      </c>
      <c r="N1204">
        <f>L1204*(1-MIN(Inputs!$B$9+(F1210-Calc!F20),100)/100)+M1204*(MIN(Inputs!$B$9+(F1210-Calc!F20),100)/100)</f>
        <v/>
      </c>
      <c r="O1204">
        <f>(1-Summary!$B$56)*S1204+Summary!$B$56*U1204</f>
        <v/>
      </c>
      <c r="P1204">
        <f>IF(B1231=0,0,O1204/B1231)</f>
        <v/>
      </c>
      <c r="Q1204">
        <f>IFERROR(1/IF(Inputs!$B$38="pvp",15,MAX(0.1,Skills!E14-IF(Skills!F14=TRUE,1.0,0))),0)</f>
        <v/>
      </c>
      <c r="R1204" t="n">
        <v>0</v>
      </c>
      <c r="S1204">
        <f>IF(C1204,((H1204*B1227)/(1+Skills!H14*H1204*B1227)*N1204)*IF(Inputs!$B$38="pvp",1,1+(Inputs!$B$20+Skills!P14)/100),0)</f>
        <v/>
      </c>
      <c r="U1204">
        <f>IF(C1204,((H1204*B1227)/(1+Skills!H14*H1204*B1227)*N1204)*IF(Inputs!$B$38="pvp",1,(1+(Inputs!$B$21+Skills!Q14)/100)*(MIN(Skills!R14,Inputs!$B$37))),0)</f>
        <v/>
      </c>
    </row>
    <row r="1205">
      <c r="A1205">
        <f>Skills!A15</f>
        <v/>
      </c>
      <c r="B1205">
        <f>Skills!B15</f>
        <v/>
      </c>
      <c r="C1205">
        <f>Inputs!$B$3&gt;=107</f>
        <v/>
      </c>
      <c r="D1205">
        <f>IF(Skills!C15=1,60+Inputs!$B$25+Inputs!$B$29,IF(Skills!C15=2,90+Inputs!$B$26+Inputs!$B$29,IF(Skills!C15=3,120+Inputs!$B$27+Inputs!$B$29,MAX(0,(Inputs!$B$3-100)*3)+Inputs!$B$28+Inputs!$B$29)))</f>
        <v/>
      </c>
      <c r="E1205">
        <f>INDEX(FactorTable!$B$2:$Y$301, MATCH(ROUND(MIN(300,MAX(1,D1205)),0), FactorTable!$A$2:$A$301,0), Skills!M15+1)</f>
        <v/>
      </c>
      <c r="F1205">
        <f>IF(Skills!N15=TRUE,(Skills!L15/10)*(E1205/1000),Skills!L15/10)+Skills!O15</f>
        <v/>
      </c>
      <c r="G1205">
        <f>Calc!G15</f>
        <v/>
      </c>
      <c r="H1205">
        <f>Calc!H15</f>
        <v/>
      </c>
      <c r="I1205">
        <f>IF(Skills!X15&lt;&gt;"",1+(Skills!X15/10)*(Z1193/1000)/100,1)</f>
        <v/>
      </c>
      <c r="J1205">
        <f>((Inputs!$B$6*(1+Inputs!$B$7/100))+(((Inputs!$B$12*(1+Inputs!$B$13/100))-(Inputs!$B$12*(1+Inputs!$B$13/100)))+0.25*(Inputs!$B$14-Inputs!$B$14))*(1+Inputs!$B$7/100))*(F1205/100)</f>
        <v/>
      </c>
      <c r="K1205">
        <f>J1205*(1+((Inputs!$B$12*(1+Inputs!$B$13/100))*0.01+Inputs!$B$14*0.0025)/100)*(1+Inputs!$B$15/100)*(1+Inputs!$B$16/100)*(5000/(6000+Inputs!$B$42*(1-Inputs!$B$19/100)))*(1+Inputs!$B$24/100)*(1+F1213/100)*(1+IF(Inputs!$B$3&gt;=120,F1216,0)/100)^5*(1+(IF(Skills!A15="BASIC_ATTACK",Inputs!$B$17,Inputs!$B$18+IF(Inputs!$B$3&gt;=125,F1217*5,0)))/100)*(B1220*B1221*B1222*I1205)</f>
        <v/>
      </c>
      <c r="L1205">
        <f>K1205*(MIN(Inputs!$B$22+(F1212-Calc!F22),Inputs!$B$23)/100+Inputs!$B$23/100)/2</f>
        <v/>
      </c>
      <c r="M1205">
        <f>L1205*(1+(Inputs!$B$10+(F1211-Calc!F21))/100)</f>
        <v/>
      </c>
      <c r="N1205">
        <f>L1205*(1-MIN(Inputs!$B$9+(F1210-Calc!F20),100)/100)+M1205*(MIN(Inputs!$B$9+(F1210-Calc!F20),100)/100)</f>
        <v/>
      </c>
      <c r="O1205">
        <f>(1-Summary!$B$56)*S1205+Summary!$B$56*U1205</f>
        <v/>
      </c>
      <c r="P1205">
        <f>IF(B1231=0,0,O1205/B1231)</f>
        <v/>
      </c>
      <c r="Q1205">
        <f>IFERROR(1/IF(Inputs!$B$38="pvp",15,MAX(0.1,Skills!E15-IF(Skills!F15=TRUE,1.0,0))),0)</f>
        <v/>
      </c>
      <c r="R1205">
        <f>IF(AND(Inputs!$B$38&lt;&gt;"pvp",Inputs!$B$43&gt;0),IF(MAX(0,Inputs!$B$43-B1228)&lt;=0,0,(INT(MAX(0,Inputs!$B$43-B1228)/IF(Inputs!$B$38="pvp",15,MAX(0.1,Skills!E15-IF(Skills!F15=TRUE,1.0,0))))+1)),0)</f>
        <v/>
      </c>
      <c r="S1205">
        <f>IF(C1205,(H1205*N1205*IF(AND(Inputs!$B$38&lt;&gt;"pvp",Inputs!$B$43&gt;0),((Skills!G15*((R1205-1)*IF(Skills!H15&gt;0,Skills!I15/Skills!H15,1)+IF(Skills!H15&gt;0,MIN(Skills!I15,MAX(0,MAX(0,Inputs!$B$43-B1228)-((R1205-1)*IF(Inputs!$B$38="pvp",15,MAX(0.1,Skills!E15-IF(Skills!F15=TRUE,1.0,0))))))/Skills!H15,1)))/Inputs!$B$43),G1205*Q1205))*IF(Inputs!$B$38="pvp",1,1+(Inputs!$B$20+Skills!P15)/100),0)</f>
        <v/>
      </c>
      <c r="U1205">
        <f>IF(C1205,(H1205*N1205*IF(AND(Inputs!$B$38&lt;&gt;"pvp",Inputs!$B$43&gt;0),((Skills!G15*((R1205-1)*IF(Skills!H15&gt;0,Skills!I15/Skills!H15,1)+IF(Skills!H15&gt;0,MIN(Skills!I15,MAX(0,MAX(0,Inputs!$B$43-B1228)-((R1205-1)*IF(Inputs!$B$38="pvp",15,MAX(0.1,Skills!E15-IF(Skills!F15=TRUE,1.0,0))))))/Skills!H15,1)))/Inputs!$B$43),G1205*Q1205))*IF(Inputs!$B$38="pvp",1,(1+(Inputs!$B$21+Skills!Q15)/100)*(MIN(Skills!R15,Inputs!$B$37))),0)</f>
        <v/>
      </c>
    </row>
    <row r="1206">
      <c r="A1206">
        <f>Skills!A16</f>
        <v/>
      </c>
      <c r="B1206">
        <f>Skills!B16</f>
        <v/>
      </c>
      <c r="C1206">
        <f>Inputs!$B$3&gt;=107</f>
        <v/>
      </c>
      <c r="D1206">
        <f>IF(Skills!C16=1,60+Inputs!$B$25+Inputs!$B$29,IF(Skills!C16=2,90+Inputs!$B$26+Inputs!$B$29,IF(Skills!C16=3,120+Inputs!$B$27+Inputs!$B$29,MAX(0,(Inputs!$B$3-100)*3)+Inputs!$B$28+Inputs!$B$29)))</f>
        <v/>
      </c>
      <c r="E1206">
        <f>INDEX(FactorTable!$B$2:$Y$301, MATCH(ROUND(MIN(300,MAX(1,D1206)),0), FactorTable!$A$2:$A$301,0), Skills!M16+1)</f>
        <v/>
      </c>
      <c r="F1206">
        <f>IF(Skills!N16=TRUE,(Skills!L16/10)*(E1206/1000),Skills!L16/10)+Skills!O16</f>
        <v/>
      </c>
      <c r="G1206">
        <f>Calc!G16</f>
        <v/>
      </c>
      <c r="H1206">
        <f>Calc!H16</f>
        <v/>
      </c>
      <c r="I1206">
        <f>IF(Skills!X16&lt;&gt;"",1+(Skills!X16/10)*(Z1193/1000)/100,1)</f>
        <v/>
      </c>
      <c r="J1206">
        <f>((Inputs!$B$6*(1+Inputs!$B$7/100))+(((Inputs!$B$12*(1+Inputs!$B$13/100))-(Inputs!$B$12*(1+Inputs!$B$13/100)))+0.25*(Inputs!$B$14-Inputs!$B$14))*(1+Inputs!$B$7/100))*(F1206/100)</f>
        <v/>
      </c>
      <c r="K1206">
        <f>J1206*(1+((Inputs!$B$12*(1+Inputs!$B$13/100))*0.01+Inputs!$B$14*0.0025)/100)*(1+Inputs!$B$15/100)*(1+Inputs!$B$16/100)*(5000/(6000+Inputs!$B$42*(1-Inputs!$B$19/100)))*(1+Inputs!$B$24/100)*(1+F1213/100)*(1+IF(Inputs!$B$3&gt;=120,F1216,0)/100)^5*(1+(IF(Skills!A16="BASIC_ATTACK",Inputs!$B$17,Inputs!$B$18+IF(Inputs!$B$3&gt;=125,F1217*5,0)))/100)*(B1220*B1221*B1222*I1206)</f>
        <v/>
      </c>
      <c r="L1206">
        <f>K1206*(MIN(Inputs!$B$22+(F1212-Calc!F22),Inputs!$B$23)/100+Inputs!$B$23/100)/2</f>
        <v/>
      </c>
      <c r="M1206">
        <f>L1206*(1+(Inputs!$B$10+(F1211-Calc!F21))/100)</f>
        <v/>
      </c>
      <c r="N1206">
        <f>L1206*(1-MIN(Inputs!$B$9+(F1210-Calc!F20),100)/100)+M1206*(MIN(Inputs!$B$9+(F1210-Calc!F20),100)/100)</f>
        <v/>
      </c>
      <c r="O1206">
        <f>(1-Summary!$B$56)*S1206+Summary!$B$56*U1206</f>
        <v/>
      </c>
      <c r="P1206">
        <f>IF(B1231=0,0,O1206/B1231)</f>
        <v/>
      </c>
      <c r="Q1206">
        <f>IFERROR(1/IF(Inputs!$B$38="pvp",15,MAX(0.1,Skills!E16-IF(Skills!F16=TRUE,1.0,0))),0)</f>
        <v/>
      </c>
      <c r="R1206">
        <f>IF(AND(Inputs!$B$38&lt;&gt;"pvp",Inputs!$B$43&gt;0),IF(MAX(0,Inputs!$B$43-B1228)&lt;=0,0,(INT(MAX(0,Inputs!$B$43-B1228)/IF(Inputs!$B$38="pvp",15,MAX(0.1,Skills!E16-IF(Skills!F16=TRUE,1.0,0))))+1)),0)</f>
        <v/>
      </c>
      <c r="S1206">
        <f>IF(C1206,(H1206*N1206*IF(AND(Inputs!$B$38&lt;&gt;"pvp",Inputs!$B$43&gt;0),((Skills!G16*((R1206-1)*IF(Skills!H16&gt;0,Skills!I16/Skills!H16,1)+IF(Skills!H16&gt;0,MIN(Skills!I16,MAX(0,MAX(0,Inputs!$B$43-B1228)-((R1206-1)*IF(Inputs!$B$38="pvp",15,MAX(0.1,Skills!E16-IF(Skills!F16=TRUE,1.0,0))))))/Skills!H16,1)))/Inputs!$B$43),G1206*Q1206)*(1+IF(Inputs!$B$3&gt;=126,0.05*(B1226+Q1203+(H1204*B1227)/(1+Skills!H14*H1204*B1227)+Q1214),0)*Skills!E15))*IF(Inputs!$B$38="pvp",1,1+(Inputs!$B$20+Skills!P16)/100),0)</f>
        <v/>
      </c>
      <c r="U1206">
        <f>IF(C1206,(H1206*N1206*IF(AND(Inputs!$B$38&lt;&gt;"pvp",Inputs!$B$43&gt;0),((Skills!G16*((R1206-1)*IF(Skills!H16&gt;0,Skills!I16/Skills!H16,1)+IF(Skills!H16&gt;0,MIN(Skills!I16,MAX(0,MAX(0,Inputs!$B$43-B1228)-((R1206-1)*IF(Inputs!$B$38="pvp",15,MAX(0.1,Skills!E16-IF(Skills!F16=TRUE,1.0,0))))))/Skills!H16,1)))/Inputs!$B$43),G1206*Q1206)*(1+IF(Inputs!$B$3&gt;=126,0.05*(B1226+Q1203+(H1204*B1227)/(1+Skills!H14*H1204*B1227)+Q1214),0)*Skills!E15))*IF(Inputs!$B$38="pvp",1,(1+(Inputs!$B$21+Skills!Q16)/100)*(MIN(Skills!R16,Inputs!$B$37))),0)</f>
        <v/>
      </c>
    </row>
    <row r="1207">
      <c r="A1207">
        <f>Skills!A17</f>
        <v/>
      </c>
      <c r="B1207">
        <f>Skills!B17</f>
        <v/>
      </c>
      <c r="C1207">
        <f>TRUE</f>
        <v/>
      </c>
      <c r="D1207">
        <f>IF(Skills!C17=1,60+Inputs!$B$25+Inputs!$B$29,IF(Skills!C17=2,90+Inputs!$B$26+Inputs!$B$29,IF(Skills!C17=3,120+Inputs!$B$27+Inputs!$B$29,MAX(0,(Inputs!$B$3-100)*3)+Inputs!$B$28+Inputs!$B$29)))</f>
        <v/>
      </c>
      <c r="E1207">
        <f>INDEX(FactorTable!$B$2:$Y$301, MATCH(ROUND(MIN(300,MAX(1,D1207)),0), FactorTable!$A$2:$A$301,0), Skills!M17+1)</f>
        <v/>
      </c>
      <c r="F1207">
        <f>IF(Skills!N17=TRUE,(Skills!L17/10)*(E1207/1000),Skills!L17/10)+Skills!O17</f>
        <v/>
      </c>
      <c r="G1207">
        <f>Calc!G17</f>
        <v/>
      </c>
      <c r="H1207">
        <f>Calc!H17</f>
        <v/>
      </c>
      <c r="I1207">
        <f>IF(Skills!X17&lt;&gt;"",1+(Skills!X17/10)*(Z1193/1000)/100,1)</f>
        <v/>
      </c>
      <c r="J1207" t="inlineStr"/>
      <c r="K1207" t="inlineStr"/>
      <c r="L1207" t="inlineStr"/>
      <c r="M1207" t="inlineStr"/>
      <c r="N1207" t="inlineStr"/>
      <c r="O1207">
        <f>(1-Summary!$B$56)*S1207+Summary!$B$56*U1207</f>
        <v/>
      </c>
      <c r="P1207">
        <f>IF(B1231=0,0,O1207/B1231)</f>
        <v/>
      </c>
      <c r="Q1207">
        <f>IFERROR(1/IF(Inputs!$B$38="pvp",15,MAX(0.1,Skills!E17-IF(Skills!F17=TRUE,1.0,0))),0)</f>
        <v/>
      </c>
      <c r="R1207">
        <f>IF(AND(Inputs!$B$38&lt;&gt;"pvp",Inputs!$B$43&gt;0),IF(Inputs!$B$43&lt;=0,0,(INT(Inputs!$B$43/IF(Inputs!$B$38="pvp",15,MAX(0.1,Skills!E17-IF(Skills!F17=TRUE,1.0,0))))+1)),0)</f>
        <v/>
      </c>
      <c r="S1207" t="n">
        <v>0</v>
      </c>
      <c r="U1207" t="n">
        <v>0</v>
      </c>
    </row>
    <row r="1208">
      <c r="A1208">
        <f>Skills!A18</f>
        <v/>
      </c>
      <c r="B1208">
        <f>Skills!B18</f>
        <v/>
      </c>
      <c r="C1208">
        <f>TRUE</f>
        <v/>
      </c>
      <c r="D1208">
        <f>IF(Skills!C18=1,60+Inputs!$B$25+Inputs!$B$29,IF(Skills!C18=2,90+Inputs!$B$26+Inputs!$B$29,IF(Skills!C18=3,120+Inputs!$B$27+Inputs!$B$29,MAX(0,(Inputs!$B$3-100)*3)+Inputs!$B$28+Inputs!$B$29)))</f>
        <v/>
      </c>
      <c r="E1208">
        <f>INDEX(FactorTable!$B$2:$Y$301, MATCH(ROUND(MIN(300,MAX(1,D1208)),0), FactorTable!$A$2:$A$301,0), Skills!M18+1)</f>
        <v/>
      </c>
      <c r="F1208">
        <f>IF(Skills!N18=TRUE,(Skills!L18/10)*(E1208/1000),Skills!L18/10)+Skills!O18</f>
        <v/>
      </c>
      <c r="G1208">
        <f>Calc!G18</f>
        <v/>
      </c>
      <c r="H1208">
        <f>Calc!H18</f>
        <v/>
      </c>
      <c r="I1208">
        <f>IF(Skills!X18&lt;&gt;"",1+(Skills!X18/10)*(Z1193/1000)/100,1)</f>
        <v/>
      </c>
      <c r="J1208" t="inlineStr"/>
      <c r="K1208" t="inlineStr"/>
      <c r="L1208" t="inlineStr"/>
      <c r="M1208" t="inlineStr"/>
      <c r="N1208" t="inlineStr"/>
      <c r="O1208">
        <f>(1-Summary!$B$56)*S1208+Summary!$B$56*U1208</f>
        <v/>
      </c>
      <c r="P1208">
        <f>IF(B1231=0,0,O1208/B1231)</f>
        <v/>
      </c>
      <c r="Q1208">
        <f>IFERROR(1/IF(Inputs!$B$38="pvp",15,MAX(0.1,Skills!E18-IF(Skills!F18=TRUE,1.0,0))),0)</f>
        <v/>
      </c>
      <c r="R1208">
        <f>IF(AND(Inputs!$B$38&lt;&gt;"pvp",Inputs!$B$43&gt;0),IF(Inputs!$B$43&lt;=0,0,(INT(Inputs!$B$43/IF(Inputs!$B$38="pvp",15,MAX(0.1,Skills!E18-IF(Skills!F18=TRUE,1.0,0))))+1)),0)</f>
        <v/>
      </c>
      <c r="S1208" t="n">
        <v>0</v>
      </c>
      <c r="U1208" t="n">
        <v>0</v>
      </c>
    </row>
    <row r="1209">
      <c r="A1209">
        <f>Skills!A19</f>
        <v/>
      </c>
      <c r="B1209">
        <f>Skills!B19</f>
        <v/>
      </c>
      <c r="C1209">
        <f>Inputs!$B$3&gt;=110</f>
        <v/>
      </c>
      <c r="D1209">
        <f>IF(Skills!C19=1,60+Inputs!$B$25+Inputs!$B$29,IF(Skills!C19=2,90+Inputs!$B$26+Inputs!$B$29,IF(Skills!C19=3,120+Inputs!$B$27+Inputs!$B$29,MAX(0,(Inputs!$B$3-100)*3)+Inputs!$B$28+Inputs!$B$29)))</f>
        <v/>
      </c>
      <c r="E1209">
        <f>INDEX(FactorTable!$B$2:$Y$301, MATCH(ROUND(MIN(300,MAX(1,D1209)),0), FactorTable!$A$2:$A$301,0), Skills!M19+1)</f>
        <v/>
      </c>
      <c r="F1209">
        <f>IF(Skills!N19=TRUE,(Skills!L19/10)*(E1209/1000),Skills!L19/10)+Skills!O19</f>
        <v/>
      </c>
      <c r="G1209">
        <f>Calc!G19</f>
        <v/>
      </c>
      <c r="H1209">
        <f>Calc!H19</f>
        <v/>
      </c>
      <c r="I1209">
        <f>IF(Skills!X19&lt;&gt;"",1+(Skills!X19/10)*(Z1193/1000)/100,1)</f>
        <v/>
      </c>
      <c r="J1209" t="inlineStr"/>
      <c r="K1209" t="inlineStr"/>
      <c r="L1209" t="inlineStr"/>
      <c r="M1209" t="inlineStr"/>
      <c r="N1209" t="inlineStr"/>
      <c r="O1209">
        <f>(1-Summary!$B$56)*S1209+Summary!$B$56*U1209</f>
        <v/>
      </c>
      <c r="P1209">
        <f>IF(B1231=0,0,O1209/B1231)</f>
        <v/>
      </c>
      <c r="Q1209">
        <f>IFERROR(1/IF(Inputs!$B$38="pvp",15,MAX(0.1,Skills!E19-IF(Skills!F19=TRUE,1.0,0))),0)</f>
        <v/>
      </c>
      <c r="R1209">
        <f>IF(AND(Inputs!$B$38&lt;&gt;"pvp",Inputs!$B$43&gt;0),IF(Inputs!$B$43&lt;=0,0,(INT(Inputs!$B$43/IF(Inputs!$B$38="pvp",15,MAX(0.1,Skills!E19-IF(Skills!F19=TRUE,1.0,0))))+1)),0)</f>
        <v/>
      </c>
      <c r="S1209" t="n">
        <v>0</v>
      </c>
      <c r="U1209" t="n">
        <v>0</v>
      </c>
    </row>
    <row r="1210">
      <c r="A1210">
        <f>Skills!A20</f>
        <v/>
      </c>
      <c r="B1210">
        <f>Skills!B20</f>
        <v/>
      </c>
      <c r="C1210">
        <f>TRUE</f>
        <v/>
      </c>
      <c r="D1210">
        <f>IF(Skills!C20=1,60+Inputs!$B$25+Inputs!$B$29,IF(Skills!C20=2,90+Inputs!$B$26+Inputs!$B$29,IF(Skills!C20=3,120+Inputs!$B$27+Inputs!$B$29,MAX(0,(Inputs!$B$3-100)*3)+Inputs!$B$28+Inputs!$B$29)))</f>
        <v/>
      </c>
      <c r="E1210">
        <f>INDEX(FactorTable!$B$2:$Y$301, MATCH(ROUND(MIN(300,MAX(1,D1210)),0), FactorTable!$A$2:$A$301,0), Skills!M20+1)</f>
        <v/>
      </c>
      <c r="F1210">
        <f>IF(Skills!N20=TRUE,(Skills!L20/10)*(E1210/1000),Skills!L20/10)+Skills!O20</f>
        <v/>
      </c>
      <c r="G1210">
        <f>Calc!G20</f>
        <v/>
      </c>
      <c r="H1210">
        <f>Calc!H20</f>
        <v/>
      </c>
      <c r="I1210">
        <f>IF(Skills!X20&lt;&gt;"",1+(Skills!X20/10)*(Z1193/1000)/100,1)</f>
        <v/>
      </c>
      <c r="J1210" t="inlineStr"/>
      <c r="K1210" t="inlineStr"/>
      <c r="L1210" t="inlineStr"/>
      <c r="M1210" t="inlineStr"/>
      <c r="N1210" t="inlineStr"/>
      <c r="O1210">
        <f>(1-Summary!$B$56)*S1210+Summary!$B$56*U1210</f>
        <v/>
      </c>
      <c r="P1210">
        <f>IF(B1231=0,0,O1210/B1231)</f>
        <v/>
      </c>
      <c r="Q1210">
        <f>IFERROR(1/IF(Inputs!$B$38="pvp",15,MAX(0.1,Skills!E20-IF(Skills!F20=TRUE,1.0,0))),0)</f>
        <v/>
      </c>
      <c r="R1210" t="n">
        <v>0</v>
      </c>
      <c r="S1210" t="n">
        <v>0</v>
      </c>
      <c r="U1210" t="n">
        <v>0</v>
      </c>
    </row>
    <row r="1211">
      <c r="A1211">
        <f>Skills!A21</f>
        <v/>
      </c>
      <c r="B1211">
        <f>Skills!B21</f>
        <v/>
      </c>
      <c r="C1211">
        <f>TRUE</f>
        <v/>
      </c>
      <c r="D1211">
        <f>IF(Skills!C21=1,60+Inputs!$B$25+Inputs!$B$29,IF(Skills!C21=2,90+Inputs!$B$26+Inputs!$B$29,IF(Skills!C21=3,120+Inputs!$B$27+Inputs!$B$29,MAX(0,(Inputs!$B$3-100)*3)+Inputs!$B$28+Inputs!$B$29)))</f>
        <v/>
      </c>
      <c r="E1211">
        <f>INDEX(FactorTable!$B$2:$Y$301, MATCH(ROUND(MIN(300,MAX(1,D1211)),0), FactorTable!$A$2:$A$301,0), Skills!M21+1)</f>
        <v/>
      </c>
      <c r="F1211">
        <f>IF(Skills!N21=TRUE,(Skills!L21/10)*(E1211/1000),Skills!L21/10)+Skills!O21</f>
        <v/>
      </c>
      <c r="G1211">
        <f>Calc!G21</f>
        <v/>
      </c>
      <c r="H1211">
        <f>Calc!H21</f>
        <v/>
      </c>
      <c r="I1211">
        <f>IF(Skills!X21&lt;&gt;"",1+(Skills!X21/10)*(Z1193/1000)/100,1)</f>
        <v/>
      </c>
      <c r="J1211" t="inlineStr"/>
      <c r="K1211" t="inlineStr"/>
      <c r="L1211" t="inlineStr"/>
      <c r="M1211" t="inlineStr"/>
      <c r="N1211" t="inlineStr"/>
      <c r="O1211">
        <f>(1-Summary!$B$56)*S1211+Summary!$B$56*U1211</f>
        <v/>
      </c>
      <c r="P1211">
        <f>IF(B1231=0,0,O1211/B1231)</f>
        <v/>
      </c>
      <c r="Q1211">
        <f>IFERROR(1/IF(Inputs!$B$38="pvp",15,MAX(0.1,Skills!E21-IF(Skills!F21=TRUE,1.0,0))),0)</f>
        <v/>
      </c>
      <c r="R1211" t="n">
        <v>0</v>
      </c>
      <c r="S1211" t="n">
        <v>0</v>
      </c>
      <c r="U1211" t="n">
        <v>0</v>
      </c>
    </row>
    <row r="1212">
      <c r="A1212">
        <f>Skills!A22</f>
        <v/>
      </c>
      <c r="B1212">
        <f>Skills!B22</f>
        <v/>
      </c>
      <c r="C1212">
        <f>TRUE</f>
        <v/>
      </c>
      <c r="D1212">
        <f>IF(Skills!C22=1,60+Inputs!$B$25+Inputs!$B$29,IF(Skills!C22=2,90+Inputs!$B$26+Inputs!$B$29,IF(Skills!C22=3,120+Inputs!$B$27+Inputs!$B$29,MAX(0,(Inputs!$B$3-100)*3)+Inputs!$B$28+Inputs!$B$29)))</f>
        <v/>
      </c>
      <c r="E1212">
        <f>INDEX(FactorTable!$B$2:$Y$301, MATCH(ROUND(MIN(300,MAX(1,D1212)),0), FactorTable!$A$2:$A$301,0), Skills!M22+1)</f>
        <v/>
      </c>
      <c r="F1212">
        <f>IF(Skills!N22=TRUE,(Skills!L22/10)*(E1212/1000),Skills!L22/10)+Skills!O22</f>
        <v/>
      </c>
      <c r="G1212">
        <f>Calc!G22</f>
        <v/>
      </c>
      <c r="H1212">
        <f>Calc!H22</f>
        <v/>
      </c>
      <c r="I1212">
        <f>IF(Skills!X22&lt;&gt;"",1+(Skills!X22/10)*(Z1193/1000)/100,1)</f>
        <v/>
      </c>
      <c r="J1212" t="inlineStr"/>
      <c r="K1212" t="inlineStr"/>
      <c r="L1212" t="inlineStr"/>
      <c r="M1212" t="inlineStr"/>
      <c r="N1212" t="inlineStr"/>
      <c r="O1212">
        <f>(1-Summary!$B$56)*S1212+Summary!$B$56*U1212</f>
        <v/>
      </c>
      <c r="P1212">
        <f>IF(B1231=0,0,O1212/B1231)</f>
        <v/>
      </c>
      <c r="Q1212">
        <f>IFERROR(1/IF(Inputs!$B$38="pvp",15,MAX(0.1,Skills!E22-IF(Skills!F22=TRUE,1.0,0))),0)</f>
        <v/>
      </c>
      <c r="R1212" t="n">
        <v>0</v>
      </c>
      <c r="S1212" t="n">
        <v>0</v>
      </c>
      <c r="U1212" t="n">
        <v>0</v>
      </c>
    </row>
    <row r="1213">
      <c r="A1213">
        <f>Skills!A23</f>
        <v/>
      </c>
      <c r="B1213">
        <f>Skills!B23</f>
        <v/>
      </c>
      <c r="C1213">
        <f>TRUE</f>
        <v/>
      </c>
      <c r="D1213">
        <f>IF(Skills!C23=1,60+Inputs!$B$25+Inputs!$B$29,IF(Skills!C23=2,90+Inputs!$B$26+Inputs!$B$29,IF(Skills!C23=3,120+Inputs!$B$27+Inputs!$B$29,MAX(0,(Inputs!$B$3-100)*3)+Inputs!$B$28+Inputs!$B$29)))</f>
        <v/>
      </c>
      <c r="E1213">
        <f>INDEX(FactorTable!$B$2:$Y$301, MATCH(ROUND(MIN(300,MAX(1,D1213)),0), FactorTable!$A$2:$A$301,0), Skills!M23+1)</f>
        <v/>
      </c>
      <c r="F1213">
        <f>IF(Skills!N23=TRUE,(Skills!L23/10)*(E1213/1000),Skills!L23/10)+Skills!O23</f>
        <v/>
      </c>
      <c r="G1213">
        <f>Calc!G23</f>
        <v/>
      </c>
      <c r="H1213">
        <f>Calc!H23</f>
        <v/>
      </c>
      <c r="I1213">
        <f>IF(Skills!X23&lt;&gt;"",1+(Skills!X23/10)*(Z1193/1000)/100,1)</f>
        <v/>
      </c>
      <c r="J1213" t="inlineStr"/>
      <c r="K1213" t="inlineStr"/>
      <c r="L1213" t="inlineStr"/>
      <c r="M1213" t="inlineStr"/>
      <c r="N1213" t="inlineStr"/>
      <c r="O1213">
        <f>(1-Summary!$B$56)*S1213+Summary!$B$56*U1213</f>
        <v/>
      </c>
      <c r="P1213">
        <f>IF(B1231=0,0,O1213/B1231)</f>
        <v/>
      </c>
      <c r="Q1213">
        <f>IFERROR(1/IF(Inputs!$B$38="pvp",15,MAX(0.1,Skills!E23-IF(Skills!F23=TRUE,1.0,0))),0)</f>
        <v/>
      </c>
      <c r="R1213" t="n">
        <v>0</v>
      </c>
      <c r="S1213" t="n">
        <v>0</v>
      </c>
      <c r="U1213" t="n">
        <v>0</v>
      </c>
    </row>
    <row r="1214">
      <c r="A1214">
        <f>Skills!A24</f>
        <v/>
      </c>
      <c r="B1214">
        <f>Skills!B24</f>
        <v/>
      </c>
      <c r="C1214">
        <f>Inputs!$B$3&gt;=115</f>
        <v/>
      </c>
      <c r="D1214">
        <f>IF(Skills!C24=1,60+Inputs!$B$25+Inputs!$B$29,IF(Skills!C24=2,90+Inputs!$B$26+Inputs!$B$29,IF(Skills!C24=3,120+Inputs!$B$27+Inputs!$B$29,MAX(0,(Inputs!$B$3-100)*3)+Inputs!$B$28+Inputs!$B$29)))</f>
        <v/>
      </c>
      <c r="E1214">
        <f>INDEX(FactorTable!$B$2:$Y$301, MATCH(ROUND(MIN(300,MAX(1,D1214)),0), FactorTable!$A$2:$A$301,0), Skills!M24+1)</f>
        <v/>
      </c>
      <c r="F1214">
        <f>IF(Skills!N24=TRUE,(Skills!L24/10)*(E1214/1000),Skills!L24/10)+Skills!O24</f>
        <v/>
      </c>
      <c r="G1214">
        <f>Calc!G24</f>
        <v/>
      </c>
      <c r="H1214">
        <f>Calc!H24</f>
        <v/>
      </c>
      <c r="I1214">
        <f>IF(Skills!X24&lt;&gt;"",1+(Skills!X24/10)*(Z1193/1000)/100,1)</f>
        <v/>
      </c>
      <c r="J1214">
        <f>((Inputs!$B$6*(1+Inputs!$B$7/100))+(((Inputs!$B$12*(1+Inputs!$B$13/100))-(Inputs!$B$12*(1+Inputs!$B$13/100)))+0.25*(Inputs!$B$14-Inputs!$B$14))*(1+Inputs!$B$7/100))*(F1214/100)</f>
        <v/>
      </c>
      <c r="K1214">
        <f>J1214*(1+((Inputs!$B$12*(1+Inputs!$B$13/100))*0.01+Inputs!$B$14*0.0025)/100)*(1+Inputs!$B$15/100)*(1+Inputs!$B$16/100)*(5000/(6000+Inputs!$B$42*(1-Inputs!$B$19/100)))*(1+Inputs!$B$24/100)*(1+F1213/100)*(1+IF(Inputs!$B$3&gt;=120,F1216,0)/100)^5*(1+(IF(Skills!A24="BASIC_ATTACK",Inputs!$B$17,Inputs!$B$18+IF(Inputs!$B$3&gt;=125,F1217*5,0)))/100)*(B1220*B1221*B1222*I1214)</f>
        <v/>
      </c>
      <c r="L1214">
        <f>K1214*(MIN(Inputs!$B$22+(F1212-Calc!F22),Inputs!$B$23)/100+Inputs!$B$23/100)/2</f>
        <v/>
      </c>
      <c r="M1214">
        <f>L1214*(1+(Inputs!$B$10+(F1211-Calc!F21))/100)</f>
        <v/>
      </c>
      <c r="N1214">
        <f>L1214*(1-MIN(Inputs!$B$9+(F1210-Calc!F20),100)/100)+M1214*(MIN(Inputs!$B$9+(F1210-Calc!F20),100)/100)</f>
        <v/>
      </c>
      <c r="O1214">
        <f>(1-Summary!$B$56)*S1214+Summary!$B$56*U1214</f>
        <v/>
      </c>
      <c r="P1214">
        <f>IF(B1231=0,0,O1214/B1231)</f>
        <v/>
      </c>
      <c r="Q1214">
        <f>IFERROR(1/IF(Inputs!$B$38="pvp",15,MAX(0.1,Skills!E24-IF(Skills!F24=TRUE,1.0,0))),0)</f>
        <v/>
      </c>
      <c r="R1214">
        <f>IF(AND(Inputs!$B$38&lt;&gt;"pvp",Inputs!$B$43&gt;0),IF(MAX(0,Inputs!$B$43-B1228)&lt;=0,0,(INT(MAX(0,Inputs!$B$43-B1228)/IF(Inputs!$B$38="pvp",15,MAX(0.1,Skills!E24-IF(Skills!F24=TRUE,1.0,0))))+1)),0)</f>
        <v/>
      </c>
      <c r="S1214">
        <f>IF(C1214,(H1214*N1214*IF(AND(Inputs!$B$38&lt;&gt;"pvp",Inputs!$B$43&gt;0),((Skills!G24*((R1214-1)*IF(Skills!H24&gt;0,Skills!I24/Skills!H24,1)+IF(Skills!H24&gt;0,MIN(Skills!I24,MAX(0,MAX(0,Inputs!$B$43-B1228)-((R1214-1)*IF(Inputs!$B$38="pvp",15,MAX(0.1,Skills!E24-IF(Skills!F24=TRUE,1.0,0))))))/Skills!H24,1)))/Inputs!$B$43),G1214*Q1214)*(1+IF(Inputs!$B$3&gt;=130,0.2*(Skills!I16/Skills!E15+IF(Inputs!$B$3&gt;=126,0.05*(B1226+Q1203+(H1204*B1227)/(1+Skills!H14*H1204*B1227)+Q1214),0)*Skills!I16),0)))*IF(Inputs!$B$38="pvp",1,1+(Inputs!$B$20+Skills!P24)/100),0)</f>
        <v/>
      </c>
      <c r="U1214">
        <f>IF(C1214,(H1214*N1214*IF(AND(Inputs!$B$38&lt;&gt;"pvp",Inputs!$B$43&gt;0),((Skills!G24*((R1214-1)*IF(Skills!H24&gt;0,Skills!I24/Skills!H24,1)+IF(Skills!H24&gt;0,MIN(Skills!I24,MAX(0,MAX(0,Inputs!$B$43-B1228)-((R1214-1)*IF(Inputs!$B$38="pvp",15,MAX(0.1,Skills!E24-IF(Skills!F24=TRUE,1.0,0))))))/Skills!H24,1)))/Inputs!$B$43),G1214*Q1214)*(1+IF(Inputs!$B$3&gt;=130,0.2*(Skills!I16/Skills!E15+IF(Inputs!$B$3&gt;=126,0.05*(B1226+Q1203+(H1204*B1227)/(1+Skills!H14*H1204*B1227)+Q1214),0)*Skills!I16),0)))*IF(Inputs!$B$38="pvp",1,(1+(Inputs!$B$21+Skills!Q24)/100)*(MIN(Skills!R24,Inputs!$B$37))),0)</f>
        <v/>
      </c>
    </row>
    <row r="1215">
      <c r="A1215">
        <f>Skills!A25</f>
        <v/>
      </c>
      <c r="B1215">
        <f>Skills!B25</f>
        <v/>
      </c>
      <c r="C1215">
        <f>Inputs!$B$3&gt;=117</f>
        <v/>
      </c>
      <c r="D1215">
        <f>IF(Skills!C25=1,60+Inputs!$B$25+Inputs!$B$29,IF(Skills!C25=2,90+Inputs!$B$26+Inputs!$B$29,IF(Skills!C25=3,120+Inputs!$B$27+Inputs!$B$29,MAX(0,(Inputs!$B$3-100)*3)+Inputs!$B$28+Inputs!$B$29)))</f>
        <v/>
      </c>
      <c r="E1215">
        <f>INDEX(FactorTable!$B$2:$Y$301, MATCH(ROUND(MIN(300,MAX(1,D1215)),0), FactorTable!$A$2:$A$301,0), Skills!M25+1)</f>
        <v/>
      </c>
      <c r="F1215">
        <f>IF(Skills!N25=TRUE,(Skills!L25/10)*(E1215/1000),Skills!L25/10)+Skills!O25</f>
        <v/>
      </c>
      <c r="G1215">
        <f>Calc!G25</f>
        <v/>
      </c>
      <c r="H1215">
        <f>Calc!H25</f>
        <v/>
      </c>
      <c r="I1215">
        <f>IF(Skills!X25&lt;&gt;"",1+(Skills!X25/10)*(Z1193/1000)/100,1)</f>
        <v/>
      </c>
      <c r="J1215" t="inlineStr"/>
      <c r="K1215" t="inlineStr"/>
      <c r="L1215" t="inlineStr"/>
      <c r="M1215" t="inlineStr"/>
      <c r="N1215" t="inlineStr"/>
      <c r="O1215">
        <f>(1-Summary!$B$56)*S1215+Summary!$B$56*U1215</f>
        <v/>
      </c>
      <c r="P1215">
        <f>IF(B1231=0,0,O1215/B1231)</f>
        <v/>
      </c>
      <c r="Q1215">
        <f>IFERROR(1/IF(Inputs!$B$38="pvp",15,MAX(0.1,Skills!E25-IF(Skills!F25=TRUE,1.0,0))),0)</f>
        <v/>
      </c>
      <c r="R1215" t="n">
        <v>0</v>
      </c>
      <c r="S1215" t="n">
        <v>0</v>
      </c>
      <c r="U1215" t="n">
        <v>0</v>
      </c>
    </row>
    <row r="1216">
      <c r="A1216">
        <f>Skills!A26</f>
        <v/>
      </c>
      <c r="B1216">
        <f>Skills!B26</f>
        <v/>
      </c>
      <c r="C1216">
        <f>Inputs!$B$3&gt;=120</f>
        <v/>
      </c>
      <c r="D1216">
        <f>IF(Skills!C26=1,60+Inputs!$B$25+Inputs!$B$29,IF(Skills!C26=2,90+Inputs!$B$26+Inputs!$B$29,IF(Skills!C26=3,120+Inputs!$B$27+Inputs!$B$29,MAX(0,(Inputs!$B$3-100)*3)+Inputs!$B$28+Inputs!$B$29)))</f>
        <v/>
      </c>
      <c r="E1216">
        <f>INDEX(FactorTable!$B$2:$Y$301, MATCH(ROUND(MIN(300,MAX(1,D1216)),0), FactorTable!$A$2:$A$301,0), Skills!M26+1)</f>
        <v/>
      </c>
      <c r="F1216">
        <f>IF(Skills!N26=TRUE,(Skills!L26/10)*(E1216/1000),Skills!L26/10)+Skills!O26</f>
        <v/>
      </c>
      <c r="G1216">
        <f>Calc!G26</f>
        <v/>
      </c>
      <c r="H1216">
        <f>Calc!H26</f>
        <v/>
      </c>
      <c r="I1216">
        <f>IF(Skills!X26&lt;&gt;"",1+(Skills!X26/10)*(Z1193/1000)/100,1)</f>
        <v/>
      </c>
      <c r="J1216" t="inlineStr"/>
      <c r="K1216" t="inlineStr"/>
      <c r="L1216" t="inlineStr"/>
      <c r="M1216" t="inlineStr"/>
      <c r="N1216" t="inlineStr"/>
      <c r="O1216">
        <f>(1-Summary!$B$56)*S1216+Summary!$B$56*U1216</f>
        <v/>
      </c>
      <c r="P1216">
        <f>IF(B1231=0,0,O1216/B1231)</f>
        <v/>
      </c>
      <c r="Q1216">
        <f>IFERROR(1/IF(Inputs!$B$38="pvp",15,MAX(0.1,Skills!E26-IF(Skills!F26=TRUE,1.0,0))),0)</f>
        <v/>
      </c>
      <c r="R1216" t="n">
        <v>0</v>
      </c>
      <c r="S1216" t="n">
        <v>0</v>
      </c>
      <c r="U1216" t="n">
        <v>0</v>
      </c>
    </row>
    <row r="1217">
      <c r="A1217">
        <f>Skills!A27</f>
        <v/>
      </c>
      <c r="B1217">
        <f>Skills!B27</f>
        <v/>
      </c>
      <c r="C1217">
        <f>Inputs!$B$3&gt;=125</f>
        <v/>
      </c>
      <c r="D1217">
        <f>IF(Skills!C27=1,60+Inputs!$B$25+Inputs!$B$29,IF(Skills!C27=2,90+Inputs!$B$26+Inputs!$B$29,IF(Skills!C27=3,120+Inputs!$B$27+Inputs!$B$29,MAX(0,(Inputs!$B$3-100)*3)+Inputs!$B$28+Inputs!$B$29)))</f>
        <v/>
      </c>
      <c r="E1217">
        <f>INDEX(FactorTable!$B$2:$Y$301, MATCH(ROUND(MIN(300,MAX(1,D1217)),0), FactorTable!$A$2:$A$301,0), Skills!M27+1)</f>
        <v/>
      </c>
      <c r="F1217">
        <f>IF(Skills!N27=TRUE,(Skills!L27/10)*(E1217/1000),Skills!L27/10)+Skills!O27</f>
        <v/>
      </c>
      <c r="G1217">
        <f>Calc!G27</f>
        <v/>
      </c>
      <c r="H1217">
        <f>Calc!H27</f>
        <v/>
      </c>
      <c r="I1217">
        <f>IF(Skills!X27&lt;&gt;"",1+(Skills!X27/10)*(Z1193/1000)/100,1)</f>
        <v/>
      </c>
      <c r="J1217" t="inlineStr"/>
      <c r="K1217" t="inlineStr"/>
      <c r="L1217" t="inlineStr"/>
      <c r="M1217" t="inlineStr"/>
      <c r="N1217" t="inlineStr"/>
      <c r="O1217">
        <f>(1-Summary!$B$56)*S1217+Summary!$B$56*U1217</f>
        <v/>
      </c>
      <c r="P1217">
        <f>IF(B1231=0,0,O1217/B1231)</f>
        <v/>
      </c>
      <c r="Q1217">
        <f>IFERROR(1/IF(Inputs!$B$38="pvp",15,MAX(0.1,Skills!E27-IF(Skills!F27=TRUE,1.0,0))),0)</f>
        <v/>
      </c>
      <c r="R1217" t="n">
        <v>0</v>
      </c>
      <c r="S1217" t="n">
        <v>0</v>
      </c>
      <c r="U1217" t="n">
        <v>0</v>
      </c>
    </row>
    <row r="1218">
      <c r="A1218">
        <f>Skills!A28</f>
        <v/>
      </c>
      <c r="B1218">
        <f>Skills!B28</f>
        <v/>
      </c>
      <c r="C1218">
        <f>Inputs!$B$3&gt;=118</f>
        <v/>
      </c>
      <c r="D1218">
        <f>IF(Skills!C28=1,60+Inputs!$B$25+Inputs!$B$29,IF(Skills!C28=2,90+Inputs!$B$26+Inputs!$B$29,IF(Skills!C28=3,120+Inputs!$B$27+Inputs!$B$29,MAX(0,(Inputs!$B$3-100)*3)+Inputs!$B$28+Inputs!$B$29)))</f>
        <v/>
      </c>
      <c r="E1218">
        <f>INDEX(FactorTable!$B$2:$Y$301, MATCH(ROUND(MIN(300,MAX(1,D1218)),0), FactorTable!$A$2:$A$301,0), Skills!M28+1)</f>
        <v/>
      </c>
      <c r="F1218">
        <f>IF(Skills!N28=TRUE,(Skills!L28/10)*(E1218/1000),Skills!L28/10)+Skills!O28</f>
        <v/>
      </c>
      <c r="G1218">
        <f>Calc!G28</f>
        <v/>
      </c>
      <c r="H1218">
        <f>Calc!H28</f>
        <v/>
      </c>
      <c r="I1218">
        <f>IF(Skills!X28&lt;&gt;"",1+(Skills!X28/10)*(Z1193/1000)/100,1)</f>
        <v/>
      </c>
      <c r="J1218">
        <f>((Inputs!$B$6*(1+Inputs!$B$7/100))+(((Inputs!$B$12*(1+Inputs!$B$13/100))-(Inputs!$B$12*(1+Inputs!$B$13/100)))+0.25*(Inputs!$B$14-Inputs!$B$14))*(1+Inputs!$B$7/100))*(F1218/100)</f>
        <v/>
      </c>
      <c r="K1218">
        <f>J1218*(1+((Inputs!$B$12*(1+Inputs!$B$13/100))*0.01+Inputs!$B$14*0.0025)/100)*(1+Inputs!$B$15/100)*(1+Inputs!$B$16/100)*(5000/(6000+Inputs!$B$42*(1-Inputs!$B$19/100)))*(1+Inputs!$B$24/100)*(1+F1213/100)*(1+IF(Inputs!$B$3&gt;=120,F1216,0)/100)^5*(1+(IF(Skills!A28="BASIC_ATTACK",Inputs!$B$17,Inputs!$B$18+IF(Inputs!$B$3&gt;=125,F1217*5,0)))/100)*(B1220*B1221*B1222*I1218)</f>
        <v/>
      </c>
      <c r="L1218">
        <f>K1218*(MIN(Inputs!$B$22+(F1212-Calc!F22),Inputs!$B$23)/100+Inputs!$B$23/100)/2</f>
        <v/>
      </c>
      <c r="M1218">
        <f>L1218*(1+(Inputs!$B$10+(F1211-Calc!F21))/100)</f>
        <v/>
      </c>
      <c r="N1218">
        <f>L1218*(1-MIN(Inputs!$B$9+(F1210-Calc!F20),100)/100)+M1218*(MIN(Inputs!$B$9+(F1210-Calc!F20),100)/100)</f>
        <v/>
      </c>
      <c r="O1218">
        <f>(1-Summary!$B$56)*S1218+Summary!$B$56*U1218</f>
        <v/>
      </c>
      <c r="P1218">
        <f>IF(B1231=0,0,O1218/B1231)</f>
        <v/>
      </c>
      <c r="Q1218">
        <f>IFERROR(1/IF(Inputs!$B$38="pvp",15,MAX(0.1,Skills!E28-IF(Skills!F28=TRUE,1.0,0))),0)</f>
        <v/>
      </c>
      <c r="R1218">
        <f>IF(AND(Inputs!$B$38&lt;&gt;"pvp",Inputs!$B$43&gt;0),IF(MAX(0,Inputs!$B$43-B1228)&lt;=0,0,(INT(MAX(0,Inputs!$B$43-B1228)/IF(Inputs!$B$38="pvp",15,MAX(0.1,Skills!E28-IF(Skills!F28=TRUE,1.0,0))))+1)),0)</f>
        <v/>
      </c>
      <c r="S1218">
        <f>IF(C1218,(H1218*N1218*IF(AND(Inputs!$B$38&lt;&gt;"pvp",Inputs!$B$43&gt;0),((Skills!G28*((R1218-1)*IF(Skills!H28&gt;0,Skills!I28/Skills!H28,1)+IF(Skills!H28&gt;0,MIN(Skills!I28,MAX(0,MAX(0,Inputs!$B$43-B1228)-((R1218-1)*IF(Inputs!$B$38="pvp",15,MAX(0.1,Skills!E28-IF(Skills!F28=TRUE,1.0,0))))))/Skills!H28,1)))/Inputs!$B$43),G1218*Q1218))*IF(Inputs!$B$38="pvp",1,1+(Inputs!$B$20+Skills!P28)/100),0)</f>
        <v/>
      </c>
      <c r="U1218">
        <f>IF(C1218,(H1218*N1218*IF(AND(Inputs!$B$38&lt;&gt;"pvp",Inputs!$B$43&gt;0),((Skills!G28*((R1218-1)*IF(Skills!H28&gt;0,Skills!I28/Skills!H28,1)+IF(Skills!H28&gt;0,MIN(Skills!I28,MAX(0,MAX(0,Inputs!$B$43-B1228)-((R1218-1)*IF(Inputs!$B$38="pvp",15,MAX(0.1,Skills!E28-IF(Skills!F28=TRUE,1.0,0))))))/Skills!H28,1)))/Inputs!$B$43),G1218*Q1218))*IF(Inputs!$B$38="pvp",1,(1+(Inputs!$B$21+Skills!Q28)/100)*(MIN(Skills!R28,Inputs!$B$37))),0)</f>
        <v/>
      </c>
    </row>
    <row r="1220">
      <c r="A1220" t="inlineStr">
        <is>
          <t>Burning Magic Multiplier</t>
        </is>
      </c>
      <c r="B1220">
        <f>1+(F1201*Skills!Z11)/100</f>
        <v/>
      </c>
    </row>
    <row r="1221">
      <c r="A1221" t="inlineStr">
        <is>
          <t>Elemental Decrease Multiplier (always-on)</t>
        </is>
      </c>
      <c r="B1221">
        <f>1+F1202/100</f>
        <v/>
      </c>
    </row>
    <row r="1222">
      <c r="A1222" t="inlineStr">
        <is>
          <t>Average Buff Multiplier (Magic Guard + Meditation, summed; then Infinity)</t>
        </is>
      </c>
      <c r="B1222">
        <f>(1+(F1196*IF(AND(Inputs!$B$38&lt;&gt;"pvp",Inputs!$B$43&gt;0),(((R1196-1)*(Skills!T6*(1+(Inputs!$B$34+IF(Inputs!$B$3&gt;=117,F1215,0))/100))+MIN((Skills!T6*(1+(Inputs!$B$34+IF(Inputs!$B$3&gt;=117,F1215,0))/100)),MAX(0,Inputs!$B$43-((R1196-1)*Skills!E6))))/Inputs!$B$43),IF(Inputs!$B$38="pvp",MIN((Skills!T6*(1+(Inputs!$B$34+IF(Inputs!$B$3&gt;=117,F1215,0))/100)),15)/15,(Skills!T6*(1+(Inputs!$B$34+IF(Inputs!$B$3&gt;=117,F1215,0))/100))/Skills!E6))+F1207*IF(AND(Inputs!$B$38&lt;&gt;"pvp",Inputs!$B$43&gt;0),(((R1207-1)*(Skills!T17*(1+(Inputs!$B$34+IF(Inputs!$B$3&gt;=117,F1215,0))/100))+MIN((Skills!T17*(1+(Inputs!$B$34+IF(Inputs!$B$3&gt;=117,F1215,0))/100)),MAX(0,Inputs!$B$43-((R1207-1)*Skills!E17))))/Inputs!$B$43),IF(Inputs!$B$38="pvp",MIN((Skills!T17*(1+(Inputs!$B$34+IF(Inputs!$B$3&gt;=117,F1215,0))/100)),15)/15,(Skills!T17*(1+(Inputs!$B$34+IF(Inputs!$B$3&gt;=117,F1215,0))/100))/Skills!E17)))/100)*IF(C1209=TRUE,(1+F1209*IF(AND(Inputs!$B$38&lt;&gt;"pvp",Inputs!$B$43&gt;0),(((R1209-1)*(Skills!T19*(1+(Inputs!$B$34+IF(Inputs!$B$3&gt;=117,F1215,0))/100))+MIN((Skills!T19*(1+(Inputs!$B$34+IF(Inputs!$B$3&gt;=117,F1215,0))/100)),MAX(0,Inputs!$B$43-((R1209-1)*Skills!E19))))/Inputs!$B$43),IF(Inputs!$B$38="pvp",MIN((Skills!T19*(1+(Inputs!$B$34+IF(Inputs!$B$3&gt;=117,F1215,0))/100)),15)/15,(Skills!T19*(1+(Inputs!$B$34+IF(Inputs!$B$3&gt;=117,F1215,0))/100))/Skills!E19))/100),1)</f>
        <v/>
      </c>
    </row>
    <row r="1223">
      <c r="A1223" t="inlineStr">
        <is>
          <t>Attack Speed Buff Bonus % (Nimble Feet, averaged)</t>
        </is>
      </c>
      <c r="B1223">
        <f>F1208*IF(AND(Inputs!$B$38&lt;&gt;"pvp",Inputs!$B$43&gt;0),(((R1208-1)*(Skills!T18*(1+(Inputs!$B$34+IF(Inputs!$B$3&gt;=117,F1215,0))/100))+MIN((Skills!T18*(1+(Inputs!$B$34+IF(Inputs!$B$3&gt;=117,F1215,0))/100)),MAX(0,Inputs!$B$43-((R1208-1)*Skills!E18))))/Inputs!$B$43),IF(Inputs!$B$38="pvp",MIN((Skills!T18*(1+(Inputs!$B$34+IF(Inputs!$B$3&gt;=117,F1215,0))/100)),15)/15,(Skills!T18*(1+(Inputs!$B$34+IF(Inputs!$B$3&gt;=117,F1215,0))/100))/Skills!E18))</f>
        <v/>
      </c>
    </row>
    <row r="1224">
      <c r="A1224" t="inlineStr">
        <is>
          <t>Actions Per Second</t>
        </is>
      </c>
      <c r="B1224">
        <f>1+MIN(150,150*(1-(1-Inputs!$B$11/150)*(1-B1223/150)))/100</f>
        <v/>
      </c>
    </row>
    <row r="1225">
      <c r="A1225" t="inlineStr">
        <is>
          <t>Skill + Buff Cast Rate</t>
        </is>
      </c>
      <c r="B1225">
        <f>IF(AND(Inputs!$B$38&lt;&gt;"pvp",Inputs!$B$43&gt;0),SUMPRODUCT((Skills!F2:F28=TRUE)*(C1192:C1218=TRUE)*R1192:R1218)/Inputs!$B$43,SUMPRODUCT((Skills!F2:F28=TRUE)*(C1192:C1218=TRUE)*Q1192:Q1218))</f>
        <v/>
      </c>
    </row>
    <row r="1226">
      <c r="A1226" t="inlineStr">
        <is>
          <t>Basic Attacks Per Second</t>
        </is>
      </c>
      <c r="B1226">
        <f>MAX(0,B1224-B1225)</f>
        <v/>
      </c>
    </row>
    <row r="1227">
      <c r="A1227" t="inlineStr">
        <is>
          <t>Meteor Proc — combined trigger cast rate</t>
        </is>
      </c>
      <c r="B1227">
        <f>IF(AND(Inputs!$B$38&lt;&gt;"pvp",Inputs!$B$43&gt;0),SUMPRODUCT((Skills!V2:V28=TRUE)*(C1192:C1218=TRUE)*R1192:R1218*Skills!W2:W28)/Inputs!$B$43,SUMPRODUCT((Skills!V2:V28=TRUE)*(C1192:C1218=TRUE)*Q1192:Q1218*Skills!W2:W28))+B1226</f>
        <v/>
      </c>
    </row>
    <row r="1228">
      <c r="A1228" t="inlineStr">
        <is>
          <t>Buff-Casting Startup Delay (s, fixed-duration only)</t>
        </is>
      </c>
      <c r="B1228">
        <f>IF(AND(Inputs!$B$38&lt;&gt;"pvp",Inputs!$B$43&gt;0),SUMPRODUCT((Skills!T2:T28&gt;0)*(Skills!F2:F28=TRUE)*(C1192:C1218=TRUE))/B1224,0)</f>
        <v/>
      </c>
    </row>
    <row r="1229">
      <c r="A1229" t="inlineStr">
        <is>
          <t>Boss-Only Total DPS (this block's swept value)</t>
        </is>
      </c>
      <c r="B1229">
        <f>SUM(S1192:S1218)</f>
        <v/>
      </c>
    </row>
    <row r="1230">
      <c r="A1230" t="inlineStr">
        <is>
          <t>Normal-Only Total DPS (this block's swept value)</t>
        </is>
      </c>
      <c r="B1230">
        <f>SUM(U1192:U1218)</f>
        <v/>
      </c>
    </row>
    <row r="1231">
      <c r="A1231" s="5" t="inlineStr">
        <is>
          <t>TOTAL DPS</t>
        </is>
      </c>
      <c r="B1231" s="5">
        <f>SUM(O1192:O1218)</f>
        <v/>
      </c>
    </row>
    <row r="1234">
      <c r="A1234" s="5" t="inlineStr">
        <is>
          <t>Stat: CDR = 1.5s</t>
        </is>
      </c>
    </row>
    <row r="1235">
      <c r="A1235" s="9" t="inlineStr">
        <is>
          <t>Key</t>
        </is>
      </c>
      <c r="B1235" s="9" t="inlineStr">
        <is>
          <t>Name</t>
        </is>
      </c>
      <c r="C1235" s="9" t="inlineStr">
        <is>
          <t>Unlocked</t>
        </is>
      </c>
      <c r="D1235" s="9" t="inlineStr">
        <is>
          <t>InputLevel</t>
        </is>
      </c>
      <c r="E1235" s="9" t="inlineStr">
        <is>
          <t>Factor</t>
        </is>
      </c>
      <c r="F1235" s="9" t="inlineStr">
        <is>
          <t>CoefficientPercent</t>
        </is>
      </c>
      <c r="G1235" s="9" t="inlineStr">
        <is>
          <t>EffectiveHits</t>
        </is>
      </c>
      <c r="H1235" s="9" t="inlineStr">
        <is>
          <t>ProcProbability</t>
        </is>
      </c>
      <c r="I1235" s="9" t="inlineStr">
        <is>
          <t>MapleHeroMultiplier</t>
        </is>
      </c>
      <c r="J1235" s="9" t="inlineStr">
        <is>
          <t>BaseDamage</t>
        </is>
      </c>
      <c r="K1235" s="9" t="inlineStr">
        <is>
          <t>BaseHitDamage</t>
        </is>
      </c>
      <c r="L1235" s="9" t="inlineStr">
        <is>
          <t>NonCritAvg</t>
        </is>
      </c>
      <c r="M1235" s="9" t="inlineStr">
        <is>
          <t>CritAvg</t>
        </is>
      </c>
      <c r="N1235" s="9" t="inlineStr">
        <is>
          <t>ExpectedDamage(perHit)</t>
        </is>
      </c>
      <c r="O1235" s="9" t="inlineStr">
        <is>
          <t>DPS</t>
        </is>
      </c>
      <c r="P1235" s="9" t="inlineStr">
        <is>
          <t>% of Total</t>
        </is>
      </c>
      <c r="R1235" t="inlineStr">
        <is>
          <t>helpers</t>
        </is>
      </c>
    </row>
    <row r="1236">
      <c r="A1236">
        <f>Skills!A2</f>
        <v/>
      </c>
      <c r="B1236">
        <f>Skills!B2</f>
        <v/>
      </c>
      <c r="C1236">
        <f>TRUE</f>
        <v/>
      </c>
      <c r="D1236" t="inlineStr"/>
      <c r="E1236" t="inlineStr"/>
      <c r="F1236">
        <f>T1238+Skills!O2</f>
        <v/>
      </c>
      <c r="G1236">
        <f>Calc!G2</f>
        <v/>
      </c>
      <c r="H1236">
        <f>Calc!H2</f>
        <v/>
      </c>
      <c r="I1236">
        <f>IF(Skills!X2&lt;&gt;"",1+(Skills!X2/10)*(Z1237/1000)/100,1)</f>
        <v/>
      </c>
      <c r="J1236">
        <f>((Inputs!$B$6*(1+Inputs!$B$7/100))+(((Inputs!$B$12*(1+Inputs!$B$13/100))-(Inputs!$B$12*(1+Inputs!$B$13/100)))+0.25*(Inputs!$B$14-Inputs!$B$14))*(1+Inputs!$B$7/100))*(F1236/100)</f>
        <v/>
      </c>
      <c r="K1236">
        <f>J1236*(1+((Inputs!$B$12*(1+Inputs!$B$13/100))*0.01+Inputs!$B$14*0.0025)/100)*(1+Inputs!$B$15/100)*(1+Inputs!$B$16/100)*(5000/(6000+Inputs!$B$42*(1-Inputs!$B$19/100)))*(1+Inputs!$B$24/100)*(1+F1257/100)*(1+IF(Inputs!$B$3&gt;=120,F1260,0)/100)^5*(1+(IF(Skills!A2="BASIC_ATTACK",Inputs!$B$17,Inputs!$B$18+IF(Inputs!$B$3&gt;=125,F1261*5,0)))/100)*(B1264*B1265*B1266*I1236)</f>
        <v/>
      </c>
      <c r="L1236">
        <f>K1236*(MIN(Inputs!$B$22+(F1256-Calc!F22),Inputs!$B$23)/100+Inputs!$B$23/100)/2</f>
        <v/>
      </c>
      <c r="M1236">
        <f>L1236*(1+(Inputs!$B$10+(F1255-Calc!F21))/100)</f>
        <v/>
      </c>
      <c r="N1236">
        <f>L1236*(1-MIN(Inputs!$B$9+(F1254-Calc!F20),100)/100)+M1236*(MIN(Inputs!$B$9+(F1254-Calc!F20),100)/100)</f>
        <v/>
      </c>
      <c r="O1236">
        <f>(1-Summary!$B$56)*S1236+Summary!$B$56*U1236</f>
        <v/>
      </c>
      <c r="P1236">
        <f>IF(B1275=0,0,O1236/B1275)</f>
        <v/>
      </c>
      <c r="Q1236">
        <f>IFERROR(1/IF(Inputs!$B$38="pvp",15,MAX(0.1,Skills!E2-IF(Skills!F2=TRUE,1.5,0))),0)</f>
        <v/>
      </c>
      <c r="R1236" t="n">
        <v>0</v>
      </c>
      <c r="S1236">
        <f>(Skills!G2*N1236*B1270)*IF(Inputs!$B$38="pvp",1,1+(Inputs!$B$20+Skills!P2)/100)</f>
        <v/>
      </c>
      <c r="T1236">
        <f>MAX(0,(Inputs!$B$3-100)*3)+Inputs!$B$28+Inputs!$B$29</f>
        <v/>
      </c>
      <c r="U1236">
        <f>(Skills!G2*N1236*B1270)*IF(Inputs!$B$38="pvp",1,(1+(Inputs!$B$21+Skills!Q2)/100)*(MIN((6+Inputs!$B$33+IF(Inputs!$B$3&gt;=136,1,0)),Inputs!$B$37)))</f>
        <v/>
      </c>
      <c r="Z1236">
        <f>MAX(0,(Inputs!$B$3-100)*3)+Inputs!$B$28+Inputs!$B$29</f>
        <v/>
      </c>
    </row>
    <row r="1237">
      <c r="A1237">
        <f>Skills!A3</f>
        <v/>
      </c>
      <c r="B1237">
        <f>Skills!B3</f>
        <v/>
      </c>
      <c r="C1237">
        <f>TRUE</f>
        <v/>
      </c>
      <c r="D1237">
        <f>IF(Skills!C3=1,60+Inputs!$B$25+Inputs!$B$29,IF(Skills!C3=2,90+Inputs!$B$26+Inputs!$B$29,IF(Skills!C3=3,120+Inputs!$B$27+Inputs!$B$29,MAX(0,(Inputs!$B$3-100)*3)+Inputs!$B$28+Inputs!$B$29)))</f>
        <v/>
      </c>
      <c r="E1237">
        <f>INDEX(FactorTable!$B$2:$Y$301, MATCH(ROUND(MIN(300,MAX(1,D1237)),0), FactorTable!$A$2:$A$301,0), Skills!M3+1)</f>
        <v/>
      </c>
      <c r="F1237">
        <f>IF(Skills!N3=TRUE,(Skills!L3/10)*(E1237/1000),Skills!L3/10)+Skills!O3</f>
        <v/>
      </c>
      <c r="G1237">
        <f>Calc!G3</f>
        <v/>
      </c>
      <c r="H1237">
        <f>Calc!H3</f>
        <v/>
      </c>
      <c r="I1237">
        <f>IF(Skills!X3&lt;&gt;"",1+(Skills!X3/10)*(Z1237/1000)/100,1)</f>
        <v/>
      </c>
      <c r="J1237">
        <f>((Inputs!$B$6*(1+Inputs!$B$7/100))+(((Inputs!$B$12*(1+Inputs!$B$13/100))-(Inputs!$B$12*(1+Inputs!$B$13/100)))+0.25*(Inputs!$B$14-Inputs!$B$14))*(1+Inputs!$B$7/100))*(F1237/100)</f>
        <v/>
      </c>
      <c r="K1237">
        <f>J1237*(1+((Inputs!$B$12*(1+Inputs!$B$13/100))*0.01+Inputs!$B$14*0.0025)/100)*(1+Inputs!$B$15/100)*(1+Inputs!$B$16/100)*(5000/(6000+Inputs!$B$42*(1-Inputs!$B$19/100)))*(1+Inputs!$B$24/100)*(1+F1257/100)*(1+IF(Inputs!$B$3&gt;=120,F1260,0)/100)^5*(1+(IF(Skills!A3="BASIC_ATTACK",Inputs!$B$17,Inputs!$B$18+IF(Inputs!$B$3&gt;=125,F1261*5,0)))/100)*(B1264*B1265*B1266*I1237)</f>
        <v/>
      </c>
      <c r="L1237">
        <f>K1237*(MIN(Inputs!$B$22+(F1256-Calc!F22),Inputs!$B$23)/100+Inputs!$B$23/100)/2</f>
        <v/>
      </c>
      <c r="M1237">
        <f>L1237*(1+(Inputs!$B$10+(F1255-Calc!F21))/100)</f>
        <v/>
      </c>
      <c r="N1237">
        <f>L1237*(1-MIN(Inputs!$B$9+(F1254-Calc!F20),100)/100)+M1237*(MIN(Inputs!$B$9+(F1254-Calc!F20),100)/100)</f>
        <v/>
      </c>
      <c r="O1237">
        <f>(1-Summary!$B$56)*S1237+Summary!$B$56*U1237</f>
        <v/>
      </c>
      <c r="P1237">
        <f>IF(B1275=0,0,O1237/B1275)</f>
        <v/>
      </c>
      <c r="Q1237">
        <f>IFERROR(1/IF(Inputs!$B$38="pvp",15,MAX(0.1,Skills!E3-IF(Skills!F3=TRUE,1.5,0))),0)</f>
        <v/>
      </c>
      <c r="R1237">
        <f>IF(AND(Inputs!$B$38&lt;&gt;"pvp",Inputs!$B$43&gt;0),IF(MAX(0,Inputs!$B$43-B1272)&lt;=0,0,(INT(MAX(0,Inputs!$B$43-B1272)/IF(Inputs!$B$38="pvp",15,MAX(0.1,Skills!E3-IF(Skills!F3=TRUE,1.5,0))))+1)),0)</f>
        <v/>
      </c>
      <c r="S1237">
        <f>IF(C1237,(H1237*N1237*IF(AND(Inputs!$B$38&lt;&gt;"pvp",Inputs!$B$43&gt;0),((Skills!G3*((R1237-1)*IF(Skills!H3&gt;0,Skills!I3/Skills!H3,1)+IF(Skills!H3&gt;0,MIN(Skills!I3,MAX(0,MAX(0,Inputs!$B$43-B1272)-((R1237-1)*IF(Inputs!$B$38="pvp",15,MAX(0.1,Skills!E3-IF(Skills!F3=TRUE,1.5,0))))))/Skills!H3,1)))/Inputs!$B$43),G1237*Q1237))*IF(Inputs!$B$38="pvp",1,1+(Inputs!$B$20+Skills!P3)/100),0)</f>
        <v/>
      </c>
      <c r="T1237">
        <f>INDEX(FactorTable!$B$2:$Y$301, MATCH(ROUND(MIN(300,MAX(1,T1236)),0), FactorTable!$A$2:$A$301,0), 22)</f>
        <v/>
      </c>
      <c r="U1237">
        <f>IF(C1237,(H1237*N1237*IF(AND(Inputs!$B$38&lt;&gt;"pvp",Inputs!$B$43&gt;0),((Skills!G3*((R1237-1)*IF(Skills!H3&gt;0,Skills!I3/Skills!H3,1)+IF(Skills!H3&gt;0,MIN(Skills!I3,MAX(0,MAX(0,Inputs!$B$43-B1272)-((R1237-1)*IF(Inputs!$B$38="pvp",15,MAX(0.1,Skills!E3-IF(Skills!F3=TRUE,1.5,0))))))/Skills!H3,1)))/Inputs!$B$43),G1237*Q1237))*IF(Inputs!$B$38="pvp",1,(1+(Inputs!$B$21+Skills!Q3)/100)*(MIN(Skills!R3,Inputs!$B$37))),0)</f>
        <v/>
      </c>
      <c r="Z1237">
        <f>INDEX(FactorTable!$B$2:$Y$301, MATCH(ROUND(MIN(300,MAX(1,Z1236)),0), FactorTable!$A$2:$A$301,0), 24)</f>
        <v/>
      </c>
    </row>
    <row r="1238">
      <c r="A1238">
        <f>Skills!A4</f>
        <v/>
      </c>
      <c r="B1238">
        <f>Skills!B4</f>
        <v/>
      </c>
      <c r="C1238">
        <f>TRUE</f>
        <v/>
      </c>
      <c r="D1238">
        <f>IF(Skills!C4=1,60+Inputs!$B$25+Inputs!$B$29,IF(Skills!C4=2,90+Inputs!$B$26+Inputs!$B$29,IF(Skills!C4=3,120+Inputs!$B$27+Inputs!$B$29,MAX(0,(Inputs!$B$3-100)*3)+Inputs!$B$28+Inputs!$B$29)))</f>
        <v/>
      </c>
      <c r="E1238">
        <f>INDEX(FactorTable!$B$2:$Y$301, MATCH(ROUND(MIN(300,MAX(1,D1238)),0), FactorTable!$A$2:$A$301,0), Skills!M4+1)</f>
        <v/>
      </c>
      <c r="F1238">
        <f>IF(Skills!N4=TRUE,(Skills!L4/10)*(E1238/1000),Skills!L4/10)+Skills!O4</f>
        <v/>
      </c>
      <c r="G1238">
        <f>Calc!G4</f>
        <v/>
      </c>
      <c r="H1238">
        <f>Calc!H4</f>
        <v/>
      </c>
      <c r="I1238">
        <f>IF(Skills!X4&lt;&gt;"",1+(Skills!X4/10)*(Z1237/1000)/100,1)</f>
        <v/>
      </c>
      <c r="J1238">
        <f>((Inputs!$B$6*(1+Inputs!$B$7/100))+(((Inputs!$B$12*(1+Inputs!$B$13/100))-(Inputs!$B$12*(1+Inputs!$B$13/100)))+0.25*(Inputs!$B$14-Inputs!$B$14))*(1+Inputs!$B$7/100))*(F1238/100)</f>
        <v/>
      </c>
      <c r="K1238">
        <f>J1238*(1+((Inputs!$B$12*(1+Inputs!$B$13/100))*0.01+Inputs!$B$14*0.0025)/100)*(1+Inputs!$B$15/100)*(1+Inputs!$B$16/100)*(5000/(6000+Inputs!$B$42*(1-Inputs!$B$19/100)))*(1+Inputs!$B$24/100)*(1+F1257/100)*(1+IF(Inputs!$B$3&gt;=120,F1260,0)/100)^5*(1+(IF(Skills!A4="BASIC_ATTACK",Inputs!$B$17,Inputs!$B$18+IF(Inputs!$B$3&gt;=125,F1261*5,0)))/100)*(B1264*B1265*B1266*I1238)</f>
        <v/>
      </c>
      <c r="L1238">
        <f>K1238*(MIN(Inputs!$B$22+(F1256-Calc!F22),Inputs!$B$23)/100+Inputs!$B$23/100)/2</f>
        <v/>
      </c>
      <c r="M1238">
        <f>L1238*(1+(Inputs!$B$10+(F1255-Calc!F21))/100)</f>
        <v/>
      </c>
      <c r="N1238">
        <f>L1238*(1-MIN(Inputs!$B$9+(F1254-Calc!F20),100)/100)+M1238*(MIN(Inputs!$B$9+(F1254-Calc!F20),100)/100)</f>
        <v/>
      </c>
      <c r="O1238">
        <f>(1-Summary!$B$56)*S1238+Summary!$B$56*U1238</f>
        <v/>
      </c>
      <c r="P1238">
        <f>IF(B1275=0,0,O1238/B1275)</f>
        <v/>
      </c>
      <c r="Q1238">
        <f>IFERROR(1/IF(Inputs!$B$38="pvp",15,MAX(0.1,Skills!E4-IF(Skills!F4=TRUE,1.5,0))),0)</f>
        <v/>
      </c>
      <c r="R1238">
        <f>IF(AND(Inputs!$B$38&lt;&gt;"pvp",Inputs!$B$43&gt;0),IF(MAX(0,Inputs!$B$43-B1272)&lt;=0,0,(INT(MAX(0,Inputs!$B$43-B1272)/IF(Inputs!$B$38="pvp",15,MAX(0.1,Skills!E4-IF(Skills!F4=TRUE,1.5,0))))+1)),0)</f>
        <v/>
      </c>
      <c r="S1238">
        <f>IF(C1238,(H1238*N1238*IF(AND(Inputs!$B$38&lt;&gt;"pvp",Inputs!$B$43&gt;0),((Skills!G4*((R1238-1)*IF(Skills!H4&gt;0,Skills!I4/Skills!H4,1)+IF(Skills!H4&gt;0,MIN(Skills!I4,MAX(0,MAX(0,Inputs!$B$43-B1272)-((R1238-1)*IF(Inputs!$B$38="pvp",15,MAX(0.1,Skills!E4-IF(Skills!F4=TRUE,1.5,0))))))/Skills!H4,1)))/Inputs!$B$43),G1238*Q1238))*IF(Inputs!$B$38="pvp",1,1+(Inputs!$B$20+Skills!P4)/100),0)</f>
        <v/>
      </c>
      <c r="T1238">
        <f>290*T1237/1000</f>
        <v/>
      </c>
      <c r="U1238">
        <f>IF(C1238,(H1238*N1238*IF(AND(Inputs!$B$38&lt;&gt;"pvp",Inputs!$B$43&gt;0),((Skills!G4*((R1238-1)*IF(Skills!H4&gt;0,Skills!I4/Skills!H4,1)+IF(Skills!H4&gt;0,MIN(Skills!I4,MAX(0,MAX(0,Inputs!$B$43-B1272)-((R1238-1)*IF(Inputs!$B$38="pvp",15,MAX(0.1,Skills!E4-IF(Skills!F4=TRUE,1.5,0))))))/Skills!H4,1)))/Inputs!$B$43),G1238*Q1238))*IF(Inputs!$B$38="pvp",1,(1+(Inputs!$B$21+Skills!Q4)/100)*(MIN(Skills!R4,Inputs!$B$37))),0)</f>
        <v/>
      </c>
    </row>
    <row r="1239">
      <c r="A1239">
        <f>Skills!A5</f>
        <v/>
      </c>
      <c r="B1239">
        <f>Skills!B5</f>
        <v/>
      </c>
      <c r="C1239">
        <f>TRUE</f>
        <v/>
      </c>
      <c r="D1239">
        <f>IF(Skills!C5=1,60+Inputs!$B$25+Inputs!$B$29,IF(Skills!C5=2,90+Inputs!$B$26+Inputs!$B$29,IF(Skills!C5=3,120+Inputs!$B$27+Inputs!$B$29,MAX(0,(Inputs!$B$3-100)*3)+Inputs!$B$28+Inputs!$B$29)))</f>
        <v/>
      </c>
      <c r="E1239">
        <f>INDEX(FactorTable!$B$2:$Y$301, MATCH(ROUND(MIN(300,MAX(1,D1239)),0), FactorTable!$A$2:$A$301,0), Skills!M5+1)</f>
        <v/>
      </c>
      <c r="F1239">
        <f>IF(Skills!N5=TRUE,(Skills!L5/10)*(E1239/1000),Skills!L5/10)+Skills!O5</f>
        <v/>
      </c>
      <c r="G1239">
        <f>Calc!G5</f>
        <v/>
      </c>
      <c r="H1239">
        <f>Calc!H5</f>
        <v/>
      </c>
      <c r="I1239">
        <f>IF(Skills!X5&lt;&gt;"",1+(Skills!X5/10)*(Z1237/1000)/100,1)</f>
        <v/>
      </c>
      <c r="J1239">
        <f>((Inputs!$B$6*(1+Inputs!$B$7/100))+(((Inputs!$B$12*(1+Inputs!$B$13/100))-(Inputs!$B$12*(1+Inputs!$B$13/100)))+0.25*(Inputs!$B$14-Inputs!$B$14))*(1+Inputs!$B$7/100))*(F1239/100)</f>
        <v/>
      </c>
      <c r="K1239">
        <f>J1239*(1+((Inputs!$B$12*(1+Inputs!$B$13/100))*0.01+Inputs!$B$14*0.0025)/100)*(1+Inputs!$B$15/100)*(1+Inputs!$B$16/100)*(5000/(6000+Inputs!$B$42*(1-Inputs!$B$19/100)))*(1+Inputs!$B$24/100)*(1+F1257/100)*(1+IF(Inputs!$B$3&gt;=120,F1260,0)/100)^5*(1+(IF(Skills!A5="BASIC_ATTACK",Inputs!$B$17,Inputs!$B$18+IF(Inputs!$B$3&gt;=125,F1261*5,0)))/100)*(B1264*B1265*B1266*I1239)</f>
        <v/>
      </c>
      <c r="L1239">
        <f>K1239*(MIN(Inputs!$B$22+(F1256-Calc!F22),Inputs!$B$23)/100+Inputs!$B$23/100)/2</f>
        <v/>
      </c>
      <c r="M1239">
        <f>L1239*(1+(Inputs!$B$10+(F1255-Calc!F21))/100)</f>
        <v/>
      </c>
      <c r="N1239">
        <f>L1239*(1-MIN(Inputs!$B$9+(F1254-Calc!F20),100)/100)+M1239*(MIN(Inputs!$B$9+(F1254-Calc!F20),100)/100)</f>
        <v/>
      </c>
      <c r="O1239">
        <f>(1-Summary!$B$56)*S1239+Summary!$B$56*U1239</f>
        <v/>
      </c>
      <c r="P1239">
        <f>IF(B1275=0,0,O1239/B1275)</f>
        <v/>
      </c>
      <c r="Q1239">
        <f>IFERROR(1/IF(Inputs!$B$38="pvp",15,MAX(0.1,Skills!E5-IF(Skills!F5=TRUE,1.5,0))),0)</f>
        <v/>
      </c>
      <c r="R1239">
        <f>IF(AND(Inputs!$B$38&lt;&gt;"pvp",Inputs!$B$43&gt;0),IF(MAX(0,Inputs!$B$43-B1272)&lt;=0,0,(INT(MAX(0,Inputs!$B$43-B1272)/IF(Inputs!$B$38="pvp",15,MAX(0.1,Skills!E5-IF(Skills!F5=TRUE,1.5,0))))+1)),0)</f>
        <v/>
      </c>
      <c r="S1239">
        <f>IF(C1239,(H1239*N1239*IF(AND(Inputs!$B$38&lt;&gt;"pvp",Inputs!$B$43&gt;0),((Skills!G5*((R1239-1)*IF(Skills!H5&gt;0,Skills!I5/Skills!H5,1)+IF(Skills!H5&gt;0,MIN(Skills!I5,MAX(0,MAX(0,Inputs!$B$43-B1272)-((R1239-1)*IF(Inputs!$B$38="pvp",15,MAX(0.1,Skills!E5-IF(Skills!F5=TRUE,1.5,0))))))/Skills!H5,1)))/Inputs!$B$43),G1239*Q1239))*IF(Inputs!$B$38="pvp",1,1+(Inputs!$B$20+Skills!P5)/100),0)</f>
        <v/>
      </c>
      <c r="U1239">
        <f>IF(C1239,(H1239*N1239*IF(AND(Inputs!$B$38&lt;&gt;"pvp",Inputs!$B$43&gt;0),((Skills!G5*((R1239-1)*IF(Skills!H5&gt;0,Skills!I5/Skills!H5,1)+IF(Skills!H5&gt;0,MIN(Skills!I5,MAX(0,MAX(0,Inputs!$B$43-B1272)-((R1239-1)*IF(Inputs!$B$38="pvp",15,MAX(0.1,Skills!E5-IF(Skills!F5=TRUE,1.5,0))))))/Skills!H5,1)))/Inputs!$B$43),G1239*Q1239))*IF(Inputs!$B$38="pvp",1,(1+(Inputs!$B$21+Skills!Q5)/100)*(MIN(Skills!R5,Inputs!$B$37))),0)</f>
        <v/>
      </c>
    </row>
    <row r="1240">
      <c r="A1240">
        <f>Skills!A6</f>
        <v/>
      </c>
      <c r="B1240">
        <f>Skills!B6</f>
        <v/>
      </c>
      <c r="C1240">
        <f>TRUE</f>
        <v/>
      </c>
      <c r="D1240">
        <f>IF(Skills!C6=1,60+Inputs!$B$25+Inputs!$B$29,IF(Skills!C6=2,90+Inputs!$B$26+Inputs!$B$29,IF(Skills!C6=3,120+Inputs!$B$27+Inputs!$B$29,MAX(0,(Inputs!$B$3-100)*3)+Inputs!$B$28+Inputs!$B$29)))</f>
        <v/>
      </c>
      <c r="E1240">
        <f>INDEX(FactorTable!$B$2:$Y$301, MATCH(ROUND(MIN(300,MAX(1,D1240)),0), FactorTable!$A$2:$A$301,0), Skills!M6+1)</f>
        <v/>
      </c>
      <c r="F1240">
        <f>IF(Skills!N6=TRUE,(Skills!L6/10)*(E1240/1000),Skills!L6/10)+Skills!O6</f>
        <v/>
      </c>
      <c r="G1240">
        <f>Calc!G6</f>
        <v/>
      </c>
      <c r="H1240">
        <f>Calc!H6</f>
        <v/>
      </c>
      <c r="I1240">
        <f>IF(Skills!X6&lt;&gt;"",1+(Skills!X6/10)*(Z1237/1000)/100,1)</f>
        <v/>
      </c>
      <c r="J1240" t="inlineStr"/>
      <c r="K1240" t="inlineStr"/>
      <c r="L1240" t="inlineStr"/>
      <c r="M1240" t="inlineStr"/>
      <c r="N1240" t="inlineStr"/>
      <c r="O1240">
        <f>(1-Summary!$B$56)*S1240+Summary!$B$56*U1240</f>
        <v/>
      </c>
      <c r="P1240">
        <f>IF(B1275=0,0,O1240/B1275)</f>
        <v/>
      </c>
      <c r="Q1240">
        <f>IFERROR(1/IF(Inputs!$B$38="pvp",15,MAX(0.1,Skills!E6-IF(Skills!F6=TRUE,1.5,0))),0)</f>
        <v/>
      </c>
      <c r="R1240">
        <f>IF(AND(Inputs!$B$38&lt;&gt;"pvp",Inputs!$B$43&gt;0),IF(Inputs!$B$43&lt;=0,0,(INT(Inputs!$B$43/IF(Inputs!$B$38="pvp",15,MAX(0.1,Skills!E6-IF(Skills!F6=TRUE,1.5,0))))+1)),0)</f>
        <v/>
      </c>
      <c r="S1240" t="n">
        <v>0</v>
      </c>
      <c r="U1240" t="n">
        <v>0</v>
      </c>
    </row>
    <row r="1241">
      <c r="A1241">
        <f>Skills!A7</f>
        <v/>
      </c>
      <c r="B1241">
        <f>Skills!B7</f>
        <v/>
      </c>
      <c r="C1241">
        <f>TRUE</f>
        <v/>
      </c>
      <c r="D1241">
        <f>IF(Skills!C7=1,60+Inputs!$B$25+Inputs!$B$29,IF(Skills!C7=2,90+Inputs!$B$26+Inputs!$B$29,IF(Skills!C7=3,120+Inputs!$B$27+Inputs!$B$29,MAX(0,(Inputs!$B$3-100)*3)+Inputs!$B$28+Inputs!$B$29)))</f>
        <v/>
      </c>
      <c r="E1241">
        <f>INDEX(FactorTable!$B$2:$Y$301, MATCH(ROUND(MIN(300,MAX(1,D1241)),0), FactorTable!$A$2:$A$301,0), Skills!M7+1)</f>
        <v/>
      </c>
      <c r="F1241">
        <f>IF(Skills!N7=TRUE,(Skills!L7/10)*(E1241/1000),Skills!L7/10)+Skills!O7</f>
        <v/>
      </c>
      <c r="G1241">
        <f>Calc!G7</f>
        <v/>
      </c>
      <c r="H1241">
        <f>Calc!H7</f>
        <v/>
      </c>
      <c r="I1241">
        <f>IF(Skills!X7&lt;&gt;"",1+(Skills!X7/10)*(Z1237/1000)/100,1)</f>
        <v/>
      </c>
      <c r="J1241">
        <f>((Inputs!$B$6*(1+Inputs!$B$7/100))+(((Inputs!$B$12*(1+Inputs!$B$13/100))-(Inputs!$B$12*(1+Inputs!$B$13/100)))+0.25*(Inputs!$B$14-Inputs!$B$14))*(1+Inputs!$B$7/100))*(F1241/100)</f>
        <v/>
      </c>
      <c r="K1241">
        <f>J1241*(1+((Inputs!$B$12*(1+Inputs!$B$13/100))*0.01+Inputs!$B$14*0.0025)/100)*(1+Inputs!$B$15/100)*(1+Inputs!$B$16/100)*(5000/(6000+Inputs!$B$42*(1-Inputs!$B$19/100)))*(1+Inputs!$B$24/100)*(1+F1257/100)*(1+IF(Inputs!$B$3&gt;=120,F1260,0)/100)^5*(1+(IF(Skills!A7="BASIC_ATTACK",Inputs!$B$17,Inputs!$B$18+IF(Inputs!$B$3&gt;=125,F1261*5,0)))/100)*(B1264*B1265*B1266*I1241)</f>
        <v/>
      </c>
      <c r="L1241">
        <f>K1241*(MIN(Inputs!$B$22+(F1256-Calc!F22),Inputs!$B$23)/100+Inputs!$B$23/100)/2</f>
        <v/>
      </c>
      <c r="M1241">
        <f>L1241*(1+(Inputs!$B$10+(F1255-Calc!F21))/100)</f>
        <v/>
      </c>
      <c r="N1241">
        <f>L1241*(1-MIN(Inputs!$B$9+(F1254-Calc!F20),100)/100)+M1241*(MIN(Inputs!$B$9+(F1254-Calc!F20),100)/100)</f>
        <v/>
      </c>
      <c r="O1241">
        <f>(1-Summary!$B$56)*S1241+Summary!$B$56*U1241</f>
        <v/>
      </c>
      <c r="P1241">
        <f>IF(B1275=0,0,O1241/B1275)</f>
        <v/>
      </c>
      <c r="Q1241">
        <f>IFERROR(1/IF(Inputs!$B$38="pvp",15,MAX(0.1,Skills!E7-IF(Skills!F7=TRUE,1.5,0))),0)</f>
        <v/>
      </c>
      <c r="R1241">
        <f>IF(AND(Inputs!$B$38&lt;&gt;"pvp",Inputs!$B$43&gt;0),IF(MAX(0,Inputs!$B$43-B1272)&lt;=0,0,(INT(MAX(0,Inputs!$B$43-B1272)/IF(Inputs!$B$38="pvp",15,MAX(0.1,Skills!E7-IF(Skills!F7=TRUE,1.5,0))))+1)),0)</f>
        <v/>
      </c>
      <c r="S1241">
        <f>IF(C1241,(H1241*N1241*IF(AND(Inputs!$B$38&lt;&gt;"pvp",Inputs!$B$43&gt;0),((Skills!G7*((R1241-1)*IF(Skills!H7&gt;0,Skills!I7/Skills!H7,1)+IF(Skills!H7&gt;0,MIN(Skills!I7,MAX(0,MAX(0,Inputs!$B$43-B1272)-((R1241-1)*IF(Inputs!$B$38="pvp",15,MAX(0.1,Skills!E7-IF(Skills!F7=TRUE,1.5,0))))))/Skills!H7,1)))/Inputs!$B$43),G1241*Q1241))*IF(Inputs!$B$38="pvp",1,1+(Inputs!$B$20+Skills!P7)/100),0)</f>
        <v/>
      </c>
      <c r="U1241">
        <f>IF(C1241,(H1241*N1241*IF(AND(Inputs!$B$38&lt;&gt;"pvp",Inputs!$B$43&gt;0),((Skills!G7*((R1241-1)*IF(Skills!H7&gt;0,Skills!I7/Skills!H7,1)+IF(Skills!H7&gt;0,MIN(Skills!I7,MAX(0,MAX(0,Inputs!$B$43-B1272)-((R1241-1)*IF(Inputs!$B$38="pvp",15,MAX(0.1,Skills!E7-IF(Skills!F7=TRUE,1.5,0))))))/Skills!H7,1)))/Inputs!$B$43),G1241*Q1241))*IF(Inputs!$B$38="pvp",1,(1+(Inputs!$B$21+Skills!Q7)/100)*(MIN(Skills!R7,Inputs!$B$37))),0)</f>
        <v/>
      </c>
    </row>
    <row r="1242">
      <c r="A1242">
        <f>Skills!A8</f>
        <v/>
      </c>
      <c r="B1242">
        <f>Skills!B8</f>
        <v/>
      </c>
      <c r="C1242">
        <f>TRUE</f>
        <v/>
      </c>
      <c r="D1242">
        <f>IF(Skills!C8=1,60+Inputs!$B$25+Inputs!$B$29,IF(Skills!C8=2,90+Inputs!$B$26+Inputs!$B$29,IF(Skills!C8=3,120+Inputs!$B$27+Inputs!$B$29,MAX(0,(Inputs!$B$3-100)*3)+Inputs!$B$28+Inputs!$B$29)))</f>
        <v/>
      </c>
      <c r="E1242">
        <f>INDEX(FactorTable!$B$2:$Y$301, MATCH(ROUND(MIN(300,MAX(1,D1242)),0), FactorTable!$A$2:$A$301,0), Skills!M8+1)</f>
        <v/>
      </c>
      <c r="F1242">
        <f>IF(Skills!N8=TRUE,(Skills!L8/10)*(E1242/1000),Skills!L8/10)+Skills!O8</f>
        <v/>
      </c>
      <c r="G1242">
        <f>Calc!G8</f>
        <v/>
      </c>
      <c r="H1242">
        <f>Calc!H8</f>
        <v/>
      </c>
      <c r="I1242">
        <f>IF(Skills!X8&lt;&gt;"",1+(Skills!X8/10)*(Z1237/1000)/100,1)</f>
        <v/>
      </c>
      <c r="J1242">
        <f>((Inputs!$B$6*(1+Inputs!$B$7/100))+(((Inputs!$B$12*(1+Inputs!$B$13/100))-(Inputs!$B$12*(1+Inputs!$B$13/100)))+0.25*(Inputs!$B$14-Inputs!$B$14))*(1+Inputs!$B$7/100))*(F1242/100)</f>
        <v/>
      </c>
      <c r="K1242">
        <f>J1242*(1+((Inputs!$B$12*(1+Inputs!$B$13/100))*0.01+Inputs!$B$14*0.0025)/100)*(1+Inputs!$B$15/100)*(1+Inputs!$B$16/100)*(5000/(6000+Inputs!$B$42*(1-Inputs!$B$19/100)))*(1+Inputs!$B$24/100)*(1+F1257/100)*(1+IF(Inputs!$B$3&gt;=120,F1260,0)/100)^5*(1+(IF(Skills!A8="BASIC_ATTACK",Inputs!$B$17,Inputs!$B$18+IF(Inputs!$B$3&gt;=125,F1261*5,0)))/100)*(B1264*B1265*B1266*I1242)</f>
        <v/>
      </c>
      <c r="L1242">
        <f>K1242*(MIN(Inputs!$B$22+(F1256-Calc!F22),Inputs!$B$23)/100+Inputs!$B$23/100)/2</f>
        <v/>
      </c>
      <c r="M1242">
        <f>L1242*(1+(Inputs!$B$10+(F1255-Calc!F21))/100)</f>
        <v/>
      </c>
      <c r="N1242">
        <f>L1242*(1-MIN(Inputs!$B$9+(F1254-Calc!F20),100)/100)+M1242*(MIN(Inputs!$B$9+(F1254-Calc!F20),100)/100)</f>
        <v/>
      </c>
      <c r="O1242">
        <f>(1-Summary!$B$56)*S1242+Summary!$B$56*U1242</f>
        <v/>
      </c>
      <c r="P1242">
        <f>IF(B1275=0,0,O1242/B1275)</f>
        <v/>
      </c>
      <c r="Q1242">
        <f>IFERROR(1/IF(Inputs!$B$38="pvp",15,MAX(0.1,Skills!E8-IF(Skills!F8=TRUE,1.5,0))),0)</f>
        <v/>
      </c>
      <c r="R1242">
        <f>IF(AND(Inputs!$B$38&lt;&gt;"pvp",Inputs!$B$43&gt;0),IF(MAX(0,Inputs!$B$43-B1272)&lt;=0,0,(INT(MAX(0,Inputs!$B$43-B1272)/IF(Inputs!$B$38="pvp",15,MAX(0.1,Skills!E8-IF(Skills!F8=TRUE,1.5,0))))+1)),0)</f>
        <v/>
      </c>
      <c r="S1242">
        <f>IF(C1242,(H1242*N1242*IF(AND(Inputs!$B$38&lt;&gt;"pvp",Inputs!$B$43&gt;0),((Skills!G8*((R1242-1)*IF(Skills!H8&gt;0,Skills!I8/Skills!H8,1)+IF(Skills!H8&gt;0,MIN(Skills!I8,MAX(0,MAX(0,Inputs!$B$43-B1272)-((R1242-1)*IF(Inputs!$B$38="pvp",15,MAX(0.1,Skills!E8-IF(Skills!F8=TRUE,1.5,0))))))/Skills!H8,1)))/Inputs!$B$43),G1242*Q1242))*IF(Inputs!$B$38="pvp",1,1+(Inputs!$B$20+Skills!P8)/100),0)</f>
        <v/>
      </c>
      <c r="U1242">
        <f>IF(C1242,(H1242*N1242*IF(AND(Inputs!$B$38&lt;&gt;"pvp",Inputs!$B$43&gt;0),((Skills!G8*((R1242-1)*IF(Skills!H8&gt;0,Skills!I8/Skills!H8,1)+IF(Skills!H8&gt;0,MIN(Skills!I8,MAX(0,MAX(0,Inputs!$B$43-B1272)-((R1242-1)*IF(Inputs!$B$38="pvp",15,MAX(0.1,Skills!E8-IF(Skills!F8=TRUE,1.5,0))))))/Skills!H8,1)))/Inputs!$B$43),G1242*Q1242))*IF(Inputs!$B$38="pvp",1,(1+(Inputs!$B$21+Skills!Q8)/100)*(MIN(Skills!R8,Inputs!$B$37))),0)</f>
        <v/>
      </c>
    </row>
    <row r="1243">
      <c r="A1243">
        <f>Skills!A9</f>
        <v/>
      </c>
      <c r="B1243">
        <f>Skills!B9</f>
        <v/>
      </c>
      <c r="C1243">
        <f>Inputs!$B$3&gt;=103</f>
        <v/>
      </c>
      <c r="D1243">
        <f>IF(Skills!C9=1,60+Inputs!$B$25+Inputs!$B$29,IF(Skills!C9=2,90+Inputs!$B$26+Inputs!$B$29,IF(Skills!C9=3,120+Inputs!$B$27+Inputs!$B$29,MAX(0,(Inputs!$B$3-100)*3)+Inputs!$B$28+Inputs!$B$29)))</f>
        <v/>
      </c>
      <c r="E1243">
        <f>INDEX(FactorTable!$B$2:$Y$301, MATCH(ROUND(MIN(300,MAX(1,D1243)),0), FactorTable!$A$2:$A$301,0), Skills!M9+1)</f>
        <v/>
      </c>
      <c r="F1243">
        <f>IF(Skills!N9=TRUE,(Skills!L9/10)*(E1243/1000),Skills!L9/10)+Skills!O9</f>
        <v/>
      </c>
      <c r="G1243">
        <f>Calc!G9</f>
        <v/>
      </c>
      <c r="H1243">
        <f>Calc!H9</f>
        <v/>
      </c>
      <c r="I1243">
        <f>IF(Skills!X9&lt;&gt;"",1+(Skills!X9/10)*(Z1237/1000)/100,1)</f>
        <v/>
      </c>
      <c r="J1243">
        <f>((Inputs!$B$6*(1+Inputs!$B$7/100))+(((Inputs!$B$12*(1+Inputs!$B$13/100))-(Inputs!$B$12*(1+Inputs!$B$13/100)))+0.25*(Inputs!$B$14-Inputs!$B$14))*(1+Inputs!$B$7/100))*(F1243/100)</f>
        <v/>
      </c>
      <c r="K1243">
        <f>J1243*(1+((Inputs!$B$12*(1+Inputs!$B$13/100))*0.01+Inputs!$B$14*0.0025)/100)*(1+Inputs!$B$15/100)*(1+Inputs!$B$16/100)*(5000/(6000+Inputs!$B$42*(1-Inputs!$B$19/100)))*(1+Inputs!$B$24/100)*(1+F1257/100)*(1+IF(Inputs!$B$3&gt;=120,F1260,0)/100)^5*(1+(IF(Skills!A9="BASIC_ATTACK",Inputs!$B$17,Inputs!$B$18+IF(Inputs!$B$3&gt;=125,F1261*5,0)))/100)*(B1264*B1265*B1266*I1243)</f>
        <v/>
      </c>
      <c r="L1243">
        <f>K1243*(MIN(Inputs!$B$22+(F1256-Calc!F22),Inputs!$B$23)/100+Inputs!$B$23/100)/2</f>
        <v/>
      </c>
      <c r="M1243">
        <f>L1243*(1+(Inputs!$B$10+(F1255-Calc!F21))/100)</f>
        <v/>
      </c>
      <c r="N1243">
        <f>L1243*(1-MIN(Inputs!$B$9+(F1254-Calc!F20),100)/100)+M1243*(MIN(Inputs!$B$9+(F1254-Calc!F20),100)/100)</f>
        <v/>
      </c>
      <c r="O1243">
        <f>(1-Summary!$B$56)*S1243+Summary!$B$56*U1243</f>
        <v/>
      </c>
      <c r="P1243">
        <f>IF(B1275=0,0,O1243/B1275)</f>
        <v/>
      </c>
      <c r="Q1243">
        <f>IFERROR(1/IF(Inputs!$B$38="pvp",15,MAX(0.1,Skills!E9-IF(Skills!F7=TRUE,1.5,0))),0)</f>
        <v/>
      </c>
      <c r="R1243">
        <f>IF(AND(Inputs!$B$38&lt;&gt;"pvp",Inputs!$B$43&gt;0),IF(MAX(0,Inputs!$B$43-B1272)&lt;=0,0,(INT(MAX(0,Inputs!$B$43-B1272)/IF(Inputs!$B$38="pvp",15,MAX(0.1,Skills!E9-IF(Skills!F7=TRUE,1.5,0))))+1)),0)</f>
        <v/>
      </c>
      <c r="S1243">
        <f>IF(C1243,(H1243*N1243*IF(AND(Inputs!$B$38&lt;&gt;"pvp",Inputs!$B$43&gt;0),((Skills!G9*((R1243-1)*IF(Skills!H9&gt;0,Skills!I9/Skills!H9,1)+IF(Skills!H9&gt;0,MIN(Skills!I9,MAX(0,MAX(0,Inputs!$B$43-B1272)-((R1243-1)*IF(Inputs!$B$38="pvp",15,MAX(0.1,Skills!E9-IF(Skills!F7=TRUE,1.5,0))))))/Skills!H9,1)))/Inputs!$B$43),G1243*Q1243))*IF(Inputs!$B$38="pvp",1,1+(Inputs!$B$20+Skills!P9)/100),0)</f>
        <v/>
      </c>
      <c r="U1243">
        <f>IF(C1243,(H1243*N1243*IF(AND(Inputs!$B$38&lt;&gt;"pvp",Inputs!$B$43&gt;0),((Skills!G9*((R1243-1)*IF(Skills!H9&gt;0,Skills!I9/Skills!H9,1)+IF(Skills!H9&gt;0,MIN(Skills!I9,MAX(0,MAX(0,Inputs!$B$43-B1272)-((R1243-1)*IF(Inputs!$B$38="pvp",15,MAX(0.1,Skills!E9-IF(Skills!F7=TRUE,1.5,0))))))/Skills!H9,1)))/Inputs!$B$43),G1243*Q1243))*IF(Inputs!$B$38="pvp",1,(1+(Inputs!$B$21+Skills!Q9)/100)*(MIN(Skills!R9,Inputs!$B$37))),0)</f>
        <v/>
      </c>
    </row>
    <row r="1244">
      <c r="A1244">
        <f>Skills!A10</f>
        <v/>
      </c>
      <c r="B1244">
        <f>Skills!B10</f>
        <v/>
      </c>
      <c r="C1244">
        <f>TRUE</f>
        <v/>
      </c>
      <c r="D1244">
        <f>IF(Skills!C10=1,60+Inputs!$B$25+Inputs!$B$29,IF(Skills!C10=2,90+Inputs!$B$26+Inputs!$B$29,IF(Skills!C10=3,120+Inputs!$B$27+Inputs!$B$29,MAX(0,(Inputs!$B$3-100)*3)+Inputs!$B$28+Inputs!$B$29)))</f>
        <v/>
      </c>
      <c r="E1244">
        <f>INDEX(FactorTable!$B$2:$Y$301, MATCH(ROUND(MIN(300,MAX(1,D1244)),0), FactorTable!$A$2:$A$301,0), Skills!M10+1)</f>
        <v/>
      </c>
      <c r="F1244">
        <f>IF(Skills!N10=TRUE,(Skills!L10/10)*(E1244/1000),Skills!L10/10)+Skills!O10</f>
        <v/>
      </c>
      <c r="G1244">
        <f>Calc!G10</f>
        <v/>
      </c>
      <c r="H1244">
        <f>Calc!H10</f>
        <v/>
      </c>
      <c r="I1244">
        <f>IF(Skills!X10&lt;&gt;"",1+(Skills!X10/10)*(Z1237/1000)/100,1)</f>
        <v/>
      </c>
      <c r="J1244">
        <f>((Inputs!$B$6*(1+Inputs!$B$7/100))+(((Inputs!$B$12*(1+Inputs!$B$13/100))-(Inputs!$B$12*(1+Inputs!$B$13/100)))+0.25*(Inputs!$B$14-Inputs!$B$14))*(1+Inputs!$B$7/100))*(F1244/100)</f>
        <v/>
      </c>
      <c r="K1244">
        <f>J1244*(1+((Inputs!$B$12*(1+Inputs!$B$13/100))*0.01+Inputs!$B$14*0.0025)/100)*(1+Inputs!$B$15/100)*(1+Inputs!$B$16/100)*(5000/(6000+Inputs!$B$42*(1-Inputs!$B$19/100)))*(1+Inputs!$B$24/100)*(1+F1257/100)*(1+IF(Inputs!$B$3&gt;=120,F1260,0)/100)^5*(1+(IF(Skills!A10="BASIC_ATTACK",Inputs!$B$17,Inputs!$B$18+IF(Inputs!$B$3&gt;=125,F1261*5,0)))/100)*(B1264*B1265*B1266*I1244)</f>
        <v/>
      </c>
      <c r="L1244">
        <f>K1244*(MIN(Inputs!$B$22+(F1256-Calc!F22),Inputs!$B$23)/100+Inputs!$B$23/100)/2</f>
        <v/>
      </c>
      <c r="M1244">
        <f>L1244*(1+(Inputs!$B$10+(F1255-Calc!F21))/100)</f>
        <v/>
      </c>
      <c r="N1244">
        <f>L1244*(1-MIN(Inputs!$B$9+(F1254-Calc!F20),100)/100)+M1244*(MIN(Inputs!$B$9+(F1254-Calc!F20),100)/100)</f>
        <v/>
      </c>
      <c r="O1244">
        <f>(1-Summary!$B$56)*S1244+Summary!$B$56*U1244</f>
        <v/>
      </c>
      <c r="P1244">
        <f>IF(B1275=0,0,O1244/B1275)</f>
        <v/>
      </c>
      <c r="Q1244">
        <f>IFERROR(1/IF(Inputs!$B$38="pvp",15,MAX(0.1,Skills!E10-IF(Skills!F10=TRUE,1.5,0))),0)</f>
        <v/>
      </c>
      <c r="R1244">
        <f>IF(AND(Inputs!$B$38&lt;&gt;"pvp",Inputs!$B$43&gt;0),IF(MAX(0,Inputs!$B$43-B1272)&lt;=0,0,(INT(MAX(0,Inputs!$B$43-B1272)/IF(Inputs!$B$38="pvp",15,MAX(0.1,Skills!E10-IF(Skills!F10=TRUE,1.5,0))))+1)),0)</f>
        <v/>
      </c>
      <c r="S1244">
        <f>IF(C1244,(H1244*N1244*IF(AND(Inputs!$B$38&lt;&gt;"pvp",Inputs!$B$43&gt;0),((Skills!G10*((R1244-1)*IF(Skills!H10&gt;0,Skills!I10/Skills!H10,1)+IF(Skills!H10&gt;0,MIN(Skills!I10,MAX(0,MAX(0,Inputs!$B$43-B1272)-((R1244-1)*IF(Inputs!$B$38="pvp",15,MAX(0.1,Skills!E10-IF(Skills!F10=TRUE,1.5,0))))))/Skills!H10,1)))/Inputs!$B$43),G1244*Q1244))*IF(Inputs!$B$38="pvp",1,1+(Inputs!$B$20+Skills!P10)/100),0)</f>
        <v/>
      </c>
      <c r="U1244">
        <f>IF(C1244,(H1244*N1244*IF(AND(Inputs!$B$38&lt;&gt;"pvp",Inputs!$B$43&gt;0),((Skills!G10*((R1244-1)*IF(Skills!H10&gt;0,Skills!I10/Skills!H10,1)+IF(Skills!H10&gt;0,MIN(Skills!I10,MAX(0,MAX(0,Inputs!$B$43-B1272)-((R1244-1)*IF(Inputs!$B$38="pvp",15,MAX(0.1,Skills!E10-IF(Skills!F10=TRUE,1.5,0))))))/Skills!H10,1)))/Inputs!$B$43),G1244*Q1244))*IF(Inputs!$B$38="pvp",1,(1+(Inputs!$B$21+Skills!Q10)/100)*(MIN(Skills!R10,Inputs!$B$37))),0)</f>
        <v/>
      </c>
    </row>
    <row r="1245">
      <c r="A1245">
        <f>Skills!A11</f>
        <v/>
      </c>
      <c r="B1245">
        <f>Skills!B11</f>
        <v/>
      </c>
      <c r="C1245">
        <f>TRUE</f>
        <v/>
      </c>
      <c r="D1245">
        <f>IF(Skills!C11=1,60+Inputs!$B$25+Inputs!$B$29,IF(Skills!C11=2,90+Inputs!$B$26+Inputs!$B$29,IF(Skills!C11=3,120+Inputs!$B$27+Inputs!$B$29,MAX(0,(Inputs!$B$3-100)*3)+Inputs!$B$28+Inputs!$B$29)))</f>
        <v/>
      </c>
      <c r="E1245">
        <f>INDEX(FactorTable!$B$2:$Y$301, MATCH(ROUND(MIN(300,MAX(1,D1245)),0), FactorTable!$A$2:$A$301,0), Skills!M11+1)</f>
        <v/>
      </c>
      <c r="F1245">
        <f>IF(Skills!N11=TRUE,(Skills!L11/10)*(E1245/1000),Skills!L11/10)+Skills!O11</f>
        <v/>
      </c>
      <c r="G1245">
        <f>Calc!G11</f>
        <v/>
      </c>
      <c r="H1245">
        <f>Calc!H11</f>
        <v/>
      </c>
      <c r="I1245">
        <f>IF(Skills!X11&lt;&gt;"",1+(Skills!X11/10)*(Z1237/1000)/100,1)</f>
        <v/>
      </c>
      <c r="J1245" t="inlineStr"/>
      <c r="K1245" t="inlineStr"/>
      <c r="L1245" t="inlineStr"/>
      <c r="M1245" t="inlineStr"/>
      <c r="N1245" t="inlineStr"/>
      <c r="O1245">
        <f>(1-Summary!$B$56)*S1245+Summary!$B$56*U1245</f>
        <v/>
      </c>
      <c r="P1245">
        <f>IF(B1275=0,0,O1245/B1275)</f>
        <v/>
      </c>
      <c r="Q1245">
        <f>IFERROR(1/IF(Inputs!$B$38="pvp",15,MAX(0.1,Skills!E11-IF(Skills!F11=TRUE,1.5,0))),0)</f>
        <v/>
      </c>
      <c r="R1245" t="n">
        <v>0</v>
      </c>
      <c r="S1245" t="n">
        <v>0</v>
      </c>
      <c r="U1245" t="n">
        <v>0</v>
      </c>
    </row>
    <row r="1246">
      <c r="A1246">
        <f>Skills!A12</f>
        <v/>
      </c>
      <c r="B1246">
        <f>Skills!B12</f>
        <v/>
      </c>
      <c r="C1246">
        <f>TRUE</f>
        <v/>
      </c>
      <c r="D1246">
        <f>IF(Skills!C12=1,60+Inputs!$B$25+Inputs!$B$29,IF(Skills!C12=2,90+Inputs!$B$26+Inputs!$B$29,IF(Skills!C12=3,120+Inputs!$B$27+Inputs!$B$29,MAX(0,(Inputs!$B$3-100)*3)+Inputs!$B$28+Inputs!$B$29)))</f>
        <v/>
      </c>
      <c r="E1246">
        <f>INDEX(FactorTable!$B$2:$Y$301, MATCH(ROUND(MIN(300,MAX(1,D1246)),0), FactorTable!$A$2:$A$301,0), Skills!M12+1)</f>
        <v/>
      </c>
      <c r="F1246">
        <f>IF(Skills!N12=TRUE,(Skills!L12/10)*(E1246/1000),Skills!L12/10)+Skills!O12</f>
        <v/>
      </c>
      <c r="G1246">
        <f>Calc!G12</f>
        <v/>
      </c>
      <c r="H1246">
        <f>Calc!H12</f>
        <v/>
      </c>
      <c r="I1246">
        <f>IF(Skills!X12&lt;&gt;"",1+(Skills!X12/10)*(Z1237/1000)/100,1)</f>
        <v/>
      </c>
      <c r="J1246" t="inlineStr"/>
      <c r="K1246" t="inlineStr"/>
      <c r="L1246" t="inlineStr"/>
      <c r="M1246" t="inlineStr"/>
      <c r="N1246" t="inlineStr"/>
      <c r="O1246">
        <f>(1-Summary!$B$56)*S1246+Summary!$B$56*U1246</f>
        <v/>
      </c>
      <c r="P1246">
        <f>IF(B1275=0,0,O1246/B1275)</f>
        <v/>
      </c>
      <c r="Q1246">
        <f>IFERROR(1/IF(Inputs!$B$38="pvp",15,MAX(0.1,Skills!E12-IF(Skills!F12=TRUE,1.5,0))),0)</f>
        <v/>
      </c>
      <c r="R1246" t="n">
        <v>0</v>
      </c>
      <c r="S1246" t="n">
        <v>0</v>
      </c>
      <c r="U1246" t="n">
        <v>0</v>
      </c>
    </row>
    <row r="1247">
      <c r="A1247">
        <f>Skills!A13</f>
        <v/>
      </c>
      <c r="B1247">
        <f>Skills!B13</f>
        <v/>
      </c>
      <c r="C1247">
        <f>Inputs!$B$3&gt;=105</f>
        <v/>
      </c>
      <c r="D1247">
        <f>IF(Skills!C13=1,60+Inputs!$B$25+Inputs!$B$29,IF(Skills!C13=2,90+Inputs!$B$26+Inputs!$B$29,IF(Skills!C13=3,120+Inputs!$B$27+Inputs!$B$29,MAX(0,(Inputs!$B$3-100)*3)+Inputs!$B$28+Inputs!$B$29)))</f>
        <v/>
      </c>
      <c r="E1247">
        <f>INDEX(FactorTable!$B$2:$Y$301, MATCH(ROUND(MIN(300,MAX(1,D1247)),0), FactorTable!$A$2:$A$301,0), Skills!M13+1)</f>
        <v/>
      </c>
      <c r="F1247">
        <f>IF(Skills!N13=TRUE,(Skills!L13/10)*(E1247/1000),Skills!L13/10)+Skills!O13</f>
        <v/>
      </c>
      <c r="G1247">
        <f>Calc!G13</f>
        <v/>
      </c>
      <c r="H1247">
        <f>Calc!H13</f>
        <v/>
      </c>
      <c r="I1247">
        <f>IF(Skills!X13&lt;&gt;"",1+(Skills!X13/10)*(Z1237/1000)/100,1)</f>
        <v/>
      </c>
      <c r="J1247">
        <f>((Inputs!$B$6*(1+Inputs!$B$7/100))+(((Inputs!$B$12*(1+Inputs!$B$13/100))-(Inputs!$B$12*(1+Inputs!$B$13/100)))+0.25*(Inputs!$B$14-Inputs!$B$14))*(1+Inputs!$B$7/100))*(F1247/100)</f>
        <v/>
      </c>
      <c r="K1247">
        <f>J1247*(1+((Inputs!$B$12*(1+Inputs!$B$13/100))*0.01+Inputs!$B$14*0.0025)/100)*(1+Inputs!$B$15/100)*(1+Inputs!$B$16/100)*(5000/(6000+Inputs!$B$42*(1-Inputs!$B$19/100)))*(1+Inputs!$B$24/100)*(1+F1257/100)*(1+IF(Inputs!$B$3&gt;=120,F1260,0)/100)^5*(1+(IF(Skills!A13="BASIC_ATTACK",Inputs!$B$17,Inputs!$B$18+IF(Inputs!$B$3&gt;=125,F1261*5,0)))/100)*(B1264*B1265*B1266*I1247)</f>
        <v/>
      </c>
      <c r="L1247">
        <f>K1247*(MIN(Inputs!$B$22+(F1256-Calc!F22),Inputs!$B$23)/100+Inputs!$B$23/100)/2</f>
        <v/>
      </c>
      <c r="M1247">
        <f>L1247*(1+(Inputs!$B$10+(F1255-Calc!F21))/100)</f>
        <v/>
      </c>
      <c r="N1247">
        <f>L1247*(1-MIN(Inputs!$B$9+(F1254-Calc!F20),100)/100)+M1247*(MIN(Inputs!$B$9+(F1254-Calc!F20),100)/100)</f>
        <v/>
      </c>
      <c r="O1247">
        <f>(1-Summary!$B$56)*S1247+Summary!$B$56*U1247</f>
        <v/>
      </c>
      <c r="P1247">
        <f>IF(B1275=0,0,O1247/B1275)</f>
        <v/>
      </c>
      <c r="Q1247">
        <f>IFERROR(1/IF(Inputs!$B$38="pvp",15,MAX(0.1,Skills!E13-IF(Skills!F13=TRUE,1.5,0))),0)</f>
        <v/>
      </c>
      <c r="R1247">
        <f>IF(AND(Inputs!$B$38&lt;&gt;"pvp",Inputs!$B$43&gt;0),IF(MAX(0,Inputs!$B$43-B1272)&lt;=0,0,(INT(MAX(0,Inputs!$B$43-B1272)/IF(Inputs!$B$38="pvp",15,MAX(0.1,Skills!E13-IF(Skills!F13=TRUE,1.5,0))))+1)),0)</f>
        <v/>
      </c>
      <c r="S1247">
        <f>IF(C1247,(H1247*N1247*IF(AND(Inputs!$B$38&lt;&gt;"pvp",Inputs!$B$43&gt;0),((Skills!G13*((R1247-1)*IF(Skills!H13&gt;0,Skills!I13/Skills!H13,1)+IF(Skills!H13&gt;0,MIN(Skills!I13,MAX(0,MAX(0,Inputs!$B$43-B1272)-((R1247-1)*IF(Inputs!$B$38="pvp",15,MAX(0.1,Skills!E13-IF(Skills!F13=TRUE,1.5,0))))))/Skills!H13,1)))/Inputs!$B$43),G1247*Q1247))*IF(Inputs!$B$38="pvp",1,1+(Inputs!$B$20+Skills!P13)/100),0)</f>
        <v/>
      </c>
      <c r="U1247">
        <f>IF(C1247,(H1247*N1247*IF(AND(Inputs!$B$38&lt;&gt;"pvp",Inputs!$B$43&gt;0),((Skills!G13*((R1247-1)*IF(Skills!H13&gt;0,Skills!I13/Skills!H13,1)+IF(Skills!H13&gt;0,MIN(Skills!I13,MAX(0,MAX(0,Inputs!$B$43-B1272)-((R1247-1)*IF(Inputs!$B$38="pvp",15,MAX(0.1,Skills!E13-IF(Skills!F13=TRUE,1.5,0))))))/Skills!H13,1)))/Inputs!$B$43),G1247*Q1247))*IF(Inputs!$B$38="pvp",1,(1+(Inputs!$B$21+Skills!Q13)/100)*(MIN(Skills!R13,Inputs!$B$37))),0)</f>
        <v/>
      </c>
    </row>
    <row r="1248">
      <c r="A1248">
        <f>Skills!A14</f>
        <v/>
      </c>
      <c r="B1248">
        <f>Skills!B14</f>
        <v/>
      </c>
      <c r="C1248">
        <f>Inputs!$B$3&gt;=113</f>
        <v/>
      </c>
      <c r="D1248">
        <f>IF(Skills!C14=1,60+Inputs!$B$25+Inputs!$B$29,IF(Skills!C14=2,90+Inputs!$B$26+Inputs!$B$29,IF(Skills!C14=3,120+Inputs!$B$27+Inputs!$B$29,MAX(0,(Inputs!$B$3-100)*3)+Inputs!$B$28+Inputs!$B$29)))</f>
        <v/>
      </c>
      <c r="E1248">
        <f>INDEX(FactorTable!$B$2:$Y$301, MATCH(ROUND(MIN(300,MAX(1,D1248)),0), FactorTable!$A$2:$A$301,0), Skills!M14+1)</f>
        <v/>
      </c>
      <c r="F1248">
        <f>IF(Skills!N14=TRUE,(Skills!L14/10)*(E1248/1000),Skills!L14/10)+Skills!O14</f>
        <v/>
      </c>
      <c r="G1248">
        <f>Calc!G14</f>
        <v/>
      </c>
      <c r="H1248">
        <f>Calc!H14</f>
        <v/>
      </c>
      <c r="I1248">
        <f>IF(Skills!X14&lt;&gt;"",1+(Skills!X14/10)*(Z1237/1000)/100,1)</f>
        <v/>
      </c>
      <c r="J1248">
        <f>((Inputs!$B$6*(1+Inputs!$B$7/100))+(((Inputs!$B$12*(1+Inputs!$B$13/100))-(Inputs!$B$12*(1+Inputs!$B$13/100)))+0.25*(Inputs!$B$14-Inputs!$B$14))*(1+Inputs!$B$7/100))*(F1248/100)</f>
        <v/>
      </c>
      <c r="K1248">
        <f>J1248*(1+((Inputs!$B$12*(1+Inputs!$B$13/100))*0.01+Inputs!$B$14*0.0025)/100)*(1+Inputs!$B$15/100)*(1+Inputs!$B$16/100)*(5000/(6000+Inputs!$B$42*(1-Inputs!$B$19/100)))*(1+Inputs!$B$24/100)*(1+F1257/100)*(1+IF(Inputs!$B$3&gt;=120,F1260,0)/100)^5*(1+(IF(Skills!A14="BASIC_ATTACK",Inputs!$B$17,Inputs!$B$18+IF(Inputs!$B$3&gt;=125,F1261*5,0)))/100)*(B1264*B1265*B1266*I1248)</f>
        <v/>
      </c>
      <c r="L1248">
        <f>K1248*(MIN(Inputs!$B$22+(F1256-Calc!F22),Inputs!$B$23)/100+Inputs!$B$23/100)/2</f>
        <v/>
      </c>
      <c r="M1248">
        <f>L1248*(1+(Inputs!$B$10+(F1255-Calc!F21))/100)</f>
        <v/>
      </c>
      <c r="N1248">
        <f>L1248*(1-MIN(Inputs!$B$9+(F1254-Calc!F20),100)/100)+M1248*(MIN(Inputs!$B$9+(F1254-Calc!F20),100)/100)</f>
        <v/>
      </c>
      <c r="O1248">
        <f>(1-Summary!$B$56)*S1248+Summary!$B$56*U1248</f>
        <v/>
      </c>
      <c r="P1248">
        <f>IF(B1275=0,0,O1248/B1275)</f>
        <v/>
      </c>
      <c r="Q1248">
        <f>IFERROR(1/IF(Inputs!$B$38="pvp",15,MAX(0.1,Skills!E14-IF(Skills!F14=TRUE,1.5,0))),0)</f>
        <v/>
      </c>
      <c r="R1248" t="n">
        <v>0</v>
      </c>
      <c r="S1248">
        <f>IF(C1248,((H1248*B1271)/(1+Skills!H14*H1248*B1271)*N1248)*IF(Inputs!$B$38="pvp",1,1+(Inputs!$B$20+Skills!P14)/100),0)</f>
        <v/>
      </c>
      <c r="U1248">
        <f>IF(C1248,((H1248*B1271)/(1+Skills!H14*H1248*B1271)*N1248)*IF(Inputs!$B$38="pvp",1,(1+(Inputs!$B$21+Skills!Q14)/100)*(MIN(Skills!R14,Inputs!$B$37))),0)</f>
        <v/>
      </c>
    </row>
    <row r="1249">
      <c r="A1249">
        <f>Skills!A15</f>
        <v/>
      </c>
      <c r="B1249">
        <f>Skills!B15</f>
        <v/>
      </c>
      <c r="C1249">
        <f>Inputs!$B$3&gt;=107</f>
        <v/>
      </c>
      <c r="D1249">
        <f>IF(Skills!C15=1,60+Inputs!$B$25+Inputs!$B$29,IF(Skills!C15=2,90+Inputs!$B$26+Inputs!$B$29,IF(Skills!C15=3,120+Inputs!$B$27+Inputs!$B$29,MAX(0,(Inputs!$B$3-100)*3)+Inputs!$B$28+Inputs!$B$29)))</f>
        <v/>
      </c>
      <c r="E1249">
        <f>INDEX(FactorTable!$B$2:$Y$301, MATCH(ROUND(MIN(300,MAX(1,D1249)),0), FactorTable!$A$2:$A$301,0), Skills!M15+1)</f>
        <v/>
      </c>
      <c r="F1249">
        <f>IF(Skills!N15=TRUE,(Skills!L15/10)*(E1249/1000),Skills!L15/10)+Skills!O15</f>
        <v/>
      </c>
      <c r="G1249">
        <f>Calc!G15</f>
        <v/>
      </c>
      <c r="H1249">
        <f>Calc!H15</f>
        <v/>
      </c>
      <c r="I1249">
        <f>IF(Skills!X15&lt;&gt;"",1+(Skills!X15/10)*(Z1237/1000)/100,1)</f>
        <v/>
      </c>
      <c r="J1249">
        <f>((Inputs!$B$6*(1+Inputs!$B$7/100))+(((Inputs!$B$12*(1+Inputs!$B$13/100))-(Inputs!$B$12*(1+Inputs!$B$13/100)))+0.25*(Inputs!$B$14-Inputs!$B$14))*(1+Inputs!$B$7/100))*(F1249/100)</f>
        <v/>
      </c>
      <c r="K1249">
        <f>J1249*(1+((Inputs!$B$12*(1+Inputs!$B$13/100))*0.01+Inputs!$B$14*0.0025)/100)*(1+Inputs!$B$15/100)*(1+Inputs!$B$16/100)*(5000/(6000+Inputs!$B$42*(1-Inputs!$B$19/100)))*(1+Inputs!$B$24/100)*(1+F1257/100)*(1+IF(Inputs!$B$3&gt;=120,F1260,0)/100)^5*(1+(IF(Skills!A15="BASIC_ATTACK",Inputs!$B$17,Inputs!$B$18+IF(Inputs!$B$3&gt;=125,F1261*5,0)))/100)*(B1264*B1265*B1266*I1249)</f>
        <v/>
      </c>
      <c r="L1249">
        <f>K1249*(MIN(Inputs!$B$22+(F1256-Calc!F22),Inputs!$B$23)/100+Inputs!$B$23/100)/2</f>
        <v/>
      </c>
      <c r="M1249">
        <f>L1249*(1+(Inputs!$B$10+(F1255-Calc!F21))/100)</f>
        <v/>
      </c>
      <c r="N1249">
        <f>L1249*(1-MIN(Inputs!$B$9+(F1254-Calc!F20),100)/100)+M1249*(MIN(Inputs!$B$9+(F1254-Calc!F20),100)/100)</f>
        <v/>
      </c>
      <c r="O1249">
        <f>(1-Summary!$B$56)*S1249+Summary!$B$56*U1249</f>
        <v/>
      </c>
      <c r="P1249">
        <f>IF(B1275=0,0,O1249/B1275)</f>
        <v/>
      </c>
      <c r="Q1249">
        <f>IFERROR(1/IF(Inputs!$B$38="pvp",15,MAX(0.1,Skills!E15-IF(Skills!F15=TRUE,1.5,0))),0)</f>
        <v/>
      </c>
      <c r="R1249">
        <f>IF(AND(Inputs!$B$38&lt;&gt;"pvp",Inputs!$B$43&gt;0),IF(MAX(0,Inputs!$B$43-B1272)&lt;=0,0,(INT(MAX(0,Inputs!$B$43-B1272)/IF(Inputs!$B$38="pvp",15,MAX(0.1,Skills!E15-IF(Skills!F15=TRUE,1.5,0))))+1)),0)</f>
        <v/>
      </c>
      <c r="S1249">
        <f>IF(C1249,(H1249*N1249*IF(AND(Inputs!$B$38&lt;&gt;"pvp",Inputs!$B$43&gt;0),((Skills!G15*((R1249-1)*IF(Skills!H15&gt;0,Skills!I15/Skills!H15,1)+IF(Skills!H15&gt;0,MIN(Skills!I15,MAX(0,MAX(0,Inputs!$B$43-B1272)-((R1249-1)*IF(Inputs!$B$38="pvp",15,MAX(0.1,Skills!E15-IF(Skills!F15=TRUE,1.5,0))))))/Skills!H15,1)))/Inputs!$B$43),G1249*Q1249))*IF(Inputs!$B$38="pvp",1,1+(Inputs!$B$20+Skills!P15)/100),0)</f>
        <v/>
      </c>
      <c r="U1249">
        <f>IF(C1249,(H1249*N1249*IF(AND(Inputs!$B$38&lt;&gt;"pvp",Inputs!$B$43&gt;0),((Skills!G15*((R1249-1)*IF(Skills!H15&gt;0,Skills!I15/Skills!H15,1)+IF(Skills!H15&gt;0,MIN(Skills!I15,MAX(0,MAX(0,Inputs!$B$43-B1272)-((R1249-1)*IF(Inputs!$B$38="pvp",15,MAX(0.1,Skills!E15-IF(Skills!F15=TRUE,1.5,0))))))/Skills!H15,1)))/Inputs!$B$43),G1249*Q1249))*IF(Inputs!$B$38="pvp",1,(1+(Inputs!$B$21+Skills!Q15)/100)*(MIN(Skills!R15,Inputs!$B$37))),0)</f>
        <v/>
      </c>
    </row>
    <row r="1250">
      <c r="A1250">
        <f>Skills!A16</f>
        <v/>
      </c>
      <c r="B1250">
        <f>Skills!B16</f>
        <v/>
      </c>
      <c r="C1250">
        <f>Inputs!$B$3&gt;=107</f>
        <v/>
      </c>
      <c r="D1250">
        <f>IF(Skills!C16=1,60+Inputs!$B$25+Inputs!$B$29,IF(Skills!C16=2,90+Inputs!$B$26+Inputs!$B$29,IF(Skills!C16=3,120+Inputs!$B$27+Inputs!$B$29,MAX(0,(Inputs!$B$3-100)*3)+Inputs!$B$28+Inputs!$B$29)))</f>
        <v/>
      </c>
      <c r="E1250">
        <f>INDEX(FactorTable!$B$2:$Y$301, MATCH(ROUND(MIN(300,MAX(1,D1250)),0), FactorTable!$A$2:$A$301,0), Skills!M16+1)</f>
        <v/>
      </c>
      <c r="F1250">
        <f>IF(Skills!N16=TRUE,(Skills!L16/10)*(E1250/1000),Skills!L16/10)+Skills!O16</f>
        <v/>
      </c>
      <c r="G1250">
        <f>Calc!G16</f>
        <v/>
      </c>
      <c r="H1250">
        <f>Calc!H16</f>
        <v/>
      </c>
      <c r="I1250">
        <f>IF(Skills!X16&lt;&gt;"",1+(Skills!X16/10)*(Z1237/1000)/100,1)</f>
        <v/>
      </c>
      <c r="J1250">
        <f>((Inputs!$B$6*(1+Inputs!$B$7/100))+(((Inputs!$B$12*(1+Inputs!$B$13/100))-(Inputs!$B$12*(1+Inputs!$B$13/100)))+0.25*(Inputs!$B$14-Inputs!$B$14))*(1+Inputs!$B$7/100))*(F1250/100)</f>
        <v/>
      </c>
      <c r="K1250">
        <f>J1250*(1+((Inputs!$B$12*(1+Inputs!$B$13/100))*0.01+Inputs!$B$14*0.0025)/100)*(1+Inputs!$B$15/100)*(1+Inputs!$B$16/100)*(5000/(6000+Inputs!$B$42*(1-Inputs!$B$19/100)))*(1+Inputs!$B$24/100)*(1+F1257/100)*(1+IF(Inputs!$B$3&gt;=120,F1260,0)/100)^5*(1+(IF(Skills!A16="BASIC_ATTACK",Inputs!$B$17,Inputs!$B$18+IF(Inputs!$B$3&gt;=125,F1261*5,0)))/100)*(B1264*B1265*B1266*I1250)</f>
        <v/>
      </c>
      <c r="L1250">
        <f>K1250*(MIN(Inputs!$B$22+(F1256-Calc!F22),Inputs!$B$23)/100+Inputs!$B$23/100)/2</f>
        <v/>
      </c>
      <c r="M1250">
        <f>L1250*(1+(Inputs!$B$10+(F1255-Calc!F21))/100)</f>
        <v/>
      </c>
      <c r="N1250">
        <f>L1250*(1-MIN(Inputs!$B$9+(F1254-Calc!F20),100)/100)+M1250*(MIN(Inputs!$B$9+(F1254-Calc!F20),100)/100)</f>
        <v/>
      </c>
      <c r="O1250">
        <f>(1-Summary!$B$56)*S1250+Summary!$B$56*U1250</f>
        <v/>
      </c>
      <c r="P1250">
        <f>IF(B1275=0,0,O1250/B1275)</f>
        <v/>
      </c>
      <c r="Q1250">
        <f>IFERROR(1/IF(Inputs!$B$38="pvp",15,MAX(0.1,Skills!E16-IF(Skills!F16=TRUE,1.5,0))),0)</f>
        <v/>
      </c>
      <c r="R1250">
        <f>IF(AND(Inputs!$B$38&lt;&gt;"pvp",Inputs!$B$43&gt;0),IF(MAX(0,Inputs!$B$43-B1272)&lt;=0,0,(INT(MAX(0,Inputs!$B$43-B1272)/IF(Inputs!$B$38="pvp",15,MAX(0.1,Skills!E16-IF(Skills!F16=TRUE,1.5,0))))+1)),0)</f>
        <v/>
      </c>
      <c r="S1250">
        <f>IF(C1250,(H1250*N1250*IF(AND(Inputs!$B$38&lt;&gt;"pvp",Inputs!$B$43&gt;0),((Skills!G16*((R1250-1)*IF(Skills!H16&gt;0,Skills!I16/Skills!H16,1)+IF(Skills!H16&gt;0,MIN(Skills!I16,MAX(0,MAX(0,Inputs!$B$43-B1272)-((R1250-1)*IF(Inputs!$B$38="pvp",15,MAX(0.1,Skills!E16-IF(Skills!F16=TRUE,1.5,0))))))/Skills!H16,1)))/Inputs!$B$43),G1250*Q1250)*(1+IF(Inputs!$B$3&gt;=126,0.05*(B1270+Q1247+(H1248*B1271)/(1+Skills!H14*H1248*B1271)+Q1258),0)*Skills!E15))*IF(Inputs!$B$38="pvp",1,1+(Inputs!$B$20+Skills!P16)/100),0)</f>
        <v/>
      </c>
      <c r="U1250">
        <f>IF(C1250,(H1250*N1250*IF(AND(Inputs!$B$38&lt;&gt;"pvp",Inputs!$B$43&gt;0),((Skills!G16*((R1250-1)*IF(Skills!H16&gt;0,Skills!I16/Skills!H16,1)+IF(Skills!H16&gt;0,MIN(Skills!I16,MAX(0,MAX(0,Inputs!$B$43-B1272)-((R1250-1)*IF(Inputs!$B$38="pvp",15,MAX(0.1,Skills!E16-IF(Skills!F16=TRUE,1.5,0))))))/Skills!H16,1)))/Inputs!$B$43),G1250*Q1250)*(1+IF(Inputs!$B$3&gt;=126,0.05*(B1270+Q1247+(H1248*B1271)/(1+Skills!H14*H1248*B1271)+Q1258),0)*Skills!E15))*IF(Inputs!$B$38="pvp",1,(1+(Inputs!$B$21+Skills!Q16)/100)*(MIN(Skills!R16,Inputs!$B$37))),0)</f>
        <v/>
      </c>
    </row>
    <row r="1251">
      <c r="A1251">
        <f>Skills!A17</f>
        <v/>
      </c>
      <c r="B1251">
        <f>Skills!B17</f>
        <v/>
      </c>
      <c r="C1251">
        <f>TRUE</f>
        <v/>
      </c>
      <c r="D1251">
        <f>IF(Skills!C17=1,60+Inputs!$B$25+Inputs!$B$29,IF(Skills!C17=2,90+Inputs!$B$26+Inputs!$B$29,IF(Skills!C17=3,120+Inputs!$B$27+Inputs!$B$29,MAX(0,(Inputs!$B$3-100)*3)+Inputs!$B$28+Inputs!$B$29)))</f>
        <v/>
      </c>
      <c r="E1251">
        <f>INDEX(FactorTable!$B$2:$Y$301, MATCH(ROUND(MIN(300,MAX(1,D1251)),0), FactorTable!$A$2:$A$301,0), Skills!M17+1)</f>
        <v/>
      </c>
      <c r="F1251">
        <f>IF(Skills!N17=TRUE,(Skills!L17/10)*(E1251/1000),Skills!L17/10)+Skills!O17</f>
        <v/>
      </c>
      <c r="G1251">
        <f>Calc!G17</f>
        <v/>
      </c>
      <c r="H1251">
        <f>Calc!H17</f>
        <v/>
      </c>
      <c r="I1251">
        <f>IF(Skills!X17&lt;&gt;"",1+(Skills!X17/10)*(Z1237/1000)/100,1)</f>
        <v/>
      </c>
      <c r="J1251" t="inlineStr"/>
      <c r="K1251" t="inlineStr"/>
      <c r="L1251" t="inlineStr"/>
      <c r="M1251" t="inlineStr"/>
      <c r="N1251" t="inlineStr"/>
      <c r="O1251">
        <f>(1-Summary!$B$56)*S1251+Summary!$B$56*U1251</f>
        <v/>
      </c>
      <c r="P1251">
        <f>IF(B1275=0,0,O1251/B1275)</f>
        <v/>
      </c>
      <c r="Q1251">
        <f>IFERROR(1/IF(Inputs!$B$38="pvp",15,MAX(0.1,Skills!E17-IF(Skills!F17=TRUE,1.5,0))),0)</f>
        <v/>
      </c>
      <c r="R1251">
        <f>IF(AND(Inputs!$B$38&lt;&gt;"pvp",Inputs!$B$43&gt;0),IF(Inputs!$B$43&lt;=0,0,(INT(Inputs!$B$43/IF(Inputs!$B$38="pvp",15,MAX(0.1,Skills!E17-IF(Skills!F17=TRUE,1.5,0))))+1)),0)</f>
        <v/>
      </c>
      <c r="S1251" t="n">
        <v>0</v>
      </c>
      <c r="U1251" t="n">
        <v>0</v>
      </c>
    </row>
    <row r="1252">
      <c r="A1252">
        <f>Skills!A18</f>
        <v/>
      </c>
      <c r="B1252">
        <f>Skills!B18</f>
        <v/>
      </c>
      <c r="C1252">
        <f>TRUE</f>
        <v/>
      </c>
      <c r="D1252">
        <f>IF(Skills!C18=1,60+Inputs!$B$25+Inputs!$B$29,IF(Skills!C18=2,90+Inputs!$B$26+Inputs!$B$29,IF(Skills!C18=3,120+Inputs!$B$27+Inputs!$B$29,MAX(0,(Inputs!$B$3-100)*3)+Inputs!$B$28+Inputs!$B$29)))</f>
        <v/>
      </c>
      <c r="E1252">
        <f>INDEX(FactorTable!$B$2:$Y$301, MATCH(ROUND(MIN(300,MAX(1,D1252)),0), FactorTable!$A$2:$A$301,0), Skills!M18+1)</f>
        <v/>
      </c>
      <c r="F1252">
        <f>IF(Skills!N18=TRUE,(Skills!L18/10)*(E1252/1000),Skills!L18/10)+Skills!O18</f>
        <v/>
      </c>
      <c r="G1252">
        <f>Calc!G18</f>
        <v/>
      </c>
      <c r="H1252">
        <f>Calc!H18</f>
        <v/>
      </c>
      <c r="I1252">
        <f>IF(Skills!X18&lt;&gt;"",1+(Skills!X18/10)*(Z1237/1000)/100,1)</f>
        <v/>
      </c>
      <c r="J1252" t="inlineStr"/>
      <c r="K1252" t="inlineStr"/>
      <c r="L1252" t="inlineStr"/>
      <c r="M1252" t="inlineStr"/>
      <c r="N1252" t="inlineStr"/>
      <c r="O1252">
        <f>(1-Summary!$B$56)*S1252+Summary!$B$56*U1252</f>
        <v/>
      </c>
      <c r="P1252">
        <f>IF(B1275=0,0,O1252/B1275)</f>
        <v/>
      </c>
      <c r="Q1252">
        <f>IFERROR(1/IF(Inputs!$B$38="pvp",15,MAX(0.1,Skills!E18-IF(Skills!F18=TRUE,1.5,0))),0)</f>
        <v/>
      </c>
      <c r="R1252">
        <f>IF(AND(Inputs!$B$38&lt;&gt;"pvp",Inputs!$B$43&gt;0),IF(Inputs!$B$43&lt;=0,0,(INT(Inputs!$B$43/IF(Inputs!$B$38="pvp",15,MAX(0.1,Skills!E18-IF(Skills!F18=TRUE,1.5,0))))+1)),0)</f>
        <v/>
      </c>
      <c r="S1252" t="n">
        <v>0</v>
      </c>
      <c r="U1252" t="n">
        <v>0</v>
      </c>
    </row>
    <row r="1253">
      <c r="A1253">
        <f>Skills!A19</f>
        <v/>
      </c>
      <c r="B1253">
        <f>Skills!B19</f>
        <v/>
      </c>
      <c r="C1253">
        <f>Inputs!$B$3&gt;=110</f>
        <v/>
      </c>
      <c r="D1253">
        <f>IF(Skills!C19=1,60+Inputs!$B$25+Inputs!$B$29,IF(Skills!C19=2,90+Inputs!$B$26+Inputs!$B$29,IF(Skills!C19=3,120+Inputs!$B$27+Inputs!$B$29,MAX(0,(Inputs!$B$3-100)*3)+Inputs!$B$28+Inputs!$B$29)))</f>
        <v/>
      </c>
      <c r="E1253">
        <f>INDEX(FactorTable!$B$2:$Y$301, MATCH(ROUND(MIN(300,MAX(1,D1253)),0), FactorTable!$A$2:$A$301,0), Skills!M19+1)</f>
        <v/>
      </c>
      <c r="F1253">
        <f>IF(Skills!N19=TRUE,(Skills!L19/10)*(E1253/1000),Skills!L19/10)+Skills!O19</f>
        <v/>
      </c>
      <c r="G1253">
        <f>Calc!G19</f>
        <v/>
      </c>
      <c r="H1253">
        <f>Calc!H19</f>
        <v/>
      </c>
      <c r="I1253">
        <f>IF(Skills!X19&lt;&gt;"",1+(Skills!X19/10)*(Z1237/1000)/100,1)</f>
        <v/>
      </c>
      <c r="J1253" t="inlineStr"/>
      <c r="K1253" t="inlineStr"/>
      <c r="L1253" t="inlineStr"/>
      <c r="M1253" t="inlineStr"/>
      <c r="N1253" t="inlineStr"/>
      <c r="O1253">
        <f>(1-Summary!$B$56)*S1253+Summary!$B$56*U1253</f>
        <v/>
      </c>
      <c r="P1253">
        <f>IF(B1275=0,0,O1253/B1275)</f>
        <v/>
      </c>
      <c r="Q1253">
        <f>IFERROR(1/IF(Inputs!$B$38="pvp",15,MAX(0.1,Skills!E19-IF(Skills!F19=TRUE,1.5,0))),0)</f>
        <v/>
      </c>
      <c r="R1253">
        <f>IF(AND(Inputs!$B$38&lt;&gt;"pvp",Inputs!$B$43&gt;0),IF(Inputs!$B$43&lt;=0,0,(INT(Inputs!$B$43/IF(Inputs!$B$38="pvp",15,MAX(0.1,Skills!E19-IF(Skills!F19=TRUE,1.5,0))))+1)),0)</f>
        <v/>
      </c>
      <c r="S1253" t="n">
        <v>0</v>
      </c>
      <c r="U1253" t="n">
        <v>0</v>
      </c>
    </row>
    <row r="1254">
      <c r="A1254">
        <f>Skills!A20</f>
        <v/>
      </c>
      <c r="B1254">
        <f>Skills!B20</f>
        <v/>
      </c>
      <c r="C1254">
        <f>TRUE</f>
        <v/>
      </c>
      <c r="D1254">
        <f>IF(Skills!C20=1,60+Inputs!$B$25+Inputs!$B$29,IF(Skills!C20=2,90+Inputs!$B$26+Inputs!$B$29,IF(Skills!C20=3,120+Inputs!$B$27+Inputs!$B$29,MAX(0,(Inputs!$B$3-100)*3)+Inputs!$B$28+Inputs!$B$29)))</f>
        <v/>
      </c>
      <c r="E1254">
        <f>INDEX(FactorTable!$B$2:$Y$301, MATCH(ROUND(MIN(300,MAX(1,D1254)),0), FactorTable!$A$2:$A$301,0), Skills!M20+1)</f>
        <v/>
      </c>
      <c r="F1254">
        <f>IF(Skills!N20=TRUE,(Skills!L20/10)*(E1254/1000),Skills!L20/10)+Skills!O20</f>
        <v/>
      </c>
      <c r="G1254">
        <f>Calc!G20</f>
        <v/>
      </c>
      <c r="H1254">
        <f>Calc!H20</f>
        <v/>
      </c>
      <c r="I1254">
        <f>IF(Skills!X20&lt;&gt;"",1+(Skills!X20/10)*(Z1237/1000)/100,1)</f>
        <v/>
      </c>
      <c r="J1254" t="inlineStr"/>
      <c r="K1254" t="inlineStr"/>
      <c r="L1254" t="inlineStr"/>
      <c r="M1254" t="inlineStr"/>
      <c r="N1254" t="inlineStr"/>
      <c r="O1254">
        <f>(1-Summary!$B$56)*S1254+Summary!$B$56*U1254</f>
        <v/>
      </c>
      <c r="P1254">
        <f>IF(B1275=0,0,O1254/B1275)</f>
        <v/>
      </c>
      <c r="Q1254">
        <f>IFERROR(1/IF(Inputs!$B$38="pvp",15,MAX(0.1,Skills!E20-IF(Skills!F20=TRUE,1.5,0))),0)</f>
        <v/>
      </c>
      <c r="R1254" t="n">
        <v>0</v>
      </c>
      <c r="S1254" t="n">
        <v>0</v>
      </c>
      <c r="U1254" t="n">
        <v>0</v>
      </c>
    </row>
    <row r="1255">
      <c r="A1255">
        <f>Skills!A21</f>
        <v/>
      </c>
      <c r="B1255">
        <f>Skills!B21</f>
        <v/>
      </c>
      <c r="C1255">
        <f>TRUE</f>
        <v/>
      </c>
      <c r="D1255">
        <f>IF(Skills!C21=1,60+Inputs!$B$25+Inputs!$B$29,IF(Skills!C21=2,90+Inputs!$B$26+Inputs!$B$29,IF(Skills!C21=3,120+Inputs!$B$27+Inputs!$B$29,MAX(0,(Inputs!$B$3-100)*3)+Inputs!$B$28+Inputs!$B$29)))</f>
        <v/>
      </c>
      <c r="E1255">
        <f>INDEX(FactorTable!$B$2:$Y$301, MATCH(ROUND(MIN(300,MAX(1,D1255)),0), FactorTable!$A$2:$A$301,0), Skills!M21+1)</f>
        <v/>
      </c>
      <c r="F1255">
        <f>IF(Skills!N21=TRUE,(Skills!L21/10)*(E1255/1000),Skills!L21/10)+Skills!O21</f>
        <v/>
      </c>
      <c r="G1255">
        <f>Calc!G21</f>
        <v/>
      </c>
      <c r="H1255">
        <f>Calc!H21</f>
        <v/>
      </c>
      <c r="I1255">
        <f>IF(Skills!X21&lt;&gt;"",1+(Skills!X21/10)*(Z1237/1000)/100,1)</f>
        <v/>
      </c>
      <c r="J1255" t="inlineStr"/>
      <c r="K1255" t="inlineStr"/>
      <c r="L1255" t="inlineStr"/>
      <c r="M1255" t="inlineStr"/>
      <c r="N1255" t="inlineStr"/>
      <c r="O1255">
        <f>(1-Summary!$B$56)*S1255+Summary!$B$56*U1255</f>
        <v/>
      </c>
      <c r="P1255">
        <f>IF(B1275=0,0,O1255/B1275)</f>
        <v/>
      </c>
      <c r="Q1255">
        <f>IFERROR(1/IF(Inputs!$B$38="pvp",15,MAX(0.1,Skills!E21-IF(Skills!F21=TRUE,1.5,0))),0)</f>
        <v/>
      </c>
      <c r="R1255" t="n">
        <v>0</v>
      </c>
      <c r="S1255" t="n">
        <v>0</v>
      </c>
      <c r="U1255" t="n">
        <v>0</v>
      </c>
    </row>
    <row r="1256">
      <c r="A1256">
        <f>Skills!A22</f>
        <v/>
      </c>
      <c r="B1256">
        <f>Skills!B22</f>
        <v/>
      </c>
      <c r="C1256">
        <f>TRUE</f>
        <v/>
      </c>
      <c r="D1256">
        <f>IF(Skills!C22=1,60+Inputs!$B$25+Inputs!$B$29,IF(Skills!C22=2,90+Inputs!$B$26+Inputs!$B$29,IF(Skills!C22=3,120+Inputs!$B$27+Inputs!$B$29,MAX(0,(Inputs!$B$3-100)*3)+Inputs!$B$28+Inputs!$B$29)))</f>
        <v/>
      </c>
      <c r="E1256">
        <f>INDEX(FactorTable!$B$2:$Y$301, MATCH(ROUND(MIN(300,MAX(1,D1256)),0), FactorTable!$A$2:$A$301,0), Skills!M22+1)</f>
        <v/>
      </c>
      <c r="F1256">
        <f>IF(Skills!N22=TRUE,(Skills!L22/10)*(E1256/1000),Skills!L22/10)+Skills!O22</f>
        <v/>
      </c>
      <c r="G1256">
        <f>Calc!G22</f>
        <v/>
      </c>
      <c r="H1256">
        <f>Calc!H22</f>
        <v/>
      </c>
      <c r="I1256">
        <f>IF(Skills!X22&lt;&gt;"",1+(Skills!X22/10)*(Z1237/1000)/100,1)</f>
        <v/>
      </c>
      <c r="J1256" t="inlineStr"/>
      <c r="K1256" t="inlineStr"/>
      <c r="L1256" t="inlineStr"/>
      <c r="M1256" t="inlineStr"/>
      <c r="N1256" t="inlineStr"/>
      <c r="O1256">
        <f>(1-Summary!$B$56)*S1256+Summary!$B$56*U1256</f>
        <v/>
      </c>
      <c r="P1256">
        <f>IF(B1275=0,0,O1256/B1275)</f>
        <v/>
      </c>
      <c r="Q1256">
        <f>IFERROR(1/IF(Inputs!$B$38="pvp",15,MAX(0.1,Skills!E22-IF(Skills!F22=TRUE,1.5,0))),0)</f>
        <v/>
      </c>
      <c r="R1256" t="n">
        <v>0</v>
      </c>
      <c r="S1256" t="n">
        <v>0</v>
      </c>
      <c r="U1256" t="n">
        <v>0</v>
      </c>
    </row>
    <row r="1257">
      <c r="A1257">
        <f>Skills!A23</f>
        <v/>
      </c>
      <c r="B1257">
        <f>Skills!B23</f>
        <v/>
      </c>
      <c r="C1257">
        <f>TRUE</f>
        <v/>
      </c>
      <c r="D1257">
        <f>IF(Skills!C23=1,60+Inputs!$B$25+Inputs!$B$29,IF(Skills!C23=2,90+Inputs!$B$26+Inputs!$B$29,IF(Skills!C23=3,120+Inputs!$B$27+Inputs!$B$29,MAX(0,(Inputs!$B$3-100)*3)+Inputs!$B$28+Inputs!$B$29)))</f>
        <v/>
      </c>
      <c r="E1257">
        <f>INDEX(FactorTable!$B$2:$Y$301, MATCH(ROUND(MIN(300,MAX(1,D1257)),0), FactorTable!$A$2:$A$301,0), Skills!M23+1)</f>
        <v/>
      </c>
      <c r="F1257">
        <f>IF(Skills!N23=TRUE,(Skills!L23/10)*(E1257/1000),Skills!L23/10)+Skills!O23</f>
        <v/>
      </c>
      <c r="G1257">
        <f>Calc!G23</f>
        <v/>
      </c>
      <c r="H1257">
        <f>Calc!H23</f>
        <v/>
      </c>
      <c r="I1257">
        <f>IF(Skills!X23&lt;&gt;"",1+(Skills!X23/10)*(Z1237/1000)/100,1)</f>
        <v/>
      </c>
      <c r="J1257" t="inlineStr"/>
      <c r="K1257" t="inlineStr"/>
      <c r="L1257" t="inlineStr"/>
      <c r="M1257" t="inlineStr"/>
      <c r="N1257" t="inlineStr"/>
      <c r="O1257">
        <f>(1-Summary!$B$56)*S1257+Summary!$B$56*U1257</f>
        <v/>
      </c>
      <c r="P1257">
        <f>IF(B1275=0,0,O1257/B1275)</f>
        <v/>
      </c>
      <c r="Q1257">
        <f>IFERROR(1/IF(Inputs!$B$38="pvp",15,MAX(0.1,Skills!E23-IF(Skills!F23=TRUE,1.5,0))),0)</f>
        <v/>
      </c>
      <c r="R1257" t="n">
        <v>0</v>
      </c>
      <c r="S1257" t="n">
        <v>0</v>
      </c>
      <c r="U1257" t="n">
        <v>0</v>
      </c>
    </row>
    <row r="1258">
      <c r="A1258">
        <f>Skills!A24</f>
        <v/>
      </c>
      <c r="B1258">
        <f>Skills!B24</f>
        <v/>
      </c>
      <c r="C1258">
        <f>Inputs!$B$3&gt;=115</f>
        <v/>
      </c>
      <c r="D1258">
        <f>IF(Skills!C24=1,60+Inputs!$B$25+Inputs!$B$29,IF(Skills!C24=2,90+Inputs!$B$26+Inputs!$B$29,IF(Skills!C24=3,120+Inputs!$B$27+Inputs!$B$29,MAX(0,(Inputs!$B$3-100)*3)+Inputs!$B$28+Inputs!$B$29)))</f>
        <v/>
      </c>
      <c r="E1258">
        <f>INDEX(FactorTable!$B$2:$Y$301, MATCH(ROUND(MIN(300,MAX(1,D1258)),0), FactorTable!$A$2:$A$301,0), Skills!M24+1)</f>
        <v/>
      </c>
      <c r="F1258">
        <f>IF(Skills!N24=TRUE,(Skills!L24/10)*(E1258/1000),Skills!L24/10)+Skills!O24</f>
        <v/>
      </c>
      <c r="G1258">
        <f>Calc!G24</f>
        <v/>
      </c>
      <c r="H1258">
        <f>Calc!H24</f>
        <v/>
      </c>
      <c r="I1258">
        <f>IF(Skills!X24&lt;&gt;"",1+(Skills!X24/10)*(Z1237/1000)/100,1)</f>
        <v/>
      </c>
      <c r="J1258">
        <f>((Inputs!$B$6*(1+Inputs!$B$7/100))+(((Inputs!$B$12*(1+Inputs!$B$13/100))-(Inputs!$B$12*(1+Inputs!$B$13/100)))+0.25*(Inputs!$B$14-Inputs!$B$14))*(1+Inputs!$B$7/100))*(F1258/100)</f>
        <v/>
      </c>
      <c r="K1258">
        <f>J1258*(1+((Inputs!$B$12*(1+Inputs!$B$13/100))*0.01+Inputs!$B$14*0.0025)/100)*(1+Inputs!$B$15/100)*(1+Inputs!$B$16/100)*(5000/(6000+Inputs!$B$42*(1-Inputs!$B$19/100)))*(1+Inputs!$B$24/100)*(1+F1257/100)*(1+IF(Inputs!$B$3&gt;=120,F1260,0)/100)^5*(1+(IF(Skills!A24="BASIC_ATTACK",Inputs!$B$17,Inputs!$B$18+IF(Inputs!$B$3&gt;=125,F1261*5,0)))/100)*(B1264*B1265*B1266*I1258)</f>
        <v/>
      </c>
      <c r="L1258">
        <f>K1258*(MIN(Inputs!$B$22+(F1256-Calc!F22),Inputs!$B$23)/100+Inputs!$B$23/100)/2</f>
        <v/>
      </c>
      <c r="M1258">
        <f>L1258*(1+(Inputs!$B$10+(F1255-Calc!F21))/100)</f>
        <v/>
      </c>
      <c r="N1258">
        <f>L1258*(1-MIN(Inputs!$B$9+(F1254-Calc!F20),100)/100)+M1258*(MIN(Inputs!$B$9+(F1254-Calc!F20),100)/100)</f>
        <v/>
      </c>
      <c r="O1258">
        <f>(1-Summary!$B$56)*S1258+Summary!$B$56*U1258</f>
        <v/>
      </c>
      <c r="P1258">
        <f>IF(B1275=0,0,O1258/B1275)</f>
        <v/>
      </c>
      <c r="Q1258">
        <f>IFERROR(1/IF(Inputs!$B$38="pvp",15,MAX(0.1,Skills!E24-IF(Skills!F24=TRUE,1.5,0))),0)</f>
        <v/>
      </c>
      <c r="R1258">
        <f>IF(AND(Inputs!$B$38&lt;&gt;"pvp",Inputs!$B$43&gt;0),IF(MAX(0,Inputs!$B$43-B1272)&lt;=0,0,(INT(MAX(0,Inputs!$B$43-B1272)/IF(Inputs!$B$38="pvp",15,MAX(0.1,Skills!E24-IF(Skills!F24=TRUE,1.5,0))))+1)),0)</f>
        <v/>
      </c>
      <c r="S1258">
        <f>IF(C1258,(H1258*N1258*IF(AND(Inputs!$B$38&lt;&gt;"pvp",Inputs!$B$43&gt;0),((Skills!G24*((R1258-1)*IF(Skills!H24&gt;0,Skills!I24/Skills!H24,1)+IF(Skills!H24&gt;0,MIN(Skills!I24,MAX(0,MAX(0,Inputs!$B$43-B1272)-((R1258-1)*IF(Inputs!$B$38="pvp",15,MAX(0.1,Skills!E24-IF(Skills!F24=TRUE,1.5,0))))))/Skills!H24,1)))/Inputs!$B$43),G1258*Q1258)*(1+IF(Inputs!$B$3&gt;=130,0.2*(Skills!I16/Skills!E15+IF(Inputs!$B$3&gt;=126,0.05*(B1270+Q1247+(H1248*B1271)/(1+Skills!H14*H1248*B1271)+Q1258),0)*Skills!I16),0)))*IF(Inputs!$B$38="pvp",1,1+(Inputs!$B$20+Skills!P24)/100),0)</f>
        <v/>
      </c>
      <c r="U1258">
        <f>IF(C1258,(H1258*N1258*IF(AND(Inputs!$B$38&lt;&gt;"pvp",Inputs!$B$43&gt;0),((Skills!G24*((R1258-1)*IF(Skills!H24&gt;0,Skills!I24/Skills!H24,1)+IF(Skills!H24&gt;0,MIN(Skills!I24,MAX(0,MAX(0,Inputs!$B$43-B1272)-((R1258-1)*IF(Inputs!$B$38="pvp",15,MAX(0.1,Skills!E24-IF(Skills!F24=TRUE,1.5,0))))))/Skills!H24,1)))/Inputs!$B$43),G1258*Q1258)*(1+IF(Inputs!$B$3&gt;=130,0.2*(Skills!I16/Skills!E15+IF(Inputs!$B$3&gt;=126,0.05*(B1270+Q1247+(H1248*B1271)/(1+Skills!H14*H1248*B1271)+Q1258),0)*Skills!I16),0)))*IF(Inputs!$B$38="pvp",1,(1+(Inputs!$B$21+Skills!Q24)/100)*(MIN(Skills!R24,Inputs!$B$37))),0)</f>
        <v/>
      </c>
    </row>
    <row r="1259">
      <c r="A1259">
        <f>Skills!A25</f>
        <v/>
      </c>
      <c r="B1259">
        <f>Skills!B25</f>
        <v/>
      </c>
      <c r="C1259">
        <f>Inputs!$B$3&gt;=117</f>
        <v/>
      </c>
      <c r="D1259">
        <f>IF(Skills!C25=1,60+Inputs!$B$25+Inputs!$B$29,IF(Skills!C25=2,90+Inputs!$B$26+Inputs!$B$29,IF(Skills!C25=3,120+Inputs!$B$27+Inputs!$B$29,MAX(0,(Inputs!$B$3-100)*3)+Inputs!$B$28+Inputs!$B$29)))</f>
        <v/>
      </c>
      <c r="E1259">
        <f>INDEX(FactorTable!$B$2:$Y$301, MATCH(ROUND(MIN(300,MAX(1,D1259)),0), FactorTable!$A$2:$A$301,0), Skills!M25+1)</f>
        <v/>
      </c>
      <c r="F1259">
        <f>IF(Skills!N25=TRUE,(Skills!L25/10)*(E1259/1000),Skills!L25/10)+Skills!O25</f>
        <v/>
      </c>
      <c r="G1259">
        <f>Calc!G25</f>
        <v/>
      </c>
      <c r="H1259">
        <f>Calc!H25</f>
        <v/>
      </c>
      <c r="I1259">
        <f>IF(Skills!X25&lt;&gt;"",1+(Skills!X25/10)*(Z1237/1000)/100,1)</f>
        <v/>
      </c>
      <c r="J1259" t="inlineStr"/>
      <c r="K1259" t="inlineStr"/>
      <c r="L1259" t="inlineStr"/>
      <c r="M1259" t="inlineStr"/>
      <c r="N1259" t="inlineStr"/>
      <c r="O1259">
        <f>(1-Summary!$B$56)*S1259+Summary!$B$56*U1259</f>
        <v/>
      </c>
      <c r="P1259">
        <f>IF(B1275=0,0,O1259/B1275)</f>
        <v/>
      </c>
      <c r="Q1259">
        <f>IFERROR(1/IF(Inputs!$B$38="pvp",15,MAX(0.1,Skills!E25-IF(Skills!F25=TRUE,1.5,0))),0)</f>
        <v/>
      </c>
      <c r="R1259" t="n">
        <v>0</v>
      </c>
      <c r="S1259" t="n">
        <v>0</v>
      </c>
      <c r="U1259" t="n">
        <v>0</v>
      </c>
    </row>
    <row r="1260">
      <c r="A1260">
        <f>Skills!A26</f>
        <v/>
      </c>
      <c r="B1260">
        <f>Skills!B26</f>
        <v/>
      </c>
      <c r="C1260">
        <f>Inputs!$B$3&gt;=120</f>
        <v/>
      </c>
      <c r="D1260">
        <f>IF(Skills!C26=1,60+Inputs!$B$25+Inputs!$B$29,IF(Skills!C26=2,90+Inputs!$B$26+Inputs!$B$29,IF(Skills!C26=3,120+Inputs!$B$27+Inputs!$B$29,MAX(0,(Inputs!$B$3-100)*3)+Inputs!$B$28+Inputs!$B$29)))</f>
        <v/>
      </c>
      <c r="E1260">
        <f>INDEX(FactorTable!$B$2:$Y$301, MATCH(ROUND(MIN(300,MAX(1,D1260)),0), FactorTable!$A$2:$A$301,0), Skills!M26+1)</f>
        <v/>
      </c>
      <c r="F1260">
        <f>IF(Skills!N26=TRUE,(Skills!L26/10)*(E1260/1000),Skills!L26/10)+Skills!O26</f>
        <v/>
      </c>
      <c r="G1260">
        <f>Calc!G26</f>
        <v/>
      </c>
      <c r="H1260">
        <f>Calc!H26</f>
        <v/>
      </c>
      <c r="I1260">
        <f>IF(Skills!X26&lt;&gt;"",1+(Skills!X26/10)*(Z1237/1000)/100,1)</f>
        <v/>
      </c>
      <c r="J1260" t="inlineStr"/>
      <c r="K1260" t="inlineStr"/>
      <c r="L1260" t="inlineStr"/>
      <c r="M1260" t="inlineStr"/>
      <c r="N1260" t="inlineStr"/>
      <c r="O1260">
        <f>(1-Summary!$B$56)*S1260+Summary!$B$56*U1260</f>
        <v/>
      </c>
      <c r="P1260">
        <f>IF(B1275=0,0,O1260/B1275)</f>
        <v/>
      </c>
      <c r="Q1260">
        <f>IFERROR(1/IF(Inputs!$B$38="pvp",15,MAX(0.1,Skills!E26-IF(Skills!F26=TRUE,1.5,0))),0)</f>
        <v/>
      </c>
      <c r="R1260" t="n">
        <v>0</v>
      </c>
      <c r="S1260" t="n">
        <v>0</v>
      </c>
      <c r="U1260" t="n">
        <v>0</v>
      </c>
    </row>
    <row r="1261">
      <c r="A1261">
        <f>Skills!A27</f>
        <v/>
      </c>
      <c r="B1261">
        <f>Skills!B27</f>
        <v/>
      </c>
      <c r="C1261">
        <f>Inputs!$B$3&gt;=125</f>
        <v/>
      </c>
      <c r="D1261">
        <f>IF(Skills!C27=1,60+Inputs!$B$25+Inputs!$B$29,IF(Skills!C27=2,90+Inputs!$B$26+Inputs!$B$29,IF(Skills!C27=3,120+Inputs!$B$27+Inputs!$B$29,MAX(0,(Inputs!$B$3-100)*3)+Inputs!$B$28+Inputs!$B$29)))</f>
        <v/>
      </c>
      <c r="E1261">
        <f>INDEX(FactorTable!$B$2:$Y$301, MATCH(ROUND(MIN(300,MAX(1,D1261)),0), FactorTable!$A$2:$A$301,0), Skills!M27+1)</f>
        <v/>
      </c>
      <c r="F1261">
        <f>IF(Skills!N27=TRUE,(Skills!L27/10)*(E1261/1000),Skills!L27/10)+Skills!O27</f>
        <v/>
      </c>
      <c r="G1261">
        <f>Calc!G27</f>
        <v/>
      </c>
      <c r="H1261">
        <f>Calc!H27</f>
        <v/>
      </c>
      <c r="I1261">
        <f>IF(Skills!X27&lt;&gt;"",1+(Skills!X27/10)*(Z1237/1000)/100,1)</f>
        <v/>
      </c>
      <c r="J1261" t="inlineStr"/>
      <c r="K1261" t="inlineStr"/>
      <c r="L1261" t="inlineStr"/>
      <c r="M1261" t="inlineStr"/>
      <c r="N1261" t="inlineStr"/>
      <c r="O1261">
        <f>(1-Summary!$B$56)*S1261+Summary!$B$56*U1261</f>
        <v/>
      </c>
      <c r="P1261">
        <f>IF(B1275=0,0,O1261/B1275)</f>
        <v/>
      </c>
      <c r="Q1261">
        <f>IFERROR(1/IF(Inputs!$B$38="pvp",15,MAX(0.1,Skills!E27-IF(Skills!F27=TRUE,1.5,0))),0)</f>
        <v/>
      </c>
      <c r="R1261" t="n">
        <v>0</v>
      </c>
      <c r="S1261" t="n">
        <v>0</v>
      </c>
      <c r="U1261" t="n">
        <v>0</v>
      </c>
    </row>
    <row r="1262">
      <c r="A1262">
        <f>Skills!A28</f>
        <v/>
      </c>
      <c r="B1262">
        <f>Skills!B28</f>
        <v/>
      </c>
      <c r="C1262">
        <f>Inputs!$B$3&gt;=118</f>
        <v/>
      </c>
      <c r="D1262">
        <f>IF(Skills!C28=1,60+Inputs!$B$25+Inputs!$B$29,IF(Skills!C28=2,90+Inputs!$B$26+Inputs!$B$29,IF(Skills!C28=3,120+Inputs!$B$27+Inputs!$B$29,MAX(0,(Inputs!$B$3-100)*3)+Inputs!$B$28+Inputs!$B$29)))</f>
        <v/>
      </c>
      <c r="E1262">
        <f>INDEX(FactorTable!$B$2:$Y$301, MATCH(ROUND(MIN(300,MAX(1,D1262)),0), FactorTable!$A$2:$A$301,0), Skills!M28+1)</f>
        <v/>
      </c>
      <c r="F1262">
        <f>IF(Skills!N28=TRUE,(Skills!L28/10)*(E1262/1000),Skills!L28/10)+Skills!O28</f>
        <v/>
      </c>
      <c r="G1262">
        <f>Calc!G28</f>
        <v/>
      </c>
      <c r="H1262">
        <f>Calc!H28</f>
        <v/>
      </c>
      <c r="I1262">
        <f>IF(Skills!X28&lt;&gt;"",1+(Skills!X28/10)*(Z1237/1000)/100,1)</f>
        <v/>
      </c>
      <c r="J1262">
        <f>((Inputs!$B$6*(1+Inputs!$B$7/100))+(((Inputs!$B$12*(1+Inputs!$B$13/100))-(Inputs!$B$12*(1+Inputs!$B$13/100)))+0.25*(Inputs!$B$14-Inputs!$B$14))*(1+Inputs!$B$7/100))*(F1262/100)</f>
        <v/>
      </c>
      <c r="K1262">
        <f>J1262*(1+((Inputs!$B$12*(1+Inputs!$B$13/100))*0.01+Inputs!$B$14*0.0025)/100)*(1+Inputs!$B$15/100)*(1+Inputs!$B$16/100)*(5000/(6000+Inputs!$B$42*(1-Inputs!$B$19/100)))*(1+Inputs!$B$24/100)*(1+F1257/100)*(1+IF(Inputs!$B$3&gt;=120,F1260,0)/100)^5*(1+(IF(Skills!A28="BASIC_ATTACK",Inputs!$B$17,Inputs!$B$18+IF(Inputs!$B$3&gt;=125,F1261*5,0)))/100)*(B1264*B1265*B1266*I1262)</f>
        <v/>
      </c>
      <c r="L1262">
        <f>K1262*(MIN(Inputs!$B$22+(F1256-Calc!F22),Inputs!$B$23)/100+Inputs!$B$23/100)/2</f>
        <v/>
      </c>
      <c r="M1262">
        <f>L1262*(1+(Inputs!$B$10+(F1255-Calc!F21))/100)</f>
        <v/>
      </c>
      <c r="N1262">
        <f>L1262*(1-MIN(Inputs!$B$9+(F1254-Calc!F20),100)/100)+M1262*(MIN(Inputs!$B$9+(F1254-Calc!F20),100)/100)</f>
        <v/>
      </c>
      <c r="O1262">
        <f>(1-Summary!$B$56)*S1262+Summary!$B$56*U1262</f>
        <v/>
      </c>
      <c r="P1262">
        <f>IF(B1275=0,0,O1262/B1275)</f>
        <v/>
      </c>
      <c r="Q1262">
        <f>IFERROR(1/IF(Inputs!$B$38="pvp",15,MAX(0.1,Skills!E28-IF(Skills!F28=TRUE,1.5,0))),0)</f>
        <v/>
      </c>
      <c r="R1262">
        <f>IF(AND(Inputs!$B$38&lt;&gt;"pvp",Inputs!$B$43&gt;0),IF(MAX(0,Inputs!$B$43-B1272)&lt;=0,0,(INT(MAX(0,Inputs!$B$43-B1272)/IF(Inputs!$B$38="pvp",15,MAX(0.1,Skills!E28-IF(Skills!F28=TRUE,1.5,0))))+1)),0)</f>
        <v/>
      </c>
      <c r="S1262">
        <f>IF(C1262,(H1262*N1262*IF(AND(Inputs!$B$38&lt;&gt;"pvp",Inputs!$B$43&gt;0),((Skills!G28*((R1262-1)*IF(Skills!H28&gt;0,Skills!I28/Skills!H28,1)+IF(Skills!H28&gt;0,MIN(Skills!I28,MAX(0,MAX(0,Inputs!$B$43-B1272)-((R1262-1)*IF(Inputs!$B$38="pvp",15,MAX(0.1,Skills!E28-IF(Skills!F28=TRUE,1.5,0))))))/Skills!H28,1)))/Inputs!$B$43),G1262*Q1262))*IF(Inputs!$B$38="pvp",1,1+(Inputs!$B$20+Skills!P28)/100),0)</f>
        <v/>
      </c>
      <c r="U1262">
        <f>IF(C1262,(H1262*N1262*IF(AND(Inputs!$B$38&lt;&gt;"pvp",Inputs!$B$43&gt;0),((Skills!G28*((R1262-1)*IF(Skills!H28&gt;0,Skills!I28/Skills!H28,1)+IF(Skills!H28&gt;0,MIN(Skills!I28,MAX(0,MAX(0,Inputs!$B$43-B1272)-((R1262-1)*IF(Inputs!$B$38="pvp",15,MAX(0.1,Skills!E28-IF(Skills!F28=TRUE,1.5,0))))))/Skills!H28,1)))/Inputs!$B$43),G1262*Q1262))*IF(Inputs!$B$38="pvp",1,(1+(Inputs!$B$21+Skills!Q28)/100)*(MIN(Skills!R28,Inputs!$B$37))),0)</f>
        <v/>
      </c>
    </row>
    <row r="1264">
      <c r="A1264" t="inlineStr">
        <is>
          <t>Burning Magic Multiplier</t>
        </is>
      </c>
      <c r="B1264">
        <f>1+(F1245*Skills!Z11)/100</f>
        <v/>
      </c>
    </row>
    <row r="1265">
      <c r="A1265" t="inlineStr">
        <is>
          <t>Elemental Decrease Multiplier (always-on)</t>
        </is>
      </c>
      <c r="B1265">
        <f>1+F1246/100</f>
        <v/>
      </c>
    </row>
    <row r="1266">
      <c r="A1266" t="inlineStr">
        <is>
          <t>Average Buff Multiplier (Magic Guard + Meditation, summed; then Infinity)</t>
        </is>
      </c>
      <c r="B1266">
        <f>(1+(F1240*IF(AND(Inputs!$B$38&lt;&gt;"pvp",Inputs!$B$43&gt;0),(((R1240-1)*(Skills!T6*(1+(Inputs!$B$34+IF(Inputs!$B$3&gt;=117,F1259,0))/100))+MIN((Skills!T6*(1+(Inputs!$B$34+IF(Inputs!$B$3&gt;=117,F1259,0))/100)),MAX(0,Inputs!$B$43-((R1240-1)*Skills!E6))))/Inputs!$B$43),IF(Inputs!$B$38="pvp",MIN((Skills!T6*(1+(Inputs!$B$34+IF(Inputs!$B$3&gt;=117,F1259,0))/100)),15)/15,(Skills!T6*(1+(Inputs!$B$34+IF(Inputs!$B$3&gt;=117,F1259,0))/100))/Skills!E6))+F1251*IF(AND(Inputs!$B$38&lt;&gt;"pvp",Inputs!$B$43&gt;0),(((R1251-1)*(Skills!T17*(1+(Inputs!$B$34+IF(Inputs!$B$3&gt;=117,F1259,0))/100))+MIN((Skills!T17*(1+(Inputs!$B$34+IF(Inputs!$B$3&gt;=117,F1259,0))/100)),MAX(0,Inputs!$B$43-((R1251-1)*Skills!E17))))/Inputs!$B$43),IF(Inputs!$B$38="pvp",MIN((Skills!T17*(1+(Inputs!$B$34+IF(Inputs!$B$3&gt;=117,F1259,0))/100)),15)/15,(Skills!T17*(1+(Inputs!$B$34+IF(Inputs!$B$3&gt;=117,F1259,0))/100))/Skills!E17)))/100)*IF(C1253=TRUE,(1+F1253*IF(AND(Inputs!$B$38&lt;&gt;"pvp",Inputs!$B$43&gt;0),(((R1253-1)*(Skills!T19*(1+(Inputs!$B$34+IF(Inputs!$B$3&gt;=117,F1259,0))/100))+MIN((Skills!T19*(1+(Inputs!$B$34+IF(Inputs!$B$3&gt;=117,F1259,0))/100)),MAX(0,Inputs!$B$43-((R1253-1)*Skills!E19))))/Inputs!$B$43),IF(Inputs!$B$38="pvp",MIN((Skills!T19*(1+(Inputs!$B$34+IF(Inputs!$B$3&gt;=117,F1259,0))/100)),15)/15,(Skills!T19*(1+(Inputs!$B$34+IF(Inputs!$B$3&gt;=117,F1259,0))/100))/Skills!E19))/100),1)</f>
        <v/>
      </c>
    </row>
    <row r="1267">
      <c r="A1267" t="inlineStr">
        <is>
          <t>Attack Speed Buff Bonus % (Nimble Feet, averaged)</t>
        </is>
      </c>
      <c r="B1267">
        <f>F1252*IF(AND(Inputs!$B$38&lt;&gt;"pvp",Inputs!$B$43&gt;0),(((R1252-1)*(Skills!T18*(1+(Inputs!$B$34+IF(Inputs!$B$3&gt;=117,F1259,0))/100))+MIN((Skills!T18*(1+(Inputs!$B$34+IF(Inputs!$B$3&gt;=117,F1259,0))/100)),MAX(0,Inputs!$B$43-((R1252-1)*Skills!E18))))/Inputs!$B$43),IF(Inputs!$B$38="pvp",MIN((Skills!T18*(1+(Inputs!$B$34+IF(Inputs!$B$3&gt;=117,F1259,0))/100)),15)/15,(Skills!T18*(1+(Inputs!$B$34+IF(Inputs!$B$3&gt;=117,F1259,0))/100))/Skills!E18))</f>
        <v/>
      </c>
    </row>
    <row r="1268">
      <c r="A1268" t="inlineStr">
        <is>
          <t>Actions Per Second</t>
        </is>
      </c>
      <c r="B1268">
        <f>1+MIN(150,150*(1-(1-Inputs!$B$11/150)*(1-B1267/150)))/100</f>
        <v/>
      </c>
    </row>
    <row r="1269">
      <c r="A1269" t="inlineStr">
        <is>
          <t>Skill + Buff Cast Rate</t>
        </is>
      </c>
      <c r="B1269">
        <f>IF(AND(Inputs!$B$38&lt;&gt;"pvp",Inputs!$B$43&gt;0),SUMPRODUCT((Skills!F2:F28=TRUE)*(C1236:C1262=TRUE)*R1236:R1262)/Inputs!$B$43,SUMPRODUCT((Skills!F2:F28=TRUE)*(C1236:C1262=TRUE)*Q1236:Q1262))</f>
        <v/>
      </c>
    </row>
    <row r="1270">
      <c r="A1270" t="inlineStr">
        <is>
          <t>Basic Attacks Per Second</t>
        </is>
      </c>
      <c r="B1270">
        <f>MAX(0,B1268-B1269)</f>
        <v/>
      </c>
    </row>
    <row r="1271">
      <c r="A1271" t="inlineStr">
        <is>
          <t>Meteor Proc — combined trigger cast rate</t>
        </is>
      </c>
      <c r="B1271">
        <f>IF(AND(Inputs!$B$38&lt;&gt;"pvp",Inputs!$B$43&gt;0),SUMPRODUCT((Skills!V2:V28=TRUE)*(C1236:C1262=TRUE)*R1236:R1262*Skills!W2:W28)/Inputs!$B$43,SUMPRODUCT((Skills!V2:V28=TRUE)*(C1236:C1262=TRUE)*Q1236:Q1262*Skills!W2:W28))+B1270</f>
        <v/>
      </c>
    </row>
    <row r="1272">
      <c r="A1272" t="inlineStr">
        <is>
          <t>Buff-Casting Startup Delay (s, fixed-duration only)</t>
        </is>
      </c>
      <c r="B1272">
        <f>IF(AND(Inputs!$B$38&lt;&gt;"pvp",Inputs!$B$43&gt;0),SUMPRODUCT((Skills!T2:T28&gt;0)*(Skills!F2:F28=TRUE)*(C1236:C1262=TRUE))/B1268,0)</f>
        <v/>
      </c>
    </row>
    <row r="1273">
      <c r="A1273" t="inlineStr">
        <is>
          <t>Boss-Only Total DPS (this block's swept value)</t>
        </is>
      </c>
      <c r="B1273">
        <f>SUM(S1236:S1262)</f>
        <v/>
      </c>
    </row>
    <row r="1274">
      <c r="A1274" t="inlineStr">
        <is>
          <t>Normal-Only Total DPS (this block's swept value)</t>
        </is>
      </c>
      <c r="B1274">
        <f>SUM(U1236:U1262)</f>
        <v/>
      </c>
    </row>
    <row r="1275">
      <c r="A1275" s="5" t="inlineStr">
        <is>
          <t>TOTAL DPS</t>
        </is>
      </c>
      <c r="B1275" s="5">
        <f>SUM(O1236:O1262)</f>
        <v/>
      </c>
    </row>
    <row r="1278">
      <c r="A1278" s="5" t="inlineStr">
        <is>
          <t>Stat: CDR = 2.0s</t>
        </is>
      </c>
    </row>
    <row r="1279">
      <c r="A1279" s="9" t="inlineStr">
        <is>
          <t>Key</t>
        </is>
      </c>
      <c r="B1279" s="9" t="inlineStr">
        <is>
          <t>Name</t>
        </is>
      </c>
      <c r="C1279" s="9" t="inlineStr">
        <is>
          <t>Unlocked</t>
        </is>
      </c>
      <c r="D1279" s="9" t="inlineStr">
        <is>
          <t>InputLevel</t>
        </is>
      </c>
      <c r="E1279" s="9" t="inlineStr">
        <is>
          <t>Factor</t>
        </is>
      </c>
      <c r="F1279" s="9" t="inlineStr">
        <is>
          <t>CoefficientPercent</t>
        </is>
      </c>
      <c r="G1279" s="9" t="inlineStr">
        <is>
          <t>EffectiveHits</t>
        </is>
      </c>
      <c r="H1279" s="9" t="inlineStr">
        <is>
          <t>ProcProbability</t>
        </is>
      </c>
      <c r="I1279" s="9" t="inlineStr">
        <is>
          <t>MapleHeroMultiplier</t>
        </is>
      </c>
      <c r="J1279" s="9" t="inlineStr">
        <is>
          <t>BaseDamage</t>
        </is>
      </c>
      <c r="K1279" s="9" t="inlineStr">
        <is>
          <t>BaseHitDamage</t>
        </is>
      </c>
      <c r="L1279" s="9" t="inlineStr">
        <is>
          <t>NonCritAvg</t>
        </is>
      </c>
      <c r="M1279" s="9" t="inlineStr">
        <is>
          <t>CritAvg</t>
        </is>
      </c>
      <c r="N1279" s="9" t="inlineStr">
        <is>
          <t>ExpectedDamage(perHit)</t>
        </is>
      </c>
      <c r="O1279" s="9" t="inlineStr">
        <is>
          <t>DPS</t>
        </is>
      </c>
      <c r="P1279" s="9" t="inlineStr">
        <is>
          <t>% of Total</t>
        </is>
      </c>
      <c r="R1279" t="inlineStr">
        <is>
          <t>helpers</t>
        </is>
      </c>
    </row>
    <row r="1280">
      <c r="A1280">
        <f>Skills!A2</f>
        <v/>
      </c>
      <c r="B1280">
        <f>Skills!B2</f>
        <v/>
      </c>
      <c r="C1280">
        <f>TRUE</f>
        <v/>
      </c>
      <c r="D1280" t="inlineStr"/>
      <c r="E1280" t="inlineStr"/>
      <c r="F1280">
        <f>T1282+Skills!O2</f>
        <v/>
      </c>
      <c r="G1280">
        <f>Calc!G2</f>
        <v/>
      </c>
      <c r="H1280">
        <f>Calc!H2</f>
        <v/>
      </c>
      <c r="I1280">
        <f>IF(Skills!X2&lt;&gt;"",1+(Skills!X2/10)*(Z1281/1000)/100,1)</f>
        <v/>
      </c>
      <c r="J1280">
        <f>((Inputs!$B$6*(1+Inputs!$B$7/100))+(((Inputs!$B$12*(1+Inputs!$B$13/100))-(Inputs!$B$12*(1+Inputs!$B$13/100)))+0.25*(Inputs!$B$14-Inputs!$B$14))*(1+Inputs!$B$7/100))*(F1280/100)</f>
        <v/>
      </c>
      <c r="K1280">
        <f>J1280*(1+((Inputs!$B$12*(1+Inputs!$B$13/100))*0.01+Inputs!$B$14*0.0025)/100)*(1+Inputs!$B$15/100)*(1+Inputs!$B$16/100)*(5000/(6000+Inputs!$B$42*(1-Inputs!$B$19/100)))*(1+Inputs!$B$24/100)*(1+F1301/100)*(1+IF(Inputs!$B$3&gt;=120,F1304,0)/100)^5*(1+(IF(Skills!A2="BASIC_ATTACK",Inputs!$B$17,Inputs!$B$18+IF(Inputs!$B$3&gt;=125,F1305*5,0)))/100)*(B1308*B1309*B1310*I1280)</f>
        <v/>
      </c>
      <c r="L1280">
        <f>K1280*(MIN(Inputs!$B$22+(F1300-Calc!F22),Inputs!$B$23)/100+Inputs!$B$23/100)/2</f>
        <v/>
      </c>
      <c r="M1280">
        <f>L1280*(1+(Inputs!$B$10+(F1299-Calc!F21))/100)</f>
        <v/>
      </c>
      <c r="N1280">
        <f>L1280*(1-MIN(Inputs!$B$9+(F1298-Calc!F20),100)/100)+M1280*(MIN(Inputs!$B$9+(F1298-Calc!F20),100)/100)</f>
        <v/>
      </c>
      <c r="O1280">
        <f>(1-Summary!$B$56)*S1280+Summary!$B$56*U1280</f>
        <v/>
      </c>
      <c r="P1280">
        <f>IF(B1319=0,0,O1280/B1319)</f>
        <v/>
      </c>
      <c r="Q1280">
        <f>IFERROR(1/IF(Inputs!$B$38="pvp",15,MAX(0.1,Skills!E2-IF(Skills!F2=TRUE,2.0,0))),0)</f>
        <v/>
      </c>
      <c r="R1280" t="n">
        <v>0</v>
      </c>
      <c r="S1280">
        <f>(Skills!G2*N1280*B1314)*IF(Inputs!$B$38="pvp",1,1+(Inputs!$B$20+Skills!P2)/100)</f>
        <v/>
      </c>
      <c r="T1280">
        <f>MAX(0,(Inputs!$B$3-100)*3)+Inputs!$B$28+Inputs!$B$29</f>
        <v/>
      </c>
      <c r="U1280">
        <f>(Skills!G2*N1280*B1314)*IF(Inputs!$B$38="pvp",1,(1+(Inputs!$B$21+Skills!Q2)/100)*(MIN((6+Inputs!$B$33+IF(Inputs!$B$3&gt;=136,1,0)),Inputs!$B$37)))</f>
        <v/>
      </c>
      <c r="Z1280">
        <f>MAX(0,(Inputs!$B$3-100)*3)+Inputs!$B$28+Inputs!$B$29</f>
        <v/>
      </c>
    </row>
    <row r="1281">
      <c r="A1281">
        <f>Skills!A3</f>
        <v/>
      </c>
      <c r="B1281">
        <f>Skills!B3</f>
        <v/>
      </c>
      <c r="C1281">
        <f>TRUE</f>
        <v/>
      </c>
      <c r="D1281">
        <f>IF(Skills!C3=1,60+Inputs!$B$25+Inputs!$B$29,IF(Skills!C3=2,90+Inputs!$B$26+Inputs!$B$29,IF(Skills!C3=3,120+Inputs!$B$27+Inputs!$B$29,MAX(0,(Inputs!$B$3-100)*3)+Inputs!$B$28+Inputs!$B$29)))</f>
        <v/>
      </c>
      <c r="E1281">
        <f>INDEX(FactorTable!$B$2:$Y$301, MATCH(ROUND(MIN(300,MAX(1,D1281)),0), FactorTable!$A$2:$A$301,0), Skills!M3+1)</f>
        <v/>
      </c>
      <c r="F1281">
        <f>IF(Skills!N3=TRUE,(Skills!L3/10)*(E1281/1000),Skills!L3/10)+Skills!O3</f>
        <v/>
      </c>
      <c r="G1281">
        <f>Calc!G3</f>
        <v/>
      </c>
      <c r="H1281">
        <f>Calc!H3</f>
        <v/>
      </c>
      <c r="I1281">
        <f>IF(Skills!X3&lt;&gt;"",1+(Skills!X3/10)*(Z1281/1000)/100,1)</f>
        <v/>
      </c>
      <c r="J1281">
        <f>((Inputs!$B$6*(1+Inputs!$B$7/100))+(((Inputs!$B$12*(1+Inputs!$B$13/100))-(Inputs!$B$12*(1+Inputs!$B$13/100)))+0.25*(Inputs!$B$14-Inputs!$B$14))*(1+Inputs!$B$7/100))*(F1281/100)</f>
        <v/>
      </c>
      <c r="K1281">
        <f>J1281*(1+((Inputs!$B$12*(1+Inputs!$B$13/100))*0.01+Inputs!$B$14*0.0025)/100)*(1+Inputs!$B$15/100)*(1+Inputs!$B$16/100)*(5000/(6000+Inputs!$B$42*(1-Inputs!$B$19/100)))*(1+Inputs!$B$24/100)*(1+F1301/100)*(1+IF(Inputs!$B$3&gt;=120,F1304,0)/100)^5*(1+(IF(Skills!A3="BASIC_ATTACK",Inputs!$B$17,Inputs!$B$18+IF(Inputs!$B$3&gt;=125,F1305*5,0)))/100)*(B1308*B1309*B1310*I1281)</f>
        <v/>
      </c>
      <c r="L1281">
        <f>K1281*(MIN(Inputs!$B$22+(F1300-Calc!F22),Inputs!$B$23)/100+Inputs!$B$23/100)/2</f>
        <v/>
      </c>
      <c r="M1281">
        <f>L1281*(1+(Inputs!$B$10+(F1299-Calc!F21))/100)</f>
        <v/>
      </c>
      <c r="N1281">
        <f>L1281*(1-MIN(Inputs!$B$9+(F1298-Calc!F20),100)/100)+M1281*(MIN(Inputs!$B$9+(F1298-Calc!F20),100)/100)</f>
        <v/>
      </c>
      <c r="O1281">
        <f>(1-Summary!$B$56)*S1281+Summary!$B$56*U1281</f>
        <v/>
      </c>
      <c r="P1281">
        <f>IF(B1319=0,0,O1281/B1319)</f>
        <v/>
      </c>
      <c r="Q1281">
        <f>IFERROR(1/IF(Inputs!$B$38="pvp",15,MAX(0.1,Skills!E3-IF(Skills!F3=TRUE,2.0,0))),0)</f>
        <v/>
      </c>
      <c r="R1281">
        <f>IF(AND(Inputs!$B$38&lt;&gt;"pvp",Inputs!$B$43&gt;0),IF(MAX(0,Inputs!$B$43-B1316)&lt;=0,0,(INT(MAX(0,Inputs!$B$43-B1316)/IF(Inputs!$B$38="pvp",15,MAX(0.1,Skills!E3-IF(Skills!F3=TRUE,2.0,0))))+1)),0)</f>
        <v/>
      </c>
      <c r="S1281">
        <f>IF(C1281,(H1281*N1281*IF(AND(Inputs!$B$38&lt;&gt;"pvp",Inputs!$B$43&gt;0),((Skills!G3*((R1281-1)*IF(Skills!H3&gt;0,Skills!I3/Skills!H3,1)+IF(Skills!H3&gt;0,MIN(Skills!I3,MAX(0,MAX(0,Inputs!$B$43-B1316)-((R1281-1)*IF(Inputs!$B$38="pvp",15,MAX(0.1,Skills!E3-IF(Skills!F3=TRUE,2.0,0))))))/Skills!H3,1)))/Inputs!$B$43),G1281*Q1281))*IF(Inputs!$B$38="pvp",1,1+(Inputs!$B$20+Skills!P3)/100),0)</f>
        <v/>
      </c>
      <c r="T1281">
        <f>INDEX(FactorTable!$B$2:$Y$301, MATCH(ROUND(MIN(300,MAX(1,T1280)),0), FactorTable!$A$2:$A$301,0), 22)</f>
        <v/>
      </c>
      <c r="U1281">
        <f>IF(C1281,(H1281*N1281*IF(AND(Inputs!$B$38&lt;&gt;"pvp",Inputs!$B$43&gt;0),((Skills!G3*((R1281-1)*IF(Skills!H3&gt;0,Skills!I3/Skills!H3,1)+IF(Skills!H3&gt;0,MIN(Skills!I3,MAX(0,MAX(0,Inputs!$B$43-B1316)-((R1281-1)*IF(Inputs!$B$38="pvp",15,MAX(0.1,Skills!E3-IF(Skills!F3=TRUE,2.0,0))))))/Skills!H3,1)))/Inputs!$B$43),G1281*Q1281))*IF(Inputs!$B$38="pvp",1,(1+(Inputs!$B$21+Skills!Q3)/100)*(MIN(Skills!R3,Inputs!$B$37))),0)</f>
        <v/>
      </c>
      <c r="Z1281">
        <f>INDEX(FactorTable!$B$2:$Y$301, MATCH(ROUND(MIN(300,MAX(1,Z1280)),0), FactorTable!$A$2:$A$301,0), 24)</f>
        <v/>
      </c>
    </row>
    <row r="1282">
      <c r="A1282">
        <f>Skills!A4</f>
        <v/>
      </c>
      <c r="B1282">
        <f>Skills!B4</f>
        <v/>
      </c>
      <c r="C1282">
        <f>TRUE</f>
        <v/>
      </c>
      <c r="D1282">
        <f>IF(Skills!C4=1,60+Inputs!$B$25+Inputs!$B$29,IF(Skills!C4=2,90+Inputs!$B$26+Inputs!$B$29,IF(Skills!C4=3,120+Inputs!$B$27+Inputs!$B$29,MAX(0,(Inputs!$B$3-100)*3)+Inputs!$B$28+Inputs!$B$29)))</f>
        <v/>
      </c>
      <c r="E1282">
        <f>INDEX(FactorTable!$B$2:$Y$301, MATCH(ROUND(MIN(300,MAX(1,D1282)),0), FactorTable!$A$2:$A$301,0), Skills!M4+1)</f>
        <v/>
      </c>
      <c r="F1282">
        <f>IF(Skills!N4=TRUE,(Skills!L4/10)*(E1282/1000),Skills!L4/10)+Skills!O4</f>
        <v/>
      </c>
      <c r="G1282">
        <f>Calc!G4</f>
        <v/>
      </c>
      <c r="H1282">
        <f>Calc!H4</f>
        <v/>
      </c>
      <c r="I1282">
        <f>IF(Skills!X4&lt;&gt;"",1+(Skills!X4/10)*(Z1281/1000)/100,1)</f>
        <v/>
      </c>
      <c r="J1282">
        <f>((Inputs!$B$6*(1+Inputs!$B$7/100))+(((Inputs!$B$12*(1+Inputs!$B$13/100))-(Inputs!$B$12*(1+Inputs!$B$13/100)))+0.25*(Inputs!$B$14-Inputs!$B$14))*(1+Inputs!$B$7/100))*(F1282/100)</f>
        <v/>
      </c>
      <c r="K1282">
        <f>J1282*(1+((Inputs!$B$12*(1+Inputs!$B$13/100))*0.01+Inputs!$B$14*0.0025)/100)*(1+Inputs!$B$15/100)*(1+Inputs!$B$16/100)*(5000/(6000+Inputs!$B$42*(1-Inputs!$B$19/100)))*(1+Inputs!$B$24/100)*(1+F1301/100)*(1+IF(Inputs!$B$3&gt;=120,F1304,0)/100)^5*(1+(IF(Skills!A4="BASIC_ATTACK",Inputs!$B$17,Inputs!$B$18+IF(Inputs!$B$3&gt;=125,F1305*5,0)))/100)*(B1308*B1309*B1310*I1282)</f>
        <v/>
      </c>
      <c r="L1282">
        <f>K1282*(MIN(Inputs!$B$22+(F1300-Calc!F22),Inputs!$B$23)/100+Inputs!$B$23/100)/2</f>
        <v/>
      </c>
      <c r="M1282">
        <f>L1282*(1+(Inputs!$B$10+(F1299-Calc!F21))/100)</f>
        <v/>
      </c>
      <c r="N1282">
        <f>L1282*(1-MIN(Inputs!$B$9+(F1298-Calc!F20),100)/100)+M1282*(MIN(Inputs!$B$9+(F1298-Calc!F20),100)/100)</f>
        <v/>
      </c>
      <c r="O1282">
        <f>(1-Summary!$B$56)*S1282+Summary!$B$56*U1282</f>
        <v/>
      </c>
      <c r="P1282">
        <f>IF(B1319=0,0,O1282/B1319)</f>
        <v/>
      </c>
      <c r="Q1282">
        <f>IFERROR(1/IF(Inputs!$B$38="pvp",15,MAX(0.1,Skills!E4-IF(Skills!F4=TRUE,2.0,0))),0)</f>
        <v/>
      </c>
      <c r="R1282">
        <f>IF(AND(Inputs!$B$38&lt;&gt;"pvp",Inputs!$B$43&gt;0),IF(MAX(0,Inputs!$B$43-B1316)&lt;=0,0,(INT(MAX(0,Inputs!$B$43-B1316)/IF(Inputs!$B$38="pvp",15,MAX(0.1,Skills!E4-IF(Skills!F4=TRUE,2.0,0))))+1)),0)</f>
        <v/>
      </c>
      <c r="S1282">
        <f>IF(C1282,(H1282*N1282*IF(AND(Inputs!$B$38&lt;&gt;"pvp",Inputs!$B$43&gt;0),((Skills!G4*((R1282-1)*IF(Skills!H4&gt;0,Skills!I4/Skills!H4,1)+IF(Skills!H4&gt;0,MIN(Skills!I4,MAX(0,MAX(0,Inputs!$B$43-B1316)-((R1282-1)*IF(Inputs!$B$38="pvp",15,MAX(0.1,Skills!E4-IF(Skills!F4=TRUE,2.0,0))))))/Skills!H4,1)))/Inputs!$B$43),G1282*Q1282))*IF(Inputs!$B$38="pvp",1,1+(Inputs!$B$20+Skills!P4)/100),0)</f>
        <v/>
      </c>
      <c r="T1282">
        <f>290*T1281/1000</f>
        <v/>
      </c>
      <c r="U1282">
        <f>IF(C1282,(H1282*N1282*IF(AND(Inputs!$B$38&lt;&gt;"pvp",Inputs!$B$43&gt;0),((Skills!G4*((R1282-1)*IF(Skills!H4&gt;0,Skills!I4/Skills!H4,1)+IF(Skills!H4&gt;0,MIN(Skills!I4,MAX(0,MAX(0,Inputs!$B$43-B1316)-((R1282-1)*IF(Inputs!$B$38="pvp",15,MAX(0.1,Skills!E4-IF(Skills!F4=TRUE,2.0,0))))))/Skills!H4,1)))/Inputs!$B$43),G1282*Q1282))*IF(Inputs!$B$38="pvp",1,(1+(Inputs!$B$21+Skills!Q4)/100)*(MIN(Skills!R4,Inputs!$B$37))),0)</f>
        <v/>
      </c>
    </row>
    <row r="1283">
      <c r="A1283">
        <f>Skills!A5</f>
        <v/>
      </c>
      <c r="B1283">
        <f>Skills!B5</f>
        <v/>
      </c>
      <c r="C1283">
        <f>TRUE</f>
        <v/>
      </c>
      <c r="D1283">
        <f>IF(Skills!C5=1,60+Inputs!$B$25+Inputs!$B$29,IF(Skills!C5=2,90+Inputs!$B$26+Inputs!$B$29,IF(Skills!C5=3,120+Inputs!$B$27+Inputs!$B$29,MAX(0,(Inputs!$B$3-100)*3)+Inputs!$B$28+Inputs!$B$29)))</f>
        <v/>
      </c>
      <c r="E1283">
        <f>INDEX(FactorTable!$B$2:$Y$301, MATCH(ROUND(MIN(300,MAX(1,D1283)),0), FactorTable!$A$2:$A$301,0), Skills!M5+1)</f>
        <v/>
      </c>
      <c r="F1283">
        <f>IF(Skills!N5=TRUE,(Skills!L5/10)*(E1283/1000),Skills!L5/10)+Skills!O5</f>
        <v/>
      </c>
      <c r="G1283">
        <f>Calc!G5</f>
        <v/>
      </c>
      <c r="H1283">
        <f>Calc!H5</f>
        <v/>
      </c>
      <c r="I1283">
        <f>IF(Skills!X5&lt;&gt;"",1+(Skills!X5/10)*(Z1281/1000)/100,1)</f>
        <v/>
      </c>
      <c r="J1283">
        <f>((Inputs!$B$6*(1+Inputs!$B$7/100))+(((Inputs!$B$12*(1+Inputs!$B$13/100))-(Inputs!$B$12*(1+Inputs!$B$13/100)))+0.25*(Inputs!$B$14-Inputs!$B$14))*(1+Inputs!$B$7/100))*(F1283/100)</f>
        <v/>
      </c>
      <c r="K1283">
        <f>J1283*(1+((Inputs!$B$12*(1+Inputs!$B$13/100))*0.01+Inputs!$B$14*0.0025)/100)*(1+Inputs!$B$15/100)*(1+Inputs!$B$16/100)*(5000/(6000+Inputs!$B$42*(1-Inputs!$B$19/100)))*(1+Inputs!$B$24/100)*(1+F1301/100)*(1+IF(Inputs!$B$3&gt;=120,F1304,0)/100)^5*(1+(IF(Skills!A5="BASIC_ATTACK",Inputs!$B$17,Inputs!$B$18+IF(Inputs!$B$3&gt;=125,F1305*5,0)))/100)*(B1308*B1309*B1310*I1283)</f>
        <v/>
      </c>
      <c r="L1283">
        <f>K1283*(MIN(Inputs!$B$22+(F1300-Calc!F22),Inputs!$B$23)/100+Inputs!$B$23/100)/2</f>
        <v/>
      </c>
      <c r="M1283">
        <f>L1283*(1+(Inputs!$B$10+(F1299-Calc!F21))/100)</f>
        <v/>
      </c>
      <c r="N1283">
        <f>L1283*(1-MIN(Inputs!$B$9+(F1298-Calc!F20),100)/100)+M1283*(MIN(Inputs!$B$9+(F1298-Calc!F20),100)/100)</f>
        <v/>
      </c>
      <c r="O1283">
        <f>(1-Summary!$B$56)*S1283+Summary!$B$56*U1283</f>
        <v/>
      </c>
      <c r="P1283">
        <f>IF(B1319=0,0,O1283/B1319)</f>
        <v/>
      </c>
      <c r="Q1283">
        <f>IFERROR(1/IF(Inputs!$B$38="pvp",15,MAX(0.1,Skills!E5-IF(Skills!F5=TRUE,2.0,0))),0)</f>
        <v/>
      </c>
      <c r="R1283">
        <f>IF(AND(Inputs!$B$38&lt;&gt;"pvp",Inputs!$B$43&gt;0),IF(MAX(0,Inputs!$B$43-B1316)&lt;=0,0,(INT(MAX(0,Inputs!$B$43-B1316)/IF(Inputs!$B$38="pvp",15,MAX(0.1,Skills!E5-IF(Skills!F5=TRUE,2.0,0))))+1)),0)</f>
        <v/>
      </c>
      <c r="S1283">
        <f>IF(C1283,(H1283*N1283*IF(AND(Inputs!$B$38&lt;&gt;"pvp",Inputs!$B$43&gt;0),((Skills!G5*((R1283-1)*IF(Skills!H5&gt;0,Skills!I5/Skills!H5,1)+IF(Skills!H5&gt;0,MIN(Skills!I5,MAX(0,MAX(0,Inputs!$B$43-B1316)-((R1283-1)*IF(Inputs!$B$38="pvp",15,MAX(0.1,Skills!E5-IF(Skills!F5=TRUE,2.0,0))))))/Skills!H5,1)))/Inputs!$B$43),G1283*Q1283))*IF(Inputs!$B$38="pvp",1,1+(Inputs!$B$20+Skills!P5)/100),0)</f>
        <v/>
      </c>
      <c r="U1283">
        <f>IF(C1283,(H1283*N1283*IF(AND(Inputs!$B$38&lt;&gt;"pvp",Inputs!$B$43&gt;0),((Skills!G5*((R1283-1)*IF(Skills!H5&gt;0,Skills!I5/Skills!H5,1)+IF(Skills!H5&gt;0,MIN(Skills!I5,MAX(0,MAX(0,Inputs!$B$43-B1316)-((R1283-1)*IF(Inputs!$B$38="pvp",15,MAX(0.1,Skills!E5-IF(Skills!F5=TRUE,2.0,0))))))/Skills!H5,1)))/Inputs!$B$43),G1283*Q1283))*IF(Inputs!$B$38="pvp",1,(1+(Inputs!$B$21+Skills!Q5)/100)*(MIN(Skills!R5,Inputs!$B$37))),0)</f>
        <v/>
      </c>
    </row>
    <row r="1284">
      <c r="A1284">
        <f>Skills!A6</f>
        <v/>
      </c>
      <c r="B1284">
        <f>Skills!B6</f>
        <v/>
      </c>
      <c r="C1284">
        <f>TRUE</f>
        <v/>
      </c>
      <c r="D1284">
        <f>IF(Skills!C6=1,60+Inputs!$B$25+Inputs!$B$29,IF(Skills!C6=2,90+Inputs!$B$26+Inputs!$B$29,IF(Skills!C6=3,120+Inputs!$B$27+Inputs!$B$29,MAX(0,(Inputs!$B$3-100)*3)+Inputs!$B$28+Inputs!$B$29)))</f>
        <v/>
      </c>
      <c r="E1284">
        <f>INDEX(FactorTable!$B$2:$Y$301, MATCH(ROUND(MIN(300,MAX(1,D1284)),0), FactorTable!$A$2:$A$301,0), Skills!M6+1)</f>
        <v/>
      </c>
      <c r="F1284">
        <f>IF(Skills!N6=TRUE,(Skills!L6/10)*(E1284/1000),Skills!L6/10)+Skills!O6</f>
        <v/>
      </c>
      <c r="G1284">
        <f>Calc!G6</f>
        <v/>
      </c>
      <c r="H1284">
        <f>Calc!H6</f>
        <v/>
      </c>
      <c r="I1284">
        <f>IF(Skills!X6&lt;&gt;"",1+(Skills!X6/10)*(Z1281/1000)/100,1)</f>
        <v/>
      </c>
      <c r="J1284" t="inlineStr"/>
      <c r="K1284" t="inlineStr"/>
      <c r="L1284" t="inlineStr"/>
      <c r="M1284" t="inlineStr"/>
      <c r="N1284" t="inlineStr"/>
      <c r="O1284">
        <f>(1-Summary!$B$56)*S1284+Summary!$B$56*U1284</f>
        <v/>
      </c>
      <c r="P1284">
        <f>IF(B1319=0,0,O1284/B1319)</f>
        <v/>
      </c>
      <c r="Q1284">
        <f>IFERROR(1/IF(Inputs!$B$38="pvp",15,MAX(0.1,Skills!E6-IF(Skills!F6=TRUE,2.0,0))),0)</f>
        <v/>
      </c>
      <c r="R1284">
        <f>IF(AND(Inputs!$B$38&lt;&gt;"pvp",Inputs!$B$43&gt;0),IF(Inputs!$B$43&lt;=0,0,(INT(Inputs!$B$43/IF(Inputs!$B$38="pvp",15,MAX(0.1,Skills!E6-IF(Skills!F6=TRUE,2.0,0))))+1)),0)</f>
        <v/>
      </c>
      <c r="S1284" t="n">
        <v>0</v>
      </c>
      <c r="U1284" t="n">
        <v>0</v>
      </c>
    </row>
    <row r="1285">
      <c r="A1285">
        <f>Skills!A7</f>
        <v/>
      </c>
      <c r="B1285">
        <f>Skills!B7</f>
        <v/>
      </c>
      <c r="C1285">
        <f>TRUE</f>
        <v/>
      </c>
      <c r="D1285">
        <f>IF(Skills!C7=1,60+Inputs!$B$25+Inputs!$B$29,IF(Skills!C7=2,90+Inputs!$B$26+Inputs!$B$29,IF(Skills!C7=3,120+Inputs!$B$27+Inputs!$B$29,MAX(0,(Inputs!$B$3-100)*3)+Inputs!$B$28+Inputs!$B$29)))</f>
        <v/>
      </c>
      <c r="E1285">
        <f>INDEX(FactorTable!$B$2:$Y$301, MATCH(ROUND(MIN(300,MAX(1,D1285)),0), FactorTable!$A$2:$A$301,0), Skills!M7+1)</f>
        <v/>
      </c>
      <c r="F1285">
        <f>IF(Skills!N7=TRUE,(Skills!L7/10)*(E1285/1000),Skills!L7/10)+Skills!O7</f>
        <v/>
      </c>
      <c r="G1285">
        <f>Calc!G7</f>
        <v/>
      </c>
      <c r="H1285">
        <f>Calc!H7</f>
        <v/>
      </c>
      <c r="I1285">
        <f>IF(Skills!X7&lt;&gt;"",1+(Skills!X7/10)*(Z1281/1000)/100,1)</f>
        <v/>
      </c>
      <c r="J1285">
        <f>((Inputs!$B$6*(1+Inputs!$B$7/100))+(((Inputs!$B$12*(1+Inputs!$B$13/100))-(Inputs!$B$12*(1+Inputs!$B$13/100)))+0.25*(Inputs!$B$14-Inputs!$B$14))*(1+Inputs!$B$7/100))*(F1285/100)</f>
        <v/>
      </c>
      <c r="K1285">
        <f>J1285*(1+((Inputs!$B$12*(1+Inputs!$B$13/100))*0.01+Inputs!$B$14*0.0025)/100)*(1+Inputs!$B$15/100)*(1+Inputs!$B$16/100)*(5000/(6000+Inputs!$B$42*(1-Inputs!$B$19/100)))*(1+Inputs!$B$24/100)*(1+F1301/100)*(1+IF(Inputs!$B$3&gt;=120,F1304,0)/100)^5*(1+(IF(Skills!A7="BASIC_ATTACK",Inputs!$B$17,Inputs!$B$18+IF(Inputs!$B$3&gt;=125,F1305*5,0)))/100)*(B1308*B1309*B1310*I1285)</f>
        <v/>
      </c>
      <c r="L1285">
        <f>K1285*(MIN(Inputs!$B$22+(F1300-Calc!F22),Inputs!$B$23)/100+Inputs!$B$23/100)/2</f>
        <v/>
      </c>
      <c r="M1285">
        <f>L1285*(1+(Inputs!$B$10+(F1299-Calc!F21))/100)</f>
        <v/>
      </c>
      <c r="N1285">
        <f>L1285*(1-MIN(Inputs!$B$9+(F1298-Calc!F20),100)/100)+M1285*(MIN(Inputs!$B$9+(F1298-Calc!F20),100)/100)</f>
        <v/>
      </c>
      <c r="O1285">
        <f>(1-Summary!$B$56)*S1285+Summary!$B$56*U1285</f>
        <v/>
      </c>
      <c r="P1285">
        <f>IF(B1319=0,0,O1285/B1319)</f>
        <v/>
      </c>
      <c r="Q1285">
        <f>IFERROR(1/IF(Inputs!$B$38="pvp",15,MAX(0.1,Skills!E7-IF(Skills!F7=TRUE,2.0,0))),0)</f>
        <v/>
      </c>
      <c r="R1285">
        <f>IF(AND(Inputs!$B$38&lt;&gt;"pvp",Inputs!$B$43&gt;0),IF(MAX(0,Inputs!$B$43-B1316)&lt;=0,0,(INT(MAX(0,Inputs!$B$43-B1316)/IF(Inputs!$B$38="pvp",15,MAX(0.1,Skills!E7-IF(Skills!F7=TRUE,2.0,0))))+1)),0)</f>
        <v/>
      </c>
      <c r="S1285">
        <f>IF(C1285,(H1285*N1285*IF(AND(Inputs!$B$38&lt;&gt;"pvp",Inputs!$B$43&gt;0),((Skills!G7*((R1285-1)*IF(Skills!H7&gt;0,Skills!I7/Skills!H7,1)+IF(Skills!H7&gt;0,MIN(Skills!I7,MAX(0,MAX(0,Inputs!$B$43-B1316)-((R1285-1)*IF(Inputs!$B$38="pvp",15,MAX(0.1,Skills!E7-IF(Skills!F7=TRUE,2.0,0))))))/Skills!H7,1)))/Inputs!$B$43),G1285*Q1285))*IF(Inputs!$B$38="pvp",1,1+(Inputs!$B$20+Skills!P7)/100),0)</f>
        <v/>
      </c>
      <c r="U1285">
        <f>IF(C1285,(H1285*N1285*IF(AND(Inputs!$B$38&lt;&gt;"pvp",Inputs!$B$43&gt;0),((Skills!G7*((R1285-1)*IF(Skills!H7&gt;0,Skills!I7/Skills!H7,1)+IF(Skills!H7&gt;0,MIN(Skills!I7,MAX(0,MAX(0,Inputs!$B$43-B1316)-((R1285-1)*IF(Inputs!$B$38="pvp",15,MAX(0.1,Skills!E7-IF(Skills!F7=TRUE,2.0,0))))))/Skills!H7,1)))/Inputs!$B$43),G1285*Q1285))*IF(Inputs!$B$38="pvp",1,(1+(Inputs!$B$21+Skills!Q7)/100)*(MIN(Skills!R7,Inputs!$B$37))),0)</f>
        <v/>
      </c>
    </row>
    <row r="1286">
      <c r="A1286">
        <f>Skills!A8</f>
        <v/>
      </c>
      <c r="B1286">
        <f>Skills!B8</f>
        <v/>
      </c>
      <c r="C1286">
        <f>TRUE</f>
        <v/>
      </c>
      <c r="D1286">
        <f>IF(Skills!C8=1,60+Inputs!$B$25+Inputs!$B$29,IF(Skills!C8=2,90+Inputs!$B$26+Inputs!$B$29,IF(Skills!C8=3,120+Inputs!$B$27+Inputs!$B$29,MAX(0,(Inputs!$B$3-100)*3)+Inputs!$B$28+Inputs!$B$29)))</f>
        <v/>
      </c>
      <c r="E1286">
        <f>INDEX(FactorTable!$B$2:$Y$301, MATCH(ROUND(MIN(300,MAX(1,D1286)),0), FactorTable!$A$2:$A$301,0), Skills!M8+1)</f>
        <v/>
      </c>
      <c r="F1286">
        <f>IF(Skills!N8=TRUE,(Skills!L8/10)*(E1286/1000),Skills!L8/10)+Skills!O8</f>
        <v/>
      </c>
      <c r="G1286">
        <f>Calc!G8</f>
        <v/>
      </c>
      <c r="H1286">
        <f>Calc!H8</f>
        <v/>
      </c>
      <c r="I1286">
        <f>IF(Skills!X8&lt;&gt;"",1+(Skills!X8/10)*(Z1281/1000)/100,1)</f>
        <v/>
      </c>
      <c r="J1286">
        <f>((Inputs!$B$6*(1+Inputs!$B$7/100))+(((Inputs!$B$12*(1+Inputs!$B$13/100))-(Inputs!$B$12*(1+Inputs!$B$13/100)))+0.25*(Inputs!$B$14-Inputs!$B$14))*(1+Inputs!$B$7/100))*(F1286/100)</f>
        <v/>
      </c>
      <c r="K1286">
        <f>J1286*(1+((Inputs!$B$12*(1+Inputs!$B$13/100))*0.01+Inputs!$B$14*0.0025)/100)*(1+Inputs!$B$15/100)*(1+Inputs!$B$16/100)*(5000/(6000+Inputs!$B$42*(1-Inputs!$B$19/100)))*(1+Inputs!$B$24/100)*(1+F1301/100)*(1+IF(Inputs!$B$3&gt;=120,F1304,0)/100)^5*(1+(IF(Skills!A8="BASIC_ATTACK",Inputs!$B$17,Inputs!$B$18+IF(Inputs!$B$3&gt;=125,F1305*5,0)))/100)*(B1308*B1309*B1310*I1286)</f>
        <v/>
      </c>
      <c r="L1286">
        <f>K1286*(MIN(Inputs!$B$22+(F1300-Calc!F22),Inputs!$B$23)/100+Inputs!$B$23/100)/2</f>
        <v/>
      </c>
      <c r="M1286">
        <f>L1286*(1+(Inputs!$B$10+(F1299-Calc!F21))/100)</f>
        <v/>
      </c>
      <c r="N1286">
        <f>L1286*(1-MIN(Inputs!$B$9+(F1298-Calc!F20),100)/100)+M1286*(MIN(Inputs!$B$9+(F1298-Calc!F20),100)/100)</f>
        <v/>
      </c>
      <c r="O1286">
        <f>(1-Summary!$B$56)*S1286+Summary!$B$56*U1286</f>
        <v/>
      </c>
      <c r="P1286">
        <f>IF(B1319=0,0,O1286/B1319)</f>
        <v/>
      </c>
      <c r="Q1286">
        <f>IFERROR(1/IF(Inputs!$B$38="pvp",15,MAX(0.1,Skills!E8-IF(Skills!F8=TRUE,2.0,0))),0)</f>
        <v/>
      </c>
      <c r="R1286">
        <f>IF(AND(Inputs!$B$38&lt;&gt;"pvp",Inputs!$B$43&gt;0),IF(MAX(0,Inputs!$B$43-B1316)&lt;=0,0,(INT(MAX(0,Inputs!$B$43-B1316)/IF(Inputs!$B$38="pvp",15,MAX(0.1,Skills!E8-IF(Skills!F8=TRUE,2.0,0))))+1)),0)</f>
        <v/>
      </c>
      <c r="S1286">
        <f>IF(C1286,(H1286*N1286*IF(AND(Inputs!$B$38&lt;&gt;"pvp",Inputs!$B$43&gt;0),((Skills!G8*((R1286-1)*IF(Skills!H8&gt;0,Skills!I8/Skills!H8,1)+IF(Skills!H8&gt;0,MIN(Skills!I8,MAX(0,MAX(0,Inputs!$B$43-B1316)-((R1286-1)*IF(Inputs!$B$38="pvp",15,MAX(0.1,Skills!E8-IF(Skills!F8=TRUE,2.0,0))))))/Skills!H8,1)))/Inputs!$B$43),G1286*Q1286))*IF(Inputs!$B$38="pvp",1,1+(Inputs!$B$20+Skills!P8)/100),0)</f>
        <v/>
      </c>
      <c r="U1286">
        <f>IF(C1286,(H1286*N1286*IF(AND(Inputs!$B$38&lt;&gt;"pvp",Inputs!$B$43&gt;0),((Skills!G8*((R1286-1)*IF(Skills!H8&gt;0,Skills!I8/Skills!H8,1)+IF(Skills!H8&gt;0,MIN(Skills!I8,MAX(0,MAX(0,Inputs!$B$43-B1316)-((R1286-1)*IF(Inputs!$B$38="pvp",15,MAX(0.1,Skills!E8-IF(Skills!F8=TRUE,2.0,0))))))/Skills!H8,1)))/Inputs!$B$43),G1286*Q1286))*IF(Inputs!$B$38="pvp",1,(1+(Inputs!$B$21+Skills!Q8)/100)*(MIN(Skills!R8,Inputs!$B$37))),0)</f>
        <v/>
      </c>
    </row>
    <row r="1287">
      <c r="A1287">
        <f>Skills!A9</f>
        <v/>
      </c>
      <c r="B1287">
        <f>Skills!B9</f>
        <v/>
      </c>
      <c r="C1287">
        <f>Inputs!$B$3&gt;=103</f>
        <v/>
      </c>
      <c r="D1287">
        <f>IF(Skills!C9=1,60+Inputs!$B$25+Inputs!$B$29,IF(Skills!C9=2,90+Inputs!$B$26+Inputs!$B$29,IF(Skills!C9=3,120+Inputs!$B$27+Inputs!$B$29,MAX(0,(Inputs!$B$3-100)*3)+Inputs!$B$28+Inputs!$B$29)))</f>
        <v/>
      </c>
      <c r="E1287">
        <f>INDEX(FactorTable!$B$2:$Y$301, MATCH(ROUND(MIN(300,MAX(1,D1287)),0), FactorTable!$A$2:$A$301,0), Skills!M9+1)</f>
        <v/>
      </c>
      <c r="F1287">
        <f>IF(Skills!N9=TRUE,(Skills!L9/10)*(E1287/1000),Skills!L9/10)+Skills!O9</f>
        <v/>
      </c>
      <c r="G1287">
        <f>Calc!G9</f>
        <v/>
      </c>
      <c r="H1287">
        <f>Calc!H9</f>
        <v/>
      </c>
      <c r="I1287">
        <f>IF(Skills!X9&lt;&gt;"",1+(Skills!X9/10)*(Z1281/1000)/100,1)</f>
        <v/>
      </c>
      <c r="J1287">
        <f>((Inputs!$B$6*(1+Inputs!$B$7/100))+(((Inputs!$B$12*(1+Inputs!$B$13/100))-(Inputs!$B$12*(1+Inputs!$B$13/100)))+0.25*(Inputs!$B$14-Inputs!$B$14))*(1+Inputs!$B$7/100))*(F1287/100)</f>
        <v/>
      </c>
      <c r="K1287">
        <f>J1287*(1+((Inputs!$B$12*(1+Inputs!$B$13/100))*0.01+Inputs!$B$14*0.0025)/100)*(1+Inputs!$B$15/100)*(1+Inputs!$B$16/100)*(5000/(6000+Inputs!$B$42*(1-Inputs!$B$19/100)))*(1+Inputs!$B$24/100)*(1+F1301/100)*(1+IF(Inputs!$B$3&gt;=120,F1304,0)/100)^5*(1+(IF(Skills!A9="BASIC_ATTACK",Inputs!$B$17,Inputs!$B$18+IF(Inputs!$B$3&gt;=125,F1305*5,0)))/100)*(B1308*B1309*B1310*I1287)</f>
        <v/>
      </c>
      <c r="L1287">
        <f>K1287*(MIN(Inputs!$B$22+(F1300-Calc!F22),Inputs!$B$23)/100+Inputs!$B$23/100)/2</f>
        <v/>
      </c>
      <c r="M1287">
        <f>L1287*(1+(Inputs!$B$10+(F1299-Calc!F21))/100)</f>
        <v/>
      </c>
      <c r="N1287">
        <f>L1287*(1-MIN(Inputs!$B$9+(F1298-Calc!F20),100)/100)+M1287*(MIN(Inputs!$B$9+(F1298-Calc!F20),100)/100)</f>
        <v/>
      </c>
      <c r="O1287">
        <f>(1-Summary!$B$56)*S1287+Summary!$B$56*U1287</f>
        <v/>
      </c>
      <c r="P1287">
        <f>IF(B1319=0,0,O1287/B1319)</f>
        <v/>
      </c>
      <c r="Q1287">
        <f>IFERROR(1/IF(Inputs!$B$38="pvp",15,MAX(0.1,Skills!E9-IF(Skills!F7=TRUE,2.0,0))),0)</f>
        <v/>
      </c>
      <c r="R1287">
        <f>IF(AND(Inputs!$B$38&lt;&gt;"pvp",Inputs!$B$43&gt;0),IF(MAX(0,Inputs!$B$43-B1316)&lt;=0,0,(INT(MAX(0,Inputs!$B$43-B1316)/IF(Inputs!$B$38="pvp",15,MAX(0.1,Skills!E9-IF(Skills!F7=TRUE,2.0,0))))+1)),0)</f>
        <v/>
      </c>
      <c r="S1287">
        <f>IF(C1287,(H1287*N1287*IF(AND(Inputs!$B$38&lt;&gt;"pvp",Inputs!$B$43&gt;0),((Skills!G9*((R1287-1)*IF(Skills!H9&gt;0,Skills!I9/Skills!H9,1)+IF(Skills!H9&gt;0,MIN(Skills!I9,MAX(0,MAX(0,Inputs!$B$43-B1316)-((R1287-1)*IF(Inputs!$B$38="pvp",15,MAX(0.1,Skills!E9-IF(Skills!F7=TRUE,2.0,0))))))/Skills!H9,1)))/Inputs!$B$43),G1287*Q1287))*IF(Inputs!$B$38="pvp",1,1+(Inputs!$B$20+Skills!P9)/100),0)</f>
        <v/>
      </c>
      <c r="U1287">
        <f>IF(C1287,(H1287*N1287*IF(AND(Inputs!$B$38&lt;&gt;"pvp",Inputs!$B$43&gt;0),((Skills!G9*((R1287-1)*IF(Skills!H9&gt;0,Skills!I9/Skills!H9,1)+IF(Skills!H9&gt;0,MIN(Skills!I9,MAX(0,MAX(0,Inputs!$B$43-B1316)-((R1287-1)*IF(Inputs!$B$38="pvp",15,MAX(0.1,Skills!E9-IF(Skills!F7=TRUE,2.0,0))))))/Skills!H9,1)))/Inputs!$B$43),G1287*Q1287))*IF(Inputs!$B$38="pvp",1,(1+(Inputs!$B$21+Skills!Q9)/100)*(MIN(Skills!R9,Inputs!$B$37))),0)</f>
        <v/>
      </c>
    </row>
    <row r="1288">
      <c r="A1288">
        <f>Skills!A10</f>
        <v/>
      </c>
      <c r="B1288">
        <f>Skills!B10</f>
        <v/>
      </c>
      <c r="C1288">
        <f>TRUE</f>
        <v/>
      </c>
      <c r="D1288">
        <f>IF(Skills!C10=1,60+Inputs!$B$25+Inputs!$B$29,IF(Skills!C10=2,90+Inputs!$B$26+Inputs!$B$29,IF(Skills!C10=3,120+Inputs!$B$27+Inputs!$B$29,MAX(0,(Inputs!$B$3-100)*3)+Inputs!$B$28+Inputs!$B$29)))</f>
        <v/>
      </c>
      <c r="E1288">
        <f>INDEX(FactorTable!$B$2:$Y$301, MATCH(ROUND(MIN(300,MAX(1,D1288)),0), FactorTable!$A$2:$A$301,0), Skills!M10+1)</f>
        <v/>
      </c>
      <c r="F1288">
        <f>IF(Skills!N10=TRUE,(Skills!L10/10)*(E1288/1000),Skills!L10/10)+Skills!O10</f>
        <v/>
      </c>
      <c r="G1288">
        <f>Calc!G10</f>
        <v/>
      </c>
      <c r="H1288">
        <f>Calc!H10</f>
        <v/>
      </c>
      <c r="I1288">
        <f>IF(Skills!X10&lt;&gt;"",1+(Skills!X10/10)*(Z1281/1000)/100,1)</f>
        <v/>
      </c>
      <c r="J1288">
        <f>((Inputs!$B$6*(1+Inputs!$B$7/100))+(((Inputs!$B$12*(1+Inputs!$B$13/100))-(Inputs!$B$12*(1+Inputs!$B$13/100)))+0.25*(Inputs!$B$14-Inputs!$B$14))*(1+Inputs!$B$7/100))*(F1288/100)</f>
        <v/>
      </c>
      <c r="K1288">
        <f>J1288*(1+((Inputs!$B$12*(1+Inputs!$B$13/100))*0.01+Inputs!$B$14*0.0025)/100)*(1+Inputs!$B$15/100)*(1+Inputs!$B$16/100)*(5000/(6000+Inputs!$B$42*(1-Inputs!$B$19/100)))*(1+Inputs!$B$24/100)*(1+F1301/100)*(1+IF(Inputs!$B$3&gt;=120,F1304,0)/100)^5*(1+(IF(Skills!A10="BASIC_ATTACK",Inputs!$B$17,Inputs!$B$18+IF(Inputs!$B$3&gt;=125,F1305*5,0)))/100)*(B1308*B1309*B1310*I1288)</f>
        <v/>
      </c>
      <c r="L1288">
        <f>K1288*(MIN(Inputs!$B$22+(F1300-Calc!F22),Inputs!$B$23)/100+Inputs!$B$23/100)/2</f>
        <v/>
      </c>
      <c r="M1288">
        <f>L1288*(1+(Inputs!$B$10+(F1299-Calc!F21))/100)</f>
        <v/>
      </c>
      <c r="N1288">
        <f>L1288*(1-MIN(Inputs!$B$9+(F1298-Calc!F20),100)/100)+M1288*(MIN(Inputs!$B$9+(F1298-Calc!F20),100)/100)</f>
        <v/>
      </c>
      <c r="O1288">
        <f>(1-Summary!$B$56)*S1288+Summary!$B$56*U1288</f>
        <v/>
      </c>
      <c r="P1288">
        <f>IF(B1319=0,0,O1288/B1319)</f>
        <v/>
      </c>
      <c r="Q1288">
        <f>IFERROR(1/IF(Inputs!$B$38="pvp",15,MAX(0.1,Skills!E10-IF(Skills!F10=TRUE,2.0,0))),0)</f>
        <v/>
      </c>
      <c r="R1288">
        <f>IF(AND(Inputs!$B$38&lt;&gt;"pvp",Inputs!$B$43&gt;0),IF(MAX(0,Inputs!$B$43-B1316)&lt;=0,0,(INT(MAX(0,Inputs!$B$43-B1316)/IF(Inputs!$B$38="pvp",15,MAX(0.1,Skills!E10-IF(Skills!F10=TRUE,2.0,0))))+1)),0)</f>
        <v/>
      </c>
      <c r="S1288">
        <f>IF(C1288,(H1288*N1288*IF(AND(Inputs!$B$38&lt;&gt;"pvp",Inputs!$B$43&gt;0),((Skills!G10*((R1288-1)*IF(Skills!H10&gt;0,Skills!I10/Skills!H10,1)+IF(Skills!H10&gt;0,MIN(Skills!I10,MAX(0,MAX(0,Inputs!$B$43-B1316)-((R1288-1)*IF(Inputs!$B$38="pvp",15,MAX(0.1,Skills!E10-IF(Skills!F10=TRUE,2.0,0))))))/Skills!H10,1)))/Inputs!$B$43),G1288*Q1288))*IF(Inputs!$B$38="pvp",1,1+(Inputs!$B$20+Skills!P10)/100),0)</f>
        <v/>
      </c>
      <c r="U1288">
        <f>IF(C1288,(H1288*N1288*IF(AND(Inputs!$B$38&lt;&gt;"pvp",Inputs!$B$43&gt;0),((Skills!G10*((R1288-1)*IF(Skills!H10&gt;0,Skills!I10/Skills!H10,1)+IF(Skills!H10&gt;0,MIN(Skills!I10,MAX(0,MAX(0,Inputs!$B$43-B1316)-((R1288-1)*IF(Inputs!$B$38="pvp",15,MAX(0.1,Skills!E10-IF(Skills!F10=TRUE,2.0,0))))))/Skills!H10,1)))/Inputs!$B$43),G1288*Q1288))*IF(Inputs!$B$38="pvp",1,(1+(Inputs!$B$21+Skills!Q10)/100)*(MIN(Skills!R10,Inputs!$B$37))),0)</f>
        <v/>
      </c>
    </row>
    <row r="1289">
      <c r="A1289">
        <f>Skills!A11</f>
        <v/>
      </c>
      <c r="B1289">
        <f>Skills!B11</f>
        <v/>
      </c>
      <c r="C1289">
        <f>TRUE</f>
        <v/>
      </c>
      <c r="D1289">
        <f>IF(Skills!C11=1,60+Inputs!$B$25+Inputs!$B$29,IF(Skills!C11=2,90+Inputs!$B$26+Inputs!$B$29,IF(Skills!C11=3,120+Inputs!$B$27+Inputs!$B$29,MAX(0,(Inputs!$B$3-100)*3)+Inputs!$B$28+Inputs!$B$29)))</f>
        <v/>
      </c>
      <c r="E1289">
        <f>INDEX(FactorTable!$B$2:$Y$301, MATCH(ROUND(MIN(300,MAX(1,D1289)),0), FactorTable!$A$2:$A$301,0), Skills!M11+1)</f>
        <v/>
      </c>
      <c r="F1289">
        <f>IF(Skills!N11=TRUE,(Skills!L11/10)*(E1289/1000),Skills!L11/10)+Skills!O11</f>
        <v/>
      </c>
      <c r="G1289">
        <f>Calc!G11</f>
        <v/>
      </c>
      <c r="H1289">
        <f>Calc!H11</f>
        <v/>
      </c>
      <c r="I1289">
        <f>IF(Skills!X11&lt;&gt;"",1+(Skills!X11/10)*(Z1281/1000)/100,1)</f>
        <v/>
      </c>
      <c r="J1289" t="inlineStr"/>
      <c r="K1289" t="inlineStr"/>
      <c r="L1289" t="inlineStr"/>
      <c r="M1289" t="inlineStr"/>
      <c r="N1289" t="inlineStr"/>
      <c r="O1289">
        <f>(1-Summary!$B$56)*S1289+Summary!$B$56*U1289</f>
        <v/>
      </c>
      <c r="P1289">
        <f>IF(B1319=0,0,O1289/B1319)</f>
        <v/>
      </c>
      <c r="Q1289">
        <f>IFERROR(1/IF(Inputs!$B$38="pvp",15,MAX(0.1,Skills!E11-IF(Skills!F11=TRUE,2.0,0))),0)</f>
        <v/>
      </c>
      <c r="R1289" t="n">
        <v>0</v>
      </c>
      <c r="S1289" t="n">
        <v>0</v>
      </c>
      <c r="U1289" t="n">
        <v>0</v>
      </c>
    </row>
    <row r="1290">
      <c r="A1290">
        <f>Skills!A12</f>
        <v/>
      </c>
      <c r="B1290">
        <f>Skills!B12</f>
        <v/>
      </c>
      <c r="C1290">
        <f>TRUE</f>
        <v/>
      </c>
      <c r="D1290">
        <f>IF(Skills!C12=1,60+Inputs!$B$25+Inputs!$B$29,IF(Skills!C12=2,90+Inputs!$B$26+Inputs!$B$29,IF(Skills!C12=3,120+Inputs!$B$27+Inputs!$B$29,MAX(0,(Inputs!$B$3-100)*3)+Inputs!$B$28+Inputs!$B$29)))</f>
        <v/>
      </c>
      <c r="E1290">
        <f>INDEX(FactorTable!$B$2:$Y$301, MATCH(ROUND(MIN(300,MAX(1,D1290)),0), FactorTable!$A$2:$A$301,0), Skills!M12+1)</f>
        <v/>
      </c>
      <c r="F1290">
        <f>IF(Skills!N12=TRUE,(Skills!L12/10)*(E1290/1000),Skills!L12/10)+Skills!O12</f>
        <v/>
      </c>
      <c r="G1290">
        <f>Calc!G12</f>
        <v/>
      </c>
      <c r="H1290">
        <f>Calc!H12</f>
        <v/>
      </c>
      <c r="I1290">
        <f>IF(Skills!X12&lt;&gt;"",1+(Skills!X12/10)*(Z1281/1000)/100,1)</f>
        <v/>
      </c>
      <c r="J1290" t="inlineStr"/>
      <c r="K1290" t="inlineStr"/>
      <c r="L1290" t="inlineStr"/>
      <c r="M1290" t="inlineStr"/>
      <c r="N1290" t="inlineStr"/>
      <c r="O1290">
        <f>(1-Summary!$B$56)*S1290+Summary!$B$56*U1290</f>
        <v/>
      </c>
      <c r="P1290">
        <f>IF(B1319=0,0,O1290/B1319)</f>
        <v/>
      </c>
      <c r="Q1290">
        <f>IFERROR(1/IF(Inputs!$B$38="pvp",15,MAX(0.1,Skills!E12-IF(Skills!F12=TRUE,2.0,0))),0)</f>
        <v/>
      </c>
      <c r="R1290" t="n">
        <v>0</v>
      </c>
      <c r="S1290" t="n">
        <v>0</v>
      </c>
      <c r="U1290" t="n">
        <v>0</v>
      </c>
    </row>
    <row r="1291">
      <c r="A1291">
        <f>Skills!A13</f>
        <v/>
      </c>
      <c r="B1291">
        <f>Skills!B13</f>
        <v/>
      </c>
      <c r="C1291">
        <f>Inputs!$B$3&gt;=105</f>
        <v/>
      </c>
      <c r="D1291">
        <f>IF(Skills!C13=1,60+Inputs!$B$25+Inputs!$B$29,IF(Skills!C13=2,90+Inputs!$B$26+Inputs!$B$29,IF(Skills!C13=3,120+Inputs!$B$27+Inputs!$B$29,MAX(0,(Inputs!$B$3-100)*3)+Inputs!$B$28+Inputs!$B$29)))</f>
        <v/>
      </c>
      <c r="E1291">
        <f>INDEX(FactorTable!$B$2:$Y$301, MATCH(ROUND(MIN(300,MAX(1,D1291)),0), FactorTable!$A$2:$A$301,0), Skills!M13+1)</f>
        <v/>
      </c>
      <c r="F1291">
        <f>IF(Skills!N13=TRUE,(Skills!L13/10)*(E1291/1000),Skills!L13/10)+Skills!O13</f>
        <v/>
      </c>
      <c r="G1291">
        <f>Calc!G13</f>
        <v/>
      </c>
      <c r="H1291">
        <f>Calc!H13</f>
        <v/>
      </c>
      <c r="I1291">
        <f>IF(Skills!X13&lt;&gt;"",1+(Skills!X13/10)*(Z1281/1000)/100,1)</f>
        <v/>
      </c>
      <c r="J1291">
        <f>((Inputs!$B$6*(1+Inputs!$B$7/100))+(((Inputs!$B$12*(1+Inputs!$B$13/100))-(Inputs!$B$12*(1+Inputs!$B$13/100)))+0.25*(Inputs!$B$14-Inputs!$B$14))*(1+Inputs!$B$7/100))*(F1291/100)</f>
        <v/>
      </c>
      <c r="K1291">
        <f>J1291*(1+((Inputs!$B$12*(1+Inputs!$B$13/100))*0.01+Inputs!$B$14*0.0025)/100)*(1+Inputs!$B$15/100)*(1+Inputs!$B$16/100)*(5000/(6000+Inputs!$B$42*(1-Inputs!$B$19/100)))*(1+Inputs!$B$24/100)*(1+F1301/100)*(1+IF(Inputs!$B$3&gt;=120,F1304,0)/100)^5*(1+(IF(Skills!A13="BASIC_ATTACK",Inputs!$B$17,Inputs!$B$18+IF(Inputs!$B$3&gt;=125,F1305*5,0)))/100)*(B1308*B1309*B1310*I1291)</f>
        <v/>
      </c>
      <c r="L1291">
        <f>K1291*(MIN(Inputs!$B$22+(F1300-Calc!F22),Inputs!$B$23)/100+Inputs!$B$23/100)/2</f>
        <v/>
      </c>
      <c r="M1291">
        <f>L1291*(1+(Inputs!$B$10+(F1299-Calc!F21))/100)</f>
        <v/>
      </c>
      <c r="N1291">
        <f>L1291*(1-MIN(Inputs!$B$9+(F1298-Calc!F20),100)/100)+M1291*(MIN(Inputs!$B$9+(F1298-Calc!F20),100)/100)</f>
        <v/>
      </c>
      <c r="O1291">
        <f>(1-Summary!$B$56)*S1291+Summary!$B$56*U1291</f>
        <v/>
      </c>
      <c r="P1291">
        <f>IF(B1319=0,0,O1291/B1319)</f>
        <v/>
      </c>
      <c r="Q1291">
        <f>IFERROR(1/IF(Inputs!$B$38="pvp",15,MAX(0.1,Skills!E13-IF(Skills!F13=TRUE,2.0,0))),0)</f>
        <v/>
      </c>
      <c r="R1291">
        <f>IF(AND(Inputs!$B$38&lt;&gt;"pvp",Inputs!$B$43&gt;0),IF(MAX(0,Inputs!$B$43-B1316)&lt;=0,0,(INT(MAX(0,Inputs!$B$43-B1316)/IF(Inputs!$B$38="pvp",15,MAX(0.1,Skills!E13-IF(Skills!F13=TRUE,2.0,0))))+1)),0)</f>
        <v/>
      </c>
      <c r="S1291">
        <f>IF(C1291,(H1291*N1291*IF(AND(Inputs!$B$38&lt;&gt;"pvp",Inputs!$B$43&gt;0),((Skills!G13*((R1291-1)*IF(Skills!H13&gt;0,Skills!I13/Skills!H13,1)+IF(Skills!H13&gt;0,MIN(Skills!I13,MAX(0,MAX(0,Inputs!$B$43-B1316)-((R1291-1)*IF(Inputs!$B$38="pvp",15,MAX(0.1,Skills!E13-IF(Skills!F13=TRUE,2.0,0))))))/Skills!H13,1)))/Inputs!$B$43),G1291*Q1291))*IF(Inputs!$B$38="pvp",1,1+(Inputs!$B$20+Skills!P13)/100),0)</f>
        <v/>
      </c>
      <c r="U1291">
        <f>IF(C1291,(H1291*N1291*IF(AND(Inputs!$B$38&lt;&gt;"pvp",Inputs!$B$43&gt;0),((Skills!G13*((R1291-1)*IF(Skills!H13&gt;0,Skills!I13/Skills!H13,1)+IF(Skills!H13&gt;0,MIN(Skills!I13,MAX(0,MAX(0,Inputs!$B$43-B1316)-((R1291-1)*IF(Inputs!$B$38="pvp",15,MAX(0.1,Skills!E13-IF(Skills!F13=TRUE,2.0,0))))))/Skills!H13,1)))/Inputs!$B$43),G1291*Q1291))*IF(Inputs!$B$38="pvp",1,(1+(Inputs!$B$21+Skills!Q13)/100)*(MIN(Skills!R13,Inputs!$B$37))),0)</f>
        <v/>
      </c>
    </row>
    <row r="1292">
      <c r="A1292">
        <f>Skills!A14</f>
        <v/>
      </c>
      <c r="B1292">
        <f>Skills!B14</f>
        <v/>
      </c>
      <c r="C1292">
        <f>Inputs!$B$3&gt;=113</f>
        <v/>
      </c>
      <c r="D1292">
        <f>IF(Skills!C14=1,60+Inputs!$B$25+Inputs!$B$29,IF(Skills!C14=2,90+Inputs!$B$26+Inputs!$B$29,IF(Skills!C14=3,120+Inputs!$B$27+Inputs!$B$29,MAX(0,(Inputs!$B$3-100)*3)+Inputs!$B$28+Inputs!$B$29)))</f>
        <v/>
      </c>
      <c r="E1292">
        <f>INDEX(FactorTable!$B$2:$Y$301, MATCH(ROUND(MIN(300,MAX(1,D1292)),0), FactorTable!$A$2:$A$301,0), Skills!M14+1)</f>
        <v/>
      </c>
      <c r="F1292">
        <f>IF(Skills!N14=TRUE,(Skills!L14/10)*(E1292/1000),Skills!L14/10)+Skills!O14</f>
        <v/>
      </c>
      <c r="G1292">
        <f>Calc!G14</f>
        <v/>
      </c>
      <c r="H1292">
        <f>Calc!H14</f>
        <v/>
      </c>
      <c r="I1292">
        <f>IF(Skills!X14&lt;&gt;"",1+(Skills!X14/10)*(Z1281/1000)/100,1)</f>
        <v/>
      </c>
      <c r="J1292">
        <f>((Inputs!$B$6*(1+Inputs!$B$7/100))+(((Inputs!$B$12*(1+Inputs!$B$13/100))-(Inputs!$B$12*(1+Inputs!$B$13/100)))+0.25*(Inputs!$B$14-Inputs!$B$14))*(1+Inputs!$B$7/100))*(F1292/100)</f>
        <v/>
      </c>
      <c r="K1292">
        <f>J1292*(1+((Inputs!$B$12*(1+Inputs!$B$13/100))*0.01+Inputs!$B$14*0.0025)/100)*(1+Inputs!$B$15/100)*(1+Inputs!$B$16/100)*(5000/(6000+Inputs!$B$42*(1-Inputs!$B$19/100)))*(1+Inputs!$B$24/100)*(1+F1301/100)*(1+IF(Inputs!$B$3&gt;=120,F1304,0)/100)^5*(1+(IF(Skills!A14="BASIC_ATTACK",Inputs!$B$17,Inputs!$B$18+IF(Inputs!$B$3&gt;=125,F1305*5,0)))/100)*(B1308*B1309*B1310*I1292)</f>
        <v/>
      </c>
      <c r="L1292">
        <f>K1292*(MIN(Inputs!$B$22+(F1300-Calc!F22),Inputs!$B$23)/100+Inputs!$B$23/100)/2</f>
        <v/>
      </c>
      <c r="M1292">
        <f>L1292*(1+(Inputs!$B$10+(F1299-Calc!F21))/100)</f>
        <v/>
      </c>
      <c r="N1292">
        <f>L1292*(1-MIN(Inputs!$B$9+(F1298-Calc!F20),100)/100)+M1292*(MIN(Inputs!$B$9+(F1298-Calc!F20),100)/100)</f>
        <v/>
      </c>
      <c r="O1292">
        <f>(1-Summary!$B$56)*S1292+Summary!$B$56*U1292</f>
        <v/>
      </c>
      <c r="P1292">
        <f>IF(B1319=0,0,O1292/B1319)</f>
        <v/>
      </c>
      <c r="Q1292">
        <f>IFERROR(1/IF(Inputs!$B$38="pvp",15,MAX(0.1,Skills!E14-IF(Skills!F14=TRUE,2.0,0))),0)</f>
        <v/>
      </c>
      <c r="R1292" t="n">
        <v>0</v>
      </c>
      <c r="S1292">
        <f>IF(C1292,((H1292*B1315)/(1+Skills!H14*H1292*B1315)*N1292)*IF(Inputs!$B$38="pvp",1,1+(Inputs!$B$20+Skills!P14)/100),0)</f>
        <v/>
      </c>
      <c r="U1292">
        <f>IF(C1292,((H1292*B1315)/(1+Skills!H14*H1292*B1315)*N1292)*IF(Inputs!$B$38="pvp",1,(1+(Inputs!$B$21+Skills!Q14)/100)*(MIN(Skills!R14,Inputs!$B$37))),0)</f>
        <v/>
      </c>
    </row>
    <row r="1293">
      <c r="A1293">
        <f>Skills!A15</f>
        <v/>
      </c>
      <c r="B1293">
        <f>Skills!B15</f>
        <v/>
      </c>
      <c r="C1293">
        <f>Inputs!$B$3&gt;=107</f>
        <v/>
      </c>
      <c r="D1293">
        <f>IF(Skills!C15=1,60+Inputs!$B$25+Inputs!$B$29,IF(Skills!C15=2,90+Inputs!$B$26+Inputs!$B$29,IF(Skills!C15=3,120+Inputs!$B$27+Inputs!$B$29,MAX(0,(Inputs!$B$3-100)*3)+Inputs!$B$28+Inputs!$B$29)))</f>
        <v/>
      </c>
      <c r="E1293">
        <f>INDEX(FactorTable!$B$2:$Y$301, MATCH(ROUND(MIN(300,MAX(1,D1293)),0), FactorTable!$A$2:$A$301,0), Skills!M15+1)</f>
        <v/>
      </c>
      <c r="F1293">
        <f>IF(Skills!N15=TRUE,(Skills!L15/10)*(E1293/1000),Skills!L15/10)+Skills!O15</f>
        <v/>
      </c>
      <c r="G1293">
        <f>Calc!G15</f>
        <v/>
      </c>
      <c r="H1293">
        <f>Calc!H15</f>
        <v/>
      </c>
      <c r="I1293">
        <f>IF(Skills!X15&lt;&gt;"",1+(Skills!X15/10)*(Z1281/1000)/100,1)</f>
        <v/>
      </c>
      <c r="J1293">
        <f>((Inputs!$B$6*(1+Inputs!$B$7/100))+(((Inputs!$B$12*(1+Inputs!$B$13/100))-(Inputs!$B$12*(1+Inputs!$B$13/100)))+0.25*(Inputs!$B$14-Inputs!$B$14))*(1+Inputs!$B$7/100))*(F1293/100)</f>
        <v/>
      </c>
      <c r="K1293">
        <f>J1293*(1+((Inputs!$B$12*(1+Inputs!$B$13/100))*0.01+Inputs!$B$14*0.0025)/100)*(1+Inputs!$B$15/100)*(1+Inputs!$B$16/100)*(5000/(6000+Inputs!$B$42*(1-Inputs!$B$19/100)))*(1+Inputs!$B$24/100)*(1+F1301/100)*(1+IF(Inputs!$B$3&gt;=120,F1304,0)/100)^5*(1+(IF(Skills!A15="BASIC_ATTACK",Inputs!$B$17,Inputs!$B$18+IF(Inputs!$B$3&gt;=125,F1305*5,0)))/100)*(B1308*B1309*B1310*I1293)</f>
        <v/>
      </c>
      <c r="L1293">
        <f>K1293*(MIN(Inputs!$B$22+(F1300-Calc!F22),Inputs!$B$23)/100+Inputs!$B$23/100)/2</f>
        <v/>
      </c>
      <c r="M1293">
        <f>L1293*(1+(Inputs!$B$10+(F1299-Calc!F21))/100)</f>
        <v/>
      </c>
      <c r="N1293">
        <f>L1293*(1-MIN(Inputs!$B$9+(F1298-Calc!F20),100)/100)+M1293*(MIN(Inputs!$B$9+(F1298-Calc!F20),100)/100)</f>
        <v/>
      </c>
      <c r="O1293">
        <f>(1-Summary!$B$56)*S1293+Summary!$B$56*U1293</f>
        <v/>
      </c>
      <c r="P1293">
        <f>IF(B1319=0,0,O1293/B1319)</f>
        <v/>
      </c>
      <c r="Q1293">
        <f>IFERROR(1/IF(Inputs!$B$38="pvp",15,MAX(0.1,Skills!E15-IF(Skills!F15=TRUE,2.0,0))),0)</f>
        <v/>
      </c>
      <c r="R1293">
        <f>IF(AND(Inputs!$B$38&lt;&gt;"pvp",Inputs!$B$43&gt;0),IF(MAX(0,Inputs!$B$43-B1316)&lt;=0,0,(INT(MAX(0,Inputs!$B$43-B1316)/IF(Inputs!$B$38="pvp",15,MAX(0.1,Skills!E15-IF(Skills!F15=TRUE,2.0,0))))+1)),0)</f>
        <v/>
      </c>
      <c r="S1293">
        <f>IF(C1293,(H1293*N1293*IF(AND(Inputs!$B$38&lt;&gt;"pvp",Inputs!$B$43&gt;0),((Skills!G15*((R1293-1)*IF(Skills!H15&gt;0,Skills!I15/Skills!H15,1)+IF(Skills!H15&gt;0,MIN(Skills!I15,MAX(0,MAX(0,Inputs!$B$43-B1316)-((R1293-1)*IF(Inputs!$B$38="pvp",15,MAX(0.1,Skills!E15-IF(Skills!F15=TRUE,2.0,0))))))/Skills!H15,1)))/Inputs!$B$43),G1293*Q1293))*IF(Inputs!$B$38="pvp",1,1+(Inputs!$B$20+Skills!P15)/100),0)</f>
        <v/>
      </c>
      <c r="U1293">
        <f>IF(C1293,(H1293*N1293*IF(AND(Inputs!$B$38&lt;&gt;"pvp",Inputs!$B$43&gt;0),((Skills!G15*((R1293-1)*IF(Skills!H15&gt;0,Skills!I15/Skills!H15,1)+IF(Skills!H15&gt;0,MIN(Skills!I15,MAX(0,MAX(0,Inputs!$B$43-B1316)-((R1293-1)*IF(Inputs!$B$38="pvp",15,MAX(0.1,Skills!E15-IF(Skills!F15=TRUE,2.0,0))))))/Skills!H15,1)))/Inputs!$B$43),G1293*Q1293))*IF(Inputs!$B$38="pvp",1,(1+(Inputs!$B$21+Skills!Q15)/100)*(MIN(Skills!R15,Inputs!$B$37))),0)</f>
        <v/>
      </c>
    </row>
    <row r="1294">
      <c r="A1294">
        <f>Skills!A16</f>
        <v/>
      </c>
      <c r="B1294">
        <f>Skills!B16</f>
        <v/>
      </c>
      <c r="C1294">
        <f>Inputs!$B$3&gt;=107</f>
        <v/>
      </c>
      <c r="D1294">
        <f>IF(Skills!C16=1,60+Inputs!$B$25+Inputs!$B$29,IF(Skills!C16=2,90+Inputs!$B$26+Inputs!$B$29,IF(Skills!C16=3,120+Inputs!$B$27+Inputs!$B$29,MAX(0,(Inputs!$B$3-100)*3)+Inputs!$B$28+Inputs!$B$29)))</f>
        <v/>
      </c>
      <c r="E1294">
        <f>INDEX(FactorTable!$B$2:$Y$301, MATCH(ROUND(MIN(300,MAX(1,D1294)),0), FactorTable!$A$2:$A$301,0), Skills!M16+1)</f>
        <v/>
      </c>
      <c r="F1294">
        <f>IF(Skills!N16=TRUE,(Skills!L16/10)*(E1294/1000),Skills!L16/10)+Skills!O16</f>
        <v/>
      </c>
      <c r="G1294">
        <f>Calc!G16</f>
        <v/>
      </c>
      <c r="H1294">
        <f>Calc!H16</f>
        <v/>
      </c>
      <c r="I1294">
        <f>IF(Skills!X16&lt;&gt;"",1+(Skills!X16/10)*(Z1281/1000)/100,1)</f>
        <v/>
      </c>
      <c r="J1294">
        <f>((Inputs!$B$6*(1+Inputs!$B$7/100))+(((Inputs!$B$12*(1+Inputs!$B$13/100))-(Inputs!$B$12*(1+Inputs!$B$13/100)))+0.25*(Inputs!$B$14-Inputs!$B$14))*(1+Inputs!$B$7/100))*(F1294/100)</f>
        <v/>
      </c>
      <c r="K1294">
        <f>J1294*(1+((Inputs!$B$12*(1+Inputs!$B$13/100))*0.01+Inputs!$B$14*0.0025)/100)*(1+Inputs!$B$15/100)*(1+Inputs!$B$16/100)*(5000/(6000+Inputs!$B$42*(1-Inputs!$B$19/100)))*(1+Inputs!$B$24/100)*(1+F1301/100)*(1+IF(Inputs!$B$3&gt;=120,F1304,0)/100)^5*(1+(IF(Skills!A16="BASIC_ATTACK",Inputs!$B$17,Inputs!$B$18+IF(Inputs!$B$3&gt;=125,F1305*5,0)))/100)*(B1308*B1309*B1310*I1294)</f>
        <v/>
      </c>
      <c r="L1294">
        <f>K1294*(MIN(Inputs!$B$22+(F1300-Calc!F22),Inputs!$B$23)/100+Inputs!$B$23/100)/2</f>
        <v/>
      </c>
      <c r="M1294">
        <f>L1294*(1+(Inputs!$B$10+(F1299-Calc!F21))/100)</f>
        <v/>
      </c>
      <c r="N1294">
        <f>L1294*(1-MIN(Inputs!$B$9+(F1298-Calc!F20),100)/100)+M1294*(MIN(Inputs!$B$9+(F1298-Calc!F20),100)/100)</f>
        <v/>
      </c>
      <c r="O1294">
        <f>(1-Summary!$B$56)*S1294+Summary!$B$56*U1294</f>
        <v/>
      </c>
      <c r="P1294">
        <f>IF(B1319=0,0,O1294/B1319)</f>
        <v/>
      </c>
      <c r="Q1294">
        <f>IFERROR(1/IF(Inputs!$B$38="pvp",15,MAX(0.1,Skills!E16-IF(Skills!F16=TRUE,2.0,0))),0)</f>
        <v/>
      </c>
      <c r="R1294">
        <f>IF(AND(Inputs!$B$38&lt;&gt;"pvp",Inputs!$B$43&gt;0),IF(MAX(0,Inputs!$B$43-B1316)&lt;=0,0,(INT(MAX(0,Inputs!$B$43-B1316)/IF(Inputs!$B$38="pvp",15,MAX(0.1,Skills!E16-IF(Skills!F16=TRUE,2.0,0))))+1)),0)</f>
        <v/>
      </c>
      <c r="S1294">
        <f>IF(C1294,(H1294*N1294*IF(AND(Inputs!$B$38&lt;&gt;"pvp",Inputs!$B$43&gt;0),((Skills!G16*((R1294-1)*IF(Skills!H16&gt;0,Skills!I16/Skills!H16,1)+IF(Skills!H16&gt;0,MIN(Skills!I16,MAX(0,MAX(0,Inputs!$B$43-B1316)-((R1294-1)*IF(Inputs!$B$38="pvp",15,MAX(0.1,Skills!E16-IF(Skills!F16=TRUE,2.0,0))))))/Skills!H16,1)))/Inputs!$B$43),G1294*Q1294)*(1+IF(Inputs!$B$3&gt;=126,0.05*(B1314+Q1291+(H1292*B1315)/(1+Skills!H14*H1292*B1315)+Q1302),0)*Skills!E15))*IF(Inputs!$B$38="pvp",1,1+(Inputs!$B$20+Skills!P16)/100),0)</f>
        <v/>
      </c>
      <c r="U1294">
        <f>IF(C1294,(H1294*N1294*IF(AND(Inputs!$B$38&lt;&gt;"pvp",Inputs!$B$43&gt;0),((Skills!G16*((R1294-1)*IF(Skills!H16&gt;0,Skills!I16/Skills!H16,1)+IF(Skills!H16&gt;0,MIN(Skills!I16,MAX(0,MAX(0,Inputs!$B$43-B1316)-((R1294-1)*IF(Inputs!$B$38="pvp",15,MAX(0.1,Skills!E16-IF(Skills!F16=TRUE,2.0,0))))))/Skills!H16,1)))/Inputs!$B$43),G1294*Q1294)*(1+IF(Inputs!$B$3&gt;=126,0.05*(B1314+Q1291+(H1292*B1315)/(1+Skills!H14*H1292*B1315)+Q1302),0)*Skills!E15))*IF(Inputs!$B$38="pvp",1,(1+(Inputs!$B$21+Skills!Q16)/100)*(MIN(Skills!R16,Inputs!$B$37))),0)</f>
        <v/>
      </c>
    </row>
    <row r="1295">
      <c r="A1295">
        <f>Skills!A17</f>
        <v/>
      </c>
      <c r="B1295">
        <f>Skills!B17</f>
        <v/>
      </c>
      <c r="C1295">
        <f>TRUE</f>
        <v/>
      </c>
      <c r="D1295">
        <f>IF(Skills!C17=1,60+Inputs!$B$25+Inputs!$B$29,IF(Skills!C17=2,90+Inputs!$B$26+Inputs!$B$29,IF(Skills!C17=3,120+Inputs!$B$27+Inputs!$B$29,MAX(0,(Inputs!$B$3-100)*3)+Inputs!$B$28+Inputs!$B$29)))</f>
        <v/>
      </c>
      <c r="E1295">
        <f>INDEX(FactorTable!$B$2:$Y$301, MATCH(ROUND(MIN(300,MAX(1,D1295)),0), FactorTable!$A$2:$A$301,0), Skills!M17+1)</f>
        <v/>
      </c>
      <c r="F1295">
        <f>IF(Skills!N17=TRUE,(Skills!L17/10)*(E1295/1000),Skills!L17/10)+Skills!O17</f>
        <v/>
      </c>
      <c r="G1295">
        <f>Calc!G17</f>
        <v/>
      </c>
      <c r="H1295">
        <f>Calc!H17</f>
        <v/>
      </c>
      <c r="I1295">
        <f>IF(Skills!X17&lt;&gt;"",1+(Skills!X17/10)*(Z1281/1000)/100,1)</f>
        <v/>
      </c>
      <c r="J1295" t="inlineStr"/>
      <c r="K1295" t="inlineStr"/>
      <c r="L1295" t="inlineStr"/>
      <c r="M1295" t="inlineStr"/>
      <c r="N1295" t="inlineStr"/>
      <c r="O1295">
        <f>(1-Summary!$B$56)*S1295+Summary!$B$56*U1295</f>
        <v/>
      </c>
      <c r="P1295">
        <f>IF(B1319=0,0,O1295/B1319)</f>
        <v/>
      </c>
      <c r="Q1295">
        <f>IFERROR(1/IF(Inputs!$B$38="pvp",15,MAX(0.1,Skills!E17-IF(Skills!F17=TRUE,2.0,0))),0)</f>
        <v/>
      </c>
      <c r="R1295">
        <f>IF(AND(Inputs!$B$38&lt;&gt;"pvp",Inputs!$B$43&gt;0),IF(Inputs!$B$43&lt;=0,0,(INT(Inputs!$B$43/IF(Inputs!$B$38="pvp",15,MAX(0.1,Skills!E17-IF(Skills!F17=TRUE,2.0,0))))+1)),0)</f>
        <v/>
      </c>
      <c r="S1295" t="n">
        <v>0</v>
      </c>
      <c r="U1295" t="n">
        <v>0</v>
      </c>
    </row>
    <row r="1296">
      <c r="A1296">
        <f>Skills!A18</f>
        <v/>
      </c>
      <c r="B1296">
        <f>Skills!B18</f>
        <v/>
      </c>
      <c r="C1296">
        <f>TRUE</f>
        <v/>
      </c>
      <c r="D1296">
        <f>IF(Skills!C18=1,60+Inputs!$B$25+Inputs!$B$29,IF(Skills!C18=2,90+Inputs!$B$26+Inputs!$B$29,IF(Skills!C18=3,120+Inputs!$B$27+Inputs!$B$29,MAX(0,(Inputs!$B$3-100)*3)+Inputs!$B$28+Inputs!$B$29)))</f>
        <v/>
      </c>
      <c r="E1296">
        <f>INDEX(FactorTable!$B$2:$Y$301, MATCH(ROUND(MIN(300,MAX(1,D1296)),0), FactorTable!$A$2:$A$301,0), Skills!M18+1)</f>
        <v/>
      </c>
      <c r="F1296">
        <f>IF(Skills!N18=TRUE,(Skills!L18/10)*(E1296/1000),Skills!L18/10)+Skills!O18</f>
        <v/>
      </c>
      <c r="G1296">
        <f>Calc!G18</f>
        <v/>
      </c>
      <c r="H1296">
        <f>Calc!H18</f>
        <v/>
      </c>
      <c r="I1296">
        <f>IF(Skills!X18&lt;&gt;"",1+(Skills!X18/10)*(Z1281/1000)/100,1)</f>
        <v/>
      </c>
      <c r="J1296" t="inlineStr"/>
      <c r="K1296" t="inlineStr"/>
      <c r="L1296" t="inlineStr"/>
      <c r="M1296" t="inlineStr"/>
      <c r="N1296" t="inlineStr"/>
      <c r="O1296">
        <f>(1-Summary!$B$56)*S1296+Summary!$B$56*U1296</f>
        <v/>
      </c>
      <c r="P1296">
        <f>IF(B1319=0,0,O1296/B1319)</f>
        <v/>
      </c>
      <c r="Q1296">
        <f>IFERROR(1/IF(Inputs!$B$38="pvp",15,MAX(0.1,Skills!E18-IF(Skills!F18=TRUE,2.0,0))),0)</f>
        <v/>
      </c>
      <c r="R1296">
        <f>IF(AND(Inputs!$B$38&lt;&gt;"pvp",Inputs!$B$43&gt;0),IF(Inputs!$B$43&lt;=0,0,(INT(Inputs!$B$43/IF(Inputs!$B$38="pvp",15,MAX(0.1,Skills!E18-IF(Skills!F18=TRUE,2.0,0))))+1)),0)</f>
        <v/>
      </c>
      <c r="S1296" t="n">
        <v>0</v>
      </c>
      <c r="U1296" t="n">
        <v>0</v>
      </c>
    </row>
    <row r="1297">
      <c r="A1297">
        <f>Skills!A19</f>
        <v/>
      </c>
      <c r="B1297">
        <f>Skills!B19</f>
        <v/>
      </c>
      <c r="C1297">
        <f>Inputs!$B$3&gt;=110</f>
        <v/>
      </c>
      <c r="D1297">
        <f>IF(Skills!C19=1,60+Inputs!$B$25+Inputs!$B$29,IF(Skills!C19=2,90+Inputs!$B$26+Inputs!$B$29,IF(Skills!C19=3,120+Inputs!$B$27+Inputs!$B$29,MAX(0,(Inputs!$B$3-100)*3)+Inputs!$B$28+Inputs!$B$29)))</f>
        <v/>
      </c>
      <c r="E1297">
        <f>INDEX(FactorTable!$B$2:$Y$301, MATCH(ROUND(MIN(300,MAX(1,D1297)),0), FactorTable!$A$2:$A$301,0), Skills!M19+1)</f>
        <v/>
      </c>
      <c r="F1297">
        <f>IF(Skills!N19=TRUE,(Skills!L19/10)*(E1297/1000),Skills!L19/10)+Skills!O19</f>
        <v/>
      </c>
      <c r="G1297">
        <f>Calc!G19</f>
        <v/>
      </c>
      <c r="H1297">
        <f>Calc!H19</f>
        <v/>
      </c>
      <c r="I1297">
        <f>IF(Skills!X19&lt;&gt;"",1+(Skills!X19/10)*(Z1281/1000)/100,1)</f>
        <v/>
      </c>
      <c r="J1297" t="inlineStr"/>
      <c r="K1297" t="inlineStr"/>
      <c r="L1297" t="inlineStr"/>
      <c r="M1297" t="inlineStr"/>
      <c r="N1297" t="inlineStr"/>
      <c r="O1297">
        <f>(1-Summary!$B$56)*S1297+Summary!$B$56*U1297</f>
        <v/>
      </c>
      <c r="P1297">
        <f>IF(B1319=0,0,O1297/B1319)</f>
        <v/>
      </c>
      <c r="Q1297">
        <f>IFERROR(1/IF(Inputs!$B$38="pvp",15,MAX(0.1,Skills!E19-IF(Skills!F19=TRUE,2.0,0))),0)</f>
        <v/>
      </c>
      <c r="R1297">
        <f>IF(AND(Inputs!$B$38&lt;&gt;"pvp",Inputs!$B$43&gt;0),IF(Inputs!$B$43&lt;=0,0,(INT(Inputs!$B$43/IF(Inputs!$B$38="pvp",15,MAX(0.1,Skills!E19-IF(Skills!F19=TRUE,2.0,0))))+1)),0)</f>
        <v/>
      </c>
      <c r="S1297" t="n">
        <v>0</v>
      </c>
      <c r="U1297" t="n">
        <v>0</v>
      </c>
    </row>
    <row r="1298">
      <c r="A1298">
        <f>Skills!A20</f>
        <v/>
      </c>
      <c r="B1298">
        <f>Skills!B20</f>
        <v/>
      </c>
      <c r="C1298">
        <f>TRUE</f>
        <v/>
      </c>
      <c r="D1298">
        <f>IF(Skills!C20=1,60+Inputs!$B$25+Inputs!$B$29,IF(Skills!C20=2,90+Inputs!$B$26+Inputs!$B$29,IF(Skills!C20=3,120+Inputs!$B$27+Inputs!$B$29,MAX(0,(Inputs!$B$3-100)*3)+Inputs!$B$28+Inputs!$B$29)))</f>
        <v/>
      </c>
      <c r="E1298">
        <f>INDEX(FactorTable!$B$2:$Y$301, MATCH(ROUND(MIN(300,MAX(1,D1298)),0), FactorTable!$A$2:$A$301,0), Skills!M20+1)</f>
        <v/>
      </c>
      <c r="F1298">
        <f>IF(Skills!N20=TRUE,(Skills!L20/10)*(E1298/1000),Skills!L20/10)+Skills!O20</f>
        <v/>
      </c>
      <c r="G1298">
        <f>Calc!G20</f>
        <v/>
      </c>
      <c r="H1298">
        <f>Calc!H20</f>
        <v/>
      </c>
      <c r="I1298">
        <f>IF(Skills!X20&lt;&gt;"",1+(Skills!X20/10)*(Z1281/1000)/100,1)</f>
        <v/>
      </c>
      <c r="J1298" t="inlineStr"/>
      <c r="K1298" t="inlineStr"/>
      <c r="L1298" t="inlineStr"/>
      <c r="M1298" t="inlineStr"/>
      <c r="N1298" t="inlineStr"/>
      <c r="O1298">
        <f>(1-Summary!$B$56)*S1298+Summary!$B$56*U1298</f>
        <v/>
      </c>
      <c r="P1298">
        <f>IF(B1319=0,0,O1298/B1319)</f>
        <v/>
      </c>
      <c r="Q1298">
        <f>IFERROR(1/IF(Inputs!$B$38="pvp",15,MAX(0.1,Skills!E20-IF(Skills!F20=TRUE,2.0,0))),0)</f>
        <v/>
      </c>
      <c r="R1298" t="n">
        <v>0</v>
      </c>
      <c r="S1298" t="n">
        <v>0</v>
      </c>
      <c r="U1298" t="n">
        <v>0</v>
      </c>
    </row>
    <row r="1299">
      <c r="A1299">
        <f>Skills!A21</f>
        <v/>
      </c>
      <c r="B1299">
        <f>Skills!B21</f>
        <v/>
      </c>
      <c r="C1299">
        <f>TRUE</f>
        <v/>
      </c>
      <c r="D1299">
        <f>IF(Skills!C21=1,60+Inputs!$B$25+Inputs!$B$29,IF(Skills!C21=2,90+Inputs!$B$26+Inputs!$B$29,IF(Skills!C21=3,120+Inputs!$B$27+Inputs!$B$29,MAX(0,(Inputs!$B$3-100)*3)+Inputs!$B$28+Inputs!$B$29)))</f>
        <v/>
      </c>
      <c r="E1299">
        <f>INDEX(FactorTable!$B$2:$Y$301, MATCH(ROUND(MIN(300,MAX(1,D1299)),0), FactorTable!$A$2:$A$301,0), Skills!M21+1)</f>
        <v/>
      </c>
      <c r="F1299">
        <f>IF(Skills!N21=TRUE,(Skills!L21/10)*(E1299/1000),Skills!L21/10)+Skills!O21</f>
        <v/>
      </c>
      <c r="G1299">
        <f>Calc!G21</f>
        <v/>
      </c>
      <c r="H1299">
        <f>Calc!H21</f>
        <v/>
      </c>
      <c r="I1299">
        <f>IF(Skills!X21&lt;&gt;"",1+(Skills!X21/10)*(Z1281/1000)/100,1)</f>
        <v/>
      </c>
      <c r="J1299" t="inlineStr"/>
      <c r="K1299" t="inlineStr"/>
      <c r="L1299" t="inlineStr"/>
      <c r="M1299" t="inlineStr"/>
      <c r="N1299" t="inlineStr"/>
      <c r="O1299">
        <f>(1-Summary!$B$56)*S1299+Summary!$B$56*U1299</f>
        <v/>
      </c>
      <c r="P1299">
        <f>IF(B1319=0,0,O1299/B1319)</f>
        <v/>
      </c>
      <c r="Q1299">
        <f>IFERROR(1/IF(Inputs!$B$38="pvp",15,MAX(0.1,Skills!E21-IF(Skills!F21=TRUE,2.0,0))),0)</f>
        <v/>
      </c>
      <c r="R1299" t="n">
        <v>0</v>
      </c>
      <c r="S1299" t="n">
        <v>0</v>
      </c>
      <c r="U1299" t="n">
        <v>0</v>
      </c>
    </row>
    <row r="1300">
      <c r="A1300">
        <f>Skills!A22</f>
        <v/>
      </c>
      <c r="B1300">
        <f>Skills!B22</f>
        <v/>
      </c>
      <c r="C1300">
        <f>TRUE</f>
        <v/>
      </c>
      <c r="D1300">
        <f>IF(Skills!C22=1,60+Inputs!$B$25+Inputs!$B$29,IF(Skills!C22=2,90+Inputs!$B$26+Inputs!$B$29,IF(Skills!C22=3,120+Inputs!$B$27+Inputs!$B$29,MAX(0,(Inputs!$B$3-100)*3)+Inputs!$B$28+Inputs!$B$29)))</f>
        <v/>
      </c>
      <c r="E1300">
        <f>INDEX(FactorTable!$B$2:$Y$301, MATCH(ROUND(MIN(300,MAX(1,D1300)),0), FactorTable!$A$2:$A$301,0), Skills!M22+1)</f>
        <v/>
      </c>
      <c r="F1300">
        <f>IF(Skills!N22=TRUE,(Skills!L22/10)*(E1300/1000),Skills!L22/10)+Skills!O22</f>
        <v/>
      </c>
      <c r="G1300">
        <f>Calc!G22</f>
        <v/>
      </c>
      <c r="H1300">
        <f>Calc!H22</f>
        <v/>
      </c>
      <c r="I1300">
        <f>IF(Skills!X22&lt;&gt;"",1+(Skills!X22/10)*(Z1281/1000)/100,1)</f>
        <v/>
      </c>
      <c r="J1300" t="inlineStr"/>
      <c r="K1300" t="inlineStr"/>
      <c r="L1300" t="inlineStr"/>
      <c r="M1300" t="inlineStr"/>
      <c r="N1300" t="inlineStr"/>
      <c r="O1300">
        <f>(1-Summary!$B$56)*S1300+Summary!$B$56*U1300</f>
        <v/>
      </c>
      <c r="P1300">
        <f>IF(B1319=0,0,O1300/B1319)</f>
        <v/>
      </c>
      <c r="Q1300">
        <f>IFERROR(1/IF(Inputs!$B$38="pvp",15,MAX(0.1,Skills!E22-IF(Skills!F22=TRUE,2.0,0))),0)</f>
        <v/>
      </c>
      <c r="R1300" t="n">
        <v>0</v>
      </c>
      <c r="S1300" t="n">
        <v>0</v>
      </c>
      <c r="U1300" t="n">
        <v>0</v>
      </c>
    </row>
    <row r="1301">
      <c r="A1301">
        <f>Skills!A23</f>
        <v/>
      </c>
      <c r="B1301">
        <f>Skills!B23</f>
        <v/>
      </c>
      <c r="C1301">
        <f>TRUE</f>
        <v/>
      </c>
      <c r="D1301">
        <f>IF(Skills!C23=1,60+Inputs!$B$25+Inputs!$B$29,IF(Skills!C23=2,90+Inputs!$B$26+Inputs!$B$29,IF(Skills!C23=3,120+Inputs!$B$27+Inputs!$B$29,MAX(0,(Inputs!$B$3-100)*3)+Inputs!$B$28+Inputs!$B$29)))</f>
        <v/>
      </c>
      <c r="E1301">
        <f>INDEX(FactorTable!$B$2:$Y$301, MATCH(ROUND(MIN(300,MAX(1,D1301)),0), FactorTable!$A$2:$A$301,0), Skills!M23+1)</f>
        <v/>
      </c>
      <c r="F1301">
        <f>IF(Skills!N23=TRUE,(Skills!L23/10)*(E1301/1000),Skills!L23/10)+Skills!O23</f>
        <v/>
      </c>
      <c r="G1301">
        <f>Calc!G23</f>
        <v/>
      </c>
      <c r="H1301">
        <f>Calc!H23</f>
        <v/>
      </c>
      <c r="I1301">
        <f>IF(Skills!X23&lt;&gt;"",1+(Skills!X23/10)*(Z1281/1000)/100,1)</f>
        <v/>
      </c>
      <c r="J1301" t="inlineStr"/>
      <c r="K1301" t="inlineStr"/>
      <c r="L1301" t="inlineStr"/>
      <c r="M1301" t="inlineStr"/>
      <c r="N1301" t="inlineStr"/>
      <c r="O1301">
        <f>(1-Summary!$B$56)*S1301+Summary!$B$56*U1301</f>
        <v/>
      </c>
      <c r="P1301">
        <f>IF(B1319=0,0,O1301/B1319)</f>
        <v/>
      </c>
      <c r="Q1301">
        <f>IFERROR(1/IF(Inputs!$B$38="pvp",15,MAX(0.1,Skills!E23-IF(Skills!F23=TRUE,2.0,0))),0)</f>
        <v/>
      </c>
      <c r="R1301" t="n">
        <v>0</v>
      </c>
      <c r="S1301" t="n">
        <v>0</v>
      </c>
      <c r="U1301" t="n">
        <v>0</v>
      </c>
    </row>
    <row r="1302">
      <c r="A1302">
        <f>Skills!A24</f>
        <v/>
      </c>
      <c r="B1302">
        <f>Skills!B24</f>
        <v/>
      </c>
      <c r="C1302">
        <f>Inputs!$B$3&gt;=115</f>
        <v/>
      </c>
      <c r="D1302">
        <f>IF(Skills!C24=1,60+Inputs!$B$25+Inputs!$B$29,IF(Skills!C24=2,90+Inputs!$B$26+Inputs!$B$29,IF(Skills!C24=3,120+Inputs!$B$27+Inputs!$B$29,MAX(0,(Inputs!$B$3-100)*3)+Inputs!$B$28+Inputs!$B$29)))</f>
        <v/>
      </c>
      <c r="E1302">
        <f>INDEX(FactorTable!$B$2:$Y$301, MATCH(ROUND(MIN(300,MAX(1,D1302)),0), FactorTable!$A$2:$A$301,0), Skills!M24+1)</f>
        <v/>
      </c>
      <c r="F1302">
        <f>IF(Skills!N24=TRUE,(Skills!L24/10)*(E1302/1000),Skills!L24/10)+Skills!O24</f>
        <v/>
      </c>
      <c r="G1302">
        <f>Calc!G24</f>
        <v/>
      </c>
      <c r="H1302">
        <f>Calc!H24</f>
        <v/>
      </c>
      <c r="I1302">
        <f>IF(Skills!X24&lt;&gt;"",1+(Skills!X24/10)*(Z1281/1000)/100,1)</f>
        <v/>
      </c>
      <c r="J1302">
        <f>((Inputs!$B$6*(1+Inputs!$B$7/100))+(((Inputs!$B$12*(1+Inputs!$B$13/100))-(Inputs!$B$12*(1+Inputs!$B$13/100)))+0.25*(Inputs!$B$14-Inputs!$B$14))*(1+Inputs!$B$7/100))*(F1302/100)</f>
        <v/>
      </c>
      <c r="K1302">
        <f>J1302*(1+((Inputs!$B$12*(1+Inputs!$B$13/100))*0.01+Inputs!$B$14*0.0025)/100)*(1+Inputs!$B$15/100)*(1+Inputs!$B$16/100)*(5000/(6000+Inputs!$B$42*(1-Inputs!$B$19/100)))*(1+Inputs!$B$24/100)*(1+F1301/100)*(1+IF(Inputs!$B$3&gt;=120,F1304,0)/100)^5*(1+(IF(Skills!A24="BASIC_ATTACK",Inputs!$B$17,Inputs!$B$18+IF(Inputs!$B$3&gt;=125,F1305*5,0)))/100)*(B1308*B1309*B1310*I1302)</f>
        <v/>
      </c>
      <c r="L1302">
        <f>K1302*(MIN(Inputs!$B$22+(F1300-Calc!F22),Inputs!$B$23)/100+Inputs!$B$23/100)/2</f>
        <v/>
      </c>
      <c r="M1302">
        <f>L1302*(1+(Inputs!$B$10+(F1299-Calc!F21))/100)</f>
        <v/>
      </c>
      <c r="N1302">
        <f>L1302*(1-MIN(Inputs!$B$9+(F1298-Calc!F20),100)/100)+M1302*(MIN(Inputs!$B$9+(F1298-Calc!F20),100)/100)</f>
        <v/>
      </c>
      <c r="O1302">
        <f>(1-Summary!$B$56)*S1302+Summary!$B$56*U1302</f>
        <v/>
      </c>
      <c r="P1302">
        <f>IF(B1319=0,0,O1302/B1319)</f>
        <v/>
      </c>
      <c r="Q1302">
        <f>IFERROR(1/IF(Inputs!$B$38="pvp",15,MAX(0.1,Skills!E24-IF(Skills!F24=TRUE,2.0,0))),0)</f>
        <v/>
      </c>
      <c r="R1302">
        <f>IF(AND(Inputs!$B$38&lt;&gt;"pvp",Inputs!$B$43&gt;0),IF(MAX(0,Inputs!$B$43-B1316)&lt;=0,0,(INT(MAX(0,Inputs!$B$43-B1316)/IF(Inputs!$B$38="pvp",15,MAX(0.1,Skills!E24-IF(Skills!F24=TRUE,2.0,0))))+1)),0)</f>
        <v/>
      </c>
      <c r="S1302">
        <f>IF(C1302,(H1302*N1302*IF(AND(Inputs!$B$38&lt;&gt;"pvp",Inputs!$B$43&gt;0),((Skills!G24*((R1302-1)*IF(Skills!H24&gt;0,Skills!I24/Skills!H24,1)+IF(Skills!H24&gt;0,MIN(Skills!I24,MAX(0,MAX(0,Inputs!$B$43-B1316)-((R1302-1)*IF(Inputs!$B$38="pvp",15,MAX(0.1,Skills!E24-IF(Skills!F24=TRUE,2.0,0))))))/Skills!H24,1)))/Inputs!$B$43),G1302*Q1302)*(1+IF(Inputs!$B$3&gt;=130,0.2*(Skills!I16/Skills!E15+IF(Inputs!$B$3&gt;=126,0.05*(B1314+Q1291+(H1292*B1315)/(1+Skills!H14*H1292*B1315)+Q1302),0)*Skills!I16),0)))*IF(Inputs!$B$38="pvp",1,1+(Inputs!$B$20+Skills!P24)/100),0)</f>
        <v/>
      </c>
      <c r="U1302">
        <f>IF(C1302,(H1302*N1302*IF(AND(Inputs!$B$38&lt;&gt;"pvp",Inputs!$B$43&gt;0),((Skills!G24*((R1302-1)*IF(Skills!H24&gt;0,Skills!I24/Skills!H24,1)+IF(Skills!H24&gt;0,MIN(Skills!I24,MAX(0,MAX(0,Inputs!$B$43-B1316)-((R1302-1)*IF(Inputs!$B$38="pvp",15,MAX(0.1,Skills!E24-IF(Skills!F24=TRUE,2.0,0))))))/Skills!H24,1)))/Inputs!$B$43),G1302*Q1302)*(1+IF(Inputs!$B$3&gt;=130,0.2*(Skills!I16/Skills!E15+IF(Inputs!$B$3&gt;=126,0.05*(B1314+Q1291+(H1292*B1315)/(1+Skills!H14*H1292*B1315)+Q1302),0)*Skills!I16),0)))*IF(Inputs!$B$38="pvp",1,(1+(Inputs!$B$21+Skills!Q24)/100)*(MIN(Skills!R24,Inputs!$B$37))),0)</f>
        <v/>
      </c>
    </row>
    <row r="1303">
      <c r="A1303">
        <f>Skills!A25</f>
        <v/>
      </c>
      <c r="B1303">
        <f>Skills!B25</f>
        <v/>
      </c>
      <c r="C1303">
        <f>Inputs!$B$3&gt;=117</f>
        <v/>
      </c>
      <c r="D1303">
        <f>IF(Skills!C25=1,60+Inputs!$B$25+Inputs!$B$29,IF(Skills!C25=2,90+Inputs!$B$26+Inputs!$B$29,IF(Skills!C25=3,120+Inputs!$B$27+Inputs!$B$29,MAX(0,(Inputs!$B$3-100)*3)+Inputs!$B$28+Inputs!$B$29)))</f>
        <v/>
      </c>
      <c r="E1303">
        <f>INDEX(FactorTable!$B$2:$Y$301, MATCH(ROUND(MIN(300,MAX(1,D1303)),0), FactorTable!$A$2:$A$301,0), Skills!M25+1)</f>
        <v/>
      </c>
      <c r="F1303">
        <f>IF(Skills!N25=TRUE,(Skills!L25/10)*(E1303/1000),Skills!L25/10)+Skills!O25</f>
        <v/>
      </c>
      <c r="G1303">
        <f>Calc!G25</f>
        <v/>
      </c>
      <c r="H1303">
        <f>Calc!H25</f>
        <v/>
      </c>
      <c r="I1303">
        <f>IF(Skills!X25&lt;&gt;"",1+(Skills!X25/10)*(Z1281/1000)/100,1)</f>
        <v/>
      </c>
      <c r="J1303" t="inlineStr"/>
      <c r="K1303" t="inlineStr"/>
      <c r="L1303" t="inlineStr"/>
      <c r="M1303" t="inlineStr"/>
      <c r="N1303" t="inlineStr"/>
      <c r="O1303">
        <f>(1-Summary!$B$56)*S1303+Summary!$B$56*U1303</f>
        <v/>
      </c>
      <c r="P1303">
        <f>IF(B1319=0,0,O1303/B1319)</f>
        <v/>
      </c>
      <c r="Q1303">
        <f>IFERROR(1/IF(Inputs!$B$38="pvp",15,MAX(0.1,Skills!E25-IF(Skills!F25=TRUE,2.0,0))),0)</f>
        <v/>
      </c>
      <c r="R1303" t="n">
        <v>0</v>
      </c>
      <c r="S1303" t="n">
        <v>0</v>
      </c>
      <c r="U1303" t="n">
        <v>0</v>
      </c>
    </row>
    <row r="1304">
      <c r="A1304">
        <f>Skills!A26</f>
        <v/>
      </c>
      <c r="B1304">
        <f>Skills!B26</f>
        <v/>
      </c>
      <c r="C1304">
        <f>Inputs!$B$3&gt;=120</f>
        <v/>
      </c>
      <c r="D1304">
        <f>IF(Skills!C26=1,60+Inputs!$B$25+Inputs!$B$29,IF(Skills!C26=2,90+Inputs!$B$26+Inputs!$B$29,IF(Skills!C26=3,120+Inputs!$B$27+Inputs!$B$29,MAX(0,(Inputs!$B$3-100)*3)+Inputs!$B$28+Inputs!$B$29)))</f>
        <v/>
      </c>
      <c r="E1304">
        <f>INDEX(FactorTable!$B$2:$Y$301, MATCH(ROUND(MIN(300,MAX(1,D1304)),0), FactorTable!$A$2:$A$301,0), Skills!M26+1)</f>
        <v/>
      </c>
      <c r="F1304">
        <f>IF(Skills!N26=TRUE,(Skills!L26/10)*(E1304/1000),Skills!L26/10)+Skills!O26</f>
        <v/>
      </c>
      <c r="G1304">
        <f>Calc!G26</f>
        <v/>
      </c>
      <c r="H1304">
        <f>Calc!H26</f>
        <v/>
      </c>
      <c r="I1304">
        <f>IF(Skills!X26&lt;&gt;"",1+(Skills!X26/10)*(Z1281/1000)/100,1)</f>
        <v/>
      </c>
      <c r="J1304" t="inlineStr"/>
      <c r="K1304" t="inlineStr"/>
      <c r="L1304" t="inlineStr"/>
      <c r="M1304" t="inlineStr"/>
      <c r="N1304" t="inlineStr"/>
      <c r="O1304">
        <f>(1-Summary!$B$56)*S1304+Summary!$B$56*U1304</f>
        <v/>
      </c>
      <c r="P1304">
        <f>IF(B1319=0,0,O1304/B1319)</f>
        <v/>
      </c>
      <c r="Q1304">
        <f>IFERROR(1/IF(Inputs!$B$38="pvp",15,MAX(0.1,Skills!E26-IF(Skills!F26=TRUE,2.0,0))),0)</f>
        <v/>
      </c>
      <c r="R1304" t="n">
        <v>0</v>
      </c>
      <c r="S1304" t="n">
        <v>0</v>
      </c>
      <c r="U1304" t="n">
        <v>0</v>
      </c>
    </row>
    <row r="1305">
      <c r="A1305">
        <f>Skills!A27</f>
        <v/>
      </c>
      <c r="B1305">
        <f>Skills!B27</f>
        <v/>
      </c>
      <c r="C1305">
        <f>Inputs!$B$3&gt;=125</f>
        <v/>
      </c>
      <c r="D1305">
        <f>IF(Skills!C27=1,60+Inputs!$B$25+Inputs!$B$29,IF(Skills!C27=2,90+Inputs!$B$26+Inputs!$B$29,IF(Skills!C27=3,120+Inputs!$B$27+Inputs!$B$29,MAX(0,(Inputs!$B$3-100)*3)+Inputs!$B$28+Inputs!$B$29)))</f>
        <v/>
      </c>
      <c r="E1305">
        <f>INDEX(FactorTable!$B$2:$Y$301, MATCH(ROUND(MIN(300,MAX(1,D1305)),0), FactorTable!$A$2:$A$301,0), Skills!M27+1)</f>
        <v/>
      </c>
      <c r="F1305">
        <f>IF(Skills!N27=TRUE,(Skills!L27/10)*(E1305/1000),Skills!L27/10)+Skills!O27</f>
        <v/>
      </c>
      <c r="G1305">
        <f>Calc!G27</f>
        <v/>
      </c>
      <c r="H1305">
        <f>Calc!H27</f>
        <v/>
      </c>
      <c r="I1305">
        <f>IF(Skills!X27&lt;&gt;"",1+(Skills!X27/10)*(Z1281/1000)/100,1)</f>
        <v/>
      </c>
      <c r="J1305" t="inlineStr"/>
      <c r="K1305" t="inlineStr"/>
      <c r="L1305" t="inlineStr"/>
      <c r="M1305" t="inlineStr"/>
      <c r="N1305" t="inlineStr"/>
      <c r="O1305">
        <f>(1-Summary!$B$56)*S1305+Summary!$B$56*U1305</f>
        <v/>
      </c>
      <c r="P1305">
        <f>IF(B1319=0,0,O1305/B1319)</f>
        <v/>
      </c>
      <c r="Q1305">
        <f>IFERROR(1/IF(Inputs!$B$38="pvp",15,MAX(0.1,Skills!E27-IF(Skills!F27=TRUE,2.0,0))),0)</f>
        <v/>
      </c>
      <c r="R1305" t="n">
        <v>0</v>
      </c>
      <c r="S1305" t="n">
        <v>0</v>
      </c>
      <c r="U1305" t="n">
        <v>0</v>
      </c>
    </row>
    <row r="1306">
      <c r="A1306">
        <f>Skills!A28</f>
        <v/>
      </c>
      <c r="B1306">
        <f>Skills!B28</f>
        <v/>
      </c>
      <c r="C1306">
        <f>Inputs!$B$3&gt;=118</f>
        <v/>
      </c>
      <c r="D1306">
        <f>IF(Skills!C28=1,60+Inputs!$B$25+Inputs!$B$29,IF(Skills!C28=2,90+Inputs!$B$26+Inputs!$B$29,IF(Skills!C28=3,120+Inputs!$B$27+Inputs!$B$29,MAX(0,(Inputs!$B$3-100)*3)+Inputs!$B$28+Inputs!$B$29)))</f>
        <v/>
      </c>
      <c r="E1306">
        <f>INDEX(FactorTable!$B$2:$Y$301, MATCH(ROUND(MIN(300,MAX(1,D1306)),0), FactorTable!$A$2:$A$301,0), Skills!M28+1)</f>
        <v/>
      </c>
      <c r="F1306">
        <f>IF(Skills!N28=TRUE,(Skills!L28/10)*(E1306/1000),Skills!L28/10)+Skills!O28</f>
        <v/>
      </c>
      <c r="G1306">
        <f>Calc!G28</f>
        <v/>
      </c>
      <c r="H1306">
        <f>Calc!H28</f>
        <v/>
      </c>
      <c r="I1306">
        <f>IF(Skills!X28&lt;&gt;"",1+(Skills!X28/10)*(Z1281/1000)/100,1)</f>
        <v/>
      </c>
      <c r="J1306">
        <f>((Inputs!$B$6*(1+Inputs!$B$7/100))+(((Inputs!$B$12*(1+Inputs!$B$13/100))-(Inputs!$B$12*(1+Inputs!$B$13/100)))+0.25*(Inputs!$B$14-Inputs!$B$14))*(1+Inputs!$B$7/100))*(F1306/100)</f>
        <v/>
      </c>
      <c r="K1306">
        <f>J1306*(1+((Inputs!$B$12*(1+Inputs!$B$13/100))*0.01+Inputs!$B$14*0.0025)/100)*(1+Inputs!$B$15/100)*(1+Inputs!$B$16/100)*(5000/(6000+Inputs!$B$42*(1-Inputs!$B$19/100)))*(1+Inputs!$B$24/100)*(1+F1301/100)*(1+IF(Inputs!$B$3&gt;=120,F1304,0)/100)^5*(1+(IF(Skills!A28="BASIC_ATTACK",Inputs!$B$17,Inputs!$B$18+IF(Inputs!$B$3&gt;=125,F1305*5,0)))/100)*(B1308*B1309*B1310*I1306)</f>
        <v/>
      </c>
      <c r="L1306">
        <f>K1306*(MIN(Inputs!$B$22+(F1300-Calc!F22),Inputs!$B$23)/100+Inputs!$B$23/100)/2</f>
        <v/>
      </c>
      <c r="M1306">
        <f>L1306*(1+(Inputs!$B$10+(F1299-Calc!F21))/100)</f>
        <v/>
      </c>
      <c r="N1306">
        <f>L1306*(1-MIN(Inputs!$B$9+(F1298-Calc!F20),100)/100)+M1306*(MIN(Inputs!$B$9+(F1298-Calc!F20),100)/100)</f>
        <v/>
      </c>
      <c r="O1306">
        <f>(1-Summary!$B$56)*S1306+Summary!$B$56*U1306</f>
        <v/>
      </c>
      <c r="P1306">
        <f>IF(B1319=0,0,O1306/B1319)</f>
        <v/>
      </c>
      <c r="Q1306">
        <f>IFERROR(1/IF(Inputs!$B$38="pvp",15,MAX(0.1,Skills!E28-IF(Skills!F28=TRUE,2.0,0))),0)</f>
        <v/>
      </c>
      <c r="R1306">
        <f>IF(AND(Inputs!$B$38&lt;&gt;"pvp",Inputs!$B$43&gt;0),IF(MAX(0,Inputs!$B$43-B1316)&lt;=0,0,(INT(MAX(0,Inputs!$B$43-B1316)/IF(Inputs!$B$38="pvp",15,MAX(0.1,Skills!E28-IF(Skills!F28=TRUE,2.0,0))))+1)),0)</f>
        <v/>
      </c>
      <c r="S1306">
        <f>IF(C1306,(H1306*N1306*IF(AND(Inputs!$B$38&lt;&gt;"pvp",Inputs!$B$43&gt;0),((Skills!G28*((R1306-1)*IF(Skills!H28&gt;0,Skills!I28/Skills!H28,1)+IF(Skills!H28&gt;0,MIN(Skills!I28,MAX(0,MAX(0,Inputs!$B$43-B1316)-((R1306-1)*IF(Inputs!$B$38="pvp",15,MAX(0.1,Skills!E28-IF(Skills!F28=TRUE,2.0,0))))))/Skills!H28,1)))/Inputs!$B$43),G1306*Q1306))*IF(Inputs!$B$38="pvp",1,1+(Inputs!$B$20+Skills!P28)/100),0)</f>
        <v/>
      </c>
      <c r="U1306">
        <f>IF(C1306,(H1306*N1306*IF(AND(Inputs!$B$38&lt;&gt;"pvp",Inputs!$B$43&gt;0),((Skills!G28*((R1306-1)*IF(Skills!H28&gt;0,Skills!I28/Skills!H28,1)+IF(Skills!H28&gt;0,MIN(Skills!I28,MAX(0,MAX(0,Inputs!$B$43-B1316)-((R1306-1)*IF(Inputs!$B$38="pvp",15,MAX(0.1,Skills!E28-IF(Skills!F28=TRUE,2.0,0))))))/Skills!H28,1)))/Inputs!$B$43),G1306*Q1306))*IF(Inputs!$B$38="pvp",1,(1+(Inputs!$B$21+Skills!Q28)/100)*(MIN(Skills!R28,Inputs!$B$37))),0)</f>
        <v/>
      </c>
    </row>
    <row r="1308">
      <c r="A1308" t="inlineStr">
        <is>
          <t>Burning Magic Multiplier</t>
        </is>
      </c>
      <c r="B1308">
        <f>1+(F1289*Skills!Z11)/100</f>
        <v/>
      </c>
    </row>
    <row r="1309">
      <c r="A1309" t="inlineStr">
        <is>
          <t>Elemental Decrease Multiplier (always-on)</t>
        </is>
      </c>
      <c r="B1309">
        <f>1+F1290/100</f>
        <v/>
      </c>
    </row>
    <row r="1310">
      <c r="A1310" t="inlineStr">
        <is>
          <t>Average Buff Multiplier (Magic Guard + Meditation, summed; then Infinity)</t>
        </is>
      </c>
      <c r="B1310">
        <f>(1+(F1284*IF(AND(Inputs!$B$38&lt;&gt;"pvp",Inputs!$B$43&gt;0),(((R1284-1)*(Skills!T6*(1+(Inputs!$B$34+IF(Inputs!$B$3&gt;=117,F1303,0))/100))+MIN((Skills!T6*(1+(Inputs!$B$34+IF(Inputs!$B$3&gt;=117,F1303,0))/100)),MAX(0,Inputs!$B$43-((R1284-1)*Skills!E6))))/Inputs!$B$43),IF(Inputs!$B$38="pvp",MIN((Skills!T6*(1+(Inputs!$B$34+IF(Inputs!$B$3&gt;=117,F1303,0))/100)),15)/15,(Skills!T6*(1+(Inputs!$B$34+IF(Inputs!$B$3&gt;=117,F1303,0))/100))/Skills!E6))+F1295*IF(AND(Inputs!$B$38&lt;&gt;"pvp",Inputs!$B$43&gt;0),(((R1295-1)*(Skills!T17*(1+(Inputs!$B$34+IF(Inputs!$B$3&gt;=117,F1303,0))/100))+MIN((Skills!T17*(1+(Inputs!$B$34+IF(Inputs!$B$3&gt;=117,F1303,0))/100)),MAX(0,Inputs!$B$43-((R1295-1)*Skills!E17))))/Inputs!$B$43),IF(Inputs!$B$38="pvp",MIN((Skills!T17*(1+(Inputs!$B$34+IF(Inputs!$B$3&gt;=117,F1303,0))/100)),15)/15,(Skills!T17*(1+(Inputs!$B$34+IF(Inputs!$B$3&gt;=117,F1303,0))/100))/Skills!E17)))/100)*IF(C1297=TRUE,(1+F1297*IF(AND(Inputs!$B$38&lt;&gt;"pvp",Inputs!$B$43&gt;0),(((R1297-1)*(Skills!T19*(1+(Inputs!$B$34+IF(Inputs!$B$3&gt;=117,F1303,0))/100))+MIN((Skills!T19*(1+(Inputs!$B$34+IF(Inputs!$B$3&gt;=117,F1303,0))/100)),MAX(0,Inputs!$B$43-((R1297-1)*Skills!E19))))/Inputs!$B$43),IF(Inputs!$B$38="pvp",MIN((Skills!T19*(1+(Inputs!$B$34+IF(Inputs!$B$3&gt;=117,F1303,0))/100)),15)/15,(Skills!T19*(1+(Inputs!$B$34+IF(Inputs!$B$3&gt;=117,F1303,0))/100))/Skills!E19))/100),1)</f>
        <v/>
      </c>
    </row>
    <row r="1311">
      <c r="A1311" t="inlineStr">
        <is>
          <t>Attack Speed Buff Bonus % (Nimble Feet, averaged)</t>
        </is>
      </c>
      <c r="B1311">
        <f>F1296*IF(AND(Inputs!$B$38&lt;&gt;"pvp",Inputs!$B$43&gt;0),(((R1296-1)*(Skills!T18*(1+(Inputs!$B$34+IF(Inputs!$B$3&gt;=117,F1303,0))/100))+MIN((Skills!T18*(1+(Inputs!$B$34+IF(Inputs!$B$3&gt;=117,F1303,0))/100)),MAX(0,Inputs!$B$43-((R1296-1)*Skills!E18))))/Inputs!$B$43),IF(Inputs!$B$38="pvp",MIN((Skills!T18*(1+(Inputs!$B$34+IF(Inputs!$B$3&gt;=117,F1303,0))/100)),15)/15,(Skills!T18*(1+(Inputs!$B$34+IF(Inputs!$B$3&gt;=117,F1303,0))/100))/Skills!E18))</f>
        <v/>
      </c>
    </row>
    <row r="1312">
      <c r="A1312" t="inlineStr">
        <is>
          <t>Actions Per Second</t>
        </is>
      </c>
      <c r="B1312">
        <f>1+MIN(150,150*(1-(1-Inputs!$B$11/150)*(1-B1311/150)))/100</f>
        <v/>
      </c>
    </row>
    <row r="1313">
      <c r="A1313" t="inlineStr">
        <is>
          <t>Skill + Buff Cast Rate</t>
        </is>
      </c>
      <c r="B1313">
        <f>IF(AND(Inputs!$B$38&lt;&gt;"pvp",Inputs!$B$43&gt;0),SUMPRODUCT((Skills!F2:F28=TRUE)*(C1280:C1306=TRUE)*R1280:R1306)/Inputs!$B$43,SUMPRODUCT((Skills!F2:F28=TRUE)*(C1280:C1306=TRUE)*Q1280:Q1306))</f>
        <v/>
      </c>
    </row>
    <row r="1314">
      <c r="A1314" t="inlineStr">
        <is>
          <t>Basic Attacks Per Second</t>
        </is>
      </c>
      <c r="B1314">
        <f>MAX(0,B1312-B1313)</f>
        <v/>
      </c>
    </row>
    <row r="1315">
      <c r="A1315" t="inlineStr">
        <is>
          <t>Meteor Proc — combined trigger cast rate</t>
        </is>
      </c>
      <c r="B1315">
        <f>IF(AND(Inputs!$B$38&lt;&gt;"pvp",Inputs!$B$43&gt;0),SUMPRODUCT((Skills!V2:V28=TRUE)*(C1280:C1306=TRUE)*R1280:R1306*Skills!W2:W28)/Inputs!$B$43,SUMPRODUCT((Skills!V2:V28=TRUE)*(C1280:C1306=TRUE)*Q1280:Q1306*Skills!W2:W28))+B1314</f>
        <v/>
      </c>
    </row>
    <row r="1316">
      <c r="A1316" t="inlineStr">
        <is>
          <t>Buff-Casting Startup Delay (s, fixed-duration only)</t>
        </is>
      </c>
      <c r="B1316">
        <f>IF(AND(Inputs!$B$38&lt;&gt;"pvp",Inputs!$B$43&gt;0),SUMPRODUCT((Skills!T2:T28&gt;0)*(Skills!F2:F28=TRUE)*(C1280:C1306=TRUE))/B1312,0)</f>
        <v/>
      </c>
    </row>
    <row r="1317">
      <c r="A1317" t="inlineStr">
        <is>
          <t>Boss-Only Total DPS (this block's swept value)</t>
        </is>
      </c>
      <c r="B1317">
        <f>SUM(S1280:S1306)</f>
        <v/>
      </c>
    </row>
    <row r="1318">
      <c r="A1318" t="inlineStr">
        <is>
          <t>Normal-Only Total DPS (this block's swept value)</t>
        </is>
      </c>
      <c r="B1318">
        <f>SUM(U1280:U1306)</f>
        <v/>
      </c>
    </row>
    <row r="1319">
      <c r="A1319" s="5" t="inlineStr">
        <is>
          <t>TOTAL DPS</t>
        </is>
      </c>
      <c r="B1319" s="5">
        <f>SUM(O1280:O1306)</f>
        <v/>
      </c>
    </row>
    <row r="1322">
      <c r="A1322" s="5" t="inlineStr">
        <is>
          <t>Stat: CDR = 2.5s</t>
        </is>
      </c>
    </row>
    <row r="1323">
      <c r="A1323" s="9" t="inlineStr">
        <is>
          <t>Key</t>
        </is>
      </c>
      <c r="B1323" s="9" t="inlineStr">
        <is>
          <t>Name</t>
        </is>
      </c>
      <c r="C1323" s="9" t="inlineStr">
        <is>
          <t>Unlocked</t>
        </is>
      </c>
      <c r="D1323" s="9" t="inlineStr">
        <is>
          <t>InputLevel</t>
        </is>
      </c>
      <c r="E1323" s="9" t="inlineStr">
        <is>
          <t>Factor</t>
        </is>
      </c>
      <c r="F1323" s="9" t="inlineStr">
        <is>
          <t>CoefficientPercent</t>
        </is>
      </c>
      <c r="G1323" s="9" t="inlineStr">
        <is>
          <t>EffectiveHits</t>
        </is>
      </c>
      <c r="H1323" s="9" t="inlineStr">
        <is>
          <t>ProcProbability</t>
        </is>
      </c>
      <c r="I1323" s="9" t="inlineStr">
        <is>
          <t>MapleHeroMultiplier</t>
        </is>
      </c>
      <c r="J1323" s="9" t="inlineStr">
        <is>
          <t>BaseDamage</t>
        </is>
      </c>
      <c r="K1323" s="9" t="inlineStr">
        <is>
          <t>BaseHitDamage</t>
        </is>
      </c>
      <c r="L1323" s="9" t="inlineStr">
        <is>
          <t>NonCritAvg</t>
        </is>
      </c>
      <c r="M1323" s="9" t="inlineStr">
        <is>
          <t>CritAvg</t>
        </is>
      </c>
      <c r="N1323" s="9" t="inlineStr">
        <is>
          <t>ExpectedDamage(perHit)</t>
        </is>
      </c>
      <c r="O1323" s="9" t="inlineStr">
        <is>
          <t>DPS</t>
        </is>
      </c>
      <c r="P1323" s="9" t="inlineStr">
        <is>
          <t>% of Total</t>
        </is>
      </c>
      <c r="R1323" t="inlineStr">
        <is>
          <t>helpers</t>
        </is>
      </c>
    </row>
    <row r="1324">
      <c r="A1324">
        <f>Skills!A2</f>
        <v/>
      </c>
      <c r="B1324">
        <f>Skills!B2</f>
        <v/>
      </c>
      <c r="C1324">
        <f>TRUE</f>
        <v/>
      </c>
      <c r="D1324" t="inlineStr"/>
      <c r="E1324" t="inlineStr"/>
      <c r="F1324">
        <f>T1326+Skills!O2</f>
        <v/>
      </c>
      <c r="G1324">
        <f>Calc!G2</f>
        <v/>
      </c>
      <c r="H1324">
        <f>Calc!H2</f>
        <v/>
      </c>
      <c r="I1324">
        <f>IF(Skills!X2&lt;&gt;"",1+(Skills!X2/10)*(Z1325/1000)/100,1)</f>
        <v/>
      </c>
      <c r="J1324">
        <f>((Inputs!$B$6*(1+Inputs!$B$7/100))+(((Inputs!$B$12*(1+Inputs!$B$13/100))-(Inputs!$B$12*(1+Inputs!$B$13/100)))+0.25*(Inputs!$B$14-Inputs!$B$14))*(1+Inputs!$B$7/100))*(F1324/100)</f>
        <v/>
      </c>
      <c r="K1324">
        <f>J1324*(1+((Inputs!$B$12*(1+Inputs!$B$13/100))*0.01+Inputs!$B$14*0.0025)/100)*(1+Inputs!$B$15/100)*(1+Inputs!$B$16/100)*(5000/(6000+Inputs!$B$42*(1-Inputs!$B$19/100)))*(1+Inputs!$B$24/100)*(1+F1345/100)*(1+IF(Inputs!$B$3&gt;=120,F1348,0)/100)^5*(1+(IF(Skills!A2="BASIC_ATTACK",Inputs!$B$17,Inputs!$B$18+IF(Inputs!$B$3&gt;=125,F1349*5,0)))/100)*(B1352*B1353*B1354*I1324)</f>
        <v/>
      </c>
      <c r="L1324">
        <f>K1324*(MIN(Inputs!$B$22+(F1344-Calc!F22),Inputs!$B$23)/100+Inputs!$B$23/100)/2</f>
        <v/>
      </c>
      <c r="M1324">
        <f>L1324*(1+(Inputs!$B$10+(F1343-Calc!F21))/100)</f>
        <v/>
      </c>
      <c r="N1324">
        <f>L1324*(1-MIN(Inputs!$B$9+(F1342-Calc!F20),100)/100)+M1324*(MIN(Inputs!$B$9+(F1342-Calc!F20),100)/100)</f>
        <v/>
      </c>
      <c r="O1324">
        <f>(1-Summary!$B$56)*S1324+Summary!$B$56*U1324</f>
        <v/>
      </c>
      <c r="P1324">
        <f>IF(B1363=0,0,O1324/B1363)</f>
        <v/>
      </c>
      <c r="Q1324">
        <f>IFERROR(1/IF(Inputs!$B$38="pvp",15,MAX(0.1,Skills!E2-IF(Skills!F2=TRUE,2.5,0))),0)</f>
        <v/>
      </c>
      <c r="R1324" t="n">
        <v>0</v>
      </c>
      <c r="S1324">
        <f>(Skills!G2*N1324*B1358)*IF(Inputs!$B$38="pvp",1,1+(Inputs!$B$20+Skills!P2)/100)</f>
        <v/>
      </c>
      <c r="T1324">
        <f>MAX(0,(Inputs!$B$3-100)*3)+Inputs!$B$28+Inputs!$B$29</f>
        <v/>
      </c>
      <c r="U1324">
        <f>(Skills!G2*N1324*B1358)*IF(Inputs!$B$38="pvp",1,(1+(Inputs!$B$21+Skills!Q2)/100)*(MIN((6+Inputs!$B$33+IF(Inputs!$B$3&gt;=136,1,0)),Inputs!$B$37)))</f>
        <v/>
      </c>
      <c r="Z1324">
        <f>MAX(0,(Inputs!$B$3-100)*3)+Inputs!$B$28+Inputs!$B$29</f>
        <v/>
      </c>
    </row>
    <row r="1325">
      <c r="A1325">
        <f>Skills!A3</f>
        <v/>
      </c>
      <c r="B1325">
        <f>Skills!B3</f>
        <v/>
      </c>
      <c r="C1325">
        <f>TRUE</f>
        <v/>
      </c>
      <c r="D1325">
        <f>IF(Skills!C3=1,60+Inputs!$B$25+Inputs!$B$29,IF(Skills!C3=2,90+Inputs!$B$26+Inputs!$B$29,IF(Skills!C3=3,120+Inputs!$B$27+Inputs!$B$29,MAX(0,(Inputs!$B$3-100)*3)+Inputs!$B$28+Inputs!$B$29)))</f>
        <v/>
      </c>
      <c r="E1325">
        <f>INDEX(FactorTable!$B$2:$Y$301, MATCH(ROUND(MIN(300,MAX(1,D1325)),0), FactorTable!$A$2:$A$301,0), Skills!M3+1)</f>
        <v/>
      </c>
      <c r="F1325">
        <f>IF(Skills!N3=TRUE,(Skills!L3/10)*(E1325/1000),Skills!L3/10)+Skills!O3</f>
        <v/>
      </c>
      <c r="G1325">
        <f>Calc!G3</f>
        <v/>
      </c>
      <c r="H1325">
        <f>Calc!H3</f>
        <v/>
      </c>
      <c r="I1325">
        <f>IF(Skills!X3&lt;&gt;"",1+(Skills!X3/10)*(Z1325/1000)/100,1)</f>
        <v/>
      </c>
      <c r="J1325">
        <f>((Inputs!$B$6*(1+Inputs!$B$7/100))+(((Inputs!$B$12*(1+Inputs!$B$13/100))-(Inputs!$B$12*(1+Inputs!$B$13/100)))+0.25*(Inputs!$B$14-Inputs!$B$14))*(1+Inputs!$B$7/100))*(F1325/100)</f>
        <v/>
      </c>
      <c r="K1325">
        <f>J1325*(1+((Inputs!$B$12*(1+Inputs!$B$13/100))*0.01+Inputs!$B$14*0.0025)/100)*(1+Inputs!$B$15/100)*(1+Inputs!$B$16/100)*(5000/(6000+Inputs!$B$42*(1-Inputs!$B$19/100)))*(1+Inputs!$B$24/100)*(1+F1345/100)*(1+IF(Inputs!$B$3&gt;=120,F1348,0)/100)^5*(1+(IF(Skills!A3="BASIC_ATTACK",Inputs!$B$17,Inputs!$B$18+IF(Inputs!$B$3&gt;=125,F1349*5,0)))/100)*(B1352*B1353*B1354*I1325)</f>
        <v/>
      </c>
      <c r="L1325">
        <f>K1325*(MIN(Inputs!$B$22+(F1344-Calc!F22),Inputs!$B$23)/100+Inputs!$B$23/100)/2</f>
        <v/>
      </c>
      <c r="M1325">
        <f>L1325*(1+(Inputs!$B$10+(F1343-Calc!F21))/100)</f>
        <v/>
      </c>
      <c r="N1325">
        <f>L1325*(1-MIN(Inputs!$B$9+(F1342-Calc!F20),100)/100)+M1325*(MIN(Inputs!$B$9+(F1342-Calc!F20),100)/100)</f>
        <v/>
      </c>
      <c r="O1325">
        <f>(1-Summary!$B$56)*S1325+Summary!$B$56*U1325</f>
        <v/>
      </c>
      <c r="P1325">
        <f>IF(B1363=0,0,O1325/B1363)</f>
        <v/>
      </c>
      <c r="Q1325">
        <f>IFERROR(1/IF(Inputs!$B$38="pvp",15,MAX(0.1,Skills!E3-IF(Skills!F3=TRUE,2.5,0))),0)</f>
        <v/>
      </c>
      <c r="R1325">
        <f>IF(AND(Inputs!$B$38&lt;&gt;"pvp",Inputs!$B$43&gt;0),IF(MAX(0,Inputs!$B$43-B1360)&lt;=0,0,(INT(MAX(0,Inputs!$B$43-B1360)/IF(Inputs!$B$38="pvp",15,MAX(0.1,Skills!E3-IF(Skills!F3=TRUE,2.5,0))))+1)),0)</f>
        <v/>
      </c>
      <c r="S1325">
        <f>IF(C1325,(H1325*N1325*IF(AND(Inputs!$B$38&lt;&gt;"pvp",Inputs!$B$43&gt;0),((Skills!G3*((R1325-1)*IF(Skills!H3&gt;0,Skills!I3/Skills!H3,1)+IF(Skills!H3&gt;0,MIN(Skills!I3,MAX(0,MAX(0,Inputs!$B$43-B1360)-((R1325-1)*IF(Inputs!$B$38="pvp",15,MAX(0.1,Skills!E3-IF(Skills!F3=TRUE,2.5,0))))))/Skills!H3,1)))/Inputs!$B$43),G1325*Q1325))*IF(Inputs!$B$38="pvp",1,1+(Inputs!$B$20+Skills!P3)/100),0)</f>
        <v/>
      </c>
      <c r="T1325">
        <f>INDEX(FactorTable!$B$2:$Y$301, MATCH(ROUND(MIN(300,MAX(1,T1324)),0), FactorTable!$A$2:$A$301,0), 22)</f>
        <v/>
      </c>
      <c r="U1325">
        <f>IF(C1325,(H1325*N1325*IF(AND(Inputs!$B$38&lt;&gt;"pvp",Inputs!$B$43&gt;0),((Skills!G3*((R1325-1)*IF(Skills!H3&gt;0,Skills!I3/Skills!H3,1)+IF(Skills!H3&gt;0,MIN(Skills!I3,MAX(0,MAX(0,Inputs!$B$43-B1360)-((R1325-1)*IF(Inputs!$B$38="pvp",15,MAX(0.1,Skills!E3-IF(Skills!F3=TRUE,2.5,0))))))/Skills!H3,1)))/Inputs!$B$43),G1325*Q1325))*IF(Inputs!$B$38="pvp",1,(1+(Inputs!$B$21+Skills!Q3)/100)*(MIN(Skills!R3,Inputs!$B$37))),0)</f>
        <v/>
      </c>
      <c r="Z1325">
        <f>INDEX(FactorTable!$B$2:$Y$301, MATCH(ROUND(MIN(300,MAX(1,Z1324)),0), FactorTable!$A$2:$A$301,0), 24)</f>
        <v/>
      </c>
    </row>
    <row r="1326">
      <c r="A1326">
        <f>Skills!A4</f>
        <v/>
      </c>
      <c r="B1326">
        <f>Skills!B4</f>
        <v/>
      </c>
      <c r="C1326">
        <f>TRUE</f>
        <v/>
      </c>
      <c r="D1326">
        <f>IF(Skills!C4=1,60+Inputs!$B$25+Inputs!$B$29,IF(Skills!C4=2,90+Inputs!$B$26+Inputs!$B$29,IF(Skills!C4=3,120+Inputs!$B$27+Inputs!$B$29,MAX(0,(Inputs!$B$3-100)*3)+Inputs!$B$28+Inputs!$B$29)))</f>
        <v/>
      </c>
      <c r="E1326">
        <f>INDEX(FactorTable!$B$2:$Y$301, MATCH(ROUND(MIN(300,MAX(1,D1326)),0), FactorTable!$A$2:$A$301,0), Skills!M4+1)</f>
        <v/>
      </c>
      <c r="F1326">
        <f>IF(Skills!N4=TRUE,(Skills!L4/10)*(E1326/1000),Skills!L4/10)+Skills!O4</f>
        <v/>
      </c>
      <c r="G1326">
        <f>Calc!G4</f>
        <v/>
      </c>
      <c r="H1326">
        <f>Calc!H4</f>
        <v/>
      </c>
      <c r="I1326">
        <f>IF(Skills!X4&lt;&gt;"",1+(Skills!X4/10)*(Z1325/1000)/100,1)</f>
        <v/>
      </c>
      <c r="J1326">
        <f>((Inputs!$B$6*(1+Inputs!$B$7/100))+(((Inputs!$B$12*(1+Inputs!$B$13/100))-(Inputs!$B$12*(1+Inputs!$B$13/100)))+0.25*(Inputs!$B$14-Inputs!$B$14))*(1+Inputs!$B$7/100))*(F1326/100)</f>
        <v/>
      </c>
      <c r="K1326">
        <f>J1326*(1+((Inputs!$B$12*(1+Inputs!$B$13/100))*0.01+Inputs!$B$14*0.0025)/100)*(1+Inputs!$B$15/100)*(1+Inputs!$B$16/100)*(5000/(6000+Inputs!$B$42*(1-Inputs!$B$19/100)))*(1+Inputs!$B$24/100)*(1+F1345/100)*(1+IF(Inputs!$B$3&gt;=120,F1348,0)/100)^5*(1+(IF(Skills!A4="BASIC_ATTACK",Inputs!$B$17,Inputs!$B$18+IF(Inputs!$B$3&gt;=125,F1349*5,0)))/100)*(B1352*B1353*B1354*I1326)</f>
        <v/>
      </c>
      <c r="L1326">
        <f>K1326*(MIN(Inputs!$B$22+(F1344-Calc!F22),Inputs!$B$23)/100+Inputs!$B$23/100)/2</f>
        <v/>
      </c>
      <c r="M1326">
        <f>L1326*(1+(Inputs!$B$10+(F1343-Calc!F21))/100)</f>
        <v/>
      </c>
      <c r="N1326">
        <f>L1326*(1-MIN(Inputs!$B$9+(F1342-Calc!F20),100)/100)+M1326*(MIN(Inputs!$B$9+(F1342-Calc!F20),100)/100)</f>
        <v/>
      </c>
      <c r="O1326">
        <f>(1-Summary!$B$56)*S1326+Summary!$B$56*U1326</f>
        <v/>
      </c>
      <c r="P1326">
        <f>IF(B1363=0,0,O1326/B1363)</f>
        <v/>
      </c>
      <c r="Q1326">
        <f>IFERROR(1/IF(Inputs!$B$38="pvp",15,MAX(0.1,Skills!E4-IF(Skills!F4=TRUE,2.5,0))),0)</f>
        <v/>
      </c>
      <c r="R1326">
        <f>IF(AND(Inputs!$B$38&lt;&gt;"pvp",Inputs!$B$43&gt;0),IF(MAX(0,Inputs!$B$43-B1360)&lt;=0,0,(INT(MAX(0,Inputs!$B$43-B1360)/IF(Inputs!$B$38="pvp",15,MAX(0.1,Skills!E4-IF(Skills!F4=TRUE,2.5,0))))+1)),0)</f>
        <v/>
      </c>
      <c r="S1326">
        <f>IF(C1326,(H1326*N1326*IF(AND(Inputs!$B$38&lt;&gt;"pvp",Inputs!$B$43&gt;0),((Skills!G4*((R1326-1)*IF(Skills!H4&gt;0,Skills!I4/Skills!H4,1)+IF(Skills!H4&gt;0,MIN(Skills!I4,MAX(0,MAX(0,Inputs!$B$43-B1360)-((R1326-1)*IF(Inputs!$B$38="pvp",15,MAX(0.1,Skills!E4-IF(Skills!F4=TRUE,2.5,0))))))/Skills!H4,1)))/Inputs!$B$43),G1326*Q1326))*IF(Inputs!$B$38="pvp",1,1+(Inputs!$B$20+Skills!P4)/100),0)</f>
        <v/>
      </c>
      <c r="T1326">
        <f>290*T1325/1000</f>
        <v/>
      </c>
      <c r="U1326">
        <f>IF(C1326,(H1326*N1326*IF(AND(Inputs!$B$38&lt;&gt;"pvp",Inputs!$B$43&gt;0),((Skills!G4*((R1326-1)*IF(Skills!H4&gt;0,Skills!I4/Skills!H4,1)+IF(Skills!H4&gt;0,MIN(Skills!I4,MAX(0,MAX(0,Inputs!$B$43-B1360)-((R1326-1)*IF(Inputs!$B$38="pvp",15,MAX(0.1,Skills!E4-IF(Skills!F4=TRUE,2.5,0))))))/Skills!H4,1)))/Inputs!$B$43),G1326*Q1326))*IF(Inputs!$B$38="pvp",1,(1+(Inputs!$B$21+Skills!Q4)/100)*(MIN(Skills!R4,Inputs!$B$37))),0)</f>
        <v/>
      </c>
    </row>
    <row r="1327">
      <c r="A1327">
        <f>Skills!A5</f>
        <v/>
      </c>
      <c r="B1327">
        <f>Skills!B5</f>
        <v/>
      </c>
      <c r="C1327">
        <f>TRUE</f>
        <v/>
      </c>
      <c r="D1327">
        <f>IF(Skills!C5=1,60+Inputs!$B$25+Inputs!$B$29,IF(Skills!C5=2,90+Inputs!$B$26+Inputs!$B$29,IF(Skills!C5=3,120+Inputs!$B$27+Inputs!$B$29,MAX(0,(Inputs!$B$3-100)*3)+Inputs!$B$28+Inputs!$B$29)))</f>
        <v/>
      </c>
      <c r="E1327">
        <f>INDEX(FactorTable!$B$2:$Y$301, MATCH(ROUND(MIN(300,MAX(1,D1327)),0), FactorTable!$A$2:$A$301,0), Skills!M5+1)</f>
        <v/>
      </c>
      <c r="F1327">
        <f>IF(Skills!N5=TRUE,(Skills!L5/10)*(E1327/1000),Skills!L5/10)+Skills!O5</f>
        <v/>
      </c>
      <c r="G1327">
        <f>Calc!G5</f>
        <v/>
      </c>
      <c r="H1327">
        <f>Calc!H5</f>
        <v/>
      </c>
      <c r="I1327">
        <f>IF(Skills!X5&lt;&gt;"",1+(Skills!X5/10)*(Z1325/1000)/100,1)</f>
        <v/>
      </c>
      <c r="J1327">
        <f>((Inputs!$B$6*(1+Inputs!$B$7/100))+(((Inputs!$B$12*(1+Inputs!$B$13/100))-(Inputs!$B$12*(1+Inputs!$B$13/100)))+0.25*(Inputs!$B$14-Inputs!$B$14))*(1+Inputs!$B$7/100))*(F1327/100)</f>
        <v/>
      </c>
      <c r="K1327">
        <f>J1327*(1+((Inputs!$B$12*(1+Inputs!$B$13/100))*0.01+Inputs!$B$14*0.0025)/100)*(1+Inputs!$B$15/100)*(1+Inputs!$B$16/100)*(5000/(6000+Inputs!$B$42*(1-Inputs!$B$19/100)))*(1+Inputs!$B$24/100)*(1+F1345/100)*(1+IF(Inputs!$B$3&gt;=120,F1348,0)/100)^5*(1+(IF(Skills!A5="BASIC_ATTACK",Inputs!$B$17,Inputs!$B$18+IF(Inputs!$B$3&gt;=125,F1349*5,0)))/100)*(B1352*B1353*B1354*I1327)</f>
        <v/>
      </c>
      <c r="L1327">
        <f>K1327*(MIN(Inputs!$B$22+(F1344-Calc!F22),Inputs!$B$23)/100+Inputs!$B$23/100)/2</f>
        <v/>
      </c>
      <c r="M1327">
        <f>L1327*(1+(Inputs!$B$10+(F1343-Calc!F21))/100)</f>
        <v/>
      </c>
      <c r="N1327">
        <f>L1327*(1-MIN(Inputs!$B$9+(F1342-Calc!F20),100)/100)+M1327*(MIN(Inputs!$B$9+(F1342-Calc!F20),100)/100)</f>
        <v/>
      </c>
      <c r="O1327">
        <f>(1-Summary!$B$56)*S1327+Summary!$B$56*U1327</f>
        <v/>
      </c>
      <c r="P1327">
        <f>IF(B1363=0,0,O1327/B1363)</f>
        <v/>
      </c>
      <c r="Q1327">
        <f>IFERROR(1/IF(Inputs!$B$38="pvp",15,MAX(0.1,Skills!E5-IF(Skills!F5=TRUE,2.5,0))),0)</f>
        <v/>
      </c>
      <c r="R1327">
        <f>IF(AND(Inputs!$B$38&lt;&gt;"pvp",Inputs!$B$43&gt;0),IF(MAX(0,Inputs!$B$43-B1360)&lt;=0,0,(INT(MAX(0,Inputs!$B$43-B1360)/IF(Inputs!$B$38="pvp",15,MAX(0.1,Skills!E5-IF(Skills!F5=TRUE,2.5,0))))+1)),0)</f>
        <v/>
      </c>
      <c r="S1327">
        <f>IF(C1327,(H1327*N1327*IF(AND(Inputs!$B$38&lt;&gt;"pvp",Inputs!$B$43&gt;0),((Skills!G5*((R1327-1)*IF(Skills!H5&gt;0,Skills!I5/Skills!H5,1)+IF(Skills!H5&gt;0,MIN(Skills!I5,MAX(0,MAX(0,Inputs!$B$43-B1360)-((R1327-1)*IF(Inputs!$B$38="pvp",15,MAX(0.1,Skills!E5-IF(Skills!F5=TRUE,2.5,0))))))/Skills!H5,1)))/Inputs!$B$43),G1327*Q1327))*IF(Inputs!$B$38="pvp",1,1+(Inputs!$B$20+Skills!P5)/100),0)</f>
        <v/>
      </c>
      <c r="U1327">
        <f>IF(C1327,(H1327*N1327*IF(AND(Inputs!$B$38&lt;&gt;"pvp",Inputs!$B$43&gt;0),((Skills!G5*((R1327-1)*IF(Skills!H5&gt;0,Skills!I5/Skills!H5,1)+IF(Skills!H5&gt;0,MIN(Skills!I5,MAX(0,MAX(0,Inputs!$B$43-B1360)-((R1327-1)*IF(Inputs!$B$38="pvp",15,MAX(0.1,Skills!E5-IF(Skills!F5=TRUE,2.5,0))))))/Skills!H5,1)))/Inputs!$B$43),G1327*Q1327))*IF(Inputs!$B$38="pvp",1,(1+(Inputs!$B$21+Skills!Q5)/100)*(MIN(Skills!R5,Inputs!$B$37))),0)</f>
        <v/>
      </c>
    </row>
    <row r="1328">
      <c r="A1328">
        <f>Skills!A6</f>
        <v/>
      </c>
      <c r="B1328">
        <f>Skills!B6</f>
        <v/>
      </c>
      <c r="C1328">
        <f>TRUE</f>
        <v/>
      </c>
      <c r="D1328">
        <f>IF(Skills!C6=1,60+Inputs!$B$25+Inputs!$B$29,IF(Skills!C6=2,90+Inputs!$B$26+Inputs!$B$29,IF(Skills!C6=3,120+Inputs!$B$27+Inputs!$B$29,MAX(0,(Inputs!$B$3-100)*3)+Inputs!$B$28+Inputs!$B$29)))</f>
        <v/>
      </c>
      <c r="E1328">
        <f>INDEX(FactorTable!$B$2:$Y$301, MATCH(ROUND(MIN(300,MAX(1,D1328)),0), FactorTable!$A$2:$A$301,0), Skills!M6+1)</f>
        <v/>
      </c>
      <c r="F1328">
        <f>IF(Skills!N6=TRUE,(Skills!L6/10)*(E1328/1000),Skills!L6/10)+Skills!O6</f>
        <v/>
      </c>
      <c r="G1328">
        <f>Calc!G6</f>
        <v/>
      </c>
      <c r="H1328">
        <f>Calc!H6</f>
        <v/>
      </c>
      <c r="I1328">
        <f>IF(Skills!X6&lt;&gt;"",1+(Skills!X6/10)*(Z1325/1000)/100,1)</f>
        <v/>
      </c>
      <c r="J1328" t="inlineStr"/>
      <c r="K1328" t="inlineStr"/>
      <c r="L1328" t="inlineStr"/>
      <c r="M1328" t="inlineStr"/>
      <c r="N1328" t="inlineStr"/>
      <c r="O1328">
        <f>(1-Summary!$B$56)*S1328+Summary!$B$56*U1328</f>
        <v/>
      </c>
      <c r="P1328">
        <f>IF(B1363=0,0,O1328/B1363)</f>
        <v/>
      </c>
      <c r="Q1328">
        <f>IFERROR(1/IF(Inputs!$B$38="pvp",15,MAX(0.1,Skills!E6-IF(Skills!F6=TRUE,2.5,0))),0)</f>
        <v/>
      </c>
      <c r="R1328">
        <f>IF(AND(Inputs!$B$38&lt;&gt;"pvp",Inputs!$B$43&gt;0),IF(Inputs!$B$43&lt;=0,0,(INT(Inputs!$B$43/IF(Inputs!$B$38="pvp",15,MAX(0.1,Skills!E6-IF(Skills!F6=TRUE,2.5,0))))+1)),0)</f>
        <v/>
      </c>
      <c r="S1328" t="n">
        <v>0</v>
      </c>
      <c r="U1328" t="n">
        <v>0</v>
      </c>
    </row>
    <row r="1329">
      <c r="A1329">
        <f>Skills!A7</f>
        <v/>
      </c>
      <c r="B1329">
        <f>Skills!B7</f>
        <v/>
      </c>
      <c r="C1329">
        <f>TRUE</f>
        <v/>
      </c>
      <c r="D1329">
        <f>IF(Skills!C7=1,60+Inputs!$B$25+Inputs!$B$29,IF(Skills!C7=2,90+Inputs!$B$26+Inputs!$B$29,IF(Skills!C7=3,120+Inputs!$B$27+Inputs!$B$29,MAX(0,(Inputs!$B$3-100)*3)+Inputs!$B$28+Inputs!$B$29)))</f>
        <v/>
      </c>
      <c r="E1329">
        <f>INDEX(FactorTable!$B$2:$Y$301, MATCH(ROUND(MIN(300,MAX(1,D1329)),0), FactorTable!$A$2:$A$301,0), Skills!M7+1)</f>
        <v/>
      </c>
      <c r="F1329">
        <f>IF(Skills!N7=TRUE,(Skills!L7/10)*(E1329/1000),Skills!L7/10)+Skills!O7</f>
        <v/>
      </c>
      <c r="G1329">
        <f>Calc!G7</f>
        <v/>
      </c>
      <c r="H1329">
        <f>Calc!H7</f>
        <v/>
      </c>
      <c r="I1329">
        <f>IF(Skills!X7&lt;&gt;"",1+(Skills!X7/10)*(Z1325/1000)/100,1)</f>
        <v/>
      </c>
      <c r="J1329">
        <f>((Inputs!$B$6*(1+Inputs!$B$7/100))+(((Inputs!$B$12*(1+Inputs!$B$13/100))-(Inputs!$B$12*(1+Inputs!$B$13/100)))+0.25*(Inputs!$B$14-Inputs!$B$14))*(1+Inputs!$B$7/100))*(F1329/100)</f>
        <v/>
      </c>
      <c r="K1329">
        <f>J1329*(1+((Inputs!$B$12*(1+Inputs!$B$13/100))*0.01+Inputs!$B$14*0.0025)/100)*(1+Inputs!$B$15/100)*(1+Inputs!$B$16/100)*(5000/(6000+Inputs!$B$42*(1-Inputs!$B$19/100)))*(1+Inputs!$B$24/100)*(1+F1345/100)*(1+IF(Inputs!$B$3&gt;=120,F1348,0)/100)^5*(1+(IF(Skills!A7="BASIC_ATTACK",Inputs!$B$17,Inputs!$B$18+IF(Inputs!$B$3&gt;=125,F1349*5,0)))/100)*(B1352*B1353*B1354*I1329)</f>
        <v/>
      </c>
      <c r="L1329">
        <f>K1329*(MIN(Inputs!$B$22+(F1344-Calc!F22),Inputs!$B$23)/100+Inputs!$B$23/100)/2</f>
        <v/>
      </c>
      <c r="M1329">
        <f>L1329*(1+(Inputs!$B$10+(F1343-Calc!F21))/100)</f>
        <v/>
      </c>
      <c r="N1329">
        <f>L1329*(1-MIN(Inputs!$B$9+(F1342-Calc!F20),100)/100)+M1329*(MIN(Inputs!$B$9+(F1342-Calc!F20),100)/100)</f>
        <v/>
      </c>
      <c r="O1329">
        <f>(1-Summary!$B$56)*S1329+Summary!$B$56*U1329</f>
        <v/>
      </c>
      <c r="P1329">
        <f>IF(B1363=0,0,O1329/B1363)</f>
        <v/>
      </c>
      <c r="Q1329">
        <f>IFERROR(1/IF(Inputs!$B$38="pvp",15,MAX(0.1,Skills!E7-IF(Skills!F7=TRUE,2.5,0))),0)</f>
        <v/>
      </c>
      <c r="R1329">
        <f>IF(AND(Inputs!$B$38&lt;&gt;"pvp",Inputs!$B$43&gt;0),IF(MAX(0,Inputs!$B$43-B1360)&lt;=0,0,(INT(MAX(0,Inputs!$B$43-B1360)/IF(Inputs!$B$38="pvp",15,MAX(0.1,Skills!E7-IF(Skills!F7=TRUE,2.5,0))))+1)),0)</f>
        <v/>
      </c>
      <c r="S1329">
        <f>IF(C1329,(H1329*N1329*IF(AND(Inputs!$B$38&lt;&gt;"pvp",Inputs!$B$43&gt;0),((Skills!G7*((R1329-1)*IF(Skills!H7&gt;0,Skills!I7/Skills!H7,1)+IF(Skills!H7&gt;0,MIN(Skills!I7,MAX(0,MAX(0,Inputs!$B$43-B1360)-((R1329-1)*IF(Inputs!$B$38="pvp",15,MAX(0.1,Skills!E7-IF(Skills!F7=TRUE,2.5,0))))))/Skills!H7,1)))/Inputs!$B$43),G1329*Q1329))*IF(Inputs!$B$38="pvp",1,1+(Inputs!$B$20+Skills!P7)/100),0)</f>
        <v/>
      </c>
      <c r="U1329">
        <f>IF(C1329,(H1329*N1329*IF(AND(Inputs!$B$38&lt;&gt;"pvp",Inputs!$B$43&gt;0),((Skills!G7*((R1329-1)*IF(Skills!H7&gt;0,Skills!I7/Skills!H7,1)+IF(Skills!H7&gt;0,MIN(Skills!I7,MAX(0,MAX(0,Inputs!$B$43-B1360)-((R1329-1)*IF(Inputs!$B$38="pvp",15,MAX(0.1,Skills!E7-IF(Skills!F7=TRUE,2.5,0))))))/Skills!H7,1)))/Inputs!$B$43),G1329*Q1329))*IF(Inputs!$B$38="pvp",1,(1+(Inputs!$B$21+Skills!Q7)/100)*(MIN(Skills!R7,Inputs!$B$37))),0)</f>
        <v/>
      </c>
    </row>
    <row r="1330">
      <c r="A1330">
        <f>Skills!A8</f>
        <v/>
      </c>
      <c r="B1330">
        <f>Skills!B8</f>
        <v/>
      </c>
      <c r="C1330">
        <f>TRUE</f>
        <v/>
      </c>
      <c r="D1330">
        <f>IF(Skills!C8=1,60+Inputs!$B$25+Inputs!$B$29,IF(Skills!C8=2,90+Inputs!$B$26+Inputs!$B$29,IF(Skills!C8=3,120+Inputs!$B$27+Inputs!$B$29,MAX(0,(Inputs!$B$3-100)*3)+Inputs!$B$28+Inputs!$B$29)))</f>
        <v/>
      </c>
      <c r="E1330">
        <f>INDEX(FactorTable!$B$2:$Y$301, MATCH(ROUND(MIN(300,MAX(1,D1330)),0), FactorTable!$A$2:$A$301,0), Skills!M8+1)</f>
        <v/>
      </c>
      <c r="F1330">
        <f>IF(Skills!N8=TRUE,(Skills!L8/10)*(E1330/1000),Skills!L8/10)+Skills!O8</f>
        <v/>
      </c>
      <c r="G1330">
        <f>Calc!G8</f>
        <v/>
      </c>
      <c r="H1330">
        <f>Calc!H8</f>
        <v/>
      </c>
      <c r="I1330">
        <f>IF(Skills!X8&lt;&gt;"",1+(Skills!X8/10)*(Z1325/1000)/100,1)</f>
        <v/>
      </c>
      <c r="J1330">
        <f>((Inputs!$B$6*(1+Inputs!$B$7/100))+(((Inputs!$B$12*(1+Inputs!$B$13/100))-(Inputs!$B$12*(1+Inputs!$B$13/100)))+0.25*(Inputs!$B$14-Inputs!$B$14))*(1+Inputs!$B$7/100))*(F1330/100)</f>
        <v/>
      </c>
      <c r="K1330">
        <f>J1330*(1+((Inputs!$B$12*(1+Inputs!$B$13/100))*0.01+Inputs!$B$14*0.0025)/100)*(1+Inputs!$B$15/100)*(1+Inputs!$B$16/100)*(5000/(6000+Inputs!$B$42*(1-Inputs!$B$19/100)))*(1+Inputs!$B$24/100)*(1+F1345/100)*(1+IF(Inputs!$B$3&gt;=120,F1348,0)/100)^5*(1+(IF(Skills!A8="BASIC_ATTACK",Inputs!$B$17,Inputs!$B$18+IF(Inputs!$B$3&gt;=125,F1349*5,0)))/100)*(B1352*B1353*B1354*I1330)</f>
        <v/>
      </c>
      <c r="L1330">
        <f>K1330*(MIN(Inputs!$B$22+(F1344-Calc!F22),Inputs!$B$23)/100+Inputs!$B$23/100)/2</f>
        <v/>
      </c>
      <c r="M1330">
        <f>L1330*(1+(Inputs!$B$10+(F1343-Calc!F21))/100)</f>
        <v/>
      </c>
      <c r="N1330">
        <f>L1330*(1-MIN(Inputs!$B$9+(F1342-Calc!F20),100)/100)+M1330*(MIN(Inputs!$B$9+(F1342-Calc!F20),100)/100)</f>
        <v/>
      </c>
      <c r="O1330">
        <f>(1-Summary!$B$56)*S1330+Summary!$B$56*U1330</f>
        <v/>
      </c>
      <c r="P1330">
        <f>IF(B1363=0,0,O1330/B1363)</f>
        <v/>
      </c>
      <c r="Q1330">
        <f>IFERROR(1/IF(Inputs!$B$38="pvp",15,MAX(0.1,Skills!E8-IF(Skills!F8=TRUE,2.5,0))),0)</f>
        <v/>
      </c>
      <c r="R1330">
        <f>IF(AND(Inputs!$B$38&lt;&gt;"pvp",Inputs!$B$43&gt;0),IF(MAX(0,Inputs!$B$43-B1360)&lt;=0,0,(INT(MAX(0,Inputs!$B$43-B1360)/IF(Inputs!$B$38="pvp",15,MAX(0.1,Skills!E8-IF(Skills!F8=TRUE,2.5,0))))+1)),0)</f>
        <v/>
      </c>
      <c r="S1330">
        <f>IF(C1330,(H1330*N1330*IF(AND(Inputs!$B$38&lt;&gt;"pvp",Inputs!$B$43&gt;0),((Skills!G8*((R1330-1)*IF(Skills!H8&gt;0,Skills!I8/Skills!H8,1)+IF(Skills!H8&gt;0,MIN(Skills!I8,MAX(0,MAX(0,Inputs!$B$43-B1360)-((R1330-1)*IF(Inputs!$B$38="pvp",15,MAX(0.1,Skills!E8-IF(Skills!F8=TRUE,2.5,0))))))/Skills!H8,1)))/Inputs!$B$43),G1330*Q1330))*IF(Inputs!$B$38="pvp",1,1+(Inputs!$B$20+Skills!P8)/100),0)</f>
        <v/>
      </c>
      <c r="U1330">
        <f>IF(C1330,(H1330*N1330*IF(AND(Inputs!$B$38&lt;&gt;"pvp",Inputs!$B$43&gt;0),((Skills!G8*((R1330-1)*IF(Skills!H8&gt;0,Skills!I8/Skills!H8,1)+IF(Skills!H8&gt;0,MIN(Skills!I8,MAX(0,MAX(0,Inputs!$B$43-B1360)-((R1330-1)*IF(Inputs!$B$38="pvp",15,MAX(0.1,Skills!E8-IF(Skills!F8=TRUE,2.5,0))))))/Skills!H8,1)))/Inputs!$B$43),G1330*Q1330))*IF(Inputs!$B$38="pvp",1,(1+(Inputs!$B$21+Skills!Q8)/100)*(MIN(Skills!R8,Inputs!$B$37))),0)</f>
        <v/>
      </c>
    </row>
    <row r="1331">
      <c r="A1331">
        <f>Skills!A9</f>
        <v/>
      </c>
      <c r="B1331">
        <f>Skills!B9</f>
        <v/>
      </c>
      <c r="C1331">
        <f>Inputs!$B$3&gt;=103</f>
        <v/>
      </c>
      <c r="D1331">
        <f>IF(Skills!C9=1,60+Inputs!$B$25+Inputs!$B$29,IF(Skills!C9=2,90+Inputs!$B$26+Inputs!$B$29,IF(Skills!C9=3,120+Inputs!$B$27+Inputs!$B$29,MAX(0,(Inputs!$B$3-100)*3)+Inputs!$B$28+Inputs!$B$29)))</f>
        <v/>
      </c>
      <c r="E1331">
        <f>INDEX(FactorTable!$B$2:$Y$301, MATCH(ROUND(MIN(300,MAX(1,D1331)),0), FactorTable!$A$2:$A$301,0), Skills!M9+1)</f>
        <v/>
      </c>
      <c r="F1331">
        <f>IF(Skills!N9=TRUE,(Skills!L9/10)*(E1331/1000),Skills!L9/10)+Skills!O9</f>
        <v/>
      </c>
      <c r="G1331">
        <f>Calc!G9</f>
        <v/>
      </c>
      <c r="H1331">
        <f>Calc!H9</f>
        <v/>
      </c>
      <c r="I1331">
        <f>IF(Skills!X9&lt;&gt;"",1+(Skills!X9/10)*(Z1325/1000)/100,1)</f>
        <v/>
      </c>
      <c r="J1331">
        <f>((Inputs!$B$6*(1+Inputs!$B$7/100))+(((Inputs!$B$12*(1+Inputs!$B$13/100))-(Inputs!$B$12*(1+Inputs!$B$13/100)))+0.25*(Inputs!$B$14-Inputs!$B$14))*(1+Inputs!$B$7/100))*(F1331/100)</f>
        <v/>
      </c>
      <c r="K1331">
        <f>J1331*(1+((Inputs!$B$12*(1+Inputs!$B$13/100))*0.01+Inputs!$B$14*0.0025)/100)*(1+Inputs!$B$15/100)*(1+Inputs!$B$16/100)*(5000/(6000+Inputs!$B$42*(1-Inputs!$B$19/100)))*(1+Inputs!$B$24/100)*(1+F1345/100)*(1+IF(Inputs!$B$3&gt;=120,F1348,0)/100)^5*(1+(IF(Skills!A9="BASIC_ATTACK",Inputs!$B$17,Inputs!$B$18+IF(Inputs!$B$3&gt;=125,F1349*5,0)))/100)*(B1352*B1353*B1354*I1331)</f>
        <v/>
      </c>
      <c r="L1331">
        <f>K1331*(MIN(Inputs!$B$22+(F1344-Calc!F22),Inputs!$B$23)/100+Inputs!$B$23/100)/2</f>
        <v/>
      </c>
      <c r="M1331">
        <f>L1331*(1+(Inputs!$B$10+(F1343-Calc!F21))/100)</f>
        <v/>
      </c>
      <c r="N1331">
        <f>L1331*(1-MIN(Inputs!$B$9+(F1342-Calc!F20),100)/100)+M1331*(MIN(Inputs!$B$9+(F1342-Calc!F20),100)/100)</f>
        <v/>
      </c>
      <c r="O1331">
        <f>(1-Summary!$B$56)*S1331+Summary!$B$56*U1331</f>
        <v/>
      </c>
      <c r="P1331">
        <f>IF(B1363=0,0,O1331/B1363)</f>
        <v/>
      </c>
      <c r="Q1331">
        <f>IFERROR(1/IF(Inputs!$B$38="pvp",15,MAX(0.1,Skills!E9-IF(Skills!F7=TRUE,2.5,0))),0)</f>
        <v/>
      </c>
      <c r="R1331">
        <f>IF(AND(Inputs!$B$38&lt;&gt;"pvp",Inputs!$B$43&gt;0),IF(MAX(0,Inputs!$B$43-B1360)&lt;=0,0,(INT(MAX(0,Inputs!$B$43-B1360)/IF(Inputs!$B$38="pvp",15,MAX(0.1,Skills!E9-IF(Skills!F7=TRUE,2.5,0))))+1)),0)</f>
        <v/>
      </c>
      <c r="S1331">
        <f>IF(C1331,(H1331*N1331*IF(AND(Inputs!$B$38&lt;&gt;"pvp",Inputs!$B$43&gt;0),((Skills!G9*((R1331-1)*IF(Skills!H9&gt;0,Skills!I9/Skills!H9,1)+IF(Skills!H9&gt;0,MIN(Skills!I9,MAX(0,MAX(0,Inputs!$B$43-B1360)-((R1331-1)*IF(Inputs!$B$38="pvp",15,MAX(0.1,Skills!E9-IF(Skills!F7=TRUE,2.5,0))))))/Skills!H9,1)))/Inputs!$B$43),G1331*Q1331))*IF(Inputs!$B$38="pvp",1,1+(Inputs!$B$20+Skills!P9)/100),0)</f>
        <v/>
      </c>
      <c r="U1331">
        <f>IF(C1331,(H1331*N1331*IF(AND(Inputs!$B$38&lt;&gt;"pvp",Inputs!$B$43&gt;0),((Skills!G9*((R1331-1)*IF(Skills!H9&gt;0,Skills!I9/Skills!H9,1)+IF(Skills!H9&gt;0,MIN(Skills!I9,MAX(0,MAX(0,Inputs!$B$43-B1360)-((R1331-1)*IF(Inputs!$B$38="pvp",15,MAX(0.1,Skills!E9-IF(Skills!F7=TRUE,2.5,0))))))/Skills!H9,1)))/Inputs!$B$43),G1331*Q1331))*IF(Inputs!$B$38="pvp",1,(1+(Inputs!$B$21+Skills!Q9)/100)*(MIN(Skills!R9,Inputs!$B$37))),0)</f>
        <v/>
      </c>
    </row>
    <row r="1332">
      <c r="A1332">
        <f>Skills!A10</f>
        <v/>
      </c>
      <c r="B1332">
        <f>Skills!B10</f>
        <v/>
      </c>
      <c r="C1332">
        <f>TRUE</f>
        <v/>
      </c>
      <c r="D1332">
        <f>IF(Skills!C10=1,60+Inputs!$B$25+Inputs!$B$29,IF(Skills!C10=2,90+Inputs!$B$26+Inputs!$B$29,IF(Skills!C10=3,120+Inputs!$B$27+Inputs!$B$29,MAX(0,(Inputs!$B$3-100)*3)+Inputs!$B$28+Inputs!$B$29)))</f>
        <v/>
      </c>
      <c r="E1332">
        <f>INDEX(FactorTable!$B$2:$Y$301, MATCH(ROUND(MIN(300,MAX(1,D1332)),0), FactorTable!$A$2:$A$301,0), Skills!M10+1)</f>
        <v/>
      </c>
      <c r="F1332">
        <f>IF(Skills!N10=TRUE,(Skills!L10/10)*(E1332/1000),Skills!L10/10)+Skills!O10</f>
        <v/>
      </c>
      <c r="G1332">
        <f>Calc!G10</f>
        <v/>
      </c>
      <c r="H1332">
        <f>Calc!H10</f>
        <v/>
      </c>
      <c r="I1332">
        <f>IF(Skills!X10&lt;&gt;"",1+(Skills!X10/10)*(Z1325/1000)/100,1)</f>
        <v/>
      </c>
      <c r="J1332">
        <f>((Inputs!$B$6*(1+Inputs!$B$7/100))+(((Inputs!$B$12*(1+Inputs!$B$13/100))-(Inputs!$B$12*(1+Inputs!$B$13/100)))+0.25*(Inputs!$B$14-Inputs!$B$14))*(1+Inputs!$B$7/100))*(F1332/100)</f>
        <v/>
      </c>
      <c r="K1332">
        <f>J1332*(1+((Inputs!$B$12*(1+Inputs!$B$13/100))*0.01+Inputs!$B$14*0.0025)/100)*(1+Inputs!$B$15/100)*(1+Inputs!$B$16/100)*(5000/(6000+Inputs!$B$42*(1-Inputs!$B$19/100)))*(1+Inputs!$B$24/100)*(1+F1345/100)*(1+IF(Inputs!$B$3&gt;=120,F1348,0)/100)^5*(1+(IF(Skills!A10="BASIC_ATTACK",Inputs!$B$17,Inputs!$B$18+IF(Inputs!$B$3&gt;=125,F1349*5,0)))/100)*(B1352*B1353*B1354*I1332)</f>
        <v/>
      </c>
      <c r="L1332">
        <f>K1332*(MIN(Inputs!$B$22+(F1344-Calc!F22),Inputs!$B$23)/100+Inputs!$B$23/100)/2</f>
        <v/>
      </c>
      <c r="M1332">
        <f>L1332*(1+(Inputs!$B$10+(F1343-Calc!F21))/100)</f>
        <v/>
      </c>
      <c r="N1332">
        <f>L1332*(1-MIN(Inputs!$B$9+(F1342-Calc!F20),100)/100)+M1332*(MIN(Inputs!$B$9+(F1342-Calc!F20),100)/100)</f>
        <v/>
      </c>
      <c r="O1332">
        <f>(1-Summary!$B$56)*S1332+Summary!$B$56*U1332</f>
        <v/>
      </c>
      <c r="P1332">
        <f>IF(B1363=0,0,O1332/B1363)</f>
        <v/>
      </c>
      <c r="Q1332">
        <f>IFERROR(1/IF(Inputs!$B$38="pvp",15,MAX(0.1,Skills!E10-IF(Skills!F10=TRUE,2.5,0))),0)</f>
        <v/>
      </c>
      <c r="R1332">
        <f>IF(AND(Inputs!$B$38&lt;&gt;"pvp",Inputs!$B$43&gt;0),IF(MAX(0,Inputs!$B$43-B1360)&lt;=0,0,(INT(MAX(0,Inputs!$B$43-B1360)/IF(Inputs!$B$38="pvp",15,MAX(0.1,Skills!E10-IF(Skills!F10=TRUE,2.5,0))))+1)),0)</f>
        <v/>
      </c>
      <c r="S1332">
        <f>IF(C1332,(H1332*N1332*IF(AND(Inputs!$B$38&lt;&gt;"pvp",Inputs!$B$43&gt;0),((Skills!G10*((R1332-1)*IF(Skills!H10&gt;0,Skills!I10/Skills!H10,1)+IF(Skills!H10&gt;0,MIN(Skills!I10,MAX(0,MAX(0,Inputs!$B$43-B1360)-((R1332-1)*IF(Inputs!$B$38="pvp",15,MAX(0.1,Skills!E10-IF(Skills!F10=TRUE,2.5,0))))))/Skills!H10,1)))/Inputs!$B$43),G1332*Q1332))*IF(Inputs!$B$38="pvp",1,1+(Inputs!$B$20+Skills!P10)/100),0)</f>
        <v/>
      </c>
      <c r="U1332">
        <f>IF(C1332,(H1332*N1332*IF(AND(Inputs!$B$38&lt;&gt;"pvp",Inputs!$B$43&gt;0),((Skills!G10*((R1332-1)*IF(Skills!H10&gt;0,Skills!I10/Skills!H10,1)+IF(Skills!H10&gt;0,MIN(Skills!I10,MAX(0,MAX(0,Inputs!$B$43-B1360)-((R1332-1)*IF(Inputs!$B$38="pvp",15,MAX(0.1,Skills!E10-IF(Skills!F10=TRUE,2.5,0))))))/Skills!H10,1)))/Inputs!$B$43),G1332*Q1332))*IF(Inputs!$B$38="pvp",1,(1+(Inputs!$B$21+Skills!Q10)/100)*(MIN(Skills!R10,Inputs!$B$37))),0)</f>
        <v/>
      </c>
    </row>
    <row r="1333">
      <c r="A1333">
        <f>Skills!A11</f>
        <v/>
      </c>
      <c r="B1333">
        <f>Skills!B11</f>
        <v/>
      </c>
      <c r="C1333">
        <f>TRUE</f>
        <v/>
      </c>
      <c r="D1333">
        <f>IF(Skills!C11=1,60+Inputs!$B$25+Inputs!$B$29,IF(Skills!C11=2,90+Inputs!$B$26+Inputs!$B$29,IF(Skills!C11=3,120+Inputs!$B$27+Inputs!$B$29,MAX(0,(Inputs!$B$3-100)*3)+Inputs!$B$28+Inputs!$B$29)))</f>
        <v/>
      </c>
      <c r="E1333">
        <f>INDEX(FactorTable!$B$2:$Y$301, MATCH(ROUND(MIN(300,MAX(1,D1333)),0), FactorTable!$A$2:$A$301,0), Skills!M11+1)</f>
        <v/>
      </c>
      <c r="F1333">
        <f>IF(Skills!N11=TRUE,(Skills!L11/10)*(E1333/1000),Skills!L11/10)+Skills!O11</f>
        <v/>
      </c>
      <c r="G1333">
        <f>Calc!G11</f>
        <v/>
      </c>
      <c r="H1333">
        <f>Calc!H11</f>
        <v/>
      </c>
      <c r="I1333">
        <f>IF(Skills!X11&lt;&gt;"",1+(Skills!X11/10)*(Z1325/1000)/100,1)</f>
        <v/>
      </c>
      <c r="J1333" t="inlineStr"/>
      <c r="K1333" t="inlineStr"/>
      <c r="L1333" t="inlineStr"/>
      <c r="M1333" t="inlineStr"/>
      <c r="N1333" t="inlineStr"/>
      <c r="O1333">
        <f>(1-Summary!$B$56)*S1333+Summary!$B$56*U1333</f>
        <v/>
      </c>
      <c r="P1333">
        <f>IF(B1363=0,0,O1333/B1363)</f>
        <v/>
      </c>
      <c r="Q1333">
        <f>IFERROR(1/IF(Inputs!$B$38="pvp",15,MAX(0.1,Skills!E11-IF(Skills!F11=TRUE,2.5,0))),0)</f>
        <v/>
      </c>
      <c r="R1333" t="n">
        <v>0</v>
      </c>
      <c r="S1333" t="n">
        <v>0</v>
      </c>
      <c r="U1333" t="n">
        <v>0</v>
      </c>
    </row>
    <row r="1334">
      <c r="A1334">
        <f>Skills!A12</f>
        <v/>
      </c>
      <c r="B1334">
        <f>Skills!B12</f>
        <v/>
      </c>
      <c r="C1334">
        <f>TRUE</f>
        <v/>
      </c>
      <c r="D1334">
        <f>IF(Skills!C12=1,60+Inputs!$B$25+Inputs!$B$29,IF(Skills!C12=2,90+Inputs!$B$26+Inputs!$B$29,IF(Skills!C12=3,120+Inputs!$B$27+Inputs!$B$29,MAX(0,(Inputs!$B$3-100)*3)+Inputs!$B$28+Inputs!$B$29)))</f>
        <v/>
      </c>
      <c r="E1334">
        <f>INDEX(FactorTable!$B$2:$Y$301, MATCH(ROUND(MIN(300,MAX(1,D1334)),0), FactorTable!$A$2:$A$301,0), Skills!M12+1)</f>
        <v/>
      </c>
      <c r="F1334">
        <f>IF(Skills!N12=TRUE,(Skills!L12/10)*(E1334/1000),Skills!L12/10)+Skills!O12</f>
        <v/>
      </c>
      <c r="G1334">
        <f>Calc!G12</f>
        <v/>
      </c>
      <c r="H1334">
        <f>Calc!H12</f>
        <v/>
      </c>
      <c r="I1334">
        <f>IF(Skills!X12&lt;&gt;"",1+(Skills!X12/10)*(Z1325/1000)/100,1)</f>
        <v/>
      </c>
      <c r="J1334" t="inlineStr"/>
      <c r="K1334" t="inlineStr"/>
      <c r="L1334" t="inlineStr"/>
      <c r="M1334" t="inlineStr"/>
      <c r="N1334" t="inlineStr"/>
      <c r="O1334">
        <f>(1-Summary!$B$56)*S1334+Summary!$B$56*U1334</f>
        <v/>
      </c>
      <c r="P1334">
        <f>IF(B1363=0,0,O1334/B1363)</f>
        <v/>
      </c>
      <c r="Q1334">
        <f>IFERROR(1/IF(Inputs!$B$38="pvp",15,MAX(0.1,Skills!E12-IF(Skills!F12=TRUE,2.5,0))),0)</f>
        <v/>
      </c>
      <c r="R1334" t="n">
        <v>0</v>
      </c>
      <c r="S1334" t="n">
        <v>0</v>
      </c>
      <c r="U1334" t="n">
        <v>0</v>
      </c>
    </row>
    <row r="1335">
      <c r="A1335">
        <f>Skills!A13</f>
        <v/>
      </c>
      <c r="B1335">
        <f>Skills!B13</f>
        <v/>
      </c>
      <c r="C1335">
        <f>Inputs!$B$3&gt;=105</f>
        <v/>
      </c>
      <c r="D1335">
        <f>IF(Skills!C13=1,60+Inputs!$B$25+Inputs!$B$29,IF(Skills!C13=2,90+Inputs!$B$26+Inputs!$B$29,IF(Skills!C13=3,120+Inputs!$B$27+Inputs!$B$29,MAX(0,(Inputs!$B$3-100)*3)+Inputs!$B$28+Inputs!$B$29)))</f>
        <v/>
      </c>
      <c r="E1335">
        <f>INDEX(FactorTable!$B$2:$Y$301, MATCH(ROUND(MIN(300,MAX(1,D1335)),0), FactorTable!$A$2:$A$301,0), Skills!M13+1)</f>
        <v/>
      </c>
      <c r="F1335">
        <f>IF(Skills!N13=TRUE,(Skills!L13/10)*(E1335/1000),Skills!L13/10)+Skills!O13</f>
        <v/>
      </c>
      <c r="G1335">
        <f>Calc!G13</f>
        <v/>
      </c>
      <c r="H1335">
        <f>Calc!H13</f>
        <v/>
      </c>
      <c r="I1335">
        <f>IF(Skills!X13&lt;&gt;"",1+(Skills!X13/10)*(Z1325/1000)/100,1)</f>
        <v/>
      </c>
      <c r="J1335">
        <f>((Inputs!$B$6*(1+Inputs!$B$7/100))+(((Inputs!$B$12*(1+Inputs!$B$13/100))-(Inputs!$B$12*(1+Inputs!$B$13/100)))+0.25*(Inputs!$B$14-Inputs!$B$14))*(1+Inputs!$B$7/100))*(F1335/100)</f>
        <v/>
      </c>
      <c r="K1335">
        <f>J1335*(1+((Inputs!$B$12*(1+Inputs!$B$13/100))*0.01+Inputs!$B$14*0.0025)/100)*(1+Inputs!$B$15/100)*(1+Inputs!$B$16/100)*(5000/(6000+Inputs!$B$42*(1-Inputs!$B$19/100)))*(1+Inputs!$B$24/100)*(1+F1345/100)*(1+IF(Inputs!$B$3&gt;=120,F1348,0)/100)^5*(1+(IF(Skills!A13="BASIC_ATTACK",Inputs!$B$17,Inputs!$B$18+IF(Inputs!$B$3&gt;=125,F1349*5,0)))/100)*(B1352*B1353*B1354*I1335)</f>
        <v/>
      </c>
      <c r="L1335">
        <f>K1335*(MIN(Inputs!$B$22+(F1344-Calc!F22),Inputs!$B$23)/100+Inputs!$B$23/100)/2</f>
        <v/>
      </c>
      <c r="M1335">
        <f>L1335*(1+(Inputs!$B$10+(F1343-Calc!F21))/100)</f>
        <v/>
      </c>
      <c r="N1335">
        <f>L1335*(1-MIN(Inputs!$B$9+(F1342-Calc!F20),100)/100)+M1335*(MIN(Inputs!$B$9+(F1342-Calc!F20),100)/100)</f>
        <v/>
      </c>
      <c r="O1335">
        <f>(1-Summary!$B$56)*S1335+Summary!$B$56*U1335</f>
        <v/>
      </c>
      <c r="P1335">
        <f>IF(B1363=0,0,O1335/B1363)</f>
        <v/>
      </c>
      <c r="Q1335">
        <f>IFERROR(1/IF(Inputs!$B$38="pvp",15,MAX(0.1,Skills!E13-IF(Skills!F13=TRUE,2.5,0))),0)</f>
        <v/>
      </c>
      <c r="R1335">
        <f>IF(AND(Inputs!$B$38&lt;&gt;"pvp",Inputs!$B$43&gt;0),IF(MAX(0,Inputs!$B$43-B1360)&lt;=0,0,(INT(MAX(0,Inputs!$B$43-B1360)/IF(Inputs!$B$38="pvp",15,MAX(0.1,Skills!E13-IF(Skills!F13=TRUE,2.5,0))))+1)),0)</f>
        <v/>
      </c>
      <c r="S1335">
        <f>IF(C1335,(H1335*N1335*IF(AND(Inputs!$B$38&lt;&gt;"pvp",Inputs!$B$43&gt;0),((Skills!G13*((R1335-1)*IF(Skills!H13&gt;0,Skills!I13/Skills!H13,1)+IF(Skills!H13&gt;0,MIN(Skills!I13,MAX(0,MAX(0,Inputs!$B$43-B1360)-((R1335-1)*IF(Inputs!$B$38="pvp",15,MAX(0.1,Skills!E13-IF(Skills!F13=TRUE,2.5,0))))))/Skills!H13,1)))/Inputs!$B$43),G1335*Q1335))*IF(Inputs!$B$38="pvp",1,1+(Inputs!$B$20+Skills!P13)/100),0)</f>
        <v/>
      </c>
      <c r="U1335">
        <f>IF(C1335,(H1335*N1335*IF(AND(Inputs!$B$38&lt;&gt;"pvp",Inputs!$B$43&gt;0),((Skills!G13*((R1335-1)*IF(Skills!H13&gt;0,Skills!I13/Skills!H13,1)+IF(Skills!H13&gt;0,MIN(Skills!I13,MAX(0,MAX(0,Inputs!$B$43-B1360)-((R1335-1)*IF(Inputs!$B$38="pvp",15,MAX(0.1,Skills!E13-IF(Skills!F13=TRUE,2.5,0))))))/Skills!H13,1)))/Inputs!$B$43),G1335*Q1335))*IF(Inputs!$B$38="pvp",1,(1+(Inputs!$B$21+Skills!Q13)/100)*(MIN(Skills!R13,Inputs!$B$37))),0)</f>
        <v/>
      </c>
    </row>
    <row r="1336">
      <c r="A1336">
        <f>Skills!A14</f>
        <v/>
      </c>
      <c r="B1336">
        <f>Skills!B14</f>
        <v/>
      </c>
      <c r="C1336">
        <f>Inputs!$B$3&gt;=113</f>
        <v/>
      </c>
      <c r="D1336">
        <f>IF(Skills!C14=1,60+Inputs!$B$25+Inputs!$B$29,IF(Skills!C14=2,90+Inputs!$B$26+Inputs!$B$29,IF(Skills!C14=3,120+Inputs!$B$27+Inputs!$B$29,MAX(0,(Inputs!$B$3-100)*3)+Inputs!$B$28+Inputs!$B$29)))</f>
        <v/>
      </c>
      <c r="E1336">
        <f>INDEX(FactorTable!$B$2:$Y$301, MATCH(ROUND(MIN(300,MAX(1,D1336)),0), FactorTable!$A$2:$A$301,0), Skills!M14+1)</f>
        <v/>
      </c>
      <c r="F1336">
        <f>IF(Skills!N14=TRUE,(Skills!L14/10)*(E1336/1000),Skills!L14/10)+Skills!O14</f>
        <v/>
      </c>
      <c r="G1336">
        <f>Calc!G14</f>
        <v/>
      </c>
      <c r="H1336">
        <f>Calc!H14</f>
        <v/>
      </c>
      <c r="I1336">
        <f>IF(Skills!X14&lt;&gt;"",1+(Skills!X14/10)*(Z1325/1000)/100,1)</f>
        <v/>
      </c>
      <c r="J1336">
        <f>((Inputs!$B$6*(1+Inputs!$B$7/100))+(((Inputs!$B$12*(1+Inputs!$B$13/100))-(Inputs!$B$12*(1+Inputs!$B$13/100)))+0.25*(Inputs!$B$14-Inputs!$B$14))*(1+Inputs!$B$7/100))*(F1336/100)</f>
        <v/>
      </c>
      <c r="K1336">
        <f>J1336*(1+((Inputs!$B$12*(1+Inputs!$B$13/100))*0.01+Inputs!$B$14*0.0025)/100)*(1+Inputs!$B$15/100)*(1+Inputs!$B$16/100)*(5000/(6000+Inputs!$B$42*(1-Inputs!$B$19/100)))*(1+Inputs!$B$24/100)*(1+F1345/100)*(1+IF(Inputs!$B$3&gt;=120,F1348,0)/100)^5*(1+(IF(Skills!A14="BASIC_ATTACK",Inputs!$B$17,Inputs!$B$18+IF(Inputs!$B$3&gt;=125,F1349*5,0)))/100)*(B1352*B1353*B1354*I1336)</f>
        <v/>
      </c>
      <c r="L1336">
        <f>K1336*(MIN(Inputs!$B$22+(F1344-Calc!F22),Inputs!$B$23)/100+Inputs!$B$23/100)/2</f>
        <v/>
      </c>
      <c r="M1336">
        <f>L1336*(1+(Inputs!$B$10+(F1343-Calc!F21))/100)</f>
        <v/>
      </c>
      <c r="N1336">
        <f>L1336*(1-MIN(Inputs!$B$9+(F1342-Calc!F20),100)/100)+M1336*(MIN(Inputs!$B$9+(F1342-Calc!F20),100)/100)</f>
        <v/>
      </c>
      <c r="O1336">
        <f>(1-Summary!$B$56)*S1336+Summary!$B$56*U1336</f>
        <v/>
      </c>
      <c r="P1336">
        <f>IF(B1363=0,0,O1336/B1363)</f>
        <v/>
      </c>
      <c r="Q1336">
        <f>IFERROR(1/IF(Inputs!$B$38="pvp",15,MAX(0.1,Skills!E14-IF(Skills!F14=TRUE,2.5,0))),0)</f>
        <v/>
      </c>
      <c r="R1336" t="n">
        <v>0</v>
      </c>
      <c r="S1336">
        <f>IF(C1336,((H1336*B1359)/(1+Skills!H14*H1336*B1359)*N1336)*IF(Inputs!$B$38="pvp",1,1+(Inputs!$B$20+Skills!P14)/100),0)</f>
        <v/>
      </c>
      <c r="U1336">
        <f>IF(C1336,((H1336*B1359)/(1+Skills!H14*H1336*B1359)*N1336)*IF(Inputs!$B$38="pvp",1,(1+(Inputs!$B$21+Skills!Q14)/100)*(MIN(Skills!R14,Inputs!$B$37))),0)</f>
        <v/>
      </c>
    </row>
    <row r="1337">
      <c r="A1337">
        <f>Skills!A15</f>
        <v/>
      </c>
      <c r="B1337">
        <f>Skills!B15</f>
        <v/>
      </c>
      <c r="C1337">
        <f>Inputs!$B$3&gt;=107</f>
        <v/>
      </c>
      <c r="D1337">
        <f>IF(Skills!C15=1,60+Inputs!$B$25+Inputs!$B$29,IF(Skills!C15=2,90+Inputs!$B$26+Inputs!$B$29,IF(Skills!C15=3,120+Inputs!$B$27+Inputs!$B$29,MAX(0,(Inputs!$B$3-100)*3)+Inputs!$B$28+Inputs!$B$29)))</f>
        <v/>
      </c>
      <c r="E1337">
        <f>INDEX(FactorTable!$B$2:$Y$301, MATCH(ROUND(MIN(300,MAX(1,D1337)),0), FactorTable!$A$2:$A$301,0), Skills!M15+1)</f>
        <v/>
      </c>
      <c r="F1337">
        <f>IF(Skills!N15=TRUE,(Skills!L15/10)*(E1337/1000),Skills!L15/10)+Skills!O15</f>
        <v/>
      </c>
      <c r="G1337">
        <f>Calc!G15</f>
        <v/>
      </c>
      <c r="H1337">
        <f>Calc!H15</f>
        <v/>
      </c>
      <c r="I1337">
        <f>IF(Skills!X15&lt;&gt;"",1+(Skills!X15/10)*(Z1325/1000)/100,1)</f>
        <v/>
      </c>
      <c r="J1337">
        <f>((Inputs!$B$6*(1+Inputs!$B$7/100))+(((Inputs!$B$12*(1+Inputs!$B$13/100))-(Inputs!$B$12*(1+Inputs!$B$13/100)))+0.25*(Inputs!$B$14-Inputs!$B$14))*(1+Inputs!$B$7/100))*(F1337/100)</f>
        <v/>
      </c>
      <c r="K1337">
        <f>J1337*(1+((Inputs!$B$12*(1+Inputs!$B$13/100))*0.01+Inputs!$B$14*0.0025)/100)*(1+Inputs!$B$15/100)*(1+Inputs!$B$16/100)*(5000/(6000+Inputs!$B$42*(1-Inputs!$B$19/100)))*(1+Inputs!$B$24/100)*(1+F1345/100)*(1+IF(Inputs!$B$3&gt;=120,F1348,0)/100)^5*(1+(IF(Skills!A15="BASIC_ATTACK",Inputs!$B$17,Inputs!$B$18+IF(Inputs!$B$3&gt;=125,F1349*5,0)))/100)*(B1352*B1353*B1354*I1337)</f>
        <v/>
      </c>
      <c r="L1337">
        <f>K1337*(MIN(Inputs!$B$22+(F1344-Calc!F22),Inputs!$B$23)/100+Inputs!$B$23/100)/2</f>
        <v/>
      </c>
      <c r="M1337">
        <f>L1337*(1+(Inputs!$B$10+(F1343-Calc!F21))/100)</f>
        <v/>
      </c>
      <c r="N1337">
        <f>L1337*(1-MIN(Inputs!$B$9+(F1342-Calc!F20),100)/100)+M1337*(MIN(Inputs!$B$9+(F1342-Calc!F20),100)/100)</f>
        <v/>
      </c>
      <c r="O1337">
        <f>(1-Summary!$B$56)*S1337+Summary!$B$56*U1337</f>
        <v/>
      </c>
      <c r="P1337">
        <f>IF(B1363=0,0,O1337/B1363)</f>
        <v/>
      </c>
      <c r="Q1337">
        <f>IFERROR(1/IF(Inputs!$B$38="pvp",15,MAX(0.1,Skills!E15-IF(Skills!F15=TRUE,2.5,0))),0)</f>
        <v/>
      </c>
      <c r="R1337">
        <f>IF(AND(Inputs!$B$38&lt;&gt;"pvp",Inputs!$B$43&gt;0),IF(MAX(0,Inputs!$B$43-B1360)&lt;=0,0,(INT(MAX(0,Inputs!$B$43-B1360)/IF(Inputs!$B$38="pvp",15,MAX(0.1,Skills!E15-IF(Skills!F15=TRUE,2.5,0))))+1)),0)</f>
        <v/>
      </c>
      <c r="S1337">
        <f>IF(C1337,(H1337*N1337*IF(AND(Inputs!$B$38&lt;&gt;"pvp",Inputs!$B$43&gt;0),((Skills!G15*((R1337-1)*IF(Skills!H15&gt;0,Skills!I15/Skills!H15,1)+IF(Skills!H15&gt;0,MIN(Skills!I15,MAX(0,MAX(0,Inputs!$B$43-B1360)-((R1337-1)*IF(Inputs!$B$38="pvp",15,MAX(0.1,Skills!E15-IF(Skills!F15=TRUE,2.5,0))))))/Skills!H15,1)))/Inputs!$B$43),G1337*Q1337))*IF(Inputs!$B$38="pvp",1,1+(Inputs!$B$20+Skills!P15)/100),0)</f>
        <v/>
      </c>
      <c r="U1337">
        <f>IF(C1337,(H1337*N1337*IF(AND(Inputs!$B$38&lt;&gt;"pvp",Inputs!$B$43&gt;0),((Skills!G15*((R1337-1)*IF(Skills!H15&gt;0,Skills!I15/Skills!H15,1)+IF(Skills!H15&gt;0,MIN(Skills!I15,MAX(0,MAX(0,Inputs!$B$43-B1360)-((R1337-1)*IF(Inputs!$B$38="pvp",15,MAX(0.1,Skills!E15-IF(Skills!F15=TRUE,2.5,0))))))/Skills!H15,1)))/Inputs!$B$43),G1337*Q1337))*IF(Inputs!$B$38="pvp",1,(1+(Inputs!$B$21+Skills!Q15)/100)*(MIN(Skills!R15,Inputs!$B$37))),0)</f>
        <v/>
      </c>
    </row>
    <row r="1338">
      <c r="A1338">
        <f>Skills!A16</f>
        <v/>
      </c>
      <c r="B1338">
        <f>Skills!B16</f>
        <v/>
      </c>
      <c r="C1338">
        <f>Inputs!$B$3&gt;=107</f>
        <v/>
      </c>
      <c r="D1338">
        <f>IF(Skills!C16=1,60+Inputs!$B$25+Inputs!$B$29,IF(Skills!C16=2,90+Inputs!$B$26+Inputs!$B$29,IF(Skills!C16=3,120+Inputs!$B$27+Inputs!$B$29,MAX(0,(Inputs!$B$3-100)*3)+Inputs!$B$28+Inputs!$B$29)))</f>
        <v/>
      </c>
      <c r="E1338">
        <f>INDEX(FactorTable!$B$2:$Y$301, MATCH(ROUND(MIN(300,MAX(1,D1338)),0), FactorTable!$A$2:$A$301,0), Skills!M16+1)</f>
        <v/>
      </c>
      <c r="F1338">
        <f>IF(Skills!N16=TRUE,(Skills!L16/10)*(E1338/1000),Skills!L16/10)+Skills!O16</f>
        <v/>
      </c>
      <c r="G1338">
        <f>Calc!G16</f>
        <v/>
      </c>
      <c r="H1338">
        <f>Calc!H16</f>
        <v/>
      </c>
      <c r="I1338">
        <f>IF(Skills!X16&lt;&gt;"",1+(Skills!X16/10)*(Z1325/1000)/100,1)</f>
        <v/>
      </c>
      <c r="J1338">
        <f>((Inputs!$B$6*(1+Inputs!$B$7/100))+(((Inputs!$B$12*(1+Inputs!$B$13/100))-(Inputs!$B$12*(1+Inputs!$B$13/100)))+0.25*(Inputs!$B$14-Inputs!$B$14))*(1+Inputs!$B$7/100))*(F1338/100)</f>
        <v/>
      </c>
      <c r="K1338">
        <f>J1338*(1+((Inputs!$B$12*(1+Inputs!$B$13/100))*0.01+Inputs!$B$14*0.0025)/100)*(1+Inputs!$B$15/100)*(1+Inputs!$B$16/100)*(5000/(6000+Inputs!$B$42*(1-Inputs!$B$19/100)))*(1+Inputs!$B$24/100)*(1+F1345/100)*(1+IF(Inputs!$B$3&gt;=120,F1348,0)/100)^5*(1+(IF(Skills!A16="BASIC_ATTACK",Inputs!$B$17,Inputs!$B$18+IF(Inputs!$B$3&gt;=125,F1349*5,0)))/100)*(B1352*B1353*B1354*I1338)</f>
        <v/>
      </c>
      <c r="L1338">
        <f>K1338*(MIN(Inputs!$B$22+(F1344-Calc!F22),Inputs!$B$23)/100+Inputs!$B$23/100)/2</f>
        <v/>
      </c>
      <c r="M1338">
        <f>L1338*(1+(Inputs!$B$10+(F1343-Calc!F21))/100)</f>
        <v/>
      </c>
      <c r="N1338">
        <f>L1338*(1-MIN(Inputs!$B$9+(F1342-Calc!F20),100)/100)+M1338*(MIN(Inputs!$B$9+(F1342-Calc!F20),100)/100)</f>
        <v/>
      </c>
      <c r="O1338">
        <f>(1-Summary!$B$56)*S1338+Summary!$B$56*U1338</f>
        <v/>
      </c>
      <c r="P1338">
        <f>IF(B1363=0,0,O1338/B1363)</f>
        <v/>
      </c>
      <c r="Q1338">
        <f>IFERROR(1/IF(Inputs!$B$38="pvp",15,MAX(0.1,Skills!E16-IF(Skills!F16=TRUE,2.5,0))),0)</f>
        <v/>
      </c>
      <c r="R1338">
        <f>IF(AND(Inputs!$B$38&lt;&gt;"pvp",Inputs!$B$43&gt;0),IF(MAX(0,Inputs!$B$43-B1360)&lt;=0,0,(INT(MAX(0,Inputs!$B$43-B1360)/IF(Inputs!$B$38="pvp",15,MAX(0.1,Skills!E16-IF(Skills!F16=TRUE,2.5,0))))+1)),0)</f>
        <v/>
      </c>
      <c r="S1338">
        <f>IF(C1338,(H1338*N1338*IF(AND(Inputs!$B$38&lt;&gt;"pvp",Inputs!$B$43&gt;0),((Skills!G16*((R1338-1)*IF(Skills!H16&gt;0,Skills!I16/Skills!H16,1)+IF(Skills!H16&gt;0,MIN(Skills!I16,MAX(0,MAX(0,Inputs!$B$43-B1360)-((R1338-1)*IF(Inputs!$B$38="pvp",15,MAX(0.1,Skills!E16-IF(Skills!F16=TRUE,2.5,0))))))/Skills!H16,1)))/Inputs!$B$43),G1338*Q1338)*(1+IF(Inputs!$B$3&gt;=126,0.05*(B1358+Q1335+(H1336*B1359)/(1+Skills!H14*H1336*B1359)+Q1346),0)*Skills!E15))*IF(Inputs!$B$38="pvp",1,1+(Inputs!$B$20+Skills!P16)/100),0)</f>
        <v/>
      </c>
      <c r="U1338">
        <f>IF(C1338,(H1338*N1338*IF(AND(Inputs!$B$38&lt;&gt;"pvp",Inputs!$B$43&gt;0),((Skills!G16*((R1338-1)*IF(Skills!H16&gt;0,Skills!I16/Skills!H16,1)+IF(Skills!H16&gt;0,MIN(Skills!I16,MAX(0,MAX(0,Inputs!$B$43-B1360)-((R1338-1)*IF(Inputs!$B$38="pvp",15,MAX(0.1,Skills!E16-IF(Skills!F16=TRUE,2.5,0))))))/Skills!H16,1)))/Inputs!$B$43),G1338*Q1338)*(1+IF(Inputs!$B$3&gt;=126,0.05*(B1358+Q1335+(H1336*B1359)/(1+Skills!H14*H1336*B1359)+Q1346),0)*Skills!E15))*IF(Inputs!$B$38="pvp",1,(1+(Inputs!$B$21+Skills!Q16)/100)*(MIN(Skills!R16,Inputs!$B$37))),0)</f>
        <v/>
      </c>
    </row>
    <row r="1339">
      <c r="A1339">
        <f>Skills!A17</f>
        <v/>
      </c>
      <c r="B1339">
        <f>Skills!B17</f>
        <v/>
      </c>
      <c r="C1339">
        <f>TRUE</f>
        <v/>
      </c>
      <c r="D1339">
        <f>IF(Skills!C17=1,60+Inputs!$B$25+Inputs!$B$29,IF(Skills!C17=2,90+Inputs!$B$26+Inputs!$B$29,IF(Skills!C17=3,120+Inputs!$B$27+Inputs!$B$29,MAX(0,(Inputs!$B$3-100)*3)+Inputs!$B$28+Inputs!$B$29)))</f>
        <v/>
      </c>
      <c r="E1339">
        <f>INDEX(FactorTable!$B$2:$Y$301, MATCH(ROUND(MIN(300,MAX(1,D1339)),0), FactorTable!$A$2:$A$301,0), Skills!M17+1)</f>
        <v/>
      </c>
      <c r="F1339">
        <f>IF(Skills!N17=TRUE,(Skills!L17/10)*(E1339/1000),Skills!L17/10)+Skills!O17</f>
        <v/>
      </c>
      <c r="G1339">
        <f>Calc!G17</f>
        <v/>
      </c>
      <c r="H1339">
        <f>Calc!H17</f>
        <v/>
      </c>
      <c r="I1339">
        <f>IF(Skills!X17&lt;&gt;"",1+(Skills!X17/10)*(Z1325/1000)/100,1)</f>
        <v/>
      </c>
      <c r="J1339" t="inlineStr"/>
      <c r="K1339" t="inlineStr"/>
      <c r="L1339" t="inlineStr"/>
      <c r="M1339" t="inlineStr"/>
      <c r="N1339" t="inlineStr"/>
      <c r="O1339">
        <f>(1-Summary!$B$56)*S1339+Summary!$B$56*U1339</f>
        <v/>
      </c>
      <c r="P1339">
        <f>IF(B1363=0,0,O1339/B1363)</f>
        <v/>
      </c>
      <c r="Q1339">
        <f>IFERROR(1/IF(Inputs!$B$38="pvp",15,MAX(0.1,Skills!E17-IF(Skills!F17=TRUE,2.5,0))),0)</f>
        <v/>
      </c>
      <c r="R1339">
        <f>IF(AND(Inputs!$B$38&lt;&gt;"pvp",Inputs!$B$43&gt;0),IF(Inputs!$B$43&lt;=0,0,(INT(Inputs!$B$43/IF(Inputs!$B$38="pvp",15,MAX(0.1,Skills!E17-IF(Skills!F17=TRUE,2.5,0))))+1)),0)</f>
        <v/>
      </c>
      <c r="S1339" t="n">
        <v>0</v>
      </c>
      <c r="U1339" t="n">
        <v>0</v>
      </c>
    </row>
    <row r="1340">
      <c r="A1340">
        <f>Skills!A18</f>
        <v/>
      </c>
      <c r="B1340">
        <f>Skills!B18</f>
        <v/>
      </c>
      <c r="C1340">
        <f>TRUE</f>
        <v/>
      </c>
      <c r="D1340">
        <f>IF(Skills!C18=1,60+Inputs!$B$25+Inputs!$B$29,IF(Skills!C18=2,90+Inputs!$B$26+Inputs!$B$29,IF(Skills!C18=3,120+Inputs!$B$27+Inputs!$B$29,MAX(0,(Inputs!$B$3-100)*3)+Inputs!$B$28+Inputs!$B$29)))</f>
        <v/>
      </c>
      <c r="E1340">
        <f>INDEX(FactorTable!$B$2:$Y$301, MATCH(ROUND(MIN(300,MAX(1,D1340)),0), FactorTable!$A$2:$A$301,0), Skills!M18+1)</f>
        <v/>
      </c>
      <c r="F1340">
        <f>IF(Skills!N18=TRUE,(Skills!L18/10)*(E1340/1000),Skills!L18/10)+Skills!O18</f>
        <v/>
      </c>
      <c r="G1340">
        <f>Calc!G18</f>
        <v/>
      </c>
      <c r="H1340">
        <f>Calc!H18</f>
        <v/>
      </c>
      <c r="I1340">
        <f>IF(Skills!X18&lt;&gt;"",1+(Skills!X18/10)*(Z1325/1000)/100,1)</f>
        <v/>
      </c>
      <c r="J1340" t="inlineStr"/>
      <c r="K1340" t="inlineStr"/>
      <c r="L1340" t="inlineStr"/>
      <c r="M1340" t="inlineStr"/>
      <c r="N1340" t="inlineStr"/>
      <c r="O1340">
        <f>(1-Summary!$B$56)*S1340+Summary!$B$56*U1340</f>
        <v/>
      </c>
      <c r="P1340">
        <f>IF(B1363=0,0,O1340/B1363)</f>
        <v/>
      </c>
      <c r="Q1340">
        <f>IFERROR(1/IF(Inputs!$B$38="pvp",15,MAX(0.1,Skills!E18-IF(Skills!F18=TRUE,2.5,0))),0)</f>
        <v/>
      </c>
      <c r="R1340">
        <f>IF(AND(Inputs!$B$38&lt;&gt;"pvp",Inputs!$B$43&gt;0),IF(Inputs!$B$43&lt;=0,0,(INT(Inputs!$B$43/IF(Inputs!$B$38="pvp",15,MAX(0.1,Skills!E18-IF(Skills!F18=TRUE,2.5,0))))+1)),0)</f>
        <v/>
      </c>
      <c r="S1340" t="n">
        <v>0</v>
      </c>
      <c r="U1340" t="n">
        <v>0</v>
      </c>
    </row>
    <row r="1341">
      <c r="A1341">
        <f>Skills!A19</f>
        <v/>
      </c>
      <c r="B1341">
        <f>Skills!B19</f>
        <v/>
      </c>
      <c r="C1341">
        <f>Inputs!$B$3&gt;=110</f>
        <v/>
      </c>
      <c r="D1341">
        <f>IF(Skills!C19=1,60+Inputs!$B$25+Inputs!$B$29,IF(Skills!C19=2,90+Inputs!$B$26+Inputs!$B$29,IF(Skills!C19=3,120+Inputs!$B$27+Inputs!$B$29,MAX(0,(Inputs!$B$3-100)*3)+Inputs!$B$28+Inputs!$B$29)))</f>
        <v/>
      </c>
      <c r="E1341">
        <f>INDEX(FactorTable!$B$2:$Y$301, MATCH(ROUND(MIN(300,MAX(1,D1341)),0), FactorTable!$A$2:$A$301,0), Skills!M19+1)</f>
        <v/>
      </c>
      <c r="F1341">
        <f>IF(Skills!N19=TRUE,(Skills!L19/10)*(E1341/1000),Skills!L19/10)+Skills!O19</f>
        <v/>
      </c>
      <c r="G1341">
        <f>Calc!G19</f>
        <v/>
      </c>
      <c r="H1341">
        <f>Calc!H19</f>
        <v/>
      </c>
      <c r="I1341">
        <f>IF(Skills!X19&lt;&gt;"",1+(Skills!X19/10)*(Z1325/1000)/100,1)</f>
        <v/>
      </c>
      <c r="J1341" t="inlineStr"/>
      <c r="K1341" t="inlineStr"/>
      <c r="L1341" t="inlineStr"/>
      <c r="M1341" t="inlineStr"/>
      <c r="N1341" t="inlineStr"/>
      <c r="O1341">
        <f>(1-Summary!$B$56)*S1341+Summary!$B$56*U1341</f>
        <v/>
      </c>
      <c r="P1341">
        <f>IF(B1363=0,0,O1341/B1363)</f>
        <v/>
      </c>
      <c r="Q1341">
        <f>IFERROR(1/IF(Inputs!$B$38="pvp",15,MAX(0.1,Skills!E19-IF(Skills!F19=TRUE,2.5,0))),0)</f>
        <v/>
      </c>
      <c r="R1341">
        <f>IF(AND(Inputs!$B$38&lt;&gt;"pvp",Inputs!$B$43&gt;0),IF(Inputs!$B$43&lt;=0,0,(INT(Inputs!$B$43/IF(Inputs!$B$38="pvp",15,MAX(0.1,Skills!E19-IF(Skills!F19=TRUE,2.5,0))))+1)),0)</f>
        <v/>
      </c>
      <c r="S1341" t="n">
        <v>0</v>
      </c>
      <c r="U1341" t="n">
        <v>0</v>
      </c>
    </row>
    <row r="1342">
      <c r="A1342">
        <f>Skills!A20</f>
        <v/>
      </c>
      <c r="B1342">
        <f>Skills!B20</f>
        <v/>
      </c>
      <c r="C1342">
        <f>TRUE</f>
        <v/>
      </c>
      <c r="D1342">
        <f>IF(Skills!C20=1,60+Inputs!$B$25+Inputs!$B$29,IF(Skills!C20=2,90+Inputs!$B$26+Inputs!$B$29,IF(Skills!C20=3,120+Inputs!$B$27+Inputs!$B$29,MAX(0,(Inputs!$B$3-100)*3)+Inputs!$B$28+Inputs!$B$29)))</f>
        <v/>
      </c>
      <c r="E1342">
        <f>INDEX(FactorTable!$B$2:$Y$301, MATCH(ROUND(MIN(300,MAX(1,D1342)),0), FactorTable!$A$2:$A$301,0), Skills!M20+1)</f>
        <v/>
      </c>
      <c r="F1342">
        <f>IF(Skills!N20=TRUE,(Skills!L20/10)*(E1342/1000),Skills!L20/10)+Skills!O20</f>
        <v/>
      </c>
      <c r="G1342">
        <f>Calc!G20</f>
        <v/>
      </c>
      <c r="H1342">
        <f>Calc!H20</f>
        <v/>
      </c>
      <c r="I1342">
        <f>IF(Skills!X20&lt;&gt;"",1+(Skills!X20/10)*(Z1325/1000)/100,1)</f>
        <v/>
      </c>
      <c r="J1342" t="inlineStr"/>
      <c r="K1342" t="inlineStr"/>
      <c r="L1342" t="inlineStr"/>
      <c r="M1342" t="inlineStr"/>
      <c r="N1342" t="inlineStr"/>
      <c r="O1342">
        <f>(1-Summary!$B$56)*S1342+Summary!$B$56*U1342</f>
        <v/>
      </c>
      <c r="P1342">
        <f>IF(B1363=0,0,O1342/B1363)</f>
        <v/>
      </c>
      <c r="Q1342">
        <f>IFERROR(1/IF(Inputs!$B$38="pvp",15,MAX(0.1,Skills!E20-IF(Skills!F20=TRUE,2.5,0))),0)</f>
        <v/>
      </c>
      <c r="R1342" t="n">
        <v>0</v>
      </c>
      <c r="S1342" t="n">
        <v>0</v>
      </c>
      <c r="U1342" t="n">
        <v>0</v>
      </c>
    </row>
    <row r="1343">
      <c r="A1343">
        <f>Skills!A21</f>
        <v/>
      </c>
      <c r="B1343">
        <f>Skills!B21</f>
        <v/>
      </c>
      <c r="C1343">
        <f>TRUE</f>
        <v/>
      </c>
      <c r="D1343">
        <f>IF(Skills!C21=1,60+Inputs!$B$25+Inputs!$B$29,IF(Skills!C21=2,90+Inputs!$B$26+Inputs!$B$29,IF(Skills!C21=3,120+Inputs!$B$27+Inputs!$B$29,MAX(0,(Inputs!$B$3-100)*3)+Inputs!$B$28+Inputs!$B$29)))</f>
        <v/>
      </c>
      <c r="E1343">
        <f>INDEX(FactorTable!$B$2:$Y$301, MATCH(ROUND(MIN(300,MAX(1,D1343)),0), FactorTable!$A$2:$A$301,0), Skills!M21+1)</f>
        <v/>
      </c>
      <c r="F1343">
        <f>IF(Skills!N21=TRUE,(Skills!L21/10)*(E1343/1000),Skills!L21/10)+Skills!O21</f>
        <v/>
      </c>
      <c r="G1343">
        <f>Calc!G21</f>
        <v/>
      </c>
      <c r="H1343">
        <f>Calc!H21</f>
        <v/>
      </c>
      <c r="I1343">
        <f>IF(Skills!X21&lt;&gt;"",1+(Skills!X21/10)*(Z1325/1000)/100,1)</f>
        <v/>
      </c>
      <c r="J1343" t="inlineStr"/>
      <c r="K1343" t="inlineStr"/>
      <c r="L1343" t="inlineStr"/>
      <c r="M1343" t="inlineStr"/>
      <c r="N1343" t="inlineStr"/>
      <c r="O1343">
        <f>(1-Summary!$B$56)*S1343+Summary!$B$56*U1343</f>
        <v/>
      </c>
      <c r="P1343">
        <f>IF(B1363=0,0,O1343/B1363)</f>
        <v/>
      </c>
      <c r="Q1343">
        <f>IFERROR(1/IF(Inputs!$B$38="pvp",15,MAX(0.1,Skills!E21-IF(Skills!F21=TRUE,2.5,0))),0)</f>
        <v/>
      </c>
      <c r="R1343" t="n">
        <v>0</v>
      </c>
      <c r="S1343" t="n">
        <v>0</v>
      </c>
      <c r="U1343" t="n">
        <v>0</v>
      </c>
    </row>
    <row r="1344">
      <c r="A1344">
        <f>Skills!A22</f>
        <v/>
      </c>
      <c r="B1344">
        <f>Skills!B22</f>
        <v/>
      </c>
      <c r="C1344">
        <f>TRUE</f>
        <v/>
      </c>
      <c r="D1344">
        <f>IF(Skills!C22=1,60+Inputs!$B$25+Inputs!$B$29,IF(Skills!C22=2,90+Inputs!$B$26+Inputs!$B$29,IF(Skills!C22=3,120+Inputs!$B$27+Inputs!$B$29,MAX(0,(Inputs!$B$3-100)*3)+Inputs!$B$28+Inputs!$B$29)))</f>
        <v/>
      </c>
      <c r="E1344">
        <f>INDEX(FactorTable!$B$2:$Y$301, MATCH(ROUND(MIN(300,MAX(1,D1344)),0), FactorTable!$A$2:$A$301,0), Skills!M22+1)</f>
        <v/>
      </c>
      <c r="F1344">
        <f>IF(Skills!N22=TRUE,(Skills!L22/10)*(E1344/1000),Skills!L22/10)+Skills!O22</f>
        <v/>
      </c>
      <c r="G1344">
        <f>Calc!G22</f>
        <v/>
      </c>
      <c r="H1344">
        <f>Calc!H22</f>
        <v/>
      </c>
      <c r="I1344">
        <f>IF(Skills!X22&lt;&gt;"",1+(Skills!X22/10)*(Z1325/1000)/100,1)</f>
        <v/>
      </c>
      <c r="J1344" t="inlineStr"/>
      <c r="K1344" t="inlineStr"/>
      <c r="L1344" t="inlineStr"/>
      <c r="M1344" t="inlineStr"/>
      <c r="N1344" t="inlineStr"/>
      <c r="O1344">
        <f>(1-Summary!$B$56)*S1344+Summary!$B$56*U1344</f>
        <v/>
      </c>
      <c r="P1344">
        <f>IF(B1363=0,0,O1344/B1363)</f>
        <v/>
      </c>
      <c r="Q1344">
        <f>IFERROR(1/IF(Inputs!$B$38="pvp",15,MAX(0.1,Skills!E22-IF(Skills!F22=TRUE,2.5,0))),0)</f>
        <v/>
      </c>
      <c r="R1344" t="n">
        <v>0</v>
      </c>
      <c r="S1344" t="n">
        <v>0</v>
      </c>
      <c r="U1344" t="n">
        <v>0</v>
      </c>
    </row>
    <row r="1345">
      <c r="A1345">
        <f>Skills!A23</f>
        <v/>
      </c>
      <c r="B1345">
        <f>Skills!B23</f>
        <v/>
      </c>
      <c r="C1345">
        <f>TRUE</f>
        <v/>
      </c>
      <c r="D1345">
        <f>IF(Skills!C23=1,60+Inputs!$B$25+Inputs!$B$29,IF(Skills!C23=2,90+Inputs!$B$26+Inputs!$B$29,IF(Skills!C23=3,120+Inputs!$B$27+Inputs!$B$29,MAX(0,(Inputs!$B$3-100)*3)+Inputs!$B$28+Inputs!$B$29)))</f>
        <v/>
      </c>
      <c r="E1345">
        <f>INDEX(FactorTable!$B$2:$Y$301, MATCH(ROUND(MIN(300,MAX(1,D1345)),0), FactorTable!$A$2:$A$301,0), Skills!M23+1)</f>
        <v/>
      </c>
      <c r="F1345">
        <f>IF(Skills!N23=TRUE,(Skills!L23/10)*(E1345/1000),Skills!L23/10)+Skills!O23</f>
        <v/>
      </c>
      <c r="G1345">
        <f>Calc!G23</f>
        <v/>
      </c>
      <c r="H1345">
        <f>Calc!H23</f>
        <v/>
      </c>
      <c r="I1345">
        <f>IF(Skills!X23&lt;&gt;"",1+(Skills!X23/10)*(Z1325/1000)/100,1)</f>
        <v/>
      </c>
      <c r="J1345" t="inlineStr"/>
      <c r="K1345" t="inlineStr"/>
      <c r="L1345" t="inlineStr"/>
      <c r="M1345" t="inlineStr"/>
      <c r="N1345" t="inlineStr"/>
      <c r="O1345">
        <f>(1-Summary!$B$56)*S1345+Summary!$B$56*U1345</f>
        <v/>
      </c>
      <c r="P1345">
        <f>IF(B1363=0,0,O1345/B1363)</f>
        <v/>
      </c>
      <c r="Q1345">
        <f>IFERROR(1/IF(Inputs!$B$38="pvp",15,MAX(0.1,Skills!E23-IF(Skills!F23=TRUE,2.5,0))),0)</f>
        <v/>
      </c>
      <c r="R1345" t="n">
        <v>0</v>
      </c>
      <c r="S1345" t="n">
        <v>0</v>
      </c>
      <c r="U1345" t="n">
        <v>0</v>
      </c>
    </row>
    <row r="1346">
      <c r="A1346">
        <f>Skills!A24</f>
        <v/>
      </c>
      <c r="B1346">
        <f>Skills!B24</f>
        <v/>
      </c>
      <c r="C1346">
        <f>Inputs!$B$3&gt;=115</f>
        <v/>
      </c>
      <c r="D1346">
        <f>IF(Skills!C24=1,60+Inputs!$B$25+Inputs!$B$29,IF(Skills!C24=2,90+Inputs!$B$26+Inputs!$B$29,IF(Skills!C24=3,120+Inputs!$B$27+Inputs!$B$29,MAX(0,(Inputs!$B$3-100)*3)+Inputs!$B$28+Inputs!$B$29)))</f>
        <v/>
      </c>
      <c r="E1346">
        <f>INDEX(FactorTable!$B$2:$Y$301, MATCH(ROUND(MIN(300,MAX(1,D1346)),0), FactorTable!$A$2:$A$301,0), Skills!M24+1)</f>
        <v/>
      </c>
      <c r="F1346">
        <f>IF(Skills!N24=TRUE,(Skills!L24/10)*(E1346/1000),Skills!L24/10)+Skills!O24</f>
        <v/>
      </c>
      <c r="G1346">
        <f>Calc!G24</f>
        <v/>
      </c>
      <c r="H1346">
        <f>Calc!H24</f>
        <v/>
      </c>
      <c r="I1346">
        <f>IF(Skills!X24&lt;&gt;"",1+(Skills!X24/10)*(Z1325/1000)/100,1)</f>
        <v/>
      </c>
      <c r="J1346">
        <f>((Inputs!$B$6*(1+Inputs!$B$7/100))+(((Inputs!$B$12*(1+Inputs!$B$13/100))-(Inputs!$B$12*(1+Inputs!$B$13/100)))+0.25*(Inputs!$B$14-Inputs!$B$14))*(1+Inputs!$B$7/100))*(F1346/100)</f>
        <v/>
      </c>
      <c r="K1346">
        <f>J1346*(1+((Inputs!$B$12*(1+Inputs!$B$13/100))*0.01+Inputs!$B$14*0.0025)/100)*(1+Inputs!$B$15/100)*(1+Inputs!$B$16/100)*(5000/(6000+Inputs!$B$42*(1-Inputs!$B$19/100)))*(1+Inputs!$B$24/100)*(1+F1345/100)*(1+IF(Inputs!$B$3&gt;=120,F1348,0)/100)^5*(1+(IF(Skills!A24="BASIC_ATTACK",Inputs!$B$17,Inputs!$B$18+IF(Inputs!$B$3&gt;=125,F1349*5,0)))/100)*(B1352*B1353*B1354*I1346)</f>
        <v/>
      </c>
      <c r="L1346">
        <f>K1346*(MIN(Inputs!$B$22+(F1344-Calc!F22),Inputs!$B$23)/100+Inputs!$B$23/100)/2</f>
        <v/>
      </c>
      <c r="M1346">
        <f>L1346*(1+(Inputs!$B$10+(F1343-Calc!F21))/100)</f>
        <v/>
      </c>
      <c r="N1346">
        <f>L1346*(1-MIN(Inputs!$B$9+(F1342-Calc!F20),100)/100)+M1346*(MIN(Inputs!$B$9+(F1342-Calc!F20),100)/100)</f>
        <v/>
      </c>
      <c r="O1346">
        <f>(1-Summary!$B$56)*S1346+Summary!$B$56*U1346</f>
        <v/>
      </c>
      <c r="P1346">
        <f>IF(B1363=0,0,O1346/B1363)</f>
        <v/>
      </c>
      <c r="Q1346">
        <f>IFERROR(1/IF(Inputs!$B$38="pvp",15,MAX(0.1,Skills!E24-IF(Skills!F24=TRUE,2.5,0))),0)</f>
        <v/>
      </c>
      <c r="R1346">
        <f>IF(AND(Inputs!$B$38&lt;&gt;"pvp",Inputs!$B$43&gt;0),IF(MAX(0,Inputs!$B$43-B1360)&lt;=0,0,(INT(MAX(0,Inputs!$B$43-B1360)/IF(Inputs!$B$38="pvp",15,MAX(0.1,Skills!E24-IF(Skills!F24=TRUE,2.5,0))))+1)),0)</f>
        <v/>
      </c>
      <c r="S1346">
        <f>IF(C1346,(H1346*N1346*IF(AND(Inputs!$B$38&lt;&gt;"pvp",Inputs!$B$43&gt;0),((Skills!G24*((R1346-1)*IF(Skills!H24&gt;0,Skills!I24/Skills!H24,1)+IF(Skills!H24&gt;0,MIN(Skills!I24,MAX(0,MAX(0,Inputs!$B$43-B1360)-((R1346-1)*IF(Inputs!$B$38="pvp",15,MAX(0.1,Skills!E24-IF(Skills!F24=TRUE,2.5,0))))))/Skills!H24,1)))/Inputs!$B$43),G1346*Q1346)*(1+IF(Inputs!$B$3&gt;=130,0.2*(Skills!I16/Skills!E15+IF(Inputs!$B$3&gt;=126,0.05*(B1358+Q1335+(H1336*B1359)/(1+Skills!H14*H1336*B1359)+Q1346),0)*Skills!I16),0)))*IF(Inputs!$B$38="pvp",1,1+(Inputs!$B$20+Skills!P24)/100),0)</f>
        <v/>
      </c>
      <c r="U1346">
        <f>IF(C1346,(H1346*N1346*IF(AND(Inputs!$B$38&lt;&gt;"pvp",Inputs!$B$43&gt;0),((Skills!G24*((R1346-1)*IF(Skills!H24&gt;0,Skills!I24/Skills!H24,1)+IF(Skills!H24&gt;0,MIN(Skills!I24,MAX(0,MAX(0,Inputs!$B$43-B1360)-((R1346-1)*IF(Inputs!$B$38="pvp",15,MAX(0.1,Skills!E24-IF(Skills!F24=TRUE,2.5,0))))))/Skills!H24,1)))/Inputs!$B$43),G1346*Q1346)*(1+IF(Inputs!$B$3&gt;=130,0.2*(Skills!I16/Skills!E15+IF(Inputs!$B$3&gt;=126,0.05*(B1358+Q1335+(H1336*B1359)/(1+Skills!H14*H1336*B1359)+Q1346),0)*Skills!I16),0)))*IF(Inputs!$B$38="pvp",1,(1+(Inputs!$B$21+Skills!Q24)/100)*(MIN(Skills!R24,Inputs!$B$37))),0)</f>
        <v/>
      </c>
    </row>
    <row r="1347">
      <c r="A1347">
        <f>Skills!A25</f>
        <v/>
      </c>
      <c r="B1347">
        <f>Skills!B25</f>
        <v/>
      </c>
      <c r="C1347">
        <f>Inputs!$B$3&gt;=117</f>
        <v/>
      </c>
      <c r="D1347">
        <f>IF(Skills!C25=1,60+Inputs!$B$25+Inputs!$B$29,IF(Skills!C25=2,90+Inputs!$B$26+Inputs!$B$29,IF(Skills!C25=3,120+Inputs!$B$27+Inputs!$B$29,MAX(0,(Inputs!$B$3-100)*3)+Inputs!$B$28+Inputs!$B$29)))</f>
        <v/>
      </c>
      <c r="E1347">
        <f>INDEX(FactorTable!$B$2:$Y$301, MATCH(ROUND(MIN(300,MAX(1,D1347)),0), FactorTable!$A$2:$A$301,0), Skills!M25+1)</f>
        <v/>
      </c>
      <c r="F1347">
        <f>IF(Skills!N25=TRUE,(Skills!L25/10)*(E1347/1000),Skills!L25/10)+Skills!O25</f>
        <v/>
      </c>
      <c r="G1347">
        <f>Calc!G25</f>
        <v/>
      </c>
      <c r="H1347">
        <f>Calc!H25</f>
        <v/>
      </c>
      <c r="I1347">
        <f>IF(Skills!X25&lt;&gt;"",1+(Skills!X25/10)*(Z1325/1000)/100,1)</f>
        <v/>
      </c>
      <c r="J1347" t="inlineStr"/>
      <c r="K1347" t="inlineStr"/>
      <c r="L1347" t="inlineStr"/>
      <c r="M1347" t="inlineStr"/>
      <c r="N1347" t="inlineStr"/>
      <c r="O1347">
        <f>(1-Summary!$B$56)*S1347+Summary!$B$56*U1347</f>
        <v/>
      </c>
      <c r="P1347">
        <f>IF(B1363=0,0,O1347/B1363)</f>
        <v/>
      </c>
      <c r="Q1347">
        <f>IFERROR(1/IF(Inputs!$B$38="pvp",15,MAX(0.1,Skills!E25-IF(Skills!F25=TRUE,2.5,0))),0)</f>
        <v/>
      </c>
      <c r="R1347" t="n">
        <v>0</v>
      </c>
      <c r="S1347" t="n">
        <v>0</v>
      </c>
      <c r="U1347" t="n">
        <v>0</v>
      </c>
    </row>
    <row r="1348">
      <c r="A1348">
        <f>Skills!A26</f>
        <v/>
      </c>
      <c r="B1348">
        <f>Skills!B26</f>
        <v/>
      </c>
      <c r="C1348">
        <f>Inputs!$B$3&gt;=120</f>
        <v/>
      </c>
      <c r="D1348">
        <f>IF(Skills!C26=1,60+Inputs!$B$25+Inputs!$B$29,IF(Skills!C26=2,90+Inputs!$B$26+Inputs!$B$29,IF(Skills!C26=3,120+Inputs!$B$27+Inputs!$B$29,MAX(0,(Inputs!$B$3-100)*3)+Inputs!$B$28+Inputs!$B$29)))</f>
        <v/>
      </c>
      <c r="E1348">
        <f>INDEX(FactorTable!$B$2:$Y$301, MATCH(ROUND(MIN(300,MAX(1,D1348)),0), FactorTable!$A$2:$A$301,0), Skills!M26+1)</f>
        <v/>
      </c>
      <c r="F1348">
        <f>IF(Skills!N26=TRUE,(Skills!L26/10)*(E1348/1000),Skills!L26/10)+Skills!O26</f>
        <v/>
      </c>
      <c r="G1348">
        <f>Calc!G26</f>
        <v/>
      </c>
      <c r="H1348">
        <f>Calc!H26</f>
        <v/>
      </c>
      <c r="I1348">
        <f>IF(Skills!X26&lt;&gt;"",1+(Skills!X26/10)*(Z1325/1000)/100,1)</f>
        <v/>
      </c>
      <c r="J1348" t="inlineStr"/>
      <c r="K1348" t="inlineStr"/>
      <c r="L1348" t="inlineStr"/>
      <c r="M1348" t="inlineStr"/>
      <c r="N1348" t="inlineStr"/>
      <c r="O1348">
        <f>(1-Summary!$B$56)*S1348+Summary!$B$56*U1348</f>
        <v/>
      </c>
      <c r="P1348">
        <f>IF(B1363=0,0,O1348/B1363)</f>
        <v/>
      </c>
      <c r="Q1348">
        <f>IFERROR(1/IF(Inputs!$B$38="pvp",15,MAX(0.1,Skills!E26-IF(Skills!F26=TRUE,2.5,0))),0)</f>
        <v/>
      </c>
      <c r="R1348" t="n">
        <v>0</v>
      </c>
      <c r="S1348" t="n">
        <v>0</v>
      </c>
      <c r="U1348" t="n">
        <v>0</v>
      </c>
    </row>
    <row r="1349">
      <c r="A1349">
        <f>Skills!A27</f>
        <v/>
      </c>
      <c r="B1349">
        <f>Skills!B27</f>
        <v/>
      </c>
      <c r="C1349">
        <f>Inputs!$B$3&gt;=125</f>
        <v/>
      </c>
      <c r="D1349">
        <f>IF(Skills!C27=1,60+Inputs!$B$25+Inputs!$B$29,IF(Skills!C27=2,90+Inputs!$B$26+Inputs!$B$29,IF(Skills!C27=3,120+Inputs!$B$27+Inputs!$B$29,MAX(0,(Inputs!$B$3-100)*3)+Inputs!$B$28+Inputs!$B$29)))</f>
        <v/>
      </c>
      <c r="E1349">
        <f>INDEX(FactorTable!$B$2:$Y$301, MATCH(ROUND(MIN(300,MAX(1,D1349)),0), FactorTable!$A$2:$A$301,0), Skills!M27+1)</f>
        <v/>
      </c>
      <c r="F1349">
        <f>IF(Skills!N27=TRUE,(Skills!L27/10)*(E1349/1000),Skills!L27/10)+Skills!O27</f>
        <v/>
      </c>
      <c r="G1349">
        <f>Calc!G27</f>
        <v/>
      </c>
      <c r="H1349">
        <f>Calc!H27</f>
        <v/>
      </c>
      <c r="I1349">
        <f>IF(Skills!X27&lt;&gt;"",1+(Skills!X27/10)*(Z1325/1000)/100,1)</f>
        <v/>
      </c>
      <c r="J1349" t="inlineStr"/>
      <c r="K1349" t="inlineStr"/>
      <c r="L1349" t="inlineStr"/>
      <c r="M1349" t="inlineStr"/>
      <c r="N1349" t="inlineStr"/>
      <c r="O1349">
        <f>(1-Summary!$B$56)*S1349+Summary!$B$56*U1349</f>
        <v/>
      </c>
      <c r="P1349">
        <f>IF(B1363=0,0,O1349/B1363)</f>
        <v/>
      </c>
      <c r="Q1349">
        <f>IFERROR(1/IF(Inputs!$B$38="pvp",15,MAX(0.1,Skills!E27-IF(Skills!F27=TRUE,2.5,0))),0)</f>
        <v/>
      </c>
      <c r="R1349" t="n">
        <v>0</v>
      </c>
      <c r="S1349" t="n">
        <v>0</v>
      </c>
      <c r="U1349" t="n">
        <v>0</v>
      </c>
    </row>
    <row r="1350">
      <c r="A1350">
        <f>Skills!A28</f>
        <v/>
      </c>
      <c r="B1350">
        <f>Skills!B28</f>
        <v/>
      </c>
      <c r="C1350">
        <f>Inputs!$B$3&gt;=118</f>
        <v/>
      </c>
      <c r="D1350">
        <f>IF(Skills!C28=1,60+Inputs!$B$25+Inputs!$B$29,IF(Skills!C28=2,90+Inputs!$B$26+Inputs!$B$29,IF(Skills!C28=3,120+Inputs!$B$27+Inputs!$B$29,MAX(0,(Inputs!$B$3-100)*3)+Inputs!$B$28+Inputs!$B$29)))</f>
        <v/>
      </c>
      <c r="E1350">
        <f>INDEX(FactorTable!$B$2:$Y$301, MATCH(ROUND(MIN(300,MAX(1,D1350)),0), FactorTable!$A$2:$A$301,0), Skills!M28+1)</f>
        <v/>
      </c>
      <c r="F1350">
        <f>IF(Skills!N28=TRUE,(Skills!L28/10)*(E1350/1000),Skills!L28/10)+Skills!O28</f>
        <v/>
      </c>
      <c r="G1350">
        <f>Calc!G28</f>
        <v/>
      </c>
      <c r="H1350">
        <f>Calc!H28</f>
        <v/>
      </c>
      <c r="I1350">
        <f>IF(Skills!X28&lt;&gt;"",1+(Skills!X28/10)*(Z1325/1000)/100,1)</f>
        <v/>
      </c>
      <c r="J1350">
        <f>((Inputs!$B$6*(1+Inputs!$B$7/100))+(((Inputs!$B$12*(1+Inputs!$B$13/100))-(Inputs!$B$12*(1+Inputs!$B$13/100)))+0.25*(Inputs!$B$14-Inputs!$B$14))*(1+Inputs!$B$7/100))*(F1350/100)</f>
        <v/>
      </c>
      <c r="K1350">
        <f>J1350*(1+((Inputs!$B$12*(1+Inputs!$B$13/100))*0.01+Inputs!$B$14*0.0025)/100)*(1+Inputs!$B$15/100)*(1+Inputs!$B$16/100)*(5000/(6000+Inputs!$B$42*(1-Inputs!$B$19/100)))*(1+Inputs!$B$24/100)*(1+F1345/100)*(1+IF(Inputs!$B$3&gt;=120,F1348,0)/100)^5*(1+(IF(Skills!A28="BASIC_ATTACK",Inputs!$B$17,Inputs!$B$18+IF(Inputs!$B$3&gt;=125,F1349*5,0)))/100)*(B1352*B1353*B1354*I1350)</f>
        <v/>
      </c>
      <c r="L1350">
        <f>K1350*(MIN(Inputs!$B$22+(F1344-Calc!F22),Inputs!$B$23)/100+Inputs!$B$23/100)/2</f>
        <v/>
      </c>
      <c r="M1350">
        <f>L1350*(1+(Inputs!$B$10+(F1343-Calc!F21))/100)</f>
        <v/>
      </c>
      <c r="N1350">
        <f>L1350*(1-MIN(Inputs!$B$9+(F1342-Calc!F20),100)/100)+M1350*(MIN(Inputs!$B$9+(F1342-Calc!F20),100)/100)</f>
        <v/>
      </c>
      <c r="O1350">
        <f>(1-Summary!$B$56)*S1350+Summary!$B$56*U1350</f>
        <v/>
      </c>
      <c r="P1350">
        <f>IF(B1363=0,0,O1350/B1363)</f>
        <v/>
      </c>
      <c r="Q1350">
        <f>IFERROR(1/IF(Inputs!$B$38="pvp",15,MAX(0.1,Skills!E28-IF(Skills!F28=TRUE,2.5,0))),0)</f>
        <v/>
      </c>
      <c r="R1350">
        <f>IF(AND(Inputs!$B$38&lt;&gt;"pvp",Inputs!$B$43&gt;0),IF(MAX(0,Inputs!$B$43-B1360)&lt;=0,0,(INT(MAX(0,Inputs!$B$43-B1360)/IF(Inputs!$B$38="pvp",15,MAX(0.1,Skills!E28-IF(Skills!F28=TRUE,2.5,0))))+1)),0)</f>
        <v/>
      </c>
      <c r="S1350">
        <f>IF(C1350,(H1350*N1350*IF(AND(Inputs!$B$38&lt;&gt;"pvp",Inputs!$B$43&gt;0),((Skills!G28*((R1350-1)*IF(Skills!H28&gt;0,Skills!I28/Skills!H28,1)+IF(Skills!H28&gt;0,MIN(Skills!I28,MAX(0,MAX(0,Inputs!$B$43-B1360)-((R1350-1)*IF(Inputs!$B$38="pvp",15,MAX(0.1,Skills!E28-IF(Skills!F28=TRUE,2.5,0))))))/Skills!H28,1)))/Inputs!$B$43),G1350*Q1350))*IF(Inputs!$B$38="pvp",1,1+(Inputs!$B$20+Skills!P28)/100),0)</f>
        <v/>
      </c>
      <c r="U1350">
        <f>IF(C1350,(H1350*N1350*IF(AND(Inputs!$B$38&lt;&gt;"pvp",Inputs!$B$43&gt;0),((Skills!G28*((R1350-1)*IF(Skills!H28&gt;0,Skills!I28/Skills!H28,1)+IF(Skills!H28&gt;0,MIN(Skills!I28,MAX(0,MAX(0,Inputs!$B$43-B1360)-((R1350-1)*IF(Inputs!$B$38="pvp",15,MAX(0.1,Skills!E28-IF(Skills!F28=TRUE,2.5,0))))))/Skills!H28,1)))/Inputs!$B$43),G1350*Q1350))*IF(Inputs!$B$38="pvp",1,(1+(Inputs!$B$21+Skills!Q28)/100)*(MIN(Skills!R28,Inputs!$B$37))),0)</f>
        <v/>
      </c>
    </row>
    <row r="1352">
      <c r="A1352" t="inlineStr">
        <is>
          <t>Burning Magic Multiplier</t>
        </is>
      </c>
      <c r="B1352">
        <f>1+(F1333*Skills!Z11)/100</f>
        <v/>
      </c>
    </row>
    <row r="1353">
      <c r="A1353" t="inlineStr">
        <is>
          <t>Elemental Decrease Multiplier (always-on)</t>
        </is>
      </c>
      <c r="B1353">
        <f>1+F1334/100</f>
        <v/>
      </c>
    </row>
    <row r="1354">
      <c r="A1354" t="inlineStr">
        <is>
          <t>Average Buff Multiplier (Magic Guard + Meditation, summed; then Infinity)</t>
        </is>
      </c>
      <c r="B1354">
        <f>(1+(F1328*IF(AND(Inputs!$B$38&lt;&gt;"pvp",Inputs!$B$43&gt;0),(((R1328-1)*(Skills!T6*(1+(Inputs!$B$34+IF(Inputs!$B$3&gt;=117,F1347,0))/100))+MIN((Skills!T6*(1+(Inputs!$B$34+IF(Inputs!$B$3&gt;=117,F1347,0))/100)),MAX(0,Inputs!$B$43-((R1328-1)*Skills!E6))))/Inputs!$B$43),IF(Inputs!$B$38="pvp",MIN((Skills!T6*(1+(Inputs!$B$34+IF(Inputs!$B$3&gt;=117,F1347,0))/100)),15)/15,(Skills!T6*(1+(Inputs!$B$34+IF(Inputs!$B$3&gt;=117,F1347,0))/100))/Skills!E6))+F1339*IF(AND(Inputs!$B$38&lt;&gt;"pvp",Inputs!$B$43&gt;0),(((R1339-1)*(Skills!T17*(1+(Inputs!$B$34+IF(Inputs!$B$3&gt;=117,F1347,0))/100))+MIN((Skills!T17*(1+(Inputs!$B$34+IF(Inputs!$B$3&gt;=117,F1347,0))/100)),MAX(0,Inputs!$B$43-((R1339-1)*Skills!E17))))/Inputs!$B$43),IF(Inputs!$B$38="pvp",MIN((Skills!T17*(1+(Inputs!$B$34+IF(Inputs!$B$3&gt;=117,F1347,0))/100)),15)/15,(Skills!T17*(1+(Inputs!$B$34+IF(Inputs!$B$3&gt;=117,F1347,0))/100))/Skills!E17)))/100)*IF(C1341=TRUE,(1+F1341*IF(AND(Inputs!$B$38&lt;&gt;"pvp",Inputs!$B$43&gt;0),(((R1341-1)*(Skills!T19*(1+(Inputs!$B$34+IF(Inputs!$B$3&gt;=117,F1347,0))/100))+MIN((Skills!T19*(1+(Inputs!$B$34+IF(Inputs!$B$3&gt;=117,F1347,0))/100)),MAX(0,Inputs!$B$43-((R1341-1)*Skills!E19))))/Inputs!$B$43),IF(Inputs!$B$38="pvp",MIN((Skills!T19*(1+(Inputs!$B$34+IF(Inputs!$B$3&gt;=117,F1347,0))/100)),15)/15,(Skills!T19*(1+(Inputs!$B$34+IF(Inputs!$B$3&gt;=117,F1347,0))/100))/Skills!E19))/100),1)</f>
        <v/>
      </c>
    </row>
    <row r="1355">
      <c r="A1355" t="inlineStr">
        <is>
          <t>Attack Speed Buff Bonus % (Nimble Feet, averaged)</t>
        </is>
      </c>
      <c r="B1355">
        <f>F1340*IF(AND(Inputs!$B$38&lt;&gt;"pvp",Inputs!$B$43&gt;0),(((R1340-1)*(Skills!T18*(1+(Inputs!$B$34+IF(Inputs!$B$3&gt;=117,F1347,0))/100))+MIN((Skills!T18*(1+(Inputs!$B$34+IF(Inputs!$B$3&gt;=117,F1347,0))/100)),MAX(0,Inputs!$B$43-((R1340-1)*Skills!E18))))/Inputs!$B$43),IF(Inputs!$B$38="pvp",MIN((Skills!T18*(1+(Inputs!$B$34+IF(Inputs!$B$3&gt;=117,F1347,0))/100)),15)/15,(Skills!T18*(1+(Inputs!$B$34+IF(Inputs!$B$3&gt;=117,F1347,0))/100))/Skills!E18))</f>
        <v/>
      </c>
    </row>
    <row r="1356">
      <c r="A1356" t="inlineStr">
        <is>
          <t>Actions Per Second</t>
        </is>
      </c>
      <c r="B1356">
        <f>1+MIN(150,150*(1-(1-Inputs!$B$11/150)*(1-B1355/150)))/100</f>
        <v/>
      </c>
    </row>
    <row r="1357">
      <c r="A1357" t="inlineStr">
        <is>
          <t>Skill + Buff Cast Rate</t>
        </is>
      </c>
      <c r="B1357">
        <f>IF(AND(Inputs!$B$38&lt;&gt;"pvp",Inputs!$B$43&gt;0),SUMPRODUCT((Skills!F2:F28=TRUE)*(C1324:C1350=TRUE)*R1324:R1350)/Inputs!$B$43,SUMPRODUCT((Skills!F2:F28=TRUE)*(C1324:C1350=TRUE)*Q1324:Q1350))</f>
        <v/>
      </c>
    </row>
    <row r="1358">
      <c r="A1358" t="inlineStr">
        <is>
          <t>Basic Attacks Per Second</t>
        </is>
      </c>
      <c r="B1358">
        <f>MAX(0,B1356-B1357)</f>
        <v/>
      </c>
    </row>
    <row r="1359">
      <c r="A1359" t="inlineStr">
        <is>
          <t>Meteor Proc — combined trigger cast rate</t>
        </is>
      </c>
      <c r="B1359">
        <f>IF(AND(Inputs!$B$38&lt;&gt;"pvp",Inputs!$B$43&gt;0),SUMPRODUCT((Skills!V2:V28=TRUE)*(C1324:C1350=TRUE)*R1324:R1350*Skills!W2:W28)/Inputs!$B$43,SUMPRODUCT((Skills!V2:V28=TRUE)*(C1324:C1350=TRUE)*Q1324:Q1350*Skills!W2:W28))+B1358</f>
        <v/>
      </c>
    </row>
    <row r="1360">
      <c r="A1360" t="inlineStr">
        <is>
          <t>Buff-Casting Startup Delay (s, fixed-duration only)</t>
        </is>
      </c>
      <c r="B1360">
        <f>IF(AND(Inputs!$B$38&lt;&gt;"pvp",Inputs!$B$43&gt;0),SUMPRODUCT((Skills!T2:T28&gt;0)*(Skills!F2:F28=TRUE)*(C1324:C1350=TRUE))/B1356,0)</f>
        <v/>
      </c>
    </row>
    <row r="1361">
      <c r="A1361" t="inlineStr">
        <is>
          <t>Boss-Only Total DPS (this block's swept value)</t>
        </is>
      </c>
      <c r="B1361">
        <f>SUM(S1324:S1350)</f>
        <v/>
      </c>
    </row>
    <row r="1362">
      <c r="A1362" t="inlineStr">
        <is>
          <t>Normal-Only Total DPS (this block's swept value)</t>
        </is>
      </c>
      <c r="B1362">
        <f>SUM(U1324:U1350)</f>
        <v/>
      </c>
    </row>
    <row r="1363">
      <c r="A1363" s="5" t="inlineStr">
        <is>
          <t>TOTAL DPS</t>
        </is>
      </c>
      <c r="B1363" s="5">
        <f>SUM(O1324:O1350)</f>
        <v/>
      </c>
    </row>
    <row r="1366">
      <c r="A1366" s="5" t="inlineStr">
        <is>
          <t>Stat: CDR = 3.0s</t>
        </is>
      </c>
    </row>
    <row r="1367">
      <c r="A1367" s="9" t="inlineStr">
        <is>
          <t>Key</t>
        </is>
      </c>
      <c r="B1367" s="9" t="inlineStr">
        <is>
          <t>Name</t>
        </is>
      </c>
      <c r="C1367" s="9" t="inlineStr">
        <is>
          <t>Unlocked</t>
        </is>
      </c>
      <c r="D1367" s="9" t="inlineStr">
        <is>
          <t>InputLevel</t>
        </is>
      </c>
      <c r="E1367" s="9" t="inlineStr">
        <is>
          <t>Factor</t>
        </is>
      </c>
      <c r="F1367" s="9" t="inlineStr">
        <is>
          <t>CoefficientPercent</t>
        </is>
      </c>
      <c r="G1367" s="9" t="inlineStr">
        <is>
          <t>EffectiveHits</t>
        </is>
      </c>
      <c r="H1367" s="9" t="inlineStr">
        <is>
          <t>ProcProbability</t>
        </is>
      </c>
      <c r="I1367" s="9" t="inlineStr">
        <is>
          <t>MapleHeroMultiplier</t>
        </is>
      </c>
      <c r="J1367" s="9" t="inlineStr">
        <is>
          <t>BaseDamage</t>
        </is>
      </c>
      <c r="K1367" s="9" t="inlineStr">
        <is>
          <t>BaseHitDamage</t>
        </is>
      </c>
      <c r="L1367" s="9" t="inlineStr">
        <is>
          <t>NonCritAvg</t>
        </is>
      </c>
      <c r="M1367" s="9" t="inlineStr">
        <is>
          <t>CritAvg</t>
        </is>
      </c>
      <c r="N1367" s="9" t="inlineStr">
        <is>
          <t>ExpectedDamage(perHit)</t>
        </is>
      </c>
      <c r="O1367" s="9" t="inlineStr">
        <is>
          <t>DPS</t>
        </is>
      </c>
      <c r="P1367" s="9" t="inlineStr">
        <is>
          <t>% of Total</t>
        </is>
      </c>
      <c r="R1367" t="inlineStr">
        <is>
          <t>helpers</t>
        </is>
      </c>
    </row>
    <row r="1368">
      <c r="A1368">
        <f>Skills!A2</f>
        <v/>
      </c>
      <c r="B1368">
        <f>Skills!B2</f>
        <v/>
      </c>
      <c r="C1368">
        <f>TRUE</f>
        <v/>
      </c>
      <c r="D1368" t="inlineStr"/>
      <c r="E1368" t="inlineStr"/>
      <c r="F1368">
        <f>T1370+Skills!O2</f>
        <v/>
      </c>
      <c r="G1368">
        <f>Calc!G2</f>
        <v/>
      </c>
      <c r="H1368">
        <f>Calc!H2</f>
        <v/>
      </c>
      <c r="I1368">
        <f>IF(Skills!X2&lt;&gt;"",1+(Skills!X2/10)*(Z1369/1000)/100,1)</f>
        <v/>
      </c>
      <c r="J1368">
        <f>((Inputs!$B$6*(1+Inputs!$B$7/100))+(((Inputs!$B$12*(1+Inputs!$B$13/100))-(Inputs!$B$12*(1+Inputs!$B$13/100)))+0.25*(Inputs!$B$14-Inputs!$B$14))*(1+Inputs!$B$7/100))*(F1368/100)</f>
        <v/>
      </c>
      <c r="K1368">
        <f>J1368*(1+((Inputs!$B$12*(1+Inputs!$B$13/100))*0.01+Inputs!$B$14*0.0025)/100)*(1+Inputs!$B$15/100)*(1+Inputs!$B$16/100)*(5000/(6000+Inputs!$B$42*(1-Inputs!$B$19/100)))*(1+Inputs!$B$24/100)*(1+F1389/100)*(1+IF(Inputs!$B$3&gt;=120,F1392,0)/100)^5*(1+(IF(Skills!A2="BASIC_ATTACK",Inputs!$B$17,Inputs!$B$18+IF(Inputs!$B$3&gt;=125,F1393*5,0)))/100)*(B1396*B1397*B1398*I1368)</f>
        <v/>
      </c>
      <c r="L1368">
        <f>K1368*(MIN(Inputs!$B$22+(F1388-Calc!F22),Inputs!$B$23)/100+Inputs!$B$23/100)/2</f>
        <v/>
      </c>
      <c r="M1368">
        <f>L1368*(1+(Inputs!$B$10+(F1387-Calc!F21))/100)</f>
        <v/>
      </c>
      <c r="N1368">
        <f>L1368*(1-MIN(Inputs!$B$9+(F1386-Calc!F20),100)/100)+M1368*(MIN(Inputs!$B$9+(F1386-Calc!F20),100)/100)</f>
        <v/>
      </c>
      <c r="O1368">
        <f>(1-Summary!$B$56)*S1368+Summary!$B$56*U1368</f>
        <v/>
      </c>
      <c r="P1368">
        <f>IF(B1407=0,0,O1368/B1407)</f>
        <v/>
      </c>
      <c r="Q1368">
        <f>IFERROR(1/IF(Inputs!$B$38="pvp",15,MAX(0.1,Skills!E2-IF(Skills!F2=TRUE,3.0,0))),0)</f>
        <v/>
      </c>
      <c r="R1368" t="n">
        <v>0</v>
      </c>
      <c r="S1368">
        <f>(Skills!G2*N1368*B1402)*IF(Inputs!$B$38="pvp",1,1+(Inputs!$B$20+Skills!P2)/100)</f>
        <v/>
      </c>
      <c r="T1368">
        <f>MAX(0,(Inputs!$B$3-100)*3)+Inputs!$B$28+Inputs!$B$29</f>
        <v/>
      </c>
      <c r="U1368">
        <f>(Skills!G2*N1368*B1402)*IF(Inputs!$B$38="pvp",1,(1+(Inputs!$B$21+Skills!Q2)/100)*(MIN((6+Inputs!$B$33+IF(Inputs!$B$3&gt;=136,1,0)),Inputs!$B$37)))</f>
        <v/>
      </c>
      <c r="Z1368">
        <f>MAX(0,(Inputs!$B$3-100)*3)+Inputs!$B$28+Inputs!$B$29</f>
        <v/>
      </c>
    </row>
    <row r="1369">
      <c r="A1369">
        <f>Skills!A3</f>
        <v/>
      </c>
      <c r="B1369">
        <f>Skills!B3</f>
        <v/>
      </c>
      <c r="C1369">
        <f>TRUE</f>
        <v/>
      </c>
      <c r="D1369">
        <f>IF(Skills!C3=1,60+Inputs!$B$25+Inputs!$B$29,IF(Skills!C3=2,90+Inputs!$B$26+Inputs!$B$29,IF(Skills!C3=3,120+Inputs!$B$27+Inputs!$B$29,MAX(0,(Inputs!$B$3-100)*3)+Inputs!$B$28+Inputs!$B$29)))</f>
        <v/>
      </c>
      <c r="E1369">
        <f>INDEX(FactorTable!$B$2:$Y$301, MATCH(ROUND(MIN(300,MAX(1,D1369)),0), FactorTable!$A$2:$A$301,0), Skills!M3+1)</f>
        <v/>
      </c>
      <c r="F1369">
        <f>IF(Skills!N3=TRUE,(Skills!L3/10)*(E1369/1000),Skills!L3/10)+Skills!O3</f>
        <v/>
      </c>
      <c r="G1369">
        <f>Calc!G3</f>
        <v/>
      </c>
      <c r="H1369">
        <f>Calc!H3</f>
        <v/>
      </c>
      <c r="I1369">
        <f>IF(Skills!X3&lt;&gt;"",1+(Skills!X3/10)*(Z1369/1000)/100,1)</f>
        <v/>
      </c>
      <c r="J1369">
        <f>((Inputs!$B$6*(1+Inputs!$B$7/100))+(((Inputs!$B$12*(1+Inputs!$B$13/100))-(Inputs!$B$12*(1+Inputs!$B$13/100)))+0.25*(Inputs!$B$14-Inputs!$B$14))*(1+Inputs!$B$7/100))*(F1369/100)</f>
        <v/>
      </c>
      <c r="K1369">
        <f>J1369*(1+((Inputs!$B$12*(1+Inputs!$B$13/100))*0.01+Inputs!$B$14*0.0025)/100)*(1+Inputs!$B$15/100)*(1+Inputs!$B$16/100)*(5000/(6000+Inputs!$B$42*(1-Inputs!$B$19/100)))*(1+Inputs!$B$24/100)*(1+F1389/100)*(1+IF(Inputs!$B$3&gt;=120,F1392,0)/100)^5*(1+(IF(Skills!A3="BASIC_ATTACK",Inputs!$B$17,Inputs!$B$18+IF(Inputs!$B$3&gt;=125,F1393*5,0)))/100)*(B1396*B1397*B1398*I1369)</f>
        <v/>
      </c>
      <c r="L1369">
        <f>K1369*(MIN(Inputs!$B$22+(F1388-Calc!F22),Inputs!$B$23)/100+Inputs!$B$23/100)/2</f>
        <v/>
      </c>
      <c r="M1369">
        <f>L1369*(1+(Inputs!$B$10+(F1387-Calc!F21))/100)</f>
        <v/>
      </c>
      <c r="N1369">
        <f>L1369*(1-MIN(Inputs!$B$9+(F1386-Calc!F20),100)/100)+M1369*(MIN(Inputs!$B$9+(F1386-Calc!F20),100)/100)</f>
        <v/>
      </c>
      <c r="O1369">
        <f>(1-Summary!$B$56)*S1369+Summary!$B$56*U1369</f>
        <v/>
      </c>
      <c r="P1369">
        <f>IF(B1407=0,0,O1369/B1407)</f>
        <v/>
      </c>
      <c r="Q1369">
        <f>IFERROR(1/IF(Inputs!$B$38="pvp",15,MAX(0.1,Skills!E3-IF(Skills!F3=TRUE,3.0,0))),0)</f>
        <v/>
      </c>
      <c r="R1369">
        <f>IF(AND(Inputs!$B$38&lt;&gt;"pvp",Inputs!$B$43&gt;0),IF(MAX(0,Inputs!$B$43-B1404)&lt;=0,0,(INT(MAX(0,Inputs!$B$43-B1404)/IF(Inputs!$B$38="pvp",15,MAX(0.1,Skills!E3-IF(Skills!F3=TRUE,3.0,0))))+1)),0)</f>
        <v/>
      </c>
      <c r="S1369">
        <f>IF(C1369,(H1369*N1369*IF(AND(Inputs!$B$38&lt;&gt;"pvp",Inputs!$B$43&gt;0),((Skills!G3*((R1369-1)*IF(Skills!H3&gt;0,Skills!I3/Skills!H3,1)+IF(Skills!H3&gt;0,MIN(Skills!I3,MAX(0,MAX(0,Inputs!$B$43-B1404)-((R1369-1)*IF(Inputs!$B$38="pvp",15,MAX(0.1,Skills!E3-IF(Skills!F3=TRUE,3.0,0))))))/Skills!H3,1)))/Inputs!$B$43),G1369*Q1369))*IF(Inputs!$B$38="pvp",1,1+(Inputs!$B$20+Skills!P3)/100),0)</f>
        <v/>
      </c>
      <c r="T1369">
        <f>INDEX(FactorTable!$B$2:$Y$301, MATCH(ROUND(MIN(300,MAX(1,T1368)),0), FactorTable!$A$2:$A$301,0), 22)</f>
        <v/>
      </c>
      <c r="U1369">
        <f>IF(C1369,(H1369*N1369*IF(AND(Inputs!$B$38&lt;&gt;"pvp",Inputs!$B$43&gt;0),((Skills!G3*((R1369-1)*IF(Skills!H3&gt;0,Skills!I3/Skills!H3,1)+IF(Skills!H3&gt;0,MIN(Skills!I3,MAX(0,MAX(0,Inputs!$B$43-B1404)-((R1369-1)*IF(Inputs!$B$38="pvp",15,MAX(0.1,Skills!E3-IF(Skills!F3=TRUE,3.0,0))))))/Skills!H3,1)))/Inputs!$B$43),G1369*Q1369))*IF(Inputs!$B$38="pvp",1,(1+(Inputs!$B$21+Skills!Q3)/100)*(MIN(Skills!R3,Inputs!$B$37))),0)</f>
        <v/>
      </c>
      <c r="Z1369">
        <f>INDEX(FactorTable!$B$2:$Y$301, MATCH(ROUND(MIN(300,MAX(1,Z1368)),0), FactorTable!$A$2:$A$301,0), 24)</f>
        <v/>
      </c>
    </row>
    <row r="1370">
      <c r="A1370">
        <f>Skills!A4</f>
        <v/>
      </c>
      <c r="B1370">
        <f>Skills!B4</f>
        <v/>
      </c>
      <c r="C1370">
        <f>TRUE</f>
        <v/>
      </c>
      <c r="D1370">
        <f>IF(Skills!C4=1,60+Inputs!$B$25+Inputs!$B$29,IF(Skills!C4=2,90+Inputs!$B$26+Inputs!$B$29,IF(Skills!C4=3,120+Inputs!$B$27+Inputs!$B$29,MAX(0,(Inputs!$B$3-100)*3)+Inputs!$B$28+Inputs!$B$29)))</f>
        <v/>
      </c>
      <c r="E1370">
        <f>INDEX(FactorTable!$B$2:$Y$301, MATCH(ROUND(MIN(300,MAX(1,D1370)),0), FactorTable!$A$2:$A$301,0), Skills!M4+1)</f>
        <v/>
      </c>
      <c r="F1370">
        <f>IF(Skills!N4=TRUE,(Skills!L4/10)*(E1370/1000),Skills!L4/10)+Skills!O4</f>
        <v/>
      </c>
      <c r="G1370">
        <f>Calc!G4</f>
        <v/>
      </c>
      <c r="H1370">
        <f>Calc!H4</f>
        <v/>
      </c>
      <c r="I1370">
        <f>IF(Skills!X4&lt;&gt;"",1+(Skills!X4/10)*(Z1369/1000)/100,1)</f>
        <v/>
      </c>
      <c r="J1370">
        <f>((Inputs!$B$6*(1+Inputs!$B$7/100))+(((Inputs!$B$12*(1+Inputs!$B$13/100))-(Inputs!$B$12*(1+Inputs!$B$13/100)))+0.25*(Inputs!$B$14-Inputs!$B$14))*(1+Inputs!$B$7/100))*(F1370/100)</f>
        <v/>
      </c>
      <c r="K1370">
        <f>J1370*(1+((Inputs!$B$12*(1+Inputs!$B$13/100))*0.01+Inputs!$B$14*0.0025)/100)*(1+Inputs!$B$15/100)*(1+Inputs!$B$16/100)*(5000/(6000+Inputs!$B$42*(1-Inputs!$B$19/100)))*(1+Inputs!$B$24/100)*(1+F1389/100)*(1+IF(Inputs!$B$3&gt;=120,F1392,0)/100)^5*(1+(IF(Skills!A4="BASIC_ATTACK",Inputs!$B$17,Inputs!$B$18+IF(Inputs!$B$3&gt;=125,F1393*5,0)))/100)*(B1396*B1397*B1398*I1370)</f>
        <v/>
      </c>
      <c r="L1370">
        <f>K1370*(MIN(Inputs!$B$22+(F1388-Calc!F22),Inputs!$B$23)/100+Inputs!$B$23/100)/2</f>
        <v/>
      </c>
      <c r="M1370">
        <f>L1370*(1+(Inputs!$B$10+(F1387-Calc!F21))/100)</f>
        <v/>
      </c>
      <c r="N1370">
        <f>L1370*(1-MIN(Inputs!$B$9+(F1386-Calc!F20),100)/100)+M1370*(MIN(Inputs!$B$9+(F1386-Calc!F20),100)/100)</f>
        <v/>
      </c>
      <c r="O1370">
        <f>(1-Summary!$B$56)*S1370+Summary!$B$56*U1370</f>
        <v/>
      </c>
      <c r="P1370">
        <f>IF(B1407=0,0,O1370/B1407)</f>
        <v/>
      </c>
      <c r="Q1370">
        <f>IFERROR(1/IF(Inputs!$B$38="pvp",15,MAX(0.1,Skills!E4-IF(Skills!F4=TRUE,3.0,0))),0)</f>
        <v/>
      </c>
      <c r="R1370">
        <f>IF(AND(Inputs!$B$38&lt;&gt;"pvp",Inputs!$B$43&gt;0),IF(MAX(0,Inputs!$B$43-B1404)&lt;=0,0,(INT(MAX(0,Inputs!$B$43-B1404)/IF(Inputs!$B$38="pvp",15,MAX(0.1,Skills!E4-IF(Skills!F4=TRUE,3.0,0))))+1)),0)</f>
        <v/>
      </c>
      <c r="S1370">
        <f>IF(C1370,(H1370*N1370*IF(AND(Inputs!$B$38&lt;&gt;"pvp",Inputs!$B$43&gt;0),((Skills!G4*((R1370-1)*IF(Skills!H4&gt;0,Skills!I4/Skills!H4,1)+IF(Skills!H4&gt;0,MIN(Skills!I4,MAX(0,MAX(0,Inputs!$B$43-B1404)-((R1370-1)*IF(Inputs!$B$38="pvp",15,MAX(0.1,Skills!E4-IF(Skills!F4=TRUE,3.0,0))))))/Skills!H4,1)))/Inputs!$B$43),G1370*Q1370))*IF(Inputs!$B$38="pvp",1,1+(Inputs!$B$20+Skills!P4)/100),0)</f>
        <v/>
      </c>
      <c r="T1370">
        <f>290*T1369/1000</f>
        <v/>
      </c>
      <c r="U1370">
        <f>IF(C1370,(H1370*N1370*IF(AND(Inputs!$B$38&lt;&gt;"pvp",Inputs!$B$43&gt;0),((Skills!G4*((R1370-1)*IF(Skills!H4&gt;0,Skills!I4/Skills!H4,1)+IF(Skills!H4&gt;0,MIN(Skills!I4,MAX(0,MAX(0,Inputs!$B$43-B1404)-((R1370-1)*IF(Inputs!$B$38="pvp",15,MAX(0.1,Skills!E4-IF(Skills!F4=TRUE,3.0,0))))))/Skills!H4,1)))/Inputs!$B$43),G1370*Q1370))*IF(Inputs!$B$38="pvp",1,(1+(Inputs!$B$21+Skills!Q4)/100)*(MIN(Skills!R4,Inputs!$B$37))),0)</f>
        <v/>
      </c>
    </row>
    <row r="1371">
      <c r="A1371">
        <f>Skills!A5</f>
        <v/>
      </c>
      <c r="B1371">
        <f>Skills!B5</f>
        <v/>
      </c>
      <c r="C1371">
        <f>TRUE</f>
        <v/>
      </c>
      <c r="D1371">
        <f>IF(Skills!C5=1,60+Inputs!$B$25+Inputs!$B$29,IF(Skills!C5=2,90+Inputs!$B$26+Inputs!$B$29,IF(Skills!C5=3,120+Inputs!$B$27+Inputs!$B$29,MAX(0,(Inputs!$B$3-100)*3)+Inputs!$B$28+Inputs!$B$29)))</f>
        <v/>
      </c>
      <c r="E1371">
        <f>INDEX(FactorTable!$B$2:$Y$301, MATCH(ROUND(MIN(300,MAX(1,D1371)),0), FactorTable!$A$2:$A$301,0), Skills!M5+1)</f>
        <v/>
      </c>
      <c r="F1371">
        <f>IF(Skills!N5=TRUE,(Skills!L5/10)*(E1371/1000),Skills!L5/10)+Skills!O5</f>
        <v/>
      </c>
      <c r="G1371">
        <f>Calc!G5</f>
        <v/>
      </c>
      <c r="H1371">
        <f>Calc!H5</f>
        <v/>
      </c>
      <c r="I1371">
        <f>IF(Skills!X5&lt;&gt;"",1+(Skills!X5/10)*(Z1369/1000)/100,1)</f>
        <v/>
      </c>
      <c r="J1371">
        <f>((Inputs!$B$6*(1+Inputs!$B$7/100))+(((Inputs!$B$12*(1+Inputs!$B$13/100))-(Inputs!$B$12*(1+Inputs!$B$13/100)))+0.25*(Inputs!$B$14-Inputs!$B$14))*(1+Inputs!$B$7/100))*(F1371/100)</f>
        <v/>
      </c>
      <c r="K1371">
        <f>J1371*(1+((Inputs!$B$12*(1+Inputs!$B$13/100))*0.01+Inputs!$B$14*0.0025)/100)*(1+Inputs!$B$15/100)*(1+Inputs!$B$16/100)*(5000/(6000+Inputs!$B$42*(1-Inputs!$B$19/100)))*(1+Inputs!$B$24/100)*(1+F1389/100)*(1+IF(Inputs!$B$3&gt;=120,F1392,0)/100)^5*(1+(IF(Skills!A5="BASIC_ATTACK",Inputs!$B$17,Inputs!$B$18+IF(Inputs!$B$3&gt;=125,F1393*5,0)))/100)*(B1396*B1397*B1398*I1371)</f>
        <v/>
      </c>
      <c r="L1371">
        <f>K1371*(MIN(Inputs!$B$22+(F1388-Calc!F22),Inputs!$B$23)/100+Inputs!$B$23/100)/2</f>
        <v/>
      </c>
      <c r="M1371">
        <f>L1371*(1+(Inputs!$B$10+(F1387-Calc!F21))/100)</f>
        <v/>
      </c>
      <c r="N1371">
        <f>L1371*(1-MIN(Inputs!$B$9+(F1386-Calc!F20),100)/100)+M1371*(MIN(Inputs!$B$9+(F1386-Calc!F20),100)/100)</f>
        <v/>
      </c>
      <c r="O1371">
        <f>(1-Summary!$B$56)*S1371+Summary!$B$56*U1371</f>
        <v/>
      </c>
      <c r="P1371">
        <f>IF(B1407=0,0,O1371/B1407)</f>
        <v/>
      </c>
      <c r="Q1371">
        <f>IFERROR(1/IF(Inputs!$B$38="pvp",15,MAX(0.1,Skills!E5-IF(Skills!F5=TRUE,3.0,0))),0)</f>
        <v/>
      </c>
      <c r="R1371">
        <f>IF(AND(Inputs!$B$38&lt;&gt;"pvp",Inputs!$B$43&gt;0),IF(MAX(0,Inputs!$B$43-B1404)&lt;=0,0,(INT(MAX(0,Inputs!$B$43-B1404)/IF(Inputs!$B$38="pvp",15,MAX(0.1,Skills!E5-IF(Skills!F5=TRUE,3.0,0))))+1)),0)</f>
        <v/>
      </c>
      <c r="S1371">
        <f>IF(C1371,(H1371*N1371*IF(AND(Inputs!$B$38&lt;&gt;"pvp",Inputs!$B$43&gt;0),((Skills!G5*((R1371-1)*IF(Skills!H5&gt;0,Skills!I5/Skills!H5,1)+IF(Skills!H5&gt;0,MIN(Skills!I5,MAX(0,MAX(0,Inputs!$B$43-B1404)-((R1371-1)*IF(Inputs!$B$38="pvp",15,MAX(0.1,Skills!E5-IF(Skills!F5=TRUE,3.0,0))))))/Skills!H5,1)))/Inputs!$B$43),G1371*Q1371))*IF(Inputs!$B$38="pvp",1,1+(Inputs!$B$20+Skills!P5)/100),0)</f>
        <v/>
      </c>
      <c r="U1371">
        <f>IF(C1371,(H1371*N1371*IF(AND(Inputs!$B$38&lt;&gt;"pvp",Inputs!$B$43&gt;0),((Skills!G5*((R1371-1)*IF(Skills!H5&gt;0,Skills!I5/Skills!H5,1)+IF(Skills!H5&gt;0,MIN(Skills!I5,MAX(0,MAX(0,Inputs!$B$43-B1404)-((R1371-1)*IF(Inputs!$B$38="pvp",15,MAX(0.1,Skills!E5-IF(Skills!F5=TRUE,3.0,0))))))/Skills!H5,1)))/Inputs!$B$43),G1371*Q1371))*IF(Inputs!$B$38="pvp",1,(1+(Inputs!$B$21+Skills!Q5)/100)*(MIN(Skills!R5,Inputs!$B$37))),0)</f>
        <v/>
      </c>
    </row>
    <row r="1372">
      <c r="A1372">
        <f>Skills!A6</f>
        <v/>
      </c>
      <c r="B1372">
        <f>Skills!B6</f>
        <v/>
      </c>
      <c r="C1372">
        <f>TRUE</f>
        <v/>
      </c>
      <c r="D1372">
        <f>IF(Skills!C6=1,60+Inputs!$B$25+Inputs!$B$29,IF(Skills!C6=2,90+Inputs!$B$26+Inputs!$B$29,IF(Skills!C6=3,120+Inputs!$B$27+Inputs!$B$29,MAX(0,(Inputs!$B$3-100)*3)+Inputs!$B$28+Inputs!$B$29)))</f>
        <v/>
      </c>
      <c r="E1372">
        <f>INDEX(FactorTable!$B$2:$Y$301, MATCH(ROUND(MIN(300,MAX(1,D1372)),0), FactorTable!$A$2:$A$301,0), Skills!M6+1)</f>
        <v/>
      </c>
      <c r="F1372">
        <f>IF(Skills!N6=TRUE,(Skills!L6/10)*(E1372/1000),Skills!L6/10)+Skills!O6</f>
        <v/>
      </c>
      <c r="G1372">
        <f>Calc!G6</f>
        <v/>
      </c>
      <c r="H1372">
        <f>Calc!H6</f>
        <v/>
      </c>
      <c r="I1372">
        <f>IF(Skills!X6&lt;&gt;"",1+(Skills!X6/10)*(Z1369/1000)/100,1)</f>
        <v/>
      </c>
      <c r="J1372" t="inlineStr"/>
      <c r="K1372" t="inlineStr"/>
      <c r="L1372" t="inlineStr"/>
      <c r="M1372" t="inlineStr"/>
      <c r="N1372" t="inlineStr"/>
      <c r="O1372">
        <f>(1-Summary!$B$56)*S1372+Summary!$B$56*U1372</f>
        <v/>
      </c>
      <c r="P1372">
        <f>IF(B1407=0,0,O1372/B1407)</f>
        <v/>
      </c>
      <c r="Q1372">
        <f>IFERROR(1/IF(Inputs!$B$38="pvp",15,MAX(0.1,Skills!E6-IF(Skills!F6=TRUE,3.0,0))),0)</f>
        <v/>
      </c>
      <c r="R1372">
        <f>IF(AND(Inputs!$B$38&lt;&gt;"pvp",Inputs!$B$43&gt;0),IF(Inputs!$B$43&lt;=0,0,(INT(Inputs!$B$43/IF(Inputs!$B$38="pvp",15,MAX(0.1,Skills!E6-IF(Skills!F6=TRUE,3.0,0))))+1)),0)</f>
        <v/>
      </c>
      <c r="S1372" t="n">
        <v>0</v>
      </c>
      <c r="U1372" t="n">
        <v>0</v>
      </c>
    </row>
    <row r="1373">
      <c r="A1373">
        <f>Skills!A7</f>
        <v/>
      </c>
      <c r="B1373">
        <f>Skills!B7</f>
        <v/>
      </c>
      <c r="C1373">
        <f>TRUE</f>
        <v/>
      </c>
      <c r="D1373">
        <f>IF(Skills!C7=1,60+Inputs!$B$25+Inputs!$B$29,IF(Skills!C7=2,90+Inputs!$B$26+Inputs!$B$29,IF(Skills!C7=3,120+Inputs!$B$27+Inputs!$B$29,MAX(0,(Inputs!$B$3-100)*3)+Inputs!$B$28+Inputs!$B$29)))</f>
        <v/>
      </c>
      <c r="E1373">
        <f>INDEX(FactorTable!$B$2:$Y$301, MATCH(ROUND(MIN(300,MAX(1,D1373)),0), FactorTable!$A$2:$A$301,0), Skills!M7+1)</f>
        <v/>
      </c>
      <c r="F1373">
        <f>IF(Skills!N7=TRUE,(Skills!L7/10)*(E1373/1000),Skills!L7/10)+Skills!O7</f>
        <v/>
      </c>
      <c r="G1373">
        <f>Calc!G7</f>
        <v/>
      </c>
      <c r="H1373">
        <f>Calc!H7</f>
        <v/>
      </c>
      <c r="I1373">
        <f>IF(Skills!X7&lt;&gt;"",1+(Skills!X7/10)*(Z1369/1000)/100,1)</f>
        <v/>
      </c>
      <c r="J1373">
        <f>((Inputs!$B$6*(1+Inputs!$B$7/100))+(((Inputs!$B$12*(1+Inputs!$B$13/100))-(Inputs!$B$12*(1+Inputs!$B$13/100)))+0.25*(Inputs!$B$14-Inputs!$B$14))*(1+Inputs!$B$7/100))*(F1373/100)</f>
        <v/>
      </c>
      <c r="K1373">
        <f>J1373*(1+((Inputs!$B$12*(1+Inputs!$B$13/100))*0.01+Inputs!$B$14*0.0025)/100)*(1+Inputs!$B$15/100)*(1+Inputs!$B$16/100)*(5000/(6000+Inputs!$B$42*(1-Inputs!$B$19/100)))*(1+Inputs!$B$24/100)*(1+F1389/100)*(1+IF(Inputs!$B$3&gt;=120,F1392,0)/100)^5*(1+(IF(Skills!A7="BASIC_ATTACK",Inputs!$B$17,Inputs!$B$18+IF(Inputs!$B$3&gt;=125,F1393*5,0)))/100)*(B1396*B1397*B1398*I1373)</f>
        <v/>
      </c>
      <c r="L1373">
        <f>K1373*(MIN(Inputs!$B$22+(F1388-Calc!F22),Inputs!$B$23)/100+Inputs!$B$23/100)/2</f>
        <v/>
      </c>
      <c r="M1373">
        <f>L1373*(1+(Inputs!$B$10+(F1387-Calc!F21))/100)</f>
        <v/>
      </c>
      <c r="N1373">
        <f>L1373*(1-MIN(Inputs!$B$9+(F1386-Calc!F20),100)/100)+M1373*(MIN(Inputs!$B$9+(F1386-Calc!F20),100)/100)</f>
        <v/>
      </c>
      <c r="O1373">
        <f>(1-Summary!$B$56)*S1373+Summary!$B$56*U1373</f>
        <v/>
      </c>
      <c r="P1373">
        <f>IF(B1407=0,0,O1373/B1407)</f>
        <v/>
      </c>
      <c r="Q1373">
        <f>IFERROR(1/IF(Inputs!$B$38="pvp",15,MAX(0.1,Skills!E7-IF(Skills!F7=TRUE,3.0,0))),0)</f>
        <v/>
      </c>
      <c r="R1373">
        <f>IF(AND(Inputs!$B$38&lt;&gt;"pvp",Inputs!$B$43&gt;0),IF(MAX(0,Inputs!$B$43-B1404)&lt;=0,0,(INT(MAX(0,Inputs!$B$43-B1404)/IF(Inputs!$B$38="pvp",15,MAX(0.1,Skills!E7-IF(Skills!F7=TRUE,3.0,0))))+1)),0)</f>
        <v/>
      </c>
      <c r="S1373">
        <f>IF(C1373,(H1373*N1373*IF(AND(Inputs!$B$38&lt;&gt;"pvp",Inputs!$B$43&gt;0),((Skills!G7*((R1373-1)*IF(Skills!H7&gt;0,Skills!I7/Skills!H7,1)+IF(Skills!H7&gt;0,MIN(Skills!I7,MAX(0,MAX(0,Inputs!$B$43-B1404)-((R1373-1)*IF(Inputs!$B$38="pvp",15,MAX(0.1,Skills!E7-IF(Skills!F7=TRUE,3.0,0))))))/Skills!H7,1)))/Inputs!$B$43),G1373*Q1373))*IF(Inputs!$B$38="pvp",1,1+(Inputs!$B$20+Skills!P7)/100),0)</f>
        <v/>
      </c>
      <c r="U1373">
        <f>IF(C1373,(H1373*N1373*IF(AND(Inputs!$B$38&lt;&gt;"pvp",Inputs!$B$43&gt;0),((Skills!G7*((R1373-1)*IF(Skills!H7&gt;0,Skills!I7/Skills!H7,1)+IF(Skills!H7&gt;0,MIN(Skills!I7,MAX(0,MAX(0,Inputs!$B$43-B1404)-((R1373-1)*IF(Inputs!$B$38="pvp",15,MAX(0.1,Skills!E7-IF(Skills!F7=TRUE,3.0,0))))))/Skills!H7,1)))/Inputs!$B$43),G1373*Q1373))*IF(Inputs!$B$38="pvp",1,(1+(Inputs!$B$21+Skills!Q7)/100)*(MIN(Skills!R7,Inputs!$B$37))),0)</f>
        <v/>
      </c>
    </row>
    <row r="1374">
      <c r="A1374">
        <f>Skills!A8</f>
        <v/>
      </c>
      <c r="B1374">
        <f>Skills!B8</f>
        <v/>
      </c>
      <c r="C1374">
        <f>TRUE</f>
        <v/>
      </c>
      <c r="D1374">
        <f>IF(Skills!C8=1,60+Inputs!$B$25+Inputs!$B$29,IF(Skills!C8=2,90+Inputs!$B$26+Inputs!$B$29,IF(Skills!C8=3,120+Inputs!$B$27+Inputs!$B$29,MAX(0,(Inputs!$B$3-100)*3)+Inputs!$B$28+Inputs!$B$29)))</f>
        <v/>
      </c>
      <c r="E1374">
        <f>INDEX(FactorTable!$B$2:$Y$301, MATCH(ROUND(MIN(300,MAX(1,D1374)),0), FactorTable!$A$2:$A$301,0), Skills!M8+1)</f>
        <v/>
      </c>
      <c r="F1374">
        <f>IF(Skills!N8=TRUE,(Skills!L8/10)*(E1374/1000),Skills!L8/10)+Skills!O8</f>
        <v/>
      </c>
      <c r="G1374">
        <f>Calc!G8</f>
        <v/>
      </c>
      <c r="H1374">
        <f>Calc!H8</f>
        <v/>
      </c>
      <c r="I1374">
        <f>IF(Skills!X8&lt;&gt;"",1+(Skills!X8/10)*(Z1369/1000)/100,1)</f>
        <v/>
      </c>
      <c r="J1374">
        <f>((Inputs!$B$6*(1+Inputs!$B$7/100))+(((Inputs!$B$12*(1+Inputs!$B$13/100))-(Inputs!$B$12*(1+Inputs!$B$13/100)))+0.25*(Inputs!$B$14-Inputs!$B$14))*(1+Inputs!$B$7/100))*(F1374/100)</f>
        <v/>
      </c>
      <c r="K1374">
        <f>J1374*(1+((Inputs!$B$12*(1+Inputs!$B$13/100))*0.01+Inputs!$B$14*0.0025)/100)*(1+Inputs!$B$15/100)*(1+Inputs!$B$16/100)*(5000/(6000+Inputs!$B$42*(1-Inputs!$B$19/100)))*(1+Inputs!$B$24/100)*(1+F1389/100)*(1+IF(Inputs!$B$3&gt;=120,F1392,0)/100)^5*(1+(IF(Skills!A8="BASIC_ATTACK",Inputs!$B$17,Inputs!$B$18+IF(Inputs!$B$3&gt;=125,F1393*5,0)))/100)*(B1396*B1397*B1398*I1374)</f>
        <v/>
      </c>
      <c r="L1374">
        <f>K1374*(MIN(Inputs!$B$22+(F1388-Calc!F22),Inputs!$B$23)/100+Inputs!$B$23/100)/2</f>
        <v/>
      </c>
      <c r="M1374">
        <f>L1374*(1+(Inputs!$B$10+(F1387-Calc!F21))/100)</f>
        <v/>
      </c>
      <c r="N1374">
        <f>L1374*(1-MIN(Inputs!$B$9+(F1386-Calc!F20),100)/100)+M1374*(MIN(Inputs!$B$9+(F1386-Calc!F20),100)/100)</f>
        <v/>
      </c>
      <c r="O1374">
        <f>(1-Summary!$B$56)*S1374+Summary!$B$56*U1374</f>
        <v/>
      </c>
      <c r="P1374">
        <f>IF(B1407=0,0,O1374/B1407)</f>
        <v/>
      </c>
      <c r="Q1374">
        <f>IFERROR(1/IF(Inputs!$B$38="pvp",15,MAX(0.1,Skills!E8-IF(Skills!F8=TRUE,3.0,0))),0)</f>
        <v/>
      </c>
      <c r="R1374">
        <f>IF(AND(Inputs!$B$38&lt;&gt;"pvp",Inputs!$B$43&gt;0),IF(MAX(0,Inputs!$B$43-B1404)&lt;=0,0,(INT(MAX(0,Inputs!$B$43-B1404)/IF(Inputs!$B$38="pvp",15,MAX(0.1,Skills!E8-IF(Skills!F8=TRUE,3.0,0))))+1)),0)</f>
        <v/>
      </c>
      <c r="S1374">
        <f>IF(C1374,(H1374*N1374*IF(AND(Inputs!$B$38&lt;&gt;"pvp",Inputs!$B$43&gt;0),((Skills!G8*((R1374-1)*IF(Skills!H8&gt;0,Skills!I8/Skills!H8,1)+IF(Skills!H8&gt;0,MIN(Skills!I8,MAX(0,MAX(0,Inputs!$B$43-B1404)-((R1374-1)*IF(Inputs!$B$38="pvp",15,MAX(0.1,Skills!E8-IF(Skills!F8=TRUE,3.0,0))))))/Skills!H8,1)))/Inputs!$B$43),G1374*Q1374))*IF(Inputs!$B$38="pvp",1,1+(Inputs!$B$20+Skills!P8)/100),0)</f>
        <v/>
      </c>
      <c r="U1374">
        <f>IF(C1374,(H1374*N1374*IF(AND(Inputs!$B$38&lt;&gt;"pvp",Inputs!$B$43&gt;0),((Skills!G8*((R1374-1)*IF(Skills!H8&gt;0,Skills!I8/Skills!H8,1)+IF(Skills!H8&gt;0,MIN(Skills!I8,MAX(0,MAX(0,Inputs!$B$43-B1404)-((R1374-1)*IF(Inputs!$B$38="pvp",15,MAX(0.1,Skills!E8-IF(Skills!F8=TRUE,3.0,0))))))/Skills!H8,1)))/Inputs!$B$43),G1374*Q1374))*IF(Inputs!$B$38="pvp",1,(1+(Inputs!$B$21+Skills!Q8)/100)*(MIN(Skills!R8,Inputs!$B$37))),0)</f>
        <v/>
      </c>
    </row>
    <row r="1375">
      <c r="A1375">
        <f>Skills!A9</f>
        <v/>
      </c>
      <c r="B1375">
        <f>Skills!B9</f>
        <v/>
      </c>
      <c r="C1375">
        <f>Inputs!$B$3&gt;=103</f>
        <v/>
      </c>
      <c r="D1375">
        <f>IF(Skills!C9=1,60+Inputs!$B$25+Inputs!$B$29,IF(Skills!C9=2,90+Inputs!$B$26+Inputs!$B$29,IF(Skills!C9=3,120+Inputs!$B$27+Inputs!$B$29,MAX(0,(Inputs!$B$3-100)*3)+Inputs!$B$28+Inputs!$B$29)))</f>
        <v/>
      </c>
      <c r="E1375">
        <f>INDEX(FactorTable!$B$2:$Y$301, MATCH(ROUND(MIN(300,MAX(1,D1375)),0), FactorTable!$A$2:$A$301,0), Skills!M9+1)</f>
        <v/>
      </c>
      <c r="F1375">
        <f>IF(Skills!N9=TRUE,(Skills!L9/10)*(E1375/1000),Skills!L9/10)+Skills!O9</f>
        <v/>
      </c>
      <c r="G1375">
        <f>Calc!G9</f>
        <v/>
      </c>
      <c r="H1375">
        <f>Calc!H9</f>
        <v/>
      </c>
      <c r="I1375">
        <f>IF(Skills!X9&lt;&gt;"",1+(Skills!X9/10)*(Z1369/1000)/100,1)</f>
        <v/>
      </c>
      <c r="J1375">
        <f>((Inputs!$B$6*(1+Inputs!$B$7/100))+(((Inputs!$B$12*(1+Inputs!$B$13/100))-(Inputs!$B$12*(1+Inputs!$B$13/100)))+0.25*(Inputs!$B$14-Inputs!$B$14))*(1+Inputs!$B$7/100))*(F1375/100)</f>
        <v/>
      </c>
      <c r="K1375">
        <f>J1375*(1+((Inputs!$B$12*(1+Inputs!$B$13/100))*0.01+Inputs!$B$14*0.0025)/100)*(1+Inputs!$B$15/100)*(1+Inputs!$B$16/100)*(5000/(6000+Inputs!$B$42*(1-Inputs!$B$19/100)))*(1+Inputs!$B$24/100)*(1+F1389/100)*(1+IF(Inputs!$B$3&gt;=120,F1392,0)/100)^5*(1+(IF(Skills!A9="BASIC_ATTACK",Inputs!$B$17,Inputs!$B$18+IF(Inputs!$B$3&gt;=125,F1393*5,0)))/100)*(B1396*B1397*B1398*I1375)</f>
        <v/>
      </c>
      <c r="L1375">
        <f>K1375*(MIN(Inputs!$B$22+(F1388-Calc!F22),Inputs!$B$23)/100+Inputs!$B$23/100)/2</f>
        <v/>
      </c>
      <c r="M1375">
        <f>L1375*(1+(Inputs!$B$10+(F1387-Calc!F21))/100)</f>
        <v/>
      </c>
      <c r="N1375">
        <f>L1375*(1-MIN(Inputs!$B$9+(F1386-Calc!F20),100)/100)+M1375*(MIN(Inputs!$B$9+(F1386-Calc!F20),100)/100)</f>
        <v/>
      </c>
      <c r="O1375">
        <f>(1-Summary!$B$56)*S1375+Summary!$B$56*U1375</f>
        <v/>
      </c>
      <c r="P1375">
        <f>IF(B1407=0,0,O1375/B1407)</f>
        <v/>
      </c>
      <c r="Q1375">
        <f>IFERROR(1/IF(Inputs!$B$38="pvp",15,MAX(0.1,Skills!E9-IF(Skills!F7=TRUE,3.0,0))),0)</f>
        <v/>
      </c>
      <c r="R1375">
        <f>IF(AND(Inputs!$B$38&lt;&gt;"pvp",Inputs!$B$43&gt;0),IF(MAX(0,Inputs!$B$43-B1404)&lt;=0,0,(INT(MAX(0,Inputs!$B$43-B1404)/IF(Inputs!$B$38="pvp",15,MAX(0.1,Skills!E9-IF(Skills!F7=TRUE,3.0,0))))+1)),0)</f>
        <v/>
      </c>
      <c r="S1375">
        <f>IF(C1375,(H1375*N1375*IF(AND(Inputs!$B$38&lt;&gt;"pvp",Inputs!$B$43&gt;0),((Skills!G9*((R1375-1)*IF(Skills!H9&gt;0,Skills!I9/Skills!H9,1)+IF(Skills!H9&gt;0,MIN(Skills!I9,MAX(0,MAX(0,Inputs!$B$43-B1404)-((R1375-1)*IF(Inputs!$B$38="pvp",15,MAX(0.1,Skills!E9-IF(Skills!F7=TRUE,3.0,0))))))/Skills!H9,1)))/Inputs!$B$43),G1375*Q1375))*IF(Inputs!$B$38="pvp",1,1+(Inputs!$B$20+Skills!P9)/100),0)</f>
        <v/>
      </c>
      <c r="U1375">
        <f>IF(C1375,(H1375*N1375*IF(AND(Inputs!$B$38&lt;&gt;"pvp",Inputs!$B$43&gt;0),((Skills!G9*((R1375-1)*IF(Skills!H9&gt;0,Skills!I9/Skills!H9,1)+IF(Skills!H9&gt;0,MIN(Skills!I9,MAX(0,MAX(0,Inputs!$B$43-B1404)-((R1375-1)*IF(Inputs!$B$38="pvp",15,MAX(0.1,Skills!E9-IF(Skills!F7=TRUE,3.0,0))))))/Skills!H9,1)))/Inputs!$B$43),G1375*Q1375))*IF(Inputs!$B$38="pvp",1,(1+(Inputs!$B$21+Skills!Q9)/100)*(MIN(Skills!R9,Inputs!$B$37))),0)</f>
        <v/>
      </c>
    </row>
    <row r="1376">
      <c r="A1376">
        <f>Skills!A10</f>
        <v/>
      </c>
      <c r="B1376">
        <f>Skills!B10</f>
        <v/>
      </c>
      <c r="C1376">
        <f>TRUE</f>
        <v/>
      </c>
      <c r="D1376">
        <f>IF(Skills!C10=1,60+Inputs!$B$25+Inputs!$B$29,IF(Skills!C10=2,90+Inputs!$B$26+Inputs!$B$29,IF(Skills!C10=3,120+Inputs!$B$27+Inputs!$B$29,MAX(0,(Inputs!$B$3-100)*3)+Inputs!$B$28+Inputs!$B$29)))</f>
        <v/>
      </c>
      <c r="E1376">
        <f>INDEX(FactorTable!$B$2:$Y$301, MATCH(ROUND(MIN(300,MAX(1,D1376)),0), FactorTable!$A$2:$A$301,0), Skills!M10+1)</f>
        <v/>
      </c>
      <c r="F1376">
        <f>IF(Skills!N10=TRUE,(Skills!L10/10)*(E1376/1000),Skills!L10/10)+Skills!O10</f>
        <v/>
      </c>
      <c r="G1376">
        <f>Calc!G10</f>
        <v/>
      </c>
      <c r="H1376">
        <f>Calc!H10</f>
        <v/>
      </c>
      <c r="I1376">
        <f>IF(Skills!X10&lt;&gt;"",1+(Skills!X10/10)*(Z1369/1000)/100,1)</f>
        <v/>
      </c>
      <c r="J1376">
        <f>((Inputs!$B$6*(1+Inputs!$B$7/100))+(((Inputs!$B$12*(1+Inputs!$B$13/100))-(Inputs!$B$12*(1+Inputs!$B$13/100)))+0.25*(Inputs!$B$14-Inputs!$B$14))*(1+Inputs!$B$7/100))*(F1376/100)</f>
        <v/>
      </c>
      <c r="K1376">
        <f>J1376*(1+((Inputs!$B$12*(1+Inputs!$B$13/100))*0.01+Inputs!$B$14*0.0025)/100)*(1+Inputs!$B$15/100)*(1+Inputs!$B$16/100)*(5000/(6000+Inputs!$B$42*(1-Inputs!$B$19/100)))*(1+Inputs!$B$24/100)*(1+F1389/100)*(1+IF(Inputs!$B$3&gt;=120,F1392,0)/100)^5*(1+(IF(Skills!A10="BASIC_ATTACK",Inputs!$B$17,Inputs!$B$18+IF(Inputs!$B$3&gt;=125,F1393*5,0)))/100)*(B1396*B1397*B1398*I1376)</f>
        <v/>
      </c>
      <c r="L1376">
        <f>K1376*(MIN(Inputs!$B$22+(F1388-Calc!F22),Inputs!$B$23)/100+Inputs!$B$23/100)/2</f>
        <v/>
      </c>
      <c r="M1376">
        <f>L1376*(1+(Inputs!$B$10+(F1387-Calc!F21))/100)</f>
        <v/>
      </c>
      <c r="N1376">
        <f>L1376*(1-MIN(Inputs!$B$9+(F1386-Calc!F20),100)/100)+M1376*(MIN(Inputs!$B$9+(F1386-Calc!F20),100)/100)</f>
        <v/>
      </c>
      <c r="O1376">
        <f>(1-Summary!$B$56)*S1376+Summary!$B$56*U1376</f>
        <v/>
      </c>
      <c r="P1376">
        <f>IF(B1407=0,0,O1376/B1407)</f>
        <v/>
      </c>
      <c r="Q1376">
        <f>IFERROR(1/IF(Inputs!$B$38="pvp",15,MAX(0.1,Skills!E10-IF(Skills!F10=TRUE,3.0,0))),0)</f>
        <v/>
      </c>
      <c r="R1376">
        <f>IF(AND(Inputs!$B$38&lt;&gt;"pvp",Inputs!$B$43&gt;0),IF(MAX(0,Inputs!$B$43-B1404)&lt;=0,0,(INT(MAX(0,Inputs!$B$43-B1404)/IF(Inputs!$B$38="pvp",15,MAX(0.1,Skills!E10-IF(Skills!F10=TRUE,3.0,0))))+1)),0)</f>
        <v/>
      </c>
      <c r="S1376">
        <f>IF(C1376,(H1376*N1376*IF(AND(Inputs!$B$38&lt;&gt;"pvp",Inputs!$B$43&gt;0),((Skills!G10*((R1376-1)*IF(Skills!H10&gt;0,Skills!I10/Skills!H10,1)+IF(Skills!H10&gt;0,MIN(Skills!I10,MAX(0,MAX(0,Inputs!$B$43-B1404)-((R1376-1)*IF(Inputs!$B$38="pvp",15,MAX(0.1,Skills!E10-IF(Skills!F10=TRUE,3.0,0))))))/Skills!H10,1)))/Inputs!$B$43),G1376*Q1376))*IF(Inputs!$B$38="pvp",1,1+(Inputs!$B$20+Skills!P10)/100),0)</f>
        <v/>
      </c>
      <c r="U1376">
        <f>IF(C1376,(H1376*N1376*IF(AND(Inputs!$B$38&lt;&gt;"pvp",Inputs!$B$43&gt;0),((Skills!G10*((R1376-1)*IF(Skills!H10&gt;0,Skills!I10/Skills!H10,1)+IF(Skills!H10&gt;0,MIN(Skills!I10,MAX(0,MAX(0,Inputs!$B$43-B1404)-((R1376-1)*IF(Inputs!$B$38="pvp",15,MAX(0.1,Skills!E10-IF(Skills!F10=TRUE,3.0,0))))))/Skills!H10,1)))/Inputs!$B$43),G1376*Q1376))*IF(Inputs!$B$38="pvp",1,(1+(Inputs!$B$21+Skills!Q10)/100)*(MIN(Skills!R10,Inputs!$B$37))),0)</f>
        <v/>
      </c>
    </row>
    <row r="1377">
      <c r="A1377">
        <f>Skills!A11</f>
        <v/>
      </c>
      <c r="B1377">
        <f>Skills!B11</f>
        <v/>
      </c>
      <c r="C1377">
        <f>TRUE</f>
        <v/>
      </c>
      <c r="D1377">
        <f>IF(Skills!C11=1,60+Inputs!$B$25+Inputs!$B$29,IF(Skills!C11=2,90+Inputs!$B$26+Inputs!$B$29,IF(Skills!C11=3,120+Inputs!$B$27+Inputs!$B$29,MAX(0,(Inputs!$B$3-100)*3)+Inputs!$B$28+Inputs!$B$29)))</f>
        <v/>
      </c>
      <c r="E1377">
        <f>INDEX(FactorTable!$B$2:$Y$301, MATCH(ROUND(MIN(300,MAX(1,D1377)),0), FactorTable!$A$2:$A$301,0), Skills!M11+1)</f>
        <v/>
      </c>
      <c r="F1377">
        <f>IF(Skills!N11=TRUE,(Skills!L11/10)*(E1377/1000),Skills!L11/10)+Skills!O11</f>
        <v/>
      </c>
      <c r="G1377">
        <f>Calc!G11</f>
        <v/>
      </c>
      <c r="H1377">
        <f>Calc!H11</f>
        <v/>
      </c>
      <c r="I1377">
        <f>IF(Skills!X11&lt;&gt;"",1+(Skills!X11/10)*(Z1369/1000)/100,1)</f>
        <v/>
      </c>
      <c r="J1377" t="inlineStr"/>
      <c r="K1377" t="inlineStr"/>
      <c r="L1377" t="inlineStr"/>
      <c r="M1377" t="inlineStr"/>
      <c r="N1377" t="inlineStr"/>
      <c r="O1377">
        <f>(1-Summary!$B$56)*S1377+Summary!$B$56*U1377</f>
        <v/>
      </c>
      <c r="P1377">
        <f>IF(B1407=0,0,O1377/B1407)</f>
        <v/>
      </c>
      <c r="Q1377">
        <f>IFERROR(1/IF(Inputs!$B$38="pvp",15,MAX(0.1,Skills!E11-IF(Skills!F11=TRUE,3.0,0))),0)</f>
        <v/>
      </c>
      <c r="R1377" t="n">
        <v>0</v>
      </c>
      <c r="S1377" t="n">
        <v>0</v>
      </c>
      <c r="U1377" t="n">
        <v>0</v>
      </c>
    </row>
    <row r="1378">
      <c r="A1378">
        <f>Skills!A12</f>
        <v/>
      </c>
      <c r="B1378">
        <f>Skills!B12</f>
        <v/>
      </c>
      <c r="C1378">
        <f>TRUE</f>
        <v/>
      </c>
      <c r="D1378">
        <f>IF(Skills!C12=1,60+Inputs!$B$25+Inputs!$B$29,IF(Skills!C12=2,90+Inputs!$B$26+Inputs!$B$29,IF(Skills!C12=3,120+Inputs!$B$27+Inputs!$B$29,MAX(0,(Inputs!$B$3-100)*3)+Inputs!$B$28+Inputs!$B$29)))</f>
        <v/>
      </c>
      <c r="E1378">
        <f>INDEX(FactorTable!$B$2:$Y$301, MATCH(ROUND(MIN(300,MAX(1,D1378)),0), FactorTable!$A$2:$A$301,0), Skills!M12+1)</f>
        <v/>
      </c>
      <c r="F1378">
        <f>IF(Skills!N12=TRUE,(Skills!L12/10)*(E1378/1000),Skills!L12/10)+Skills!O12</f>
        <v/>
      </c>
      <c r="G1378">
        <f>Calc!G12</f>
        <v/>
      </c>
      <c r="H1378">
        <f>Calc!H12</f>
        <v/>
      </c>
      <c r="I1378">
        <f>IF(Skills!X12&lt;&gt;"",1+(Skills!X12/10)*(Z1369/1000)/100,1)</f>
        <v/>
      </c>
      <c r="J1378" t="inlineStr"/>
      <c r="K1378" t="inlineStr"/>
      <c r="L1378" t="inlineStr"/>
      <c r="M1378" t="inlineStr"/>
      <c r="N1378" t="inlineStr"/>
      <c r="O1378">
        <f>(1-Summary!$B$56)*S1378+Summary!$B$56*U1378</f>
        <v/>
      </c>
      <c r="P1378">
        <f>IF(B1407=0,0,O1378/B1407)</f>
        <v/>
      </c>
      <c r="Q1378">
        <f>IFERROR(1/IF(Inputs!$B$38="pvp",15,MAX(0.1,Skills!E12-IF(Skills!F12=TRUE,3.0,0))),0)</f>
        <v/>
      </c>
      <c r="R1378" t="n">
        <v>0</v>
      </c>
      <c r="S1378" t="n">
        <v>0</v>
      </c>
      <c r="U1378" t="n">
        <v>0</v>
      </c>
    </row>
    <row r="1379">
      <c r="A1379">
        <f>Skills!A13</f>
        <v/>
      </c>
      <c r="B1379">
        <f>Skills!B13</f>
        <v/>
      </c>
      <c r="C1379">
        <f>Inputs!$B$3&gt;=105</f>
        <v/>
      </c>
      <c r="D1379">
        <f>IF(Skills!C13=1,60+Inputs!$B$25+Inputs!$B$29,IF(Skills!C13=2,90+Inputs!$B$26+Inputs!$B$29,IF(Skills!C13=3,120+Inputs!$B$27+Inputs!$B$29,MAX(0,(Inputs!$B$3-100)*3)+Inputs!$B$28+Inputs!$B$29)))</f>
        <v/>
      </c>
      <c r="E1379">
        <f>INDEX(FactorTable!$B$2:$Y$301, MATCH(ROUND(MIN(300,MAX(1,D1379)),0), FactorTable!$A$2:$A$301,0), Skills!M13+1)</f>
        <v/>
      </c>
      <c r="F1379">
        <f>IF(Skills!N13=TRUE,(Skills!L13/10)*(E1379/1000),Skills!L13/10)+Skills!O13</f>
        <v/>
      </c>
      <c r="G1379">
        <f>Calc!G13</f>
        <v/>
      </c>
      <c r="H1379">
        <f>Calc!H13</f>
        <v/>
      </c>
      <c r="I1379">
        <f>IF(Skills!X13&lt;&gt;"",1+(Skills!X13/10)*(Z1369/1000)/100,1)</f>
        <v/>
      </c>
      <c r="J1379">
        <f>((Inputs!$B$6*(1+Inputs!$B$7/100))+(((Inputs!$B$12*(1+Inputs!$B$13/100))-(Inputs!$B$12*(1+Inputs!$B$13/100)))+0.25*(Inputs!$B$14-Inputs!$B$14))*(1+Inputs!$B$7/100))*(F1379/100)</f>
        <v/>
      </c>
      <c r="K1379">
        <f>J1379*(1+((Inputs!$B$12*(1+Inputs!$B$13/100))*0.01+Inputs!$B$14*0.0025)/100)*(1+Inputs!$B$15/100)*(1+Inputs!$B$16/100)*(5000/(6000+Inputs!$B$42*(1-Inputs!$B$19/100)))*(1+Inputs!$B$24/100)*(1+F1389/100)*(1+IF(Inputs!$B$3&gt;=120,F1392,0)/100)^5*(1+(IF(Skills!A13="BASIC_ATTACK",Inputs!$B$17,Inputs!$B$18+IF(Inputs!$B$3&gt;=125,F1393*5,0)))/100)*(B1396*B1397*B1398*I1379)</f>
        <v/>
      </c>
      <c r="L1379">
        <f>K1379*(MIN(Inputs!$B$22+(F1388-Calc!F22),Inputs!$B$23)/100+Inputs!$B$23/100)/2</f>
        <v/>
      </c>
      <c r="M1379">
        <f>L1379*(1+(Inputs!$B$10+(F1387-Calc!F21))/100)</f>
        <v/>
      </c>
      <c r="N1379">
        <f>L1379*(1-MIN(Inputs!$B$9+(F1386-Calc!F20),100)/100)+M1379*(MIN(Inputs!$B$9+(F1386-Calc!F20),100)/100)</f>
        <v/>
      </c>
      <c r="O1379">
        <f>(1-Summary!$B$56)*S1379+Summary!$B$56*U1379</f>
        <v/>
      </c>
      <c r="P1379">
        <f>IF(B1407=0,0,O1379/B1407)</f>
        <v/>
      </c>
      <c r="Q1379">
        <f>IFERROR(1/IF(Inputs!$B$38="pvp",15,MAX(0.1,Skills!E13-IF(Skills!F13=TRUE,3.0,0))),0)</f>
        <v/>
      </c>
      <c r="R1379">
        <f>IF(AND(Inputs!$B$38&lt;&gt;"pvp",Inputs!$B$43&gt;0),IF(MAX(0,Inputs!$B$43-B1404)&lt;=0,0,(INT(MAX(0,Inputs!$B$43-B1404)/IF(Inputs!$B$38="pvp",15,MAX(0.1,Skills!E13-IF(Skills!F13=TRUE,3.0,0))))+1)),0)</f>
        <v/>
      </c>
      <c r="S1379">
        <f>IF(C1379,(H1379*N1379*IF(AND(Inputs!$B$38&lt;&gt;"pvp",Inputs!$B$43&gt;0),((Skills!G13*((R1379-1)*IF(Skills!H13&gt;0,Skills!I13/Skills!H13,1)+IF(Skills!H13&gt;0,MIN(Skills!I13,MAX(0,MAX(0,Inputs!$B$43-B1404)-((R1379-1)*IF(Inputs!$B$38="pvp",15,MAX(0.1,Skills!E13-IF(Skills!F13=TRUE,3.0,0))))))/Skills!H13,1)))/Inputs!$B$43),G1379*Q1379))*IF(Inputs!$B$38="pvp",1,1+(Inputs!$B$20+Skills!P13)/100),0)</f>
        <v/>
      </c>
      <c r="U1379">
        <f>IF(C1379,(H1379*N1379*IF(AND(Inputs!$B$38&lt;&gt;"pvp",Inputs!$B$43&gt;0),((Skills!G13*((R1379-1)*IF(Skills!H13&gt;0,Skills!I13/Skills!H13,1)+IF(Skills!H13&gt;0,MIN(Skills!I13,MAX(0,MAX(0,Inputs!$B$43-B1404)-((R1379-1)*IF(Inputs!$B$38="pvp",15,MAX(0.1,Skills!E13-IF(Skills!F13=TRUE,3.0,0))))))/Skills!H13,1)))/Inputs!$B$43),G1379*Q1379))*IF(Inputs!$B$38="pvp",1,(1+(Inputs!$B$21+Skills!Q13)/100)*(MIN(Skills!R13,Inputs!$B$37))),0)</f>
        <v/>
      </c>
    </row>
    <row r="1380">
      <c r="A1380">
        <f>Skills!A14</f>
        <v/>
      </c>
      <c r="B1380">
        <f>Skills!B14</f>
        <v/>
      </c>
      <c r="C1380">
        <f>Inputs!$B$3&gt;=113</f>
        <v/>
      </c>
      <c r="D1380">
        <f>IF(Skills!C14=1,60+Inputs!$B$25+Inputs!$B$29,IF(Skills!C14=2,90+Inputs!$B$26+Inputs!$B$29,IF(Skills!C14=3,120+Inputs!$B$27+Inputs!$B$29,MAX(0,(Inputs!$B$3-100)*3)+Inputs!$B$28+Inputs!$B$29)))</f>
        <v/>
      </c>
      <c r="E1380">
        <f>INDEX(FactorTable!$B$2:$Y$301, MATCH(ROUND(MIN(300,MAX(1,D1380)),0), FactorTable!$A$2:$A$301,0), Skills!M14+1)</f>
        <v/>
      </c>
      <c r="F1380">
        <f>IF(Skills!N14=TRUE,(Skills!L14/10)*(E1380/1000),Skills!L14/10)+Skills!O14</f>
        <v/>
      </c>
      <c r="G1380">
        <f>Calc!G14</f>
        <v/>
      </c>
      <c r="H1380">
        <f>Calc!H14</f>
        <v/>
      </c>
      <c r="I1380">
        <f>IF(Skills!X14&lt;&gt;"",1+(Skills!X14/10)*(Z1369/1000)/100,1)</f>
        <v/>
      </c>
      <c r="J1380">
        <f>((Inputs!$B$6*(1+Inputs!$B$7/100))+(((Inputs!$B$12*(1+Inputs!$B$13/100))-(Inputs!$B$12*(1+Inputs!$B$13/100)))+0.25*(Inputs!$B$14-Inputs!$B$14))*(1+Inputs!$B$7/100))*(F1380/100)</f>
        <v/>
      </c>
      <c r="K1380">
        <f>J1380*(1+((Inputs!$B$12*(1+Inputs!$B$13/100))*0.01+Inputs!$B$14*0.0025)/100)*(1+Inputs!$B$15/100)*(1+Inputs!$B$16/100)*(5000/(6000+Inputs!$B$42*(1-Inputs!$B$19/100)))*(1+Inputs!$B$24/100)*(1+F1389/100)*(1+IF(Inputs!$B$3&gt;=120,F1392,0)/100)^5*(1+(IF(Skills!A14="BASIC_ATTACK",Inputs!$B$17,Inputs!$B$18+IF(Inputs!$B$3&gt;=125,F1393*5,0)))/100)*(B1396*B1397*B1398*I1380)</f>
        <v/>
      </c>
      <c r="L1380">
        <f>K1380*(MIN(Inputs!$B$22+(F1388-Calc!F22),Inputs!$B$23)/100+Inputs!$B$23/100)/2</f>
        <v/>
      </c>
      <c r="M1380">
        <f>L1380*(1+(Inputs!$B$10+(F1387-Calc!F21))/100)</f>
        <v/>
      </c>
      <c r="N1380">
        <f>L1380*(1-MIN(Inputs!$B$9+(F1386-Calc!F20),100)/100)+M1380*(MIN(Inputs!$B$9+(F1386-Calc!F20),100)/100)</f>
        <v/>
      </c>
      <c r="O1380">
        <f>(1-Summary!$B$56)*S1380+Summary!$B$56*U1380</f>
        <v/>
      </c>
      <c r="P1380">
        <f>IF(B1407=0,0,O1380/B1407)</f>
        <v/>
      </c>
      <c r="Q1380">
        <f>IFERROR(1/IF(Inputs!$B$38="pvp",15,MAX(0.1,Skills!E14-IF(Skills!F14=TRUE,3.0,0))),0)</f>
        <v/>
      </c>
      <c r="R1380" t="n">
        <v>0</v>
      </c>
      <c r="S1380">
        <f>IF(C1380,((H1380*B1403)/(1+Skills!H14*H1380*B1403)*N1380)*IF(Inputs!$B$38="pvp",1,1+(Inputs!$B$20+Skills!P14)/100),0)</f>
        <v/>
      </c>
      <c r="U1380">
        <f>IF(C1380,((H1380*B1403)/(1+Skills!H14*H1380*B1403)*N1380)*IF(Inputs!$B$38="pvp",1,(1+(Inputs!$B$21+Skills!Q14)/100)*(MIN(Skills!R14,Inputs!$B$37))),0)</f>
        <v/>
      </c>
    </row>
    <row r="1381">
      <c r="A1381">
        <f>Skills!A15</f>
        <v/>
      </c>
      <c r="B1381">
        <f>Skills!B15</f>
        <v/>
      </c>
      <c r="C1381">
        <f>Inputs!$B$3&gt;=107</f>
        <v/>
      </c>
      <c r="D1381">
        <f>IF(Skills!C15=1,60+Inputs!$B$25+Inputs!$B$29,IF(Skills!C15=2,90+Inputs!$B$26+Inputs!$B$29,IF(Skills!C15=3,120+Inputs!$B$27+Inputs!$B$29,MAX(0,(Inputs!$B$3-100)*3)+Inputs!$B$28+Inputs!$B$29)))</f>
        <v/>
      </c>
      <c r="E1381">
        <f>INDEX(FactorTable!$B$2:$Y$301, MATCH(ROUND(MIN(300,MAX(1,D1381)),0), FactorTable!$A$2:$A$301,0), Skills!M15+1)</f>
        <v/>
      </c>
      <c r="F1381">
        <f>IF(Skills!N15=TRUE,(Skills!L15/10)*(E1381/1000),Skills!L15/10)+Skills!O15</f>
        <v/>
      </c>
      <c r="G1381">
        <f>Calc!G15</f>
        <v/>
      </c>
      <c r="H1381">
        <f>Calc!H15</f>
        <v/>
      </c>
      <c r="I1381">
        <f>IF(Skills!X15&lt;&gt;"",1+(Skills!X15/10)*(Z1369/1000)/100,1)</f>
        <v/>
      </c>
      <c r="J1381">
        <f>((Inputs!$B$6*(1+Inputs!$B$7/100))+(((Inputs!$B$12*(1+Inputs!$B$13/100))-(Inputs!$B$12*(1+Inputs!$B$13/100)))+0.25*(Inputs!$B$14-Inputs!$B$14))*(1+Inputs!$B$7/100))*(F1381/100)</f>
        <v/>
      </c>
      <c r="K1381">
        <f>J1381*(1+((Inputs!$B$12*(1+Inputs!$B$13/100))*0.01+Inputs!$B$14*0.0025)/100)*(1+Inputs!$B$15/100)*(1+Inputs!$B$16/100)*(5000/(6000+Inputs!$B$42*(1-Inputs!$B$19/100)))*(1+Inputs!$B$24/100)*(1+F1389/100)*(1+IF(Inputs!$B$3&gt;=120,F1392,0)/100)^5*(1+(IF(Skills!A15="BASIC_ATTACK",Inputs!$B$17,Inputs!$B$18+IF(Inputs!$B$3&gt;=125,F1393*5,0)))/100)*(B1396*B1397*B1398*I1381)</f>
        <v/>
      </c>
      <c r="L1381">
        <f>K1381*(MIN(Inputs!$B$22+(F1388-Calc!F22),Inputs!$B$23)/100+Inputs!$B$23/100)/2</f>
        <v/>
      </c>
      <c r="M1381">
        <f>L1381*(1+(Inputs!$B$10+(F1387-Calc!F21))/100)</f>
        <v/>
      </c>
      <c r="N1381">
        <f>L1381*(1-MIN(Inputs!$B$9+(F1386-Calc!F20),100)/100)+M1381*(MIN(Inputs!$B$9+(F1386-Calc!F20),100)/100)</f>
        <v/>
      </c>
      <c r="O1381">
        <f>(1-Summary!$B$56)*S1381+Summary!$B$56*U1381</f>
        <v/>
      </c>
      <c r="P1381">
        <f>IF(B1407=0,0,O1381/B1407)</f>
        <v/>
      </c>
      <c r="Q1381">
        <f>IFERROR(1/IF(Inputs!$B$38="pvp",15,MAX(0.1,Skills!E15-IF(Skills!F15=TRUE,3.0,0))),0)</f>
        <v/>
      </c>
      <c r="R1381">
        <f>IF(AND(Inputs!$B$38&lt;&gt;"pvp",Inputs!$B$43&gt;0),IF(MAX(0,Inputs!$B$43-B1404)&lt;=0,0,(INT(MAX(0,Inputs!$B$43-B1404)/IF(Inputs!$B$38="pvp",15,MAX(0.1,Skills!E15-IF(Skills!F15=TRUE,3.0,0))))+1)),0)</f>
        <v/>
      </c>
      <c r="S1381">
        <f>IF(C1381,(H1381*N1381*IF(AND(Inputs!$B$38&lt;&gt;"pvp",Inputs!$B$43&gt;0),((Skills!G15*((R1381-1)*IF(Skills!H15&gt;0,Skills!I15/Skills!H15,1)+IF(Skills!H15&gt;0,MIN(Skills!I15,MAX(0,MAX(0,Inputs!$B$43-B1404)-((R1381-1)*IF(Inputs!$B$38="pvp",15,MAX(0.1,Skills!E15-IF(Skills!F15=TRUE,3.0,0))))))/Skills!H15,1)))/Inputs!$B$43),G1381*Q1381))*IF(Inputs!$B$38="pvp",1,1+(Inputs!$B$20+Skills!P15)/100),0)</f>
        <v/>
      </c>
      <c r="U1381">
        <f>IF(C1381,(H1381*N1381*IF(AND(Inputs!$B$38&lt;&gt;"pvp",Inputs!$B$43&gt;0),((Skills!G15*((R1381-1)*IF(Skills!H15&gt;0,Skills!I15/Skills!H15,1)+IF(Skills!H15&gt;0,MIN(Skills!I15,MAX(0,MAX(0,Inputs!$B$43-B1404)-((R1381-1)*IF(Inputs!$B$38="pvp",15,MAX(0.1,Skills!E15-IF(Skills!F15=TRUE,3.0,0))))))/Skills!H15,1)))/Inputs!$B$43),G1381*Q1381))*IF(Inputs!$B$38="pvp",1,(1+(Inputs!$B$21+Skills!Q15)/100)*(MIN(Skills!R15,Inputs!$B$37))),0)</f>
        <v/>
      </c>
    </row>
    <row r="1382">
      <c r="A1382">
        <f>Skills!A16</f>
        <v/>
      </c>
      <c r="B1382">
        <f>Skills!B16</f>
        <v/>
      </c>
      <c r="C1382">
        <f>Inputs!$B$3&gt;=107</f>
        <v/>
      </c>
      <c r="D1382">
        <f>IF(Skills!C16=1,60+Inputs!$B$25+Inputs!$B$29,IF(Skills!C16=2,90+Inputs!$B$26+Inputs!$B$29,IF(Skills!C16=3,120+Inputs!$B$27+Inputs!$B$29,MAX(0,(Inputs!$B$3-100)*3)+Inputs!$B$28+Inputs!$B$29)))</f>
        <v/>
      </c>
      <c r="E1382">
        <f>INDEX(FactorTable!$B$2:$Y$301, MATCH(ROUND(MIN(300,MAX(1,D1382)),0), FactorTable!$A$2:$A$301,0), Skills!M16+1)</f>
        <v/>
      </c>
      <c r="F1382">
        <f>IF(Skills!N16=TRUE,(Skills!L16/10)*(E1382/1000),Skills!L16/10)+Skills!O16</f>
        <v/>
      </c>
      <c r="G1382">
        <f>Calc!G16</f>
        <v/>
      </c>
      <c r="H1382">
        <f>Calc!H16</f>
        <v/>
      </c>
      <c r="I1382">
        <f>IF(Skills!X16&lt;&gt;"",1+(Skills!X16/10)*(Z1369/1000)/100,1)</f>
        <v/>
      </c>
      <c r="J1382">
        <f>((Inputs!$B$6*(1+Inputs!$B$7/100))+(((Inputs!$B$12*(1+Inputs!$B$13/100))-(Inputs!$B$12*(1+Inputs!$B$13/100)))+0.25*(Inputs!$B$14-Inputs!$B$14))*(1+Inputs!$B$7/100))*(F1382/100)</f>
        <v/>
      </c>
      <c r="K1382">
        <f>J1382*(1+((Inputs!$B$12*(1+Inputs!$B$13/100))*0.01+Inputs!$B$14*0.0025)/100)*(1+Inputs!$B$15/100)*(1+Inputs!$B$16/100)*(5000/(6000+Inputs!$B$42*(1-Inputs!$B$19/100)))*(1+Inputs!$B$24/100)*(1+F1389/100)*(1+IF(Inputs!$B$3&gt;=120,F1392,0)/100)^5*(1+(IF(Skills!A16="BASIC_ATTACK",Inputs!$B$17,Inputs!$B$18+IF(Inputs!$B$3&gt;=125,F1393*5,0)))/100)*(B1396*B1397*B1398*I1382)</f>
        <v/>
      </c>
      <c r="L1382">
        <f>K1382*(MIN(Inputs!$B$22+(F1388-Calc!F22),Inputs!$B$23)/100+Inputs!$B$23/100)/2</f>
        <v/>
      </c>
      <c r="M1382">
        <f>L1382*(1+(Inputs!$B$10+(F1387-Calc!F21))/100)</f>
        <v/>
      </c>
      <c r="N1382">
        <f>L1382*(1-MIN(Inputs!$B$9+(F1386-Calc!F20),100)/100)+M1382*(MIN(Inputs!$B$9+(F1386-Calc!F20),100)/100)</f>
        <v/>
      </c>
      <c r="O1382">
        <f>(1-Summary!$B$56)*S1382+Summary!$B$56*U1382</f>
        <v/>
      </c>
      <c r="P1382">
        <f>IF(B1407=0,0,O1382/B1407)</f>
        <v/>
      </c>
      <c r="Q1382">
        <f>IFERROR(1/IF(Inputs!$B$38="pvp",15,MAX(0.1,Skills!E16-IF(Skills!F16=TRUE,3.0,0))),0)</f>
        <v/>
      </c>
      <c r="R1382">
        <f>IF(AND(Inputs!$B$38&lt;&gt;"pvp",Inputs!$B$43&gt;0),IF(MAX(0,Inputs!$B$43-B1404)&lt;=0,0,(INT(MAX(0,Inputs!$B$43-B1404)/IF(Inputs!$B$38="pvp",15,MAX(0.1,Skills!E16-IF(Skills!F16=TRUE,3.0,0))))+1)),0)</f>
        <v/>
      </c>
      <c r="S1382">
        <f>IF(C1382,(H1382*N1382*IF(AND(Inputs!$B$38&lt;&gt;"pvp",Inputs!$B$43&gt;0),((Skills!G16*((R1382-1)*IF(Skills!H16&gt;0,Skills!I16/Skills!H16,1)+IF(Skills!H16&gt;0,MIN(Skills!I16,MAX(0,MAX(0,Inputs!$B$43-B1404)-((R1382-1)*IF(Inputs!$B$38="pvp",15,MAX(0.1,Skills!E16-IF(Skills!F16=TRUE,3.0,0))))))/Skills!H16,1)))/Inputs!$B$43),G1382*Q1382)*(1+IF(Inputs!$B$3&gt;=126,0.05*(B1402+Q1379+(H1380*B1403)/(1+Skills!H14*H1380*B1403)+Q1390),0)*Skills!E15))*IF(Inputs!$B$38="pvp",1,1+(Inputs!$B$20+Skills!P16)/100),0)</f>
        <v/>
      </c>
      <c r="U1382">
        <f>IF(C1382,(H1382*N1382*IF(AND(Inputs!$B$38&lt;&gt;"pvp",Inputs!$B$43&gt;0),((Skills!G16*((R1382-1)*IF(Skills!H16&gt;0,Skills!I16/Skills!H16,1)+IF(Skills!H16&gt;0,MIN(Skills!I16,MAX(0,MAX(0,Inputs!$B$43-B1404)-((R1382-1)*IF(Inputs!$B$38="pvp",15,MAX(0.1,Skills!E16-IF(Skills!F16=TRUE,3.0,0))))))/Skills!H16,1)))/Inputs!$B$43),G1382*Q1382)*(1+IF(Inputs!$B$3&gt;=126,0.05*(B1402+Q1379+(H1380*B1403)/(1+Skills!H14*H1380*B1403)+Q1390),0)*Skills!E15))*IF(Inputs!$B$38="pvp",1,(1+(Inputs!$B$21+Skills!Q16)/100)*(MIN(Skills!R16,Inputs!$B$37))),0)</f>
        <v/>
      </c>
    </row>
    <row r="1383">
      <c r="A1383">
        <f>Skills!A17</f>
        <v/>
      </c>
      <c r="B1383">
        <f>Skills!B17</f>
        <v/>
      </c>
      <c r="C1383">
        <f>TRUE</f>
        <v/>
      </c>
      <c r="D1383">
        <f>IF(Skills!C17=1,60+Inputs!$B$25+Inputs!$B$29,IF(Skills!C17=2,90+Inputs!$B$26+Inputs!$B$29,IF(Skills!C17=3,120+Inputs!$B$27+Inputs!$B$29,MAX(0,(Inputs!$B$3-100)*3)+Inputs!$B$28+Inputs!$B$29)))</f>
        <v/>
      </c>
      <c r="E1383">
        <f>INDEX(FactorTable!$B$2:$Y$301, MATCH(ROUND(MIN(300,MAX(1,D1383)),0), FactorTable!$A$2:$A$301,0), Skills!M17+1)</f>
        <v/>
      </c>
      <c r="F1383">
        <f>IF(Skills!N17=TRUE,(Skills!L17/10)*(E1383/1000),Skills!L17/10)+Skills!O17</f>
        <v/>
      </c>
      <c r="G1383">
        <f>Calc!G17</f>
        <v/>
      </c>
      <c r="H1383">
        <f>Calc!H17</f>
        <v/>
      </c>
      <c r="I1383">
        <f>IF(Skills!X17&lt;&gt;"",1+(Skills!X17/10)*(Z1369/1000)/100,1)</f>
        <v/>
      </c>
      <c r="J1383" t="inlineStr"/>
      <c r="K1383" t="inlineStr"/>
      <c r="L1383" t="inlineStr"/>
      <c r="M1383" t="inlineStr"/>
      <c r="N1383" t="inlineStr"/>
      <c r="O1383">
        <f>(1-Summary!$B$56)*S1383+Summary!$B$56*U1383</f>
        <v/>
      </c>
      <c r="P1383">
        <f>IF(B1407=0,0,O1383/B1407)</f>
        <v/>
      </c>
      <c r="Q1383">
        <f>IFERROR(1/IF(Inputs!$B$38="pvp",15,MAX(0.1,Skills!E17-IF(Skills!F17=TRUE,3.0,0))),0)</f>
        <v/>
      </c>
      <c r="R1383">
        <f>IF(AND(Inputs!$B$38&lt;&gt;"pvp",Inputs!$B$43&gt;0),IF(Inputs!$B$43&lt;=0,0,(INT(Inputs!$B$43/IF(Inputs!$B$38="pvp",15,MAX(0.1,Skills!E17-IF(Skills!F17=TRUE,3.0,0))))+1)),0)</f>
        <v/>
      </c>
      <c r="S1383" t="n">
        <v>0</v>
      </c>
      <c r="U1383" t="n">
        <v>0</v>
      </c>
    </row>
    <row r="1384">
      <c r="A1384">
        <f>Skills!A18</f>
        <v/>
      </c>
      <c r="B1384">
        <f>Skills!B18</f>
        <v/>
      </c>
      <c r="C1384">
        <f>TRUE</f>
        <v/>
      </c>
      <c r="D1384">
        <f>IF(Skills!C18=1,60+Inputs!$B$25+Inputs!$B$29,IF(Skills!C18=2,90+Inputs!$B$26+Inputs!$B$29,IF(Skills!C18=3,120+Inputs!$B$27+Inputs!$B$29,MAX(0,(Inputs!$B$3-100)*3)+Inputs!$B$28+Inputs!$B$29)))</f>
        <v/>
      </c>
      <c r="E1384">
        <f>INDEX(FactorTable!$B$2:$Y$301, MATCH(ROUND(MIN(300,MAX(1,D1384)),0), FactorTable!$A$2:$A$301,0), Skills!M18+1)</f>
        <v/>
      </c>
      <c r="F1384">
        <f>IF(Skills!N18=TRUE,(Skills!L18/10)*(E1384/1000),Skills!L18/10)+Skills!O18</f>
        <v/>
      </c>
      <c r="G1384">
        <f>Calc!G18</f>
        <v/>
      </c>
      <c r="H1384">
        <f>Calc!H18</f>
        <v/>
      </c>
      <c r="I1384">
        <f>IF(Skills!X18&lt;&gt;"",1+(Skills!X18/10)*(Z1369/1000)/100,1)</f>
        <v/>
      </c>
      <c r="J1384" t="inlineStr"/>
      <c r="K1384" t="inlineStr"/>
      <c r="L1384" t="inlineStr"/>
      <c r="M1384" t="inlineStr"/>
      <c r="N1384" t="inlineStr"/>
      <c r="O1384">
        <f>(1-Summary!$B$56)*S1384+Summary!$B$56*U1384</f>
        <v/>
      </c>
      <c r="P1384">
        <f>IF(B1407=0,0,O1384/B1407)</f>
        <v/>
      </c>
      <c r="Q1384">
        <f>IFERROR(1/IF(Inputs!$B$38="pvp",15,MAX(0.1,Skills!E18-IF(Skills!F18=TRUE,3.0,0))),0)</f>
        <v/>
      </c>
      <c r="R1384">
        <f>IF(AND(Inputs!$B$38&lt;&gt;"pvp",Inputs!$B$43&gt;0),IF(Inputs!$B$43&lt;=0,0,(INT(Inputs!$B$43/IF(Inputs!$B$38="pvp",15,MAX(0.1,Skills!E18-IF(Skills!F18=TRUE,3.0,0))))+1)),0)</f>
        <v/>
      </c>
      <c r="S1384" t="n">
        <v>0</v>
      </c>
      <c r="U1384" t="n">
        <v>0</v>
      </c>
    </row>
    <row r="1385">
      <c r="A1385">
        <f>Skills!A19</f>
        <v/>
      </c>
      <c r="B1385">
        <f>Skills!B19</f>
        <v/>
      </c>
      <c r="C1385">
        <f>Inputs!$B$3&gt;=110</f>
        <v/>
      </c>
      <c r="D1385">
        <f>IF(Skills!C19=1,60+Inputs!$B$25+Inputs!$B$29,IF(Skills!C19=2,90+Inputs!$B$26+Inputs!$B$29,IF(Skills!C19=3,120+Inputs!$B$27+Inputs!$B$29,MAX(0,(Inputs!$B$3-100)*3)+Inputs!$B$28+Inputs!$B$29)))</f>
        <v/>
      </c>
      <c r="E1385">
        <f>INDEX(FactorTable!$B$2:$Y$301, MATCH(ROUND(MIN(300,MAX(1,D1385)),0), FactorTable!$A$2:$A$301,0), Skills!M19+1)</f>
        <v/>
      </c>
      <c r="F1385">
        <f>IF(Skills!N19=TRUE,(Skills!L19/10)*(E1385/1000),Skills!L19/10)+Skills!O19</f>
        <v/>
      </c>
      <c r="G1385">
        <f>Calc!G19</f>
        <v/>
      </c>
      <c r="H1385">
        <f>Calc!H19</f>
        <v/>
      </c>
      <c r="I1385">
        <f>IF(Skills!X19&lt;&gt;"",1+(Skills!X19/10)*(Z1369/1000)/100,1)</f>
        <v/>
      </c>
      <c r="J1385" t="inlineStr"/>
      <c r="K1385" t="inlineStr"/>
      <c r="L1385" t="inlineStr"/>
      <c r="M1385" t="inlineStr"/>
      <c r="N1385" t="inlineStr"/>
      <c r="O1385">
        <f>(1-Summary!$B$56)*S1385+Summary!$B$56*U1385</f>
        <v/>
      </c>
      <c r="P1385">
        <f>IF(B1407=0,0,O1385/B1407)</f>
        <v/>
      </c>
      <c r="Q1385">
        <f>IFERROR(1/IF(Inputs!$B$38="pvp",15,MAX(0.1,Skills!E19-IF(Skills!F19=TRUE,3.0,0))),0)</f>
        <v/>
      </c>
      <c r="R1385">
        <f>IF(AND(Inputs!$B$38&lt;&gt;"pvp",Inputs!$B$43&gt;0),IF(Inputs!$B$43&lt;=0,0,(INT(Inputs!$B$43/IF(Inputs!$B$38="pvp",15,MAX(0.1,Skills!E19-IF(Skills!F19=TRUE,3.0,0))))+1)),0)</f>
        <v/>
      </c>
      <c r="S1385" t="n">
        <v>0</v>
      </c>
      <c r="U1385" t="n">
        <v>0</v>
      </c>
    </row>
    <row r="1386">
      <c r="A1386">
        <f>Skills!A20</f>
        <v/>
      </c>
      <c r="B1386">
        <f>Skills!B20</f>
        <v/>
      </c>
      <c r="C1386">
        <f>TRUE</f>
        <v/>
      </c>
      <c r="D1386">
        <f>IF(Skills!C20=1,60+Inputs!$B$25+Inputs!$B$29,IF(Skills!C20=2,90+Inputs!$B$26+Inputs!$B$29,IF(Skills!C20=3,120+Inputs!$B$27+Inputs!$B$29,MAX(0,(Inputs!$B$3-100)*3)+Inputs!$B$28+Inputs!$B$29)))</f>
        <v/>
      </c>
      <c r="E1386">
        <f>INDEX(FactorTable!$B$2:$Y$301, MATCH(ROUND(MIN(300,MAX(1,D1386)),0), FactorTable!$A$2:$A$301,0), Skills!M20+1)</f>
        <v/>
      </c>
      <c r="F1386">
        <f>IF(Skills!N20=TRUE,(Skills!L20/10)*(E1386/1000),Skills!L20/10)+Skills!O20</f>
        <v/>
      </c>
      <c r="G1386">
        <f>Calc!G20</f>
        <v/>
      </c>
      <c r="H1386">
        <f>Calc!H20</f>
        <v/>
      </c>
      <c r="I1386">
        <f>IF(Skills!X20&lt;&gt;"",1+(Skills!X20/10)*(Z1369/1000)/100,1)</f>
        <v/>
      </c>
      <c r="J1386" t="inlineStr"/>
      <c r="K1386" t="inlineStr"/>
      <c r="L1386" t="inlineStr"/>
      <c r="M1386" t="inlineStr"/>
      <c r="N1386" t="inlineStr"/>
      <c r="O1386">
        <f>(1-Summary!$B$56)*S1386+Summary!$B$56*U1386</f>
        <v/>
      </c>
      <c r="P1386">
        <f>IF(B1407=0,0,O1386/B1407)</f>
        <v/>
      </c>
      <c r="Q1386">
        <f>IFERROR(1/IF(Inputs!$B$38="pvp",15,MAX(0.1,Skills!E20-IF(Skills!F20=TRUE,3.0,0))),0)</f>
        <v/>
      </c>
      <c r="R1386" t="n">
        <v>0</v>
      </c>
      <c r="S1386" t="n">
        <v>0</v>
      </c>
      <c r="U1386" t="n">
        <v>0</v>
      </c>
    </row>
    <row r="1387">
      <c r="A1387">
        <f>Skills!A21</f>
        <v/>
      </c>
      <c r="B1387">
        <f>Skills!B21</f>
        <v/>
      </c>
      <c r="C1387">
        <f>TRUE</f>
        <v/>
      </c>
      <c r="D1387">
        <f>IF(Skills!C21=1,60+Inputs!$B$25+Inputs!$B$29,IF(Skills!C21=2,90+Inputs!$B$26+Inputs!$B$29,IF(Skills!C21=3,120+Inputs!$B$27+Inputs!$B$29,MAX(0,(Inputs!$B$3-100)*3)+Inputs!$B$28+Inputs!$B$29)))</f>
        <v/>
      </c>
      <c r="E1387">
        <f>INDEX(FactorTable!$B$2:$Y$301, MATCH(ROUND(MIN(300,MAX(1,D1387)),0), FactorTable!$A$2:$A$301,0), Skills!M21+1)</f>
        <v/>
      </c>
      <c r="F1387">
        <f>IF(Skills!N21=TRUE,(Skills!L21/10)*(E1387/1000),Skills!L21/10)+Skills!O21</f>
        <v/>
      </c>
      <c r="G1387">
        <f>Calc!G21</f>
        <v/>
      </c>
      <c r="H1387">
        <f>Calc!H21</f>
        <v/>
      </c>
      <c r="I1387">
        <f>IF(Skills!X21&lt;&gt;"",1+(Skills!X21/10)*(Z1369/1000)/100,1)</f>
        <v/>
      </c>
      <c r="J1387" t="inlineStr"/>
      <c r="K1387" t="inlineStr"/>
      <c r="L1387" t="inlineStr"/>
      <c r="M1387" t="inlineStr"/>
      <c r="N1387" t="inlineStr"/>
      <c r="O1387">
        <f>(1-Summary!$B$56)*S1387+Summary!$B$56*U1387</f>
        <v/>
      </c>
      <c r="P1387">
        <f>IF(B1407=0,0,O1387/B1407)</f>
        <v/>
      </c>
      <c r="Q1387">
        <f>IFERROR(1/IF(Inputs!$B$38="pvp",15,MAX(0.1,Skills!E21-IF(Skills!F21=TRUE,3.0,0))),0)</f>
        <v/>
      </c>
      <c r="R1387" t="n">
        <v>0</v>
      </c>
      <c r="S1387" t="n">
        <v>0</v>
      </c>
      <c r="U1387" t="n">
        <v>0</v>
      </c>
    </row>
    <row r="1388">
      <c r="A1388">
        <f>Skills!A22</f>
        <v/>
      </c>
      <c r="B1388">
        <f>Skills!B22</f>
        <v/>
      </c>
      <c r="C1388">
        <f>TRUE</f>
        <v/>
      </c>
      <c r="D1388">
        <f>IF(Skills!C22=1,60+Inputs!$B$25+Inputs!$B$29,IF(Skills!C22=2,90+Inputs!$B$26+Inputs!$B$29,IF(Skills!C22=3,120+Inputs!$B$27+Inputs!$B$29,MAX(0,(Inputs!$B$3-100)*3)+Inputs!$B$28+Inputs!$B$29)))</f>
        <v/>
      </c>
      <c r="E1388">
        <f>INDEX(FactorTable!$B$2:$Y$301, MATCH(ROUND(MIN(300,MAX(1,D1388)),0), FactorTable!$A$2:$A$301,0), Skills!M22+1)</f>
        <v/>
      </c>
      <c r="F1388">
        <f>IF(Skills!N22=TRUE,(Skills!L22/10)*(E1388/1000),Skills!L22/10)+Skills!O22</f>
        <v/>
      </c>
      <c r="G1388">
        <f>Calc!G22</f>
        <v/>
      </c>
      <c r="H1388">
        <f>Calc!H22</f>
        <v/>
      </c>
      <c r="I1388">
        <f>IF(Skills!X22&lt;&gt;"",1+(Skills!X22/10)*(Z1369/1000)/100,1)</f>
        <v/>
      </c>
      <c r="J1388" t="inlineStr"/>
      <c r="K1388" t="inlineStr"/>
      <c r="L1388" t="inlineStr"/>
      <c r="M1388" t="inlineStr"/>
      <c r="N1388" t="inlineStr"/>
      <c r="O1388">
        <f>(1-Summary!$B$56)*S1388+Summary!$B$56*U1388</f>
        <v/>
      </c>
      <c r="P1388">
        <f>IF(B1407=0,0,O1388/B1407)</f>
        <v/>
      </c>
      <c r="Q1388">
        <f>IFERROR(1/IF(Inputs!$B$38="pvp",15,MAX(0.1,Skills!E22-IF(Skills!F22=TRUE,3.0,0))),0)</f>
        <v/>
      </c>
      <c r="R1388" t="n">
        <v>0</v>
      </c>
      <c r="S1388" t="n">
        <v>0</v>
      </c>
      <c r="U1388" t="n">
        <v>0</v>
      </c>
    </row>
    <row r="1389">
      <c r="A1389">
        <f>Skills!A23</f>
        <v/>
      </c>
      <c r="B1389">
        <f>Skills!B23</f>
        <v/>
      </c>
      <c r="C1389">
        <f>TRUE</f>
        <v/>
      </c>
      <c r="D1389">
        <f>IF(Skills!C23=1,60+Inputs!$B$25+Inputs!$B$29,IF(Skills!C23=2,90+Inputs!$B$26+Inputs!$B$29,IF(Skills!C23=3,120+Inputs!$B$27+Inputs!$B$29,MAX(0,(Inputs!$B$3-100)*3)+Inputs!$B$28+Inputs!$B$29)))</f>
        <v/>
      </c>
      <c r="E1389">
        <f>INDEX(FactorTable!$B$2:$Y$301, MATCH(ROUND(MIN(300,MAX(1,D1389)),0), FactorTable!$A$2:$A$301,0), Skills!M23+1)</f>
        <v/>
      </c>
      <c r="F1389">
        <f>IF(Skills!N23=TRUE,(Skills!L23/10)*(E1389/1000),Skills!L23/10)+Skills!O23</f>
        <v/>
      </c>
      <c r="G1389">
        <f>Calc!G23</f>
        <v/>
      </c>
      <c r="H1389">
        <f>Calc!H23</f>
        <v/>
      </c>
      <c r="I1389">
        <f>IF(Skills!X23&lt;&gt;"",1+(Skills!X23/10)*(Z1369/1000)/100,1)</f>
        <v/>
      </c>
      <c r="J1389" t="inlineStr"/>
      <c r="K1389" t="inlineStr"/>
      <c r="L1389" t="inlineStr"/>
      <c r="M1389" t="inlineStr"/>
      <c r="N1389" t="inlineStr"/>
      <c r="O1389">
        <f>(1-Summary!$B$56)*S1389+Summary!$B$56*U1389</f>
        <v/>
      </c>
      <c r="P1389">
        <f>IF(B1407=0,0,O1389/B1407)</f>
        <v/>
      </c>
      <c r="Q1389">
        <f>IFERROR(1/IF(Inputs!$B$38="pvp",15,MAX(0.1,Skills!E23-IF(Skills!F23=TRUE,3.0,0))),0)</f>
        <v/>
      </c>
      <c r="R1389" t="n">
        <v>0</v>
      </c>
      <c r="S1389" t="n">
        <v>0</v>
      </c>
      <c r="U1389" t="n">
        <v>0</v>
      </c>
    </row>
    <row r="1390">
      <c r="A1390">
        <f>Skills!A24</f>
        <v/>
      </c>
      <c r="B1390">
        <f>Skills!B24</f>
        <v/>
      </c>
      <c r="C1390">
        <f>Inputs!$B$3&gt;=115</f>
        <v/>
      </c>
      <c r="D1390">
        <f>IF(Skills!C24=1,60+Inputs!$B$25+Inputs!$B$29,IF(Skills!C24=2,90+Inputs!$B$26+Inputs!$B$29,IF(Skills!C24=3,120+Inputs!$B$27+Inputs!$B$29,MAX(0,(Inputs!$B$3-100)*3)+Inputs!$B$28+Inputs!$B$29)))</f>
        <v/>
      </c>
      <c r="E1390">
        <f>INDEX(FactorTable!$B$2:$Y$301, MATCH(ROUND(MIN(300,MAX(1,D1390)),0), FactorTable!$A$2:$A$301,0), Skills!M24+1)</f>
        <v/>
      </c>
      <c r="F1390">
        <f>IF(Skills!N24=TRUE,(Skills!L24/10)*(E1390/1000),Skills!L24/10)+Skills!O24</f>
        <v/>
      </c>
      <c r="G1390">
        <f>Calc!G24</f>
        <v/>
      </c>
      <c r="H1390">
        <f>Calc!H24</f>
        <v/>
      </c>
      <c r="I1390">
        <f>IF(Skills!X24&lt;&gt;"",1+(Skills!X24/10)*(Z1369/1000)/100,1)</f>
        <v/>
      </c>
      <c r="J1390">
        <f>((Inputs!$B$6*(1+Inputs!$B$7/100))+(((Inputs!$B$12*(1+Inputs!$B$13/100))-(Inputs!$B$12*(1+Inputs!$B$13/100)))+0.25*(Inputs!$B$14-Inputs!$B$14))*(1+Inputs!$B$7/100))*(F1390/100)</f>
        <v/>
      </c>
      <c r="K1390">
        <f>J1390*(1+((Inputs!$B$12*(1+Inputs!$B$13/100))*0.01+Inputs!$B$14*0.0025)/100)*(1+Inputs!$B$15/100)*(1+Inputs!$B$16/100)*(5000/(6000+Inputs!$B$42*(1-Inputs!$B$19/100)))*(1+Inputs!$B$24/100)*(1+F1389/100)*(1+IF(Inputs!$B$3&gt;=120,F1392,0)/100)^5*(1+(IF(Skills!A24="BASIC_ATTACK",Inputs!$B$17,Inputs!$B$18+IF(Inputs!$B$3&gt;=125,F1393*5,0)))/100)*(B1396*B1397*B1398*I1390)</f>
        <v/>
      </c>
      <c r="L1390">
        <f>K1390*(MIN(Inputs!$B$22+(F1388-Calc!F22),Inputs!$B$23)/100+Inputs!$B$23/100)/2</f>
        <v/>
      </c>
      <c r="M1390">
        <f>L1390*(1+(Inputs!$B$10+(F1387-Calc!F21))/100)</f>
        <v/>
      </c>
      <c r="N1390">
        <f>L1390*(1-MIN(Inputs!$B$9+(F1386-Calc!F20),100)/100)+M1390*(MIN(Inputs!$B$9+(F1386-Calc!F20),100)/100)</f>
        <v/>
      </c>
      <c r="O1390">
        <f>(1-Summary!$B$56)*S1390+Summary!$B$56*U1390</f>
        <v/>
      </c>
      <c r="P1390">
        <f>IF(B1407=0,0,O1390/B1407)</f>
        <v/>
      </c>
      <c r="Q1390">
        <f>IFERROR(1/IF(Inputs!$B$38="pvp",15,MAX(0.1,Skills!E24-IF(Skills!F24=TRUE,3.0,0))),0)</f>
        <v/>
      </c>
      <c r="R1390">
        <f>IF(AND(Inputs!$B$38&lt;&gt;"pvp",Inputs!$B$43&gt;0),IF(MAX(0,Inputs!$B$43-B1404)&lt;=0,0,(INT(MAX(0,Inputs!$B$43-B1404)/IF(Inputs!$B$38="pvp",15,MAX(0.1,Skills!E24-IF(Skills!F24=TRUE,3.0,0))))+1)),0)</f>
        <v/>
      </c>
      <c r="S1390">
        <f>IF(C1390,(H1390*N1390*IF(AND(Inputs!$B$38&lt;&gt;"pvp",Inputs!$B$43&gt;0),((Skills!G24*((R1390-1)*IF(Skills!H24&gt;0,Skills!I24/Skills!H24,1)+IF(Skills!H24&gt;0,MIN(Skills!I24,MAX(0,MAX(0,Inputs!$B$43-B1404)-((R1390-1)*IF(Inputs!$B$38="pvp",15,MAX(0.1,Skills!E24-IF(Skills!F24=TRUE,3.0,0))))))/Skills!H24,1)))/Inputs!$B$43),G1390*Q1390)*(1+IF(Inputs!$B$3&gt;=130,0.2*(Skills!I16/Skills!E15+IF(Inputs!$B$3&gt;=126,0.05*(B1402+Q1379+(H1380*B1403)/(1+Skills!H14*H1380*B1403)+Q1390),0)*Skills!I16),0)))*IF(Inputs!$B$38="pvp",1,1+(Inputs!$B$20+Skills!P24)/100),0)</f>
        <v/>
      </c>
      <c r="U1390">
        <f>IF(C1390,(H1390*N1390*IF(AND(Inputs!$B$38&lt;&gt;"pvp",Inputs!$B$43&gt;0),((Skills!G24*((R1390-1)*IF(Skills!H24&gt;0,Skills!I24/Skills!H24,1)+IF(Skills!H24&gt;0,MIN(Skills!I24,MAX(0,MAX(0,Inputs!$B$43-B1404)-((R1390-1)*IF(Inputs!$B$38="pvp",15,MAX(0.1,Skills!E24-IF(Skills!F24=TRUE,3.0,0))))))/Skills!H24,1)))/Inputs!$B$43),G1390*Q1390)*(1+IF(Inputs!$B$3&gt;=130,0.2*(Skills!I16/Skills!E15+IF(Inputs!$B$3&gt;=126,0.05*(B1402+Q1379+(H1380*B1403)/(1+Skills!H14*H1380*B1403)+Q1390),0)*Skills!I16),0)))*IF(Inputs!$B$38="pvp",1,(1+(Inputs!$B$21+Skills!Q24)/100)*(MIN(Skills!R24,Inputs!$B$37))),0)</f>
        <v/>
      </c>
    </row>
    <row r="1391">
      <c r="A1391">
        <f>Skills!A25</f>
        <v/>
      </c>
      <c r="B1391">
        <f>Skills!B25</f>
        <v/>
      </c>
      <c r="C1391">
        <f>Inputs!$B$3&gt;=117</f>
        <v/>
      </c>
      <c r="D1391">
        <f>IF(Skills!C25=1,60+Inputs!$B$25+Inputs!$B$29,IF(Skills!C25=2,90+Inputs!$B$26+Inputs!$B$29,IF(Skills!C25=3,120+Inputs!$B$27+Inputs!$B$29,MAX(0,(Inputs!$B$3-100)*3)+Inputs!$B$28+Inputs!$B$29)))</f>
        <v/>
      </c>
      <c r="E1391">
        <f>INDEX(FactorTable!$B$2:$Y$301, MATCH(ROUND(MIN(300,MAX(1,D1391)),0), FactorTable!$A$2:$A$301,0), Skills!M25+1)</f>
        <v/>
      </c>
      <c r="F1391">
        <f>IF(Skills!N25=TRUE,(Skills!L25/10)*(E1391/1000),Skills!L25/10)+Skills!O25</f>
        <v/>
      </c>
      <c r="G1391">
        <f>Calc!G25</f>
        <v/>
      </c>
      <c r="H1391">
        <f>Calc!H25</f>
        <v/>
      </c>
      <c r="I1391">
        <f>IF(Skills!X25&lt;&gt;"",1+(Skills!X25/10)*(Z1369/1000)/100,1)</f>
        <v/>
      </c>
      <c r="J1391" t="inlineStr"/>
      <c r="K1391" t="inlineStr"/>
      <c r="L1391" t="inlineStr"/>
      <c r="M1391" t="inlineStr"/>
      <c r="N1391" t="inlineStr"/>
      <c r="O1391">
        <f>(1-Summary!$B$56)*S1391+Summary!$B$56*U1391</f>
        <v/>
      </c>
      <c r="P1391">
        <f>IF(B1407=0,0,O1391/B1407)</f>
        <v/>
      </c>
      <c r="Q1391">
        <f>IFERROR(1/IF(Inputs!$B$38="pvp",15,MAX(0.1,Skills!E25-IF(Skills!F25=TRUE,3.0,0))),0)</f>
        <v/>
      </c>
      <c r="R1391" t="n">
        <v>0</v>
      </c>
      <c r="S1391" t="n">
        <v>0</v>
      </c>
      <c r="U1391" t="n">
        <v>0</v>
      </c>
    </row>
    <row r="1392">
      <c r="A1392">
        <f>Skills!A26</f>
        <v/>
      </c>
      <c r="B1392">
        <f>Skills!B26</f>
        <v/>
      </c>
      <c r="C1392">
        <f>Inputs!$B$3&gt;=120</f>
        <v/>
      </c>
      <c r="D1392">
        <f>IF(Skills!C26=1,60+Inputs!$B$25+Inputs!$B$29,IF(Skills!C26=2,90+Inputs!$B$26+Inputs!$B$29,IF(Skills!C26=3,120+Inputs!$B$27+Inputs!$B$29,MAX(0,(Inputs!$B$3-100)*3)+Inputs!$B$28+Inputs!$B$29)))</f>
        <v/>
      </c>
      <c r="E1392">
        <f>INDEX(FactorTable!$B$2:$Y$301, MATCH(ROUND(MIN(300,MAX(1,D1392)),0), FactorTable!$A$2:$A$301,0), Skills!M26+1)</f>
        <v/>
      </c>
      <c r="F1392">
        <f>IF(Skills!N26=TRUE,(Skills!L26/10)*(E1392/1000),Skills!L26/10)+Skills!O26</f>
        <v/>
      </c>
      <c r="G1392">
        <f>Calc!G26</f>
        <v/>
      </c>
      <c r="H1392">
        <f>Calc!H26</f>
        <v/>
      </c>
      <c r="I1392">
        <f>IF(Skills!X26&lt;&gt;"",1+(Skills!X26/10)*(Z1369/1000)/100,1)</f>
        <v/>
      </c>
      <c r="J1392" t="inlineStr"/>
      <c r="K1392" t="inlineStr"/>
      <c r="L1392" t="inlineStr"/>
      <c r="M1392" t="inlineStr"/>
      <c r="N1392" t="inlineStr"/>
      <c r="O1392">
        <f>(1-Summary!$B$56)*S1392+Summary!$B$56*U1392</f>
        <v/>
      </c>
      <c r="P1392">
        <f>IF(B1407=0,0,O1392/B1407)</f>
        <v/>
      </c>
      <c r="Q1392">
        <f>IFERROR(1/IF(Inputs!$B$38="pvp",15,MAX(0.1,Skills!E26-IF(Skills!F26=TRUE,3.0,0))),0)</f>
        <v/>
      </c>
      <c r="R1392" t="n">
        <v>0</v>
      </c>
      <c r="S1392" t="n">
        <v>0</v>
      </c>
      <c r="U1392" t="n">
        <v>0</v>
      </c>
    </row>
    <row r="1393">
      <c r="A1393">
        <f>Skills!A27</f>
        <v/>
      </c>
      <c r="B1393">
        <f>Skills!B27</f>
        <v/>
      </c>
      <c r="C1393">
        <f>Inputs!$B$3&gt;=125</f>
        <v/>
      </c>
      <c r="D1393">
        <f>IF(Skills!C27=1,60+Inputs!$B$25+Inputs!$B$29,IF(Skills!C27=2,90+Inputs!$B$26+Inputs!$B$29,IF(Skills!C27=3,120+Inputs!$B$27+Inputs!$B$29,MAX(0,(Inputs!$B$3-100)*3)+Inputs!$B$28+Inputs!$B$29)))</f>
        <v/>
      </c>
      <c r="E1393">
        <f>INDEX(FactorTable!$B$2:$Y$301, MATCH(ROUND(MIN(300,MAX(1,D1393)),0), FactorTable!$A$2:$A$301,0), Skills!M27+1)</f>
        <v/>
      </c>
      <c r="F1393">
        <f>IF(Skills!N27=TRUE,(Skills!L27/10)*(E1393/1000),Skills!L27/10)+Skills!O27</f>
        <v/>
      </c>
      <c r="G1393">
        <f>Calc!G27</f>
        <v/>
      </c>
      <c r="H1393">
        <f>Calc!H27</f>
        <v/>
      </c>
      <c r="I1393">
        <f>IF(Skills!X27&lt;&gt;"",1+(Skills!X27/10)*(Z1369/1000)/100,1)</f>
        <v/>
      </c>
      <c r="J1393" t="inlineStr"/>
      <c r="K1393" t="inlineStr"/>
      <c r="L1393" t="inlineStr"/>
      <c r="M1393" t="inlineStr"/>
      <c r="N1393" t="inlineStr"/>
      <c r="O1393">
        <f>(1-Summary!$B$56)*S1393+Summary!$B$56*U1393</f>
        <v/>
      </c>
      <c r="P1393">
        <f>IF(B1407=0,0,O1393/B1407)</f>
        <v/>
      </c>
      <c r="Q1393">
        <f>IFERROR(1/IF(Inputs!$B$38="pvp",15,MAX(0.1,Skills!E27-IF(Skills!F27=TRUE,3.0,0))),0)</f>
        <v/>
      </c>
      <c r="R1393" t="n">
        <v>0</v>
      </c>
      <c r="S1393" t="n">
        <v>0</v>
      </c>
      <c r="U1393" t="n">
        <v>0</v>
      </c>
    </row>
    <row r="1394">
      <c r="A1394">
        <f>Skills!A28</f>
        <v/>
      </c>
      <c r="B1394">
        <f>Skills!B28</f>
        <v/>
      </c>
      <c r="C1394">
        <f>Inputs!$B$3&gt;=118</f>
        <v/>
      </c>
      <c r="D1394">
        <f>IF(Skills!C28=1,60+Inputs!$B$25+Inputs!$B$29,IF(Skills!C28=2,90+Inputs!$B$26+Inputs!$B$29,IF(Skills!C28=3,120+Inputs!$B$27+Inputs!$B$29,MAX(0,(Inputs!$B$3-100)*3)+Inputs!$B$28+Inputs!$B$29)))</f>
        <v/>
      </c>
      <c r="E1394">
        <f>INDEX(FactorTable!$B$2:$Y$301, MATCH(ROUND(MIN(300,MAX(1,D1394)),0), FactorTable!$A$2:$A$301,0), Skills!M28+1)</f>
        <v/>
      </c>
      <c r="F1394">
        <f>IF(Skills!N28=TRUE,(Skills!L28/10)*(E1394/1000),Skills!L28/10)+Skills!O28</f>
        <v/>
      </c>
      <c r="G1394">
        <f>Calc!G28</f>
        <v/>
      </c>
      <c r="H1394">
        <f>Calc!H28</f>
        <v/>
      </c>
      <c r="I1394">
        <f>IF(Skills!X28&lt;&gt;"",1+(Skills!X28/10)*(Z1369/1000)/100,1)</f>
        <v/>
      </c>
      <c r="J1394">
        <f>((Inputs!$B$6*(1+Inputs!$B$7/100))+(((Inputs!$B$12*(1+Inputs!$B$13/100))-(Inputs!$B$12*(1+Inputs!$B$13/100)))+0.25*(Inputs!$B$14-Inputs!$B$14))*(1+Inputs!$B$7/100))*(F1394/100)</f>
        <v/>
      </c>
      <c r="K1394">
        <f>J1394*(1+((Inputs!$B$12*(1+Inputs!$B$13/100))*0.01+Inputs!$B$14*0.0025)/100)*(1+Inputs!$B$15/100)*(1+Inputs!$B$16/100)*(5000/(6000+Inputs!$B$42*(1-Inputs!$B$19/100)))*(1+Inputs!$B$24/100)*(1+F1389/100)*(1+IF(Inputs!$B$3&gt;=120,F1392,0)/100)^5*(1+(IF(Skills!A28="BASIC_ATTACK",Inputs!$B$17,Inputs!$B$18+IF(Inputs!$B$3&gt;=125,F1393*5,0)))/100)*(B1396*B1397*B1398*I1394)</f>
        <v/>
      </c>
      <c r="L1394">
        <f>K1394*(MIN(Inputs!$B$22+(F1388-Calc!F22),Inputs!$B$23)/100+Inputs!$B$23/100)/2</f>
        <v/>
      </c>
      <c r="M1394">
        <f>L1394*(1+(Inputs!$B$10+(F1387-Calc!F21))/100)</f>
        <v/>
      </c>
      <c r="N1394">
        <f>L1394*(1-MIN(Inputs!$B$9+(F1386-Calc!F20),100)/100)+M1394*(MIN(Inputs!$B$9+(F1386-Calc!F20),100)/100)</f>
        <v/>
      </c>
      <c r="O1394">
        <f>(1-Summary!$B$56)*S1394+Summary!$B$56*U1394</f>
        <v/>
      </c>
      <c r="P1394">
        <f>IF(B1407=0,0,O1394/B1407)</f>
        <v/>
      </c>
      <c r="Q1394">
        <f>IFERROR(1/IF(Inputs!$B$38="pvp",15,MAX(0.1,Skills!E28-IF(Skills!F28=TRUE,3.0,0))),0)</f>
        <v/>
      </c>
      <c r="R1394">
        <f>IF(AND(Inputs!$B$38&lt;&gt;"pvp",Inputs!$B$43&gt;0),IF(MAX(0,Inputs!$B$43-B1404)&lt;=0,0,(INT(MAX(0,Inputs!$B$43-B1404)/IF(Inputs!$B$38="pvp",15,MAX(0.1,Skills!E28-IF(Skills!F28=TRUE,3.0,0))))+1)),0)</f>
        <v/>
      </c>
      <c r="S1394">
        <f>IF(C1394,(H1394*N1394*IF(AND(Inputs!$B$38&lt;&gt;"pvp",Inputs!$B$43&gt;0),((Skills!G28*((R1394-1)*IF(Skills!H28&gt;0,Skills!I28/Skills!H28,1)+IF(Skills!H28&gt;0,MIN(Skills!I28,MAX(0,MAX(0,Inputs!$B$43-B1404)-((R1394-1)*IF(Inputs!$B$38="pvp",15,MAX(0.1,Skills!E28-IF(Skills!F28=TRUE,3.0,0))))))/Skills!H28,1)))/Inputs!$B$43),G1394*Q1394))*IF(Inputs!$B$38="pvp",1,1+(Inputs!$B$20+Skills!P28)/100),0)</f>
        <v/>
      </c>
      <c r="U1394">
        <f>IF(C1394,(H1394*N1394*IF(AND(Inputs!$B$38&lt;&gt;"pvp",Inputs!$B$43&gt;0),((Skills!G28*((R1394-1)*IF(Skills!H28&gt;0,Skills!I28/Skills!H28,1)+IF(Skills!H28&gt;0,MIN(Skills!I28,MAX(0,MAX(0,Inputs!$B$43-B1404)-((R1394-1)*IF(Inputs!$B$38="pvp",15,MAX(0.1,Skills!E28-IF(Skills!F28=TRUE,3.0,0))))))/Skills!H28,1)))/Inputs!$B$43),G1394*Q1394))*IF(Inputs!$B$38="pvp",1,(1+(Inputs!$B$21+Skills!Q28)/100)*(MIN(Skills!R28,Inputs!$B$37))),0)</f>
        <v/>
      </c>
    </row>
    <row r="1396">
      <c r="A1396" t="inlineStr">
        <is>
          <t>Burning Magic Multiplier</t>
        </is>
      </c>
      <c r="B1396">
        <f>1+(F1377*Skills!Z11)/100</f>
        <v/>
      </c>
    </row>
    <row r="1397">
      <c r="A1397" t="inlineStr">
        <is>
          <t>Elemental Decrease Multiplier (always-on)</t>
        </is>
      </c>
      <c r="B1397">
        <f>1+F1378/100</f>
        <v/>
      </c>
    </row>
    <row r="1398">
      <c r="A1398" t="inlineStr">
        <is>
          <t>Average Buff Multiplier (Magic Guard + Meditation, summed; then Infinity)</t>
        </is>
      </c>
      <c r="B1398">
        <f>(1+(F1372*IF(AND(Inputs!$B$38&lt;&gt;"pvp",Inputs!$B$43&gt;0),(((R1372-1)*(Skills!T6*(1+(Inputs!$B$34+IF(Inputs!$B$3&gt;=117,F1391,0))/100))+MIN((Skills!T6*(1+(Inputs!$B$34+IF(Inputs!$B$3&gt;=117,F1391,0))/100)),MAX(0,Inputs!$B$43-((R1372-1)*Skills!E6))))/Inputs!$B$43),IF(Inputs!$B$38="pvp",MIN((Skills!T6*(1+(Inputs!$B$34+IF(Inputs!$B$3&gt;=117,F1391,0))/100)),15)/15,(Skills!T6*(1+(Inputs!$B$34+IF(Inputs!$B$3&gt;=117,F1391,0))/100))/Skills!E6))+F1383*IF(AND(Inputs!$B$38&lt;&gt;"pvp",Inputs!$B$43&gt;0),(((R1383-1)*(Skills!T17*(1+(Inputs!$B$34+IF(Inputs!$B$3&gt;=117,F1391,0))/100))+MIN((Skills!T17*(1+(Inputs!$B$34+IF(Inputs!$B$3&gt;=117,F1391,0))/100)),MAX(0,Inputs!$B$43-((R1383-1)*Skills!E17))))/Inputs!$B$43),IF(Inputs!$B$38="pvp",MIN((Skills!T17*(1+(Inputs!$B$34+IF(Inputs!$B$3&gt;=117,F1391,0))/100)),15)/15,(Skills!T17*(1+(Inputs!$B$34+IF(Inputs!$B$3&gt;=117,F1391,0))/100))/Skills!E17)))/100)*IF(C1385=TRUE,(1+F1385*IF(AND(Inputs!$B$38&lt;&gt;"pvp",Inputs!$B$43&gt;0),(((R1385-1)*(Skills!T19*(1+(Inputs!$B$34+IF(Inputs!$B$3&gt;=117,F1391,0))/100))+MIN((Skills!T19*(1+(Inputs!$B$34+IF(Inputs!$B$3&gt;=117,F1391,0))/100)),MAX(0,Inputs!$B$43-((R1385-1)*Skills!E19))))/Inputs!$B$43),IF(Inputs!$B$38="pvp",MIN((Skills!T19*(1+(Inputs!$B$34+IF(Inputs!$B$3&gt;=117,F1391,0))/100)),15)/15,(Skills!T19*(1+(Inputs!$B$34+IF(Inputs!$B$3&gt;=117,F1391,0))/100))/Skills!E19))/100),1)</f>
        <v/>
      </c>
    </row>
    <row r="1399">
      <c r="A1399" t="inlineStr">
        <is>
          <t>Attack Speed Buff Bonus % (Nimble Feet, averaged)</t>
        </is>
      </c>
      <c r="B1399">
        <f>F1384*IF(AND(Inputs!$B$38&lt;&gt;"pvp",Inputs!$B$43&gt;0),(((R1384-1)*(Skills!T18*(1+(Inputs!$B$34+IF(Inputs!$B$3&gt;=117,F1391,0))/100))+MIN((Skills!T18*(1+(Inputs!$B$34+IF(Inputs!$B$3&gt;=117,F1391,0))/100)),MAX(0,Inputs!$B$43-((R1384-1)*Skills!E18))))/Inputs!$B$43),IF(Inputs!$B$38="pvp",MIN((Skills!T18*(1+(Inputs!$B$34+IF(Inputs!$B$3&gt;=117,F1391,0))/100)),15)/15,(Skills!T18*(1+(Inputs!$B$34+IF(Inputs!$B$3&gt;=117,F1391,0))/100))/Skills!E18))</f>
        <v/>
      </c>
    </row>
    <row r="1400">
      <c r="A1400" t="inlineStr">
        <is>
          <t>Actions Per Second</t>
        </is>
      </c>
      <c r="B1400">
        <f>1+MIN(150,150*(1-(1-Inputs!$B$11/150)*(1-B1399/150)))/100</f>
        <v/>
      </c>
    </row>
    <row r="1401">
      <c r="A1401" t="inlineStr">
        <is>
          <t>Skill + Buff Cast Rate</t>
        </is>
      </c>
      <c r="B1401">
        <f>IF(AND(Inputs!$B$38&lt;&gt;"pvp",Inputs!$B$43&gt;0),SUMPRODUCT((Skills!F2:F28=TRUE)*(C1368:C1394=TRUE)*R1368:R1394)/Inputs!$B$43,SUMPRODUCT((Skills!F2:F28=TRUE)*(C1368:C1394=TRUE)*Q1368:Q1394))</f>
        <v/>
      </c>
    </row>
    <row r="1402">
      <c r="A1402" t="inlineStr">
        <is>
          <t>Basic Attacks Per Second</t>
        </is>
      </c>
      <c r="B1402">
        <f>MAX(0,B1400-B1401)</f>
        <v/>
      </c>
    </row>
    <row r="1403">
      <c r="A1403" t="inlineStr">
        <is>
          <t>Meteor Proc — combined trigger cast rate</t>
        </is>
      </c>
      <c r="B1403">
        <f>IF(AND(Inputs!$B$38&lt;&gt;"pvp",Inputs!$B$43&gt;0),SUMPRODUCT((Skills!V2:V28=TRUE)*(C1368:C1394=TRUE)*R1368:R1394*Skills!W2:W28)/Inputs!$B$43,SUMPRODUCT((Skills!V2:V28=TRUE)*(C1368:C1394=TRUE)*Q1368:Q1394*Skills!W2:W28))+B1402</f>
        <v/>
      </c>
    </row>
    <row r="1404">
      <c r="A1404" t="inlineStr">
        <is>
          <t>Buff-Casting Startup Delay (s, fixed-duration only)</t>
        </is>
      </c>
      <c r="B1404">
        <f>IF(AND(Inputs!$B$38&lt;&gt;"pvp",Inputs!$B$43&gt;0),SUMPRODUCT((Skills!T2:T28&gt;0)*(Skills!F2:F28=TRUE)*(C1368:C1394=TRUE))/B1400,0)</f>
        <v/>
      </c>
    </row>
    <row r="1405">
      <c r="A1405" t="inlineStr">
        <is>
          <t>Boss-Only Total DPS (this block's swept value)</t>
        </is>
      </c>
      <c r="B1405">
        <f>SUM(S1368:S1394)</f>
        <v/>
      </c>
    </row>
    <row r="1406">
      <c r="A1406" t="inlineStr">
        <is>
          <t>Normal-Only Total DPS (this block's swept value)</t>
        </is>
      </c>
      <c r="B1406">
        <f>SUM(U1368:U1394)</f>
        <v/>
      </c>
    </row>
    <row r="1407">
      <c r="A1407" s="5" t="inlineStr">
        <is>
          <t>TOTAL DPS</t>
        </is>
      </c>
      <c r="B1407" s="5">
        <f>SUM(O1368:O1394)</f>
        <v/>
      </c>
    </row>
    <row r="1410">
      <c r="A1410" s="5" t="inlineStr">
        <is>
          <t>Stat: CDR = 3.5s</t>
        </is>
      </c>
    </row>
    <row r="1411">
      <c r="A1411" s="9" t="inlineStr">
        <is>
          <t>Key</t>
        </is>
      </c>
      <c r="B1411" s="9" t="inlineStr">
        <is>
          <t>Name</t>
        </is>
      </c>
      <c r="C1411" s="9" t="inlineStr">
        <is>
          <t>Unlocked</t>
        </is>
      </c>
      <c r="D1411" s="9" t="inlineStr">
        <is>
          <t>InputLevel</t>
        </is>
      </c>
      <c r="E1411" s="9" t="inlineStr">
        <is>
          <t>Factor</t>
        </is>
      </c>
      <c r="F1411" s="9" t="inlineStr">
        <is>
          <t>CoefficientPercent</t>
        </is>
      </c>
      <c r="G1411" s="9" t="inlineStr">
        <is>
          <t>EffectiveHits</t>
        </is>
      </c>
      <c r="H1411" s="9" t="inlineStr">
        <is>
          <t>ProcProbability</t>
        </is>
      </c>
      <c r="I1411" s="9" t="inlineStr">
        <is>
          <t>MapleHeroMultiplier</t>
        </is>
      </c>
      <c r="J1411" s="9" t="inlineStr">
        <is>
          <t>BaseDamage</t>
        </is>
      </c>
      <c r="K1411" s="9" t="inlineStr">
        <is>
          <t>BaseHitDamage</t>
        </is>
      </c>
      <c r="L1411" s="9" t="inlineStr">
        <is>
          <t>NonCritAvg</t>
        </is>
      </c>
      <c r="M1411" s="9" t="inlineStr">
        <is>
          <t>CritAvg</t>
        </is>
      </c>
      <c r="N1411" s="9" t="inlineStr">
        <is>
          <t>ExpectedDamage(perHit)</t>
        </is>
      </c>
      <c r="O1411" s="9" t="inlineStr">
        <is>
          <t>DPS</t>
        </is>
      </c>
      <c r="P1411" s="9" t="inlineStr">
        <is>
          <t>% of Total</t>
        </is>
      </c>
      <c r="R1411" t="inlineStr">
        <is>
          <t>helpers</t>
        </is>
      </c>
    </row>
    <row r="1412">
      <c r="A1412">
        <f>Skills!A2</f>
        <v/>
      </c>
      <c r="B1412">
        <f>Skills!B2</f>
        <v/>
      </c>
      <c r="C1412">
        <f>TRUE</f>
        <v/>
      </c>
      <c r="D1412" t="inlineStr"/>
      <c r="E1412" t="inlineStr"/>
      <c r="F1412">
        <f>T1414+Skills!O2</f>
        <v/>
      </c>
      <c r="G1412">
        <f>Calc!G2</f>
        <v/>
      </c>
      <c r="H1412">
        <f>Calc!H2</f>
        <v/>
      </c>
      <c r="I1412">
        <f>IF(Skills!X2&lt;&gt;"",1+(Skills!X2/10)*(Z1413/1000)/100,1)</f>
        <v/>
      </c>
      <c r="J1412">
        <f>((Inputs!$B$6*(1+Inputs!$B$7/100))+(((Inputs!$B$12*(1+Inputs!$B$13/100))-(Inputs!$B$12*(1+Inputs!$B$13/100)))+0.25*(Inputs!$B$14-Inputs!$B$14))*(1+Inputs!$B$7/100))*(F1412/100)</f>
        <v/>
      </c>
      <c r="K1412">
        <f>J1412*(1+((Inputs!$B$12*(1+Inputs!$B$13/100))*0.01+Inputs!$B$14*0.0025)/100)*(1+Inputs!$B$15/100)*(1+Inputs!$B$16/100)*(5000/(6000+Inputs!$B$42*(1-Inputs!$B$19/100)))*(1+Inputs!$B$24/100)*(1+F1433/100)*(1+IF(Inputs!$B$3&gt;=120,F1436,0)/100)^5*(1+(IF(Skills!A2="BASIC_ATTACK",Inputs!$B$17,Inputs!$B$18+IF(Inputs!$B$3&gt;=125,F1437*5,0)))/100)*(B1440*B1441*B1442*I1412)</f>
        <v/>
      </c>
      <c r="L1412">
        <f>K1412*(MIN(Inputs!$B$22+(F1432-Calc!F22),Inputs!$B$23)/100+Inputs!$B$23/100)/2</f>
        <v/>
      </c>
      <c r="M1412">
        <f>L1412*(1+(Inputs!$B$10+(F1431-Calc!F21))/100)</f>
        <v/>
      </c>
      <c r="N1412">
        <f>L1412*(1-MIN(Inputs!$B$9+(F1430-Calc!F20),100)/100)+M1412*(MIN(Inputs!$B$9+(F1430-Calc!F20),100)/100)</f>
        <v/>
      </c>
      <c r="O1412">
        <f>(1-Summary!$B$56)*S1412+Summary!$B$56*U1412</f>
        <v/>
      </c>
      <c r="P1412">
        <f>IF(B1451=0,0,O1412/B1451)</f>
        <v/>
      </c>
      <c r="Q1412">
        <f>IFERROR(1/IF(Inputs!$B$38="pvp",15,MAX(0.1,Skills!E2-IF(Skills!F2=TRUE,3.5,0))),0)</f>
        <v/>
      </c>
      <c r="R1412" t="n">
        <v>0</v>
      </c>
      <c r="S1412">
        <f>(Skills!G2*N1412*B1446)*IF(Inputs!$B$38="pvp",1,1+(Inputs!$B$20+Skills!P2)/100)</f>
        <v/>
      </c>
      <c r="T1412">
        <f>MAX(0,(Inputs!$B$3-100)*3)+Inputs!$B$28+Inputs!$B$29</f>
        <v/>
      </c>
      <c r="U1412">
        <f>(Skills!G2*N1412*B1446)*IF(Inputs!$B$38="pvp",1,(1+(Inputs!$B$21+Skills!Q2)/100)*(MIN((6+Inputs!$B$33+IF(Inputs!$B$3&gt;=136,1,0)),Inputs!$B$37)))</f>
        <v/>
      </c>
      <c r="Z1412">
        <f>MAX(0,(Inputs!$B$3-100)*3)+Inputs!$B$28+Inputs!$B$29</f>
        <v/>
      </c>
    </row>
    <row r="1413">
      <c r="A1413">
        <f>Skills!A3</f>
        <v/>
      </c>
      <c r="B1413">
        <f>Skills!B3</f>
        <v/>
      </c>
      <c r="C1413">
        <f>TRUE</f>
        <v/>
      </c>
      <c r="D1413">
        <f>IF(Skills!C3=1,60+Inputs!$B$25+Inputs!$B$29,IF(Skills!C3=2,90+Inputs!$B$26+Inputs!$B$29,IF(Skills!C3=3,120+Inputs!$B$27+Inputs!$B$29,MAX(0,(Inputs!$B$3-100)*3)+Inputs!$B$28+Inputs!$B$29)))</f>
        <v/>
      </c>
      <c r="E1413">
        <f>INDEX(FactorTable!$B$2:$Y$301, MATCH(ROUND(MIN(300,MAX(1,D1413)),0), FactorTable!$A$2:$A$301,0), Skills!M3+1)</f>
        <v/>
      </c>
      <c r="F1413">
        <f>IF(Skills!N3=TRUE,(Skills!L3/10)*(E1413/1000),Skills!L3/10)+Skills!O3</f>
        <v/>
      </c>
      <c r="G1413">
        <f>Calc!G3</f>
        <v/>
      </c>
      <c r="H1413">
        <f>Calc!H3</f>
        <v/>
      </c>
      <c r="I1413">
        <f>IF(Skills!X3&lt;&gt;"",1+(Skills!X3/10)*(Z1413/1000)/100,1)</f>
        <v/>
      </c>
      <c r="J1413">
        <f>((Inputs!$B$6*(1+Inputs!$B$7/100))+(((Inputs!$B$12*(1+Inputs!$B$13/100))-(Inputs!$B$12*(1+Inputs!$B$13/100)))+0.25*(Inputs!$B$14-Inputs!$B$14))*(1+Inputs!$B$7/100))*(F1413/100)</f>
        <v/>
      </c>
      <c r="K1413">
        <f>J1413*(1+((Inputs!$B$12*(1+Inputs!$B$13/100))*0.01+Inputs!$B$14*0.0025)/100)*(1+Inputs!$B$15/100)*(1+Inputs!$B$16/100)*(5000/(6000+Inputs!$B$42*(1-Inputs!$B$19/100)))*(1+Inputs!$B$24/100)*(1+F1433/100)*(1+IF(Inputs!$B$3&gt;=120,F1436,0)/100)^5*(1+(IF(Skills!A3="BASIC_ATTACK",Inputs!$B$17,Inputs!$B$18+IF(Inputs!$B$3&gt;=125,F1437*5,0)))/100)*(B1440*B1441*B1442*I1413)</f>
        <v/>
      </c>
      <c r="L1413">
        <f>K1413*(MIN(Inputs!$B$22+(F1432-Calc!F22),Inputs!$B$23)/100+Inputs!$B$23/100)/2</f>
        <v/>
      </c>
      <c r="M1413">
        <f>L1413*(1+(Inputs!$B$10+(F1431-Calc!F21))/100)</f>
        <v/>
      </c>
      <c r="N1413">
        <f>L1413*(1-MIN(Inputs!$B$9+(F1430-Calc!F20),100)/100)+M1413*(MIN(Inputs!$B$9+(F1430-Calc!F20),100)/100)</f>
        <v/>
      </c>
      <c r="O1413">
        <f>(1-Summary!$B$56)*S1413+Summary!$B$56*U1413</f>
        <v/>
      </c>
      <c r="P1413">
        <f>IF(B1451=0,0,O1413/B1451)</f>
        <v/>
      </c>
      <c r="Q1413">
        <f>IFERROR(1/IF(Inputs!$B$38="pvp",15,MAX(0.1,Skills!E3-IF(Skills!F3=TRUE,3.5,0))),0)</f>
        <v/>
      </c>
      <c r="R1413">
        <f>IF(AND(Inputs!$B$38&lt;&gt;"pvp",Inputs!$B$43&gt;0),IF(MAX(0,Inputs!$B$43-B1448)&lt;=0,0,(INT(MAX(0,Inputs!$B$43-B1448)/IF(Inputs!$B$38="pvp",15,MAX(0.1,Skills!E3-IF(Skills!F3=TRUE,3.5,0))))+1)),0)</f>
        <v/>
      </c>
      <c r="S1413">
        <f>IF(C1413,(H1413*N1413*IF(AND(Inputs!$B$38&lt;&gt;"pvp",Inputs!$B$43&gt;0),((Skills!G3*((R1413-1)*IF(Skills!H3&gt;0,Skills!I3/Skills!H3,1)+IF(Skills!H3&gt;0,MIN(Skills!I3,MAX(0,MAX(0,Inputs!$B$43-B1448)-((R1413-1)*IF(Inputs!$B$38="pvp",15,MAX(0.1,Skills!E3-IF(Skills!F3=TRUE,3.5,0))))))/Skills!H3,1)))/Inputs!$B$43),G1413*Q1413))*IF(Inputs!$B$38="pvp",1,1+(Inputs!$B$20+Skills!P3)/100),0)</f>
        <v/>
      </c>
      <c r="T1413">
        <f>INDEX(FactorTable!$B$2:$Y$301, MATCH(ROUND(MIN(300,MAX(1,T1412)),0), FactorTable!$A$2:$A$301,0), 22)</f>
        <v/>
      </c>
      <c r="U1413">
        <f>IF(C1413,(H1413*N1413*IF(AND(Inputs!$B$38&lt;&gt;"pvp",Inputs!$B$43&gt;0),((Skills!G3*((R1413-1)*IF(Skills!H3&gt;0,Skills!I3/Skills!H3,1)+IF(Skills!H3&gt;0,MIN(Skills!I3,MAX(0,MAX(0,Inputs!$B$43-B1448)-((R1413-1)*IF(Inputs!$B$38="pvp",15,MAX(0.1,Skills!E3-IF(Skills!F3=TRUE,3.5,0))))))/Skills!H3,1)))/Inputs!$B$43),G1413*Q1413))*IF(Inputs!$B$38="pvp",1,(1+(Inputs!$B$21+Skills!Q3)/100)*(MIN(Skills!R3,Inputs!$B$37))),0)</f>
        <v/>
      </c>
      <c r="Z1413">
        <f>INDEX(FactorTable!$B$2:$Y$301, MATCH(ROUND(MIN(300,MAX(1,Z1412)),0), FactorTable!$A$2:$A$301,0), 24)</f>
        <v/>
      </c>
    </row>
    <row r="1414">
      <c r="A1414">
        <f>Skills!A4</f>
        <v/>
      </c>
      <c r="B1414">
        <f>Skills!B4</f>
        <v/>
      </c>
      <c r="C1414">
        <f>TRUE</f>
        <v/>
      </c>
      <c r="D1414">
        <f>IF(Skills!C4=1,60+Inputs!$B$25+Inputs!$B$29,IF(Skills!C4=2,90+Inputs!$B$26+Inputs!$B$29,IF(Skills!C4=3,120+Inputs!$B$27+Inputs!$B$29,MAX(0,(Inputs!$B$3-100)*3)+Inputs!$B$28+Inputs!$B$29)))</f>
        <v/>
      </c>
      <c r="E1414">
        <f>INDEX(FactorTable!$B$2:$Y$301, MATCH(ROUND(MIN(300,MAX(1,D1414)),0), FactorTable!$A$2:$A$301,0), Skills!M4+1)</f>
        <v/>
      </c>
      <c r="F1414">
        <f>IF(Skills!N4=TRUE,(Skills!L4/10)*(E1414/1000),Skills!L4/10)+Skills!O4</f>
        <v/>
      </c>
      <c r="G1414">
        <f>Calc!G4</f>
        <v/>
      </c>
      <c r="H1414">
        <f>Calc!H4</f>
        <v/>
      </c>
      <c r="I1414">
        <f>IF(Skills!X4&lt;&gt;"",1+(Skills!X4/10)*(Z1413/1000)/100,1)</f>
        <v/>
      </c>
      <c r="J1414">
        <f>((Inputs!$B$6*(1+Inputs!$B$7/100))+(((Inputs!$B$12*(1+Inputs!$B$13/100))-(Inputs!$B$12*(1+Inputs!$B$13/100)))+0.25*(Inputs!$B$14-Inputs!$B$14))*(1+Inputs!$B$7/100))*(F1414/100)</f>
        <v/>
      </c>
      <c r="K1414">
        <f>J1414*(1+((Inputs!$B$12*(1+Inputs!$B$13/100))*0.01+Inputs!$B$14*0.0025)/100)*(1+Inputs!$B$15/100)*(1+Inputs!$B$16/100)*(5000/(6000+Inputs!$B$42*(1-Inputs!$B$19/100)))*(1+Inputs!$B$24/100)*(1+F1433/100)*(1+IF(Inputs!$B$3&gt;=120,F1436,0)/100)^5*(1+(IF(Skills!A4="BASIC_ATTACK",Inputs!$B$17,Inputs!$B$18+IF(Inputs!$B$3&gt;=125,F1437*5,0)))/100)*(B1440*B1441*B1442*I1414)</f>
        <v/>
      </c>
      <c r="L1414">
        <f>K1414*(MIN(Inputs!$B$22+(F1432-Calc!F22),Inputs!$B$23)/100+Inputs!$B$23/100)/2</f>
        <v/>
      </c>
      <c r="M1414">
        <f>L1414*(1+(Inputs!$B$10+(F1431-Calc!F21))/100)</f>
        <v/>
      </c>
      <c r="N1414">
        <f>L1414*(1-MIN(Inputs!$B$9+(F1430-Calc!F20),100)/100)+M1414*(MIN(Inputs!$B$9+(F1430-Calc!F20),100)/100)</f>
        <v/>
      </c>
      <c r="O1414">
        <f>(1-Summary!$B$56)*S1414+Summary!$B$56*U1414</f>
        <v/>
      </c>
      <c r="P1414">
        <f>IF(B1451=0,0,O1414/B1451)</f>
        <v/>
      </c>
      <c r="Q1414">
        <f>IFERROR(1/IF(Inputs!$B$38="pvp",15,MAX(0.1,Skills!E4-IF(Skills!F4=TRUE,3.5,0))),0)</f>
        <v/>
      </c>
      <c r="R1414">
        <f>IF(AND(Inputs!$B$38&lt;&gt;"pvp",Inputs!$B$43&gt;0),IF(MAX(0,Inputs!$B$43-B1448)&lt;=0,0,(INT(MAX(0,Inputs!$B$43-B1448)/IF(Inputs!$B$38="pvp",15,MAX(0.1,Skills!E4-IF(Skills!F4=TRUE,3.5,0))))+1)),0)</f>
        <v/>
      </c>
      <c r="S1414">
        <f>IF(C1414,(H1414*N1414*IF(AND(Inputs!$B$38&lt;&gt;"pvp",Inputs!$B$43&gt;0),((Skills!G4*((R1414-1)*IF(Skills!H4&gt;0,Skills!I4/Skills!H4,1)+IF(Skills!H4&gt;0,MIN(Skills!I4,MAX(0,MAX(0,Inputs!$B$43-B1448)-((R1414-1)*IF(Inputs!$B$38="pvp",15,MAX(0.1,Skills!E4-IF(Skills!F4=TRUE,3.5,0))))))/Skills!H4,1)))/Inputs!$B$43),G1414*Q1414))*IF(Inputs!$B$38="pvp",1,1+(Inputs!$B$20+Skills!P4)/100),0)</f>
        <v/>
      </c>
      <c r="T1414">
        <f>290*T1413/1000</f>
        <v/>
      </c>
      <c r="U1414">
        <f>IF(C1414,(H1414*N1414*IF(AND(Inputs!$B$38&lt;&gt;"pvp",Inputs!$B$43&gt;0),((Skills!G4*((R1414-1)*IF(Skills!H4&gt;0,Skills!I4/Skills!H4,1)+IF(Skills!H4&gt;0,MIN(Skills!I4,MAX(0,MAX(0,Inputs!$B$43-B1448)-((R1414-1)*IF(Inputs!$B$38="pvp",15,MAX(0.1,Skills!E4-IF(Skills!F4=TRUE,3.5,0))))))/Skills!H4,1)))/Inputs!$B$43),G1414*Q1414))*IF(Inputs!$B$38="pvp",1,(1+(Inputs!$B$21+Skills!Q4)/100)*(MIN(Skills!R4,Inputs!$B$37))),0)</f>
        <v/>
      </c>
    </row>
    <row r="1415">
      <c r="A1415">
        <f>Skills!A5</f>
        <v/>
      </c>
      <c r="B1415">
        <f>Skills!B5</f>
        <v/>
      </c>
      <c r="C1415">
        <f>TRUE</f>
        <v/>
      </c>
      <c r="D1415">
        <f>IF(Skills!C5=1,60+Inputs!$B$25+Inputs!$B$29,IF(Skills!C5=2,90+Inputs!$B$26+Inputs!$B$29,IF(Skills!C5=3,120+Inputs!$B$27+Inputs!$B$29,MAX(0,(Inputs!$B$3-100)*3)+Inputs!$B$28+Inputs!$B$29)))</f>
        <v/>
      </c>
      <c r="E1415">
        <f>INDEX(FactorTable!$B$2:$Y$301, MATCH(ROUND(MIN(300,MAX(1,D1415)),0), FactorTable!$A$2:$A$301,0), Skills!M5+1)</f>
        <v/>
      </c>
      <c r="F1415">
        <f>IF(Skills!N5=TRUE,(Skills!L5/10)*(E1415/1000),Skills!L5/10)+Skills!O5</f>
        <v/>
      </c>
      <c r="G1415">
        <f>Calc!G5</f>
        <v/>
      </c>
      <c r="H1415">
        <f>Calc!H5</f>
        <v/>
      </c>
      <c r="I1415">
        <f>IF(Skills!X5&lt;&gt;"",1+(Skills!X5/10)*(Z1413/1000)/100,1)</f>
        <v/>
      </c>
      <c r="J1415">
        <f>((Inputs!$B$6*(1+Inputs!$B$7/100))+(((Inputs!$B$12*(1+Inputs!$B$13/100))-(Inputs!$B$12*(1+Inputs!$B$13/100)))+0.25*(Inputs!$B$14-Inputs!$B$14))*(1+Inputs!$B$7/100))*(F1415/100)</f>
        <v/>
      </c>
      <c r="K1415">
        <f>J1415*(1+((Inputs!$B$12*(1+Inputs!$B$13/100))*0.01+Inputs!$B$14*0.0025)/100)*(1+Inputs!$B$15/100)*(1+Inputs!$B$16/100)*(5000/(6000+Inputs!$B$42*(1-Inputs!$B$19/100)))*(1+Inputs!$B$24/100)*(1+F1433/100)*(1+IF(Inputs!$B$3&gt;=120,F1436,0)/100)^5*(1+(IF(Skills!A5="BASIC_ATTACK",Inputs!$B$17,Inputs!$B$18+IF(Inputs!$B$3&gt;=125,F1437*5,0)))/100)*(B1440*B1441*B1442*I1415)</f>
        <v/>
      </c>
      <c r="L1415">
        <f>K1415*(MIN(Inputs!$B$22+(F1432-Calc!F22),Inputs!$B$23)/100+Inputs!$B$23/100)/2</f>
        <v/>
      </c>
      <c r="M1415">
        <f>L1415*(1+(Inputs!$B$10+(F1431-Calc!F21))/100)</f>
        <v/>
      </c>
      <c r="N1415">
        <f>L1415*(1-MIN(Inputs!$B$9+(F1430-Calc!F20),100)/100)+M1415*(MIN(Inputs!$B$9+(F1430-Calc!F20),100)/100)</f>
        <v/>
      </c>
      <c r="O1415">
        <f>(1-Summary!$B$56)*S1415+Summary!$B$56*U1415</f>
        <v/>
      </c>
      <c r="P1415">
        <f>IF(B1451=0,0,O1415/B1451)</f>
        <v/>
      </c>
      <c r="Q1415">
        <f>IFERROR(1/IF(Inputs!$B$38="pvp",15,MAX(0.1,Skills!E5-IF(Skills!F5=TRUE,3.5,0))),0)</f>
        <v/>
      </c>
      <c r="R1415">
        <f>IF(AND(Inputs!$B$38&lt;&gt;"pvp",Inputs!$B$43&gt;0),IF(MAX(0,Inputs!$B$43-B1448)&lt;=0,0,(INT(MAX(0,Inputs!$B$43-B1448)/IF(Inputs!$B$38="pvp",15,MAX(0.1,Skills!E5-IF(Skills!F5=TRUE,3.5,0))))+1)),0)</f>
        <v/>
      </c>
      <c r="S1415">
        <f>IF(C1415,(H1415*N1415*IF(AND(Inputs!$B$38&lt;&gt;"pvp",Inputs!$B$43&gt;0),((Skills!G5*((R1415-1)*IF(Skills!H5&gt;0,Skills!I5/Skills!H5,1)+IF(Skills!H5&gt;0,MIN(Skills!I5,MAX(0,MAX(0,Inputs!$B$43-B1448)-((R1415-1)*IF(Inputs!$B$38="pvp",15,MAX(0.1,Skills!E5-IF(Skills!F5=TRUE,3.5,0))))))/Skills!H5,1)))/Inputs!$B$43),G1415*Q1415))*IF(Inputs!$B$38="pvp",1,1+(Inputs!$B$20+Skills!P5)/100),0)</f>
        <v/>
      </c>
      <c r="U1415">
        <f>IF(C1415,(H1415*N1415*IF(AND(Inputs!$B$38&lt;&gt;"pvp",Inputs!$B$43&gt;0),((Skills!G5*((R1415-1)*IF(Skills!H5&gt;0,Skills!I5/Skills!H5,1)+IF(Skills!H5&gt;0,MIN(Skills!I5,MAX(0,MAX(0,Inputs!$B$43-B1448)-((R1415-1)*IF(Inputs!$B$38="pvp",15,MAX(0.1,Skills!E5-IF(Skills!F5=TRUE,3.5,0))))))/Skills!H5,1)))/Inputs!$B$43),G1415*Q1415))*IF(Inputs!$B$38="pvp",1,(1+(Inputs!$B$21+Skills!Q5)/100)*(MIN(Skills!R5,Inputs!$B$37))),0)</f>
        <v/>
      </c>
    </row>
    <row r="1416">
      <c r="A1416">
        <f>Skills!A6</f>
        <v/>
      </c>
      <c r="B1416">
        <f>Skills!B6</f>
        <v/>
      </c>
      <c r="C1416">
        <f>TRUE</f>
        <v/>
      </c>
      <c r="D1416">
        <f>IF(Skills!C6=1,60+Inputs!$B$25+Inputs!$B$29,IF(Skills!C6=2,90+Inputs!$B$26+Inputs!$B$29,IF(Skills!C6=3,120+Inputs!$B$27+Inputs!$B$29,MAX(0,(Inputs!$B$3-100)*3)+Inputs!$B$28+Inputs!$B$29)))</f>
        <v/>
      </c>
      <c r="E1416">
        <f>INDEX(FactorTable!$B$2:$Y$301, MATCH(ROUND(MIN(300,MAX(1,D1416)),0), FactorTable!$A$2:$A$301,0), Skills!M6+1)</f>
        <v/>
      </c>
      <c r="F1416">
        <f>IF(Skills!N6=TRUE,(Skills!L6/10)*(E1416/1000),Skills!L6/10)+Skills!O6</f>
        <v/>
      </c>
      <c r="G1416">
        <f>Calc!G6</f>
        <v/>
      </c>
      <c r="H1416">
        <f>Calc!H6</f>
        <v/>
      </c>
      <c r="I1416">
        <f>IF(Skills!X6&lt;&gt;"",1+(Skills!X6/10)*(Z1413/1000)/100,1)</f>
        <v/>
      </c>
      <c r="J1416" t="inlineStr"/>
      <c r="K1416" t="inlineStr"/>
      <c r="L1416" t="inlineStr"/>
      <c r="M1416" t="inlineStr"/>
      <c r="N1416" t="inlineStr"/>
      <c r="O1416">
        <f>(1-Summary!$B$56)*S1416+Summary!$B$56*U1416</f>
        <v/>
      </c>
      <c r="P1416">
        <f>IF(B1451=0,0,O1416/B1451)</f>
        <v/>
      </c>
      <c r="Q1416">
        <f>IFERROR(1/IF(Inputs!$B$38="pvp",15,MAX(0.1,Skills!E6-IF(Skills!F6=TRUE,3.5,0))),0)</f>
        <v/>
      </c>
      <c r="R1416">
        <f>IF(AND(Inputs!$B$38&lt;&gt;"pvp",Inputs!$B$43&gt;0),IF(Inputs!$B$43&lt;=0,0,(INT(Inputs!$B$43/IF(Inputs!$B$38="pvp",15,MAX(0.1,Skills!E6-IF(Skills!F6=TRUE,3.5,0))))+1)),0)</f>
        <v/>
      </c>
      <c r="S1416" t="n">
        <v>0</v>
      </c>
      <c r="U1416" t="n">
        <v>0</v>
      </c>
    </row>
    <row r="1417">
      <c r="A1417">
        <f>Skills!A7</f>
        <v/>
      </c>
      <c r="B1417">
        <f>Skills!B7</f>
        <v/>
      </c>
      <c r="C1417">
        <f>TRUE</f>
        <v/>
      </c>
      <c r="D1417">
        <f>IF(Skills!C7=1,60+Inputs!$B$25+Inputs!$B$29,IF(Skills!C7=2,90+Inputs!$B$26+Inputs!$B$29,IF(Skills!C7=3,120+Inputs!$B$27+Inputs!$B$29,MAX(0,(Inputs!$B$3-100)*3)+Inputs!$B$28+Inputs!$B$29)))</f>
        <v/>
      </c>
      <c r="E1417">
        <f>INDEX(FactorTable!$B$2:$Y$301, MATCH(ROUND(MIN(300,MAX(1,D1417)),0), FactorTable!$A$2:$A$301,0), Skills!M7+1)</f>
        <v/>
      </c>
      <c r="F1417">
        <f>IF(Skills!N7=TRUE,(Skills!L7/10)*(E1417/1000),Skills!L7/10)+Skills!O7</f>
        <v/>
      </c>
      <c r="G1417">
        <f>Calc!G7</f>
        <v/>
      </c>
      <c r="H1417">
        <f>Calc!H7</f>
        <v/>
      </c>
      <c r="I1417">
        <f>IF(Skills!X7&lt;&gt;"",1+(Skills!X7/10)*(Z1413/1000)/100,1)</f>
        <v/>
      </c>
      <c r="J1417">
        <f>((Inputs!$B$6*(1+Inputs!$B$7/100))+(((Inputs!$B$12*(1+Inputs!$B$13/100))-(Inputs!$B$12*(1+Inputs!$B$13/100)))+0.25*(Inputs!$B$14-Inputs!$B$14))*(1+Inputs!$B$7/100))*(F1417/100)</f>
        <v/>
      </c>
      <c r="K1417">
        <f>J1417*(1+((Inputs!$B$12*(1+Inputs!$B$13/100))*0.01+Inputs!$B$14*0.0025)/100)*(1+Inputs!$B$15/100)*(1+Inputs!$B$16/100)*(5000/(6000+Inputs!$B$42*(1-Inputs!$B$19/100)))*(1+Inputs!$B$24/100)*(1+F1433/100)*(1+IF(Inputs!$B$3&gt;=120,F1436,0)/100)^5*(1+(IF(Skills!A7="BASIC_ATTACK",Inputs!$B$17,Inputs!$B$18+IF(Inputs!$B$3&gt;=125,F1437*5,0)))/100)*(B1440*B1441*B1442*I1417)</f>
        <v/>
      </c>
      <c r="L1417">
        <f>K1417*(MIN(Inputs!$B$22+(F1432-Calc!F22),Inputs!$B$23)/100+Inputs!$B$23/100)/2</f>
        <v/>
      </c>
      <c r="M1417">
        <f>L1417*(1+(Inputs!$B$10+(F1431-Calc!F21))/100)</f>
        <v/>
      </c>
      <c r="N1417">
        <f>L1417*(1-MIN(Inputs!$B$9+(F1430-Calc!F20),100)/100)+M1417*(MIN(Inputs!$B$9+(F1430-Calc!F20),100)/100)</f>
        <v/>
      </c>
      <c r="O1417">
        <f>(1-Summary!$B$56)*S1417+Summary!$B$56*U1417</f>
        <v/>
      </c>
      <c r="P1417">
        <f>IF(B1451=0,0,O1417/B1451)</f>
        <v/>
      </c>
      <c r="Q1417">
        <f>IFERROR(1/IF(Inputs!$B$38="pvp",15,MAX(0.1,Skills!E7-IF(Skills!F7=TRUE,3.5,0))),0)</f>
        <v/>
      </c>
      <c r="R1417">
        <f>IF(AND(Inputs!$B$38&lt;&gt;"pvp",Inputs!$B$43&gt;0),IF(MAX(0,Inputs!$B$43-B1448)&lt;=0,0,(INT(MAX(0,Inputs!$B$43-B1448)/IF(Inputs!$B$38="pvp",15,MAX(0.1,Skills!E7-IF(Skills!F7=TRUE,3.5,0))))+1)),0)</f>
        <v/>
      </c>
      <c r="S1417">
        <f>IF(C1417,(H1417*N1417*IF(AND(Inputs!$B$38&lt;&gt;"pvp",Inputs!$B$43&gt;0),((Skills!G7*((R1417-1)*IF(Skills!H7&gt;0,Skills!I7/Skills!H7,1)+IF(Skills!H7&gt;0,MIN(Skills!I7,MAX(0,MAX(0,Inputs!$B$43-B1448)-((R1417-1)*IF(Inputs!$B$38="pvp",15,MAX(0.1,Skills!E7-IF(Skills!F7=TRUE,3.5,0))))))/Skills!H7,1)))/Inputs!$B$43),G1417*Q1417))*IF(Inputs!$B$38="pvp",1,1+(Inputs!$B$20+Skills!P7)/100),0)</f>
        <v/>
      </c>
      <c r="U1417">
        <f>IF(C1417,(H1417*N1417*IF(AND(Inputs!$B$38&lt;&gt;"pvp",Inputs!$B$43&gt;0),((Skills!G7*((R1417-1)*IF(Skills!H7&gt;0,Skills!I7/Skills!H7,1)+IF(Skills!H7&gt;0,MIN(Skills!I7,MAX(0,MAX(0,Inputs!$B$43-B1448)-((R1417-1)*IF(Inputs!$B$38="pvp",15,MAX(0.1,Skills!E7-IF(Skills!F7=TRUE,3.5,0))))))/Skills!H7,1)))/Inputs!$B$43),G1417*Q1417))*IF(Inputs!$B$38="pvp",1,(1+(Inputs!$B$21+Skills!Q7)/100)*(MIN(Skills!R7,Inputs!$B$37))),0)</f>
        <v/>
      </c>
    </row>
    <row r="1418">
      <c r="A1418">
        <f>Skills!A8</f>
        <v/>
      </c>
      <c r="B1418">
        <f>Skills!B8</f>
        <v/>
      </c>
      <c r="C1418">
        <f>TRUE</f>
        <v/>
      </c>
      <c r="D1418">
        <f>IF(Skills!C8=1,60+Inputs!$B$25+Inputs!$B$29,IF(Skills!C8=2,90+Inputs!$B$26+Inputs!$B$29,IF(Skills!C8=3,120+Inputs!$B$27+Inputs!$B$29,MAX(0,(Inputs!$B$3-100)*3)+Inputs!$B$28+Inputs!$B$29)))</f>
        <v/>
      </c>
      <c r="E1418">
        <f>INDEX(FactorTable!$B$2:$Y$301, MATCH(ROUND(MIN(300,MAX(1,D1418)),0), FactorTable!$A$2:$A$301,0), Skills!M8+1)</f>
        <v/>
      </c>
      <c r="F1418">
        <f>IF(Skills!N8=TRUE,(Skills!L8/10)*(E1418/1000),Skills!L8/10)+Skills!O8</f>
        <v/>
      </c>
      <c r="G1418">
        <f>Calc!G8</f>
        <v/>
      </c>
      <c r="H1418">
        <f>Calc!H8</f>
        <v/>
      </c>
      <c r="I1418">
        <f>IF(Skills!X8&lt;&gt;"",1+(Skills!X8/10)*(Z1413/1000)/100,1)</f>
        <v/>
      </c>
      <c r="J1418">
        <f>((Inputs!$B$6*(1+Inputs!$B$7/100))+(((Inputs!$B$12*(1+Inputs!$B$13/100))-(Inputs!$B$12*(1+Inputs!$B$13/100)))+0.25*(Inputs!$B$14-Inputs!$B$14))*(1+Inputs!$B$7/100))*(F1418/100)</f>
        <v/>
      </c>
      <c r="K1418">
        <f>J1418*(1+((Inputs!$B$12*(1+Inputs!$B$13/100))*0.01+Inputs!$B$14*0.0025)/100)*(1+Inputs!$B$15/100)*(1+Inputs!$B$16/100)*(5000/(6000+Inputs!$B$42*(1-Inputs!$B$19/100)))*(1+Inputs!$B$24/100)*(1+F1433/100)*(1+IF(Inputs!$B$3&gt;=120,F1436,0)/100)^5*(1+(IF(Skills!A8="BASIC_ATTACK",Inputs!$B$17,Inputs!$B$18+IF(Inputs!$B$3&gt;=125,F1437*5,0)))/100)*(B1440*B1441*B1442*I1418)</f>
        <v/>
      </c>
      <c r="L1418">
        <f>K1418*(MIN(Inputs!$B$22+(F1432-Calc!F22),Inputs!$B$23)/100+Inputs!$B$23/100)/2</f>
        <v/>
      </c>
      <c r="M1418">
        <f>L1418*(1+(Inputs!$B$10+(F1431-Calc!F21))/100)</f>
        <v/>
      </c>
      <c r="N1418">
        <f>L1418*(1-MIN(Inputs!$B$9+(F1430-Calc!F20),100)/100)+M1418*(MIN(Inputs!$B$9+(F1430-Calc!F20),100)/100)</f>
        <v/>
      </c>
      <c r="O1418">
        <f>(1-Summary!$B$56)*S1418+Summary!$B$56*U1418</f>
        <v/>
      </c>
      <c r="P1418">
        <f>IF(B1451=0,0,O1418/B1451)</f>
        <v/>
      </c>
      <c r="Q1418">
        <f>IFERROR(1/IF(Inputs!$B$38="pvp",15,MAX(0.1,Skills!E8-IF(Skills!F8=TRUE,3.5,0))),0)</f>
        <v/>
      </c>
      <c r="R1418">
        <f>IF(AND(Inputs!$B$38&lt;&gt;"pvp",Inputs!$B$43&gt;0),IF(MAX(0,Inputs!$B$43-B1448)&lt;=0,0,(INT(MAX(0,Inputs!$B$43-B1448)/IF(Inputs!$B$38="pvp",15,MAX(0.1,Skills!E8-IF(Skills!F8=TRUE,3.5,0))))+1)),0)</f>
        <v/>
      </c>
      <c r="S1418">
        <f>IF(C1418,(H1418*N1418*IF(AND(Inputs!$B$38&lt;&gt;"pvp",Inputs!$B$43&gt;0),((Skills!G8*((R1418-1)*IF(Skills!H8&gt;0,Skills!I8/Skills!H8,1)+IF(Skills!H8&gt;0,MIN(Skills!I8,MAX(0,MAX(0,Inputs!$B$43-B1448)-((R1418-1)*IF(Inputs!$B$38="pvp",15,MAX(0.1,Skills!E8-IF(Skills!F8=TRUE,3.5,0))))))/Skills!H8,1)))/Inputs!$B$43),G1418*Q1418))*IF(Inputs!$B$38="pvp",1,1+(Inputs!$B$20+Skills!P8)/100),0)</f>
        <v/>
      </c>
      <c r="U1418">
        <f>IF(C1418,(H1418*N1418*IF(AND(Inputs!$B$38&lt;&gt;"pvp",Inputs!$B$43&gt;0),((Skills!G8*((R1418-1)*IF(Skills!H8&gt;0,Skills!I8/Skills!H8,1)+IF(Skills!H8&gt;0,MIN(Skills!I8,MAX(0,MAX(0,Inputs!$B$43-B1448)-((R1418-1)*IF(Inputs!$B$38="pvp",15,MAX(0.1,Skills!E8-IF(Skills!F8=TRUE,3.5,0))))))/Skills!H8,1)))/Inputs!$B$43),G1418*Q1418))*IF(Inputs!$B$38="pvp",1,(1+(Inputs!$B$21+Skills!Q8)/100)*(MIN(Skills!R8,Inputs!$B$37))),0)</f>
        <v/>
      </c>
    </row>
    <row r="1419">
      <c r="A1419">
        <f>Skills!A9</f>
        <v/>
      </c>
      <c r="B1419">
        <f>Skills!B9</f>
        <v/>
      </c>
      <c r="C1419">
        <f>Inputs!$B$3&gt;=103</f>
        <v/>
      </c>
      <c r="D1419">
        <f>IF(Skills!C9=1,60+Inputs!$B$25+Inputs!$B$29,IF(Skills!C9=2,90+Inputs!$B$26+Inputs!$B$29,IF(Skills!C9=3,120+Inputs!$B$27+Inputs!$B$29,MAX(0,(Inputs!$B$3-100)*3)+Inputs!$B$28+Inputs!$B$29)))</f>
        <v/>
      </c>
      <c r="E1419">
        <f>INDEX(FactorTable!$B$2:$Y$301, MATCH(ROUND(MIN(300,MAX(1,D1419)),0), FactorTable!$A$2:$A$301,0), Skills!M9+1)</f>
        <v/>
      </c>
      <c r="F1419">
        <f>IF(Skills!N9=TRUE,(Skills!L9/10)*(E1419/1000),Skills!L9/10)+Skills!O9</f>
        <v/>
      </c>
      <c r="G1419">
        <f>Calc!G9</f>
        <v/>
      </c>
      <c r="H1419">
        <f>Calc!H9</f>
        <v/>
      </c>
      <c r="I1419">
        <f>IF(Skills!X9&lt;&gt;"",1+(Skills!X9/10)*(Z1413/1000)/100,1)</f>
        <v/>
      </c>
      <c r="J1419">
        <f>((Inputs!$B$6*(1+Inputs!$B$7/100))+(((Inputs!$B$12*(1+Inputs!$B$13/100))-(Inputs!$B$12*(1+Inputs!$B$13/100)))+0.25*(Inputs!$B$14-Inputs!$B$14))*(1+Inputs!$B$7/100))*(F1419/100)</f>
        <v/>
      </c>
      <c r="K1419">
        <f>J1419*(1+((Inputs!$B$12*(1+Inputs!$B$13/100))*0.01+Inputs!$B$14*0.0025)/100)*(1+Inputs!$B$15/100)*(1+Inputs!$B$16/100)*(5000/(6000+Inputs!$B$42*(1-Inputs!$B$19/100)))*(1+Inputs!$B$24/100)*(1+F1433/100)*(1+IF(Inputs!$B$3&gt;=120,F1436,0)/100)^5*(1+(IF(Skills!A9="BASIC_ATTACK",Inputs!$B$17,Inputs!$B$18+IF(Inputs!$B$3&gt;=125,F1437*5,0)))/100)*(B1440*B1441*B1442*I1419)</f>
        <v/>
      </c>
      <c r="L1419">
        <f>K1419*(MIN(Inputs!$B$22+(F1432-Calc!F22),Inputs!$B$23)/100+Inputs!$B$23/100)/2</f>
        <v/>
      </c>
      <c r="M1419">
        <f>L1419*(1+(Inputs!$B$10+(F1431-Calc!F21))/100)</f>
        <v/>
      </c>
      <c r="N1419">
        <f>L1419*(1-MIN(Inputs!$B$9+(F1430-Calc!F20),100)/100)+M1419*(MIN(Inputs!$B$9+(F1430-Calc!F20),100)/100)</f>
        <v/>
      </c>
      <c r="O1419">
        <f>(1-Summary!$B$56)*S1419+Summary!$B$56*U1419</f>
        <v/>
      </c>
      <c r="P1419">
        <f>IF(B1451=0,0,O1419/B1451)</f>
        <v/>
      </c>
      <c r="Q1419">
        <f>IFERROR(1/IF(Inputs!$B$38="pvp",15,MAX(0.1,Skills!E9-IF(Skills!F7=TRUE,3.5,0))),0)</f>
        <v/>
      </c>
      <c r="R1419">
        <f>IF(AND(Inputs!$B$38&lt;&gt;"pvp",Inputs!$B$43&gt;0),IF(MAX(0,Inputs!$B$43-B1448)&lt;=0,0,(INT(MAX(0,Inputs!$B$43-B1448)/IF(Inputs!$B$38="pvp",15,MAX(0.1,Skills!E9-IF(Skills!F7=TRUE,3.5,0))))+1)),0)</f>
        <v/>
      </c>
      <c r="S1419">
        <f>IF(C1419,(H1419*N1419*IF(AND(Inputs!$B$38&lt;&gt;"pvp",Inputs!$B$43&gt;0),((Skills!G9*((R1419-1)*IF(Skills!H9&gt;0,Skills!I9/Skills!H9,1)+IF(Skills!H9&gt;0,MIN(Skills!I9,MAX(0,MAX(0,Inputs!$B$43-B1448)-((R1419-1)*IF(Inputs!$B$38="pvp",15,MAX(0.1,Skills!E9-IF(Skills!F7=TRUE,3.5,0))))))/Skills!H9,1)))/Inputs!$B$43),G1419*Q1419))*IF(Inputs!$B$38="pvp",1,1+(Inputs!$B$20+Skills!P9)/100),0)</f>
        <v/>
      </c>
      <c r="U1419">
        <f>IF(C1419,(H1419*N1419*IF(AND(Inputs!$B$38&lt;&gt;"pvp",Inputs!$B$43&gt;0),((Skills!G9*((R1419-1)*IF(Skills!H9&gt;0,Skills!I9/Skills!H9,1)+IF(Skills!H9&gt;0,MIN(Skills!I9,MAX(0,MAX(0,Inputs!$B$43-B1448)-((R1419-1)*IF(Inputs!$B$38="pvp",15,MAX(0.1,Skills!E9-IF(Skills!F7=TRUE,3.5,0))))))/Skills!H9,1)))/Inputs!$B$43),G1419*Q1419))*IF(Inputs!$B$38="pvp",1,(1+(Inputs!$B$21+Skills!Q9)/100)*(MIN(Skills!R9,Inputs!$B$37))),0)</f>
        <v/>
      </c>
    </row>
    <row r="1420">
      <c r="A1420">
        <f>Skills!A10</f>
        <v/>
      </c>
      <c r="B1420">
        <f>Skills!B10</f>
        <v/>
      </c>
      <c r="C1420">
        <f>TRUE</f>
        <v/>
      </c>
      <c r="D1420">
        <f>IF(Skills!C10=1,60+Inputs!$B$25+Inputs!$B$29,IF(Skills!C10=2,90+Inputs!$B$26+Inputs!$B$29,IF(Skills!C10=3,120+Inputs!$B$27+Inputs!$B$29,MAX(0,(Inputs!$B$3-100)*3)+Inputs!$B$28+Inputs!$B$29)))</f>
        <v/>
      </c>
      <c r="E1420">
        <f>INDEX(FactorTable!$B$2:$Y$301, MATCH(ROUND(MIN(300,MAX(1,D1420)),0), FactorTable!$A$2:$A$301,0), Skills!M10+1)</f>
        <v/>
      </c>
      <c r="F1420">
        <f>IF(Skills!N10=TRUE,(Skills!L10/10)*(E1420/1000),Skills!L10/10)+Skills!O10</f>
        <v/>
      </c>
      <c r="G1420">
        <f>Calc!G10</f>
        <v/>
      </c>
      <c r="H1420">
        <f>Calc!H10</f>
        <v/>
      </c>
      <c r="I1420">
        <f>IF(Skills!X10&lt;&gt;"",1+(Skills!X10/10)*(Z1413/1000)/100,1)</f>
        <v/>
      </c>
      <c r="J1420">
        <f>((Inputs!$B$6*(1+Inputs!$B$7/100))+(((Inputs!$B$12*(1+Inputs!$B$13/100))-(Inputs!$B$12*(1+Inputs!$B$13/100)))+0.25*(Inputs!$B$14-Inputs!$B$14))*(1+Inputs!$B$7/100))*(F1420/100)</f>
        <v/>
      </c>
      <c r="K1420">
        <f>J1420*(1+((Inputs!$B$12*(1+Inputs!$B$13/100))*0.01+Inputs!$B$14*0.0025)/100)*(1+Inputs!$B$15/100)*(1+Inputs!$B$16/100)*(5000/(6000+Inputs!$B$42*(1-Inputs!$B$19/100)))*(1+Inputs!$B$24/100)*(1+F1433/100)*(1+IF(Inputs!$B$3&gt;=120,F1436,0)/100)^5*(1+(IF(Skills!A10="BASIC_ATTACK",Inputs!$B$17,Inputs!$B$18+IF(Inputs!$B$3&gt;=125,F1437*5,0)))/100)*(B1440*B1441*B1442*I1420)</f>
        <v/>
      </c>
      <c r="L1420">
        <f>K1420*(MIN(Inputs!$B$22+(F1432-Calc!F22),Inputs!$B$23)/100+Inputs!$B$23/100)/2</f>
        <v/>
      </c>
      <c r="M1420">
        <f>L1420*(1+(Inputs!$B$10+(F1431-Calc!F21))/100)</f>
        <v/>
      </c>
      <c r="N1420">
        <f>L1420*(1-MIN(Inputs!$B$9+(F1430-Calc!F20),100)/100)+M1420*(MIN(Inputs!$B$9+(F1430-Calc!F20),100)/100)</f>
        <v/>
      </c>
      <c r="O1420">
        <f>(1-Summary!$B$56)*S1420+Summary!$B$56*U1420</f>
        <v/>
      </c>
      <c r="P1420">
        <f>IF(B1451=0,0,O1420/B1451)</f>
        <v/>
      </c>
      <c r="Q1420">
        <f>IFERROR(1/IF(Inputs!$B$38="pvp",15,MAX(0.1,Skills!E10-IF(Skills!F10=TRUE,3.5,0))),0)</f>
        <v/>
      </c>
      <c r="R1420">
        <f>IF(AND(Inputs!$B$38&lt;&gt;"pvp",Inputs!$B$43&gt;0),IF(MAX(0,Inputs!$B$43-B1448)&lt;=0,0,(INT(MAX(0,Inputs!$B$43-B1448)/IF(Inputs!$B$38="pvp",15,MAX(0.1,Skills!E10-IF(Skills!F10=TRUE,3.5,0))))+1)),0)</f>
        <v/>
      </c>
      <c r="S1420">
        <f>IF(C1420,(H1420*N1420*IF(AND(Inputs!$B$38&lt;&gt;"pvp",Inputs!$B$43&gt;0),((Skills!G10*((R1420-1)*IF(Skills!H10&gt;0,Skills!I10/Skills!H10,1)+IF(Skills!H10&gt;0,MIN(Skills!I10,MAX(0,MAX(0,Inputs!$B$43-B1448)-((R1420-1)*IF(Inputs!$B$38="pvp",15,MAX(0.1,Skills!E10-IF(Skills!F10=TRUE,3.5,0))))))/Skills!H10,1)))/Inputs!$B$43),G1420*Q1420))*IF(Inputs!$B$38="pvp",1,1+(Inputs!$B$20+Skills!P10)/100),0)</f>
        <v/>
      </c>
      <c r="U1420">
        <f>IF(C1420,(H1420*N1420*IF(AND(Inputs!$B$38&lt;&gt;"pvp",Inputs!$B$43&gt;0),((Skills!G10*((R1420-1)*IF(Skills!H10&gt;0,Skills!I10/Skills!H10,1)+IF(Skills!H10&gt;0,MIN(Skills!I10,MAX(0,MAX(0,Inputs!$B$43-B1448)-((R1420-1)*IF(Inputs!$B$38="pvp",15,MAX(0.1,Skills!E10-IF(Skills!F10=TRUE,3.5,0))))))/Skills!H10,1)))/Inputs!$B$43),G1420*Q1420))*IF(Inputs!$B$38="pvp",1,(1+(Inputs!$B$21+Skills!Q10)/100)*(MIN(Skills!R10,Inputs!$B$37))),0)</f>
        <v/>
      </c>
    </row>
    <row r="1421">
      <c r="A1421">
        <f>Skills!A11</f>
        <v/>
      </c>
      <c r="B1421">
        <f>Skills!B11</f>
        <v/>
      </c>
      <c r="C1421">
        <f>TRUE</f>
        <v/>
      </c>
      <c r="D1421">
        <f>IF(Skills!C11=1,60+Inputs!$B$25+Inputs!$B$29,IF(Skills!C11=2,90+Inputs!$B$26+Inputs!$B$29,IF(Skills!C11=3,120+Inputs!$B$27+Inputs!$B$29,MAX(0,(Inputs!$B$3-100)*3)+Inputs!$B$28+Inputs!$B$29)))</f>
        <v/>
      </c>
      <c r="E1421">
        <f>INDEX(FactorTable!$B$2:$Y$301, MATCH(ROUND(MIN(300,MAX(1,D1421)),0), FactorTable!$A$2:$A$301,0), Skills!M11+1)</f>
        <v/>
      </c>
      <c r="F1421">
        <f>IF(Skills!N11=TRUE,(Skills!L11/10)*(E1421/1000),Skills!L11/10)+Skills!O11</f>
        <v/>
      </c>
      <c r="G1421">
        <f>Calc!G11</f>
        <v/>
      </c>
      <c r="H1421">
        <f>Calc!H11</f>
        <v/>
      </c>
      <c r="I1421">
        <f>IF(Skills!X11&lt;&gt;"",1+(Skills!X11/10)*(Z1413/1000)/100,1)</f>
        <v/>
      </c>
      <c r="J1421" t="inlineStr"/>
      <c r="K1421" t="inlineStr"/>
      <c r="L1421" t="inlineStr"/>
      <c r="M1421" t="inlineStr"/>
      <c r="N1421" t="inlineStr"/>
      <c r="O1421">
        <f>(1-Summary!$B$56)*S1421+Summary!$B$56*U1421</f>
        <v/>
      </c>
      <c r="P1421">
        <f>IF(B1451=0,0,O1421/B1451)</f>
        <v/>
      </c>
      <c r="Q1421">
        <f>IFERROR(1/IF(Inputs!$B$38="pvp",15,MAX(0.1,Skills!E11-IF(Skills!F11=TRUE,3.5,0))),0)</f>
        <v/>
      </c>
      <c r="R1421" t="n">
        <v>0</v>
      </c>
      <c r="S1421" t="n">
        <v>0</v>
      </c>
      <c r="U1421" t="n">
        <v>0</v>
      </c>
    </row>
    <row r="1422">
      <c r="A1422">
        <f>Skills!A12</f>
        <v/>
      </c>
      <c r="B1422">
        <f>Skills!B12</f>
        <v/>
      </c>
      <c r="C1422">
        <f>TRUE</f>
        <v/>
      </c>
      <c r="D1422">
        <f>IF(Skills!C12=1,60+Inputs!$B$25+Inputs!$B$29,IF(Skills!C12=2,90+Inputs!$B$26+Inputs!$B$29,IF(Skills!C12=3,120+Inputs!$B$27+Inputs!$B$29,MAX(0,(Inputs!$B$3-100)*3)+Inputs!$B$28+Inputs!$B$29)))</f>
        <v/>
      </c>
      <c r="E1422">
        <f>INDEX(FactorTable!$B$2:$Y$301, MATCH(ROUND(MIN(300,MAX(1,D1422)),0), FactorTable!$A$2:$A$301,0), Skills!M12+1)</f>
        <v/>
      </c>
      <c r="F1422">
        <f>IF(Skills!N12=TRUE,(Skills!L12/10)*(E1422/1000),Skills!L12/10)+Skills!O12</f>
        <v/>
      </c>
      <c r="G1422">
        <f>Calc!G12</f>
        <v/>
      </c>
      <c r="H1422">
        <f>Calc!H12</f>
        <v/>
      </c>
      <c r="I1422">
        <f>IF(Skills!X12&lt;&gt;"",1+(Skills!X12/10)*(Z1413/1000)/100,1)</f>
        <v/>
      </c>
      <c r="J1422" t="inlineStr"/>
      <c r="K1422" t="inlineStr"/>
      <c r="L1422" t="inlineStr"/>
      <c r="M1422" t="inlineStr"/>
      <c r="N1422" t="inlineStr"/>
      <c r="O1422">
        <f>(1-Summary!$B$56)*S1422+Summary!$B$56*U1422</f>
        <v/>
      </c>
      <c r="P1422">
        <f>IF(B1451=0,0,O1422/B1451)</f>
        <v/>
      </c>
      <c r="Q1422">
        <f>IFERROR(1/IF(Inputs!$B$38="pvp",15,MAX(0.1,Skills!E12-IF(Skills!F12=TRUE,3.5,0))),0)</f>
        <v/>
      </c>
      <c r="R1422" t="n">
        <v>0</v>
      </c>
      <c r="S1422" t="n">
        <v>0</v>
      </c>
      <c r="U1422" t="n">
        <v>0</v>
      </c>
    </row>
    <row r="1423">
      <c r="A1423">
        <f>Skills!A13</f>
        <v/>
      </c>
      <c r="B1423">
        <f>Skills!B13</f>
        <v/>
      </c>
      <c r="C1423">
        <f>Inputs!$B$3&gt;=105</f>
        <v/>
      </c>
      <c r="D1423">
        <f>IF(Skills!C13=1,60+Inputs!$B$25+Inputs!$B$29,IF(Skills!C13=2,90+Inputs!$B$26+Inputs!$B$29,IF(Skills!C13=3,120+Inputs!$B$27+Inputs!$B$29,MAX(0,(Inputs!$B$3-100)*3)+Inputs!$B$28+Inputs!$B$29)))</f>
        <v/>
      </c>
      <c r="E1423">
        <f>INDEX(FactorTable!$B$2:$Y$301, MATCH(ROUND(MIN(300,MAX(1,D1423)),0), FactorTable!$A$2:$A$301,0), Skills!M13+1)</f>
        <v/>
      </c>
      <c r="F1423">
        <f>IF(Skills!N13=TRUE,(Skills!L13/10)*(E1423/1000),Skills!L13/10)+Skills!O13</f>
        <v/>
      </c>
      <c r="G1423">
        <f>Calc!G13</f>
        <v/>
      </c>
      <c r="H1423">
        <f>Calc!H13</f>
        <v/>
      </c>
      <c r="I1423">
        <f>IF(Skills!X13&lt;&gt;"",1+(Skills!X13/10)*(Z1413/1000)/100,1)</f>
        <v/>
      </c>
      <c r="J1423">
        <f>((Inputs!$B$6*(1+Inputs!$B$7/100))+(((Inputs!$B$12*(1+Inputs!$B$13/100))-(Inputs!$B$12*(1+Inputs!$B$13/100)))+0.25*(Inputs!$B$14-Inputs!$B$14))*(1+Inputs!$B$7/100))*(F1423/100)</f>
        <v/>
      </c>
      <c r="K1423">
        <f>J1423*(1+((Inputs!$B$12*(1+Inputs!$B$13/100))*0.01+Inputs!$B$14*0.0025)/100)*(1+Inputs!$B$15/100)*(1+Inputs!$B$16/100)*(5000/(6000+Inputs!$B$42*(1-Inputs!$B$19/100)))*(1+Inputs!$B$24/100)*(1+F1433/100)*(1+IF(Inputs!$B$3&gt;=120,F1436,0)/100)^5*(1+(IF(Skills!A13="BASIC_ATTACK",Inputs!$B$17,Inputs!$B$18+IF(Inputs!$B$3&gt;=125,F1437*5,0)))/100)*(B1440*B1441*B1442*I1423)</f>
        <v/>
      </c>
      <c r="L1423">
        <f>K1423*(MIN(Inputs!$B$22+(F1432-Calc!F22),Inputs!$B$23)/100+Inputs!$B$23/100)/2</f>
        <v/>
      </c>
      <c r="M1423">
        <f>L1423*(1+(Inputs!$B$10+(F1431-Calc!F21))/100)</f>
        <v/>
      </c>
      <c r="N1423">
        <f>L1423*(1-MIN(Inputs!$B$9+(F1430-Calc!F20),100)/100)+M1423*(MIN(Inputs!$B$9+(F1430-Calc!F20),100)/100)</f>
        <v/>
      </c>
      <c r="O1423">
        <f>(1-Summary!$B$56)*S1423+Summary!$B$56*U1423</f>
        <v/>
      </c>
      <c r="P1423">
        <f>IF(B1451=0,0,O1423/B1451)</f>
        <v/>
      </c>
      <c r="Q1423">
        <f>IFERROR(1/IF(Inputs!$B$38="pvp",15,MAX(0.1,Skills!E13-IF(Skills!F13=TRUE,3.5,0))),0)</f>
        <v/>
      </c>
      <c r="R1423">
        <f>IF(AND(Inputs!$B$38&lt;&gt;"pvp",Inputs!$B$43&gt;0),IF(MAX(0,Inputs!$B$43-B1448)&lt;=0,0,(INT(MAX(0,Inputs!$B$43-B1448)/IF(Inputs!$B$38="pvp",15,MAX(0.1,Skills!E13-IF(Skills!F13=TRUE,3.5,0))))+1)),0)</f>
        <v/>
      </c>
      <c r="S1423">
        <f>IF(C1423,(H1423*N1423*IF(AND(Inputs!$B$38&lt;&gt;"pvp",Inputs!$B$43&gt;0),((Skills!G13*((R1423-1)*IF(Skills!H13&gt;0,Skills!I13/Skills!H13,1)+IF(Skills!H13&gt;0,MIN(Skills!I13,MAX(0,MAX(0,Inputs!$B$43-B1448)-((R1423-1)*IF(Inputs!$B$38="pvp",15,MAX(0.1,Skills!E13-IF(Skills!F13=TRUE,3.5,0))))))/Skills!H13,1)))/Inputs!$B$43),G1423*Q1423))*IF(Inputs!$B$38="pvp",1,1+(Inputs!$B$20+Skills!P13)/100),0)</f>
        <v/>
      </c>
      <c r="U1423">
        <f>IF(C1423,(H1423*N1423*IF(AND(Inputs!$B$38&lt;&gt;"pvp",Inputs!$B$43&gt;0),((Skills!G13*((R1423-1)*IF(Skills!H13&gt;0,Skills!I13/Skills!H13,1)+IF(Skills!H13&gt;0,MIN(Skills!I13,MAX(0,MAX(0,Inputs!$B$43-B1448)-((R1423-1)*IF(Inputs!$B$38="pvp",15,MAX(0.1,Skills!E13-IF(Skills!F13=TRUE,3.5,0))))))/Skills!H13,1)))/Inputs!$B$43),G1423*Q1423))*IF(Inputs!$B$38="pvp",1,(1+(Inputs!$B$21+Skills!Q13)/100)*(MIN(Skills!R13,Inputs!$B$37))),0)</f>
        <v/>
      </c>
    </row>
    <row r="1424">
      <c r="A1424">
        <f>Skills!A14</f>
        <v/>
      </c>
      <c r="B1424">
        <f>Skills!B14</f>
        <v/>
      </c>
      <c r="C1424">
        <f>Inputs!$B$3&gt;=113</f>
        <v/>
      </c>
      <c r="D1424">
        <f>IF(Skills!C14=1,60+Inputs!$B$25+Inputs!$B$29,IF(Skills!C14=2,90+Inputs!$B$26+Inputs!$B$29,IF(Skills!C14=3,120+Inputs!$B$27+Inputs!$B$29,MAX(0,(Inputs!$B$3-100)*3)+Inputs!$B$28+Inputs!$B$29)))</f>
        <v/>
      </c>
      <c r="E1424">
        <f>INDEX(FactorTable!$B$2:$Y$301, MATCH(ROUND(MIN(300,MAX(1,D1424)),0), FactorTable!$A$2:$A$301,0), Skills!M14+1)</f>
        <v/>
      </c>
      <c r="F1424">
        <f>IF(Skills!N14=TRUE,(Skills!L14/10)*(E1424/1000),Skills!L14/10)+Skills!O14</f>
        <v/>
      </c>
      <c r="G1424">
        <f>Calc!G14</f>
        <v/>
      </c>
      <c r="H1424">
        <f>Calc!H14</f>
        <v/>
      </c>
      <c r="I1424">
        <f>IF(Skills!X14&lt;&gt;"",1+(Skills!X14/10)*(Z1413/1000)/100,1)</f>
        <v/>
      </c>
      <c r="J1424">
        <f>((Inputs!$B$6*(1+Inputs!$B$7/100))+(((Inputs!$B$12*(1+Inputs!$B$13/100))-(Inputs!$B$12*(1+Inputs!$B$13/100)))+0.25*(Inputs!$B$14-Inputs!$B$14))*(1+Inputs!$B$7/100))*(F1424/100)</f>
        <v/>
      </c>
      <c r="K1424">
        <f>J1424*(1+((Inputs!$B$12*(1+Inputs!$B$13/100))*0.01+Inputs!$B$14*0.0025)/100)*(1+Inputs!$B$15/100)*(1+Inputs!$B$16/100)*(5000/(6000+Inputs!$B$42*(1-Inputs!$B$19/100)))*(1+Inputs!$B$24/100)*(1+F1433/100)*(1+IF(Inputs!$B$3&gt;=120,F1436,0)/100)^5*(1+(IF(Skills!A14="BASIC_ATTACK",Inputs!$B$17,Inputs!$B$18+IF(Inputs!$B$3&gt;=125,F1437*5,0)))/100)*(B1440*B1441*B1442*I1424)</f>
        <v/>
      </c>
      <c r="L1424">
        <f>K1424*(MIN(Inputs!$B$22+(F1432-Calc!F22),Inputs!$B$23)/100+Inputs!$B$23/100)/2</f>
        <v/>
      </c>
      <c r="M1424">
        <f>L1424*(1+(Inputs!$B$10+(F1431-Calc!F21))/100)</f>
        <v/>
      </c>
      <c r="N1424">
        <f>L1424*(1-MIN(Inputs!$B$9+(F1430-Calc!F20),100)/100)+M1424*(MIN(Inputs!$B$9+(F1430-Calc!F20),100)/100)</f>
        <v/>
      </c>
      <c r="O1424">
        <f>(1-Summary!$B$56)*S1424+Summary!$B$56*U1424</f>
        <v/>
      </c>
      <c r="P1424">
        <f>IF(B1451=0,0,O1424/B1451)</f>
        <v/>
      </c>
      <c r="Q1424">
        <f>IFERROR(1/IF(Inputs!$B$38="pvp",15,MAX(0.1,Skills!E14-IF(Skills!F14=TRUE,3.5,0))),0)</f>
        <v/>
      </c>
      <c r="R1424" t="n">
        <v>0</v>
      </c>
      <c r="S1424">
        <f>IF(C1424,((H1424*B1447)/(1+Skills!H14*H1424*B1447)*N1424)*IF(Inputs!$B$38="pvp",1,1+(Inputs!$B$20+Skills!P14)/100),0)</f>
        <v/>
      </c>
      <c r="U1424">
        <f>IF(C1424,((H1424*B1447)/(1+Skills!H14*H1424*B1447)*N1424)*IF(Inputs!$B$38="pvp",1,(1+(Inputs!$B$21+Skills!Q14)/100)*(MIN(Skills!R14,Inputs!$B$37))),0)</f>
        <v/>
      </c>
    </row>
    <row r="1425">
      <c r="A1425">
        <f>Skills!A15</f>
        <v/>
      </c>
      <c r="B1425">
        <f>Skills!B15</f>
        <v/>
      </c>
      <c r="C1425">
        <f>Inputs!$B$3&gt;=107</f>
        <v/>
      </c>
      <c r="D1425">
        <f>IF(Skills!C15=1,60+Inputs!$B$25+Inputs!$B$29,IF(Skills!C15=2,90+Inputs!$B$26+Inputs!$B$29,IF(Skills!C15=3,120+Inputs!$B$27+Inputs!$B$29,MAX(0,(Inputs!$B$3-100)*3)+Inputs!$B$28+Inputs!$B$29)))</f>
        <v/>
      </c>
      <c r="E1425">
        <f>INDEX(FactorTable!$B$2:$Y$301, MATCH(ROUND(MIN(300,MAX(1,D1425)),0), FactorTable!$A$2:$A$301,0), Skills!M15+1)</f>
        <v/>
      </c>
      <c r="F1425">
        <f>IF(Skills!N15=TRUE,(Skills!L15/10)*(E1425/1000),Skills!L15/10)+Skills!O15</f>
        <v/>
      </c>
      <c r="G1425">
        <f>Calc!G15</f>
        <v/>
      </c>
      <c r="H1425">
        <f>Calc!H15</f>
        <v/>
      </c>
      <c r="I1425">
        <f>IF(Skills!X15&lt;&gt;"",1+(Skills!X15/10)*(Z1413/1000)/100,1)</f>
        <v/>
      </c>
      <c r="J1425">
        <f>((Inputs!$B$6*(1+Inputs!$B$7/100))+(((Inputs!$B$12*(1+Inputs!$B$13/100))-(Inputs!$B$12*(1+Inputs!$B$13/100)))+0.25*(Inputs!$B$14-Inputs!$B$14))*(1+Inputs!$B$7/100))*(F1425/100)</f>
        <v/>
      </c>
      <c r="K1425">
        <f>J1425*(1+((Inputs!$B$12*(1+Inputs!$B$13/100))*0.01+Inputs!$B$14*0.0025)/100)*(1+Inputs!$B$15/100)*(1+Inputs!$B$16/100)*(5000/(6000+Inputs!$B$42*(1-Inputs!$B$19/100)))*(1+Inputs!$B$24/100)*(1+F1433/100)*(1+IF(Inputs!$B$3&gt;=120,F1436,0)/100)^5*(1+(IF(Skills!A15="BASIC_ATTACK",Inputs!$B$17,Inputs!$B$18+IF(Inputs!$B$3&gt;=125,F1437*5,0)))/100)*(B1440*B1441*B1442*I1425)</f>
        <v/>
      </c>
      <c r="L1425">
        <f>K1425*(MIN(Inputs!$B$22+(F1432-Calc!F22),Inputs!$B$23)/100+Inputs!$B$23/100)/2</f>
        <v/>
      </c>
      <c r="M1425">
        <f>L1425*(1+(Inputs!$B$10+(F1431-Calc!F21))/100)</f>
        <v/>
      </c>
      <c r="N1425">
        <f>L1425*(1-MIN(Inputs!$B$9+(F1430-Calc!F20),100)/100)+M1425*(MIN(Inputs!$B$9+(F1430-Calc!F20),100)/100)</f>
        <v/>
      </c>
      <c r="O1425">
        <f>(1-Summary!$B$56)*S1425+Summary!$B$56*U1425</f>
        <v/>
      </c>
      <c r="P1425">
        <f>IF(B1451=0,0,O1425/B1451)</f>
        <v/>
      </c>
      <c r="Q1425">
        <f>IFERROR(1/IF(Inputs!$B$38="pvp",15,MAX(0.1,Skills!E15-IF(Skills!F15=TRUE,3.5,0))),0)</f>
        <v/>
      </c>
      <c r="R1425">
        <f>IF(AND(Inputs!$B$38&lt;&gt;"pvp",Inputs!$B$43&gt;0),IF(MAX(0,Inputs!$B$43-B1448)&lt;=0,0,(INT(MAX(0,Inputs!$B$43-B1448)/IF(Inputs!$B$38="pvp",15,MAX(0.1,Skills!E15-IF(Skills!F15=TRUE,3.5,0))))+1)),0)</f>
        <v/>
      </c>
      <c r="S1425">
        <f>IF(C1425,(H1425*N1425*IF(AND(Inputs!$B$38&lt;&gt;"pvp",Inputs!$B$43&gt;0),((Skills!G15*((R1425-1)*IF(Skills!H15&gt;0,Skills!I15/Skills!H15,1)+IF(Skills!H15&gt;0,MIN(Skills!I15,MAX(0,MAX(0,Inputs!$B$43-B1448)-((R1425-1)*IF(Inputs!$B$38="pvp",15,MAX(0.1,Skills!E15-IF(Skills!F15=TRUE,3.5,0))))))/Skills!H15,1)))/Inputs!$B$43),G1425*Q1425))*IF(Inputs!$B$38="pvp",1,1+(Inputs!$B$20+Skills!P15)/100),0)</f>
        <v/>
      </c>
      <c r="U1425">
        <f>IF(C1425,(H1425*N1425*IF(AND(Inputs!$B$38&lt;&gt;"pvp",Inputs!$B$43&gt;0),((Skills!G15*((R1425-1)*IF(Skills!H15&gt;0,Skills!I15/Skills!H15,1)+IF(Skills!H15&gt;0,MIN(Skills!I15,MAX(0,MAX(0,Inputs!$B$43-B1448)-((R1425-1)*IF(Inputs!$B$38="pvp",15,MAX(0.1,Skills!E15-IF(Skills!F15=TRUE,3.5,0))))))/Skills!H15,1)))/Inputs!$B$43),G1425*Q1425))*IF(Inputs!$B$38="pvp",1,(1+(Inputs!$B$21+Skills!Q15)/100)*(MIN(Skills!R15,Inputs!$B$37))),0)</f>
        <v/>
      </c>
    </row>
    <row r="1426">
      <c r="A1426">
        <f>Skills!A16</f>
        <v/>
      </c>
      <c r="B1426">
        <f>Skills!B16</f>
        <v/>
      </c>
      <c r="C1426">
        <f>Inputs!$B$3&gt;=107</f>
        <v/>
      </c>
      <c r="D1426">
        <f>IF(Skills!C16=1,60+Inputs!$B$25+Inputs!$B$29,IF(Skills!C16=2,90+Inputs!$B$26+Inputs!$B$29,IF(Skills!C16=3,120+Inputs!$B$27+Inputs!$B$29,MAX(0,(Inputs!$B$3-100)*3)+Inputs!$B$28+Inputs!$B$29)))</f>
        <v/>
      </c>
      <c r="E1426">
        <f>INDEX(FactorTable!$B$2:$Y$301, MATCH(ROUND(MIN(300,MAX(1,D1426)),0), FactorTable!$A$2:$A$301,0), Skills!M16+1)</f>
        <v/>
      </c>
      <c r="F1426">
        <f>IF(Skills!N16=TRUE,(Skills!L16/10)*(E1426/1000),Skills!L16/10)+Skills!O16</f>
        <v/>
      </c>
      <c r="G1426">
        <f>Calc!G16</f>
        <v/>
      </c>
      <c r="H1426">
        <f>Calc!H16</f>
        <v/>
      </c>
      <c r="I1426">
        <f>IF(Skills!X16&lt;&gt;"",1+(Skills!X16/10)*(Z1413/1000)/100,1)</f>
        <v/>
      </c>
      <c r="J1426">
        <f>((Inputs!$B$6*(1+Inputs!$B$7/100))+(((Inputs!$B$12*(1+Inputs!$B$13/100))-(Inputs!$B$12*(1+Inputs!$B$13/100)))+0.25*(Inputs!$B$14-Inputs!$B$14))*(1+Inputs!$B$7/100))*(F1426/100)</f>
        <v/>
      </c>
      <c r="K1426">
        <f>J1426*(1+((Inputs!$B$12*(1+Inputs!$B$13/100))*0.01+Inputs!$B$14*0.0025)/100)*(1+Inputs!$B$15/100)*(1+Inputs!$B$16/100)*(5000/(6000+Inputs!$B$42*(1-Inputs!$B$19/100)))*(1+Inputs!$B$24/100)*(1+F1433/100)*(1+IF(Inputs!$B$3&gt;=120,F1436,0)/100)^5*(1+(IF(Skills!A16="BASIC_ATTACK",Inputs!$B$17,Inputs!$B$18+IF(Inputs!$B$3&gt;=125,F1437*5,0)))/100)*(B1440*B1441*B1442*I1426)</f>
        <v/>
      </c>
      <c r="L1426">
        <f>K1426*(MIN(Inputs!$B$22+(F1432-Calc!F22),Inputs!$B$23)/100+Inputs!$B$23/100)/2</f>
        <v/>
      </c>
      <c r="M1426">
        <f>L1426*(1+(Inputs!$B$10+(F1431-Calc!F21))/100)</f>
        <v/>
      </c>
      <c r="N1426">
        <f>L1426*(1-MIN(Inputs!$B$9+(F1430-Calc!F20),100)/100)+M1426*(MIN(Inputs!$B$9+(F1430-Calc!F20),100)/100)</f>
        <v/>
      </c>
      <c r="O1426">
        <f>(1-Summary!$B$56)*S1426+Summary!$B$56*U1426</f>
        <v/>
      </c>
      <c r="P1426">
        <f>IF(B1451=0,0,O1426/B1451)</f>
        <v/>
      </c>
      <c r="Q1426">
        <f>IFERROR(1/IF(Inputs!$B$38="pvp",15,MAX(0.1,Skills!E16-IF(Skills!F16=TRUE,3.5,0))),0)</f>
        <v/>
      </c>
      <c r="R1426">
        <f>IF(AND(Inputs!$B$38&lt;&gt;"pvp",Inputs!$B$43&gt;0),IF(MAX(0,Inputs!$B$43-B1448)&lt;=0,0,(INT(MAX(0,Inputs!$B$43-B1448)/IF(Inputs!$B$38="pvp",15,MAX(0.1,Skills!E16-IF(Skills!F16=TRUE,3.5,0))))+1)),0)</f>
        <v/>
      </c>
      <c r="S1426">
        <f>IF(C1426,(H1426*N1426*IF(AND(Inputs!$B$38&lt;&gt;"pvp",Inputs!$B$43&gt;0),((Skills!G16*((R1426-1)*IF(Skills!H16&gt;0,Skills!I16/Skills!H16,1)+IF(Skills!H16&gt;0,MIN(Skills!I16,MAX(0,MAX(0,Inputs!$B$43-B1448)-((R1426-1)*IF(Inputs!$B$38="pvp",15,MAX(0.1,Skills!E16-IF(Skills!F16=TRUE,3.5,0))))))/Skills!H16,1)))/Inputs!$B$43),G1426*Q1426)*(1+IF(Inputs!$B$3&gt;=126,0.05*(B1446+Q1423+(H1424*B1447)/(1+Skills!H14*H1424*B1447)+Q1434),0)*Skills!E15))*IF(Inputs!$B$38="pvp",1,1+(Inputs!$B$20+Skills!P16)/100),0)</f>
        <v/>
      </c>
      <c r="U1426">
        <f>IF(C1426,(H1426*N1426*IF(AND(Inputs!$B$38&lt;&gt;"pvp",Inputs!$B$43&gt;0),((Skills!G16*((R1426-1)*IF(Skills!H16&gt;0,Skills!I16/Skills!H16,1)+IF(Skills!H16&gt;0,MIN(Skills!I16,MAX(0,MAX(0,Inputs!$B$43-B1448)-((R1426-1)*IF(Inputs!$B$38="pvp",15,MAX(0.1,Skills!E16-IF(Skills!F16=TRUE,3.5,0))))))/Skills!H16,1)))/Inputs!$B$43),G1426*Q1426)*(1+IF(Inputs!$B$3&gt;=126,0.05*(B1446+Q1423+(H1424*B1447)/(1+Skills!H14*H1424*B1447)+Q1434),0)*Skills!E15))*IF(Inputs!$B$38="pvp",1,(1+(Inputs!$B$21+Skills!Q16)/100)*(MIN(Skills!R16,Inputs!$B$37))),0)</f>
        <v/>
      </c>
    </row>
    <row r="1427">
      <c r="A1427">
        <f>Skills!A17</f>
        <v/>
      </c>
      <c r="B1427">
        <f>Skills!B17</f>
        <v/>
      </c>
      <c r="C1427">
        <f>TRUE</f>
        <v/>
      </c>
      <c r="D1427">
        <f>IF(Skills!C17=1,60+Inputs!$B$25+Inputs!$B$29,IF(Skills!C17=2,90+Inputs!$B$26+Inputs!$B$29,IF(Skills!C17=3,120+Inputs!$B$27+Inputs!$B$29,MAX(0,(Inputs!$B$3-100)*3)+Inputs!$B$28+Inputs!$B$29)))</f>
        <v/>
      </c>
      <c r="E1427">
        <f>INDEX(FactorTable!$B$2:$Y$301, MATCH(ROUND(MIN(300,MAX(1,D1427)),0), FactorTable!$A$2:$A$301,0), Skills!M17+1)</f>
        <v/>
      </c>
      <c r="F1427">
        <f>IF(Skills!N17=TRUE,(Skills!L17/10)*(E1427/1000),Skills!L17/10)+Skills!O17</f>
        <v/>
      </c>
      <c r="G1427">
        <f>Calc!G17</f>
        <v/>
      </c>
      <c r="H1427">
        <f>Calc!H17</f>
        <v/>
      </c>
      <c r="I1427">
        <f>IF(Skills!X17&lt;&gt;"",1+(Skills!X17/10)*(Z1413/1000)/100,1)</f>
        <v/>
      </c>
      <c r="J1427" t="inlineStr"/>
      <c r="K1427" t="inlineStr"/>
      <c r="L1427" t="inlineStr"/>
      <c r="M1427" t="inlineStr"/>
      <c r="N1427" t="inlineStr"/>
      <c r="O1427">
        <f>(1-Summary!$B$56)*S1427+Summary!$B$56*U1427</f>
        <v/>
      </c>
      <c r="P1427">
        <f>IF(B1451=0,0,O1427/B1451)</f>
        <v/>
      </c>
      <c r="Q1427">
        <f>IFERROR(1/IF(Inputs!$B$38="pvp",15,MAX(0.1,Skills!E17-IF(Skills!F17=TRUE,3.5,0))),0)</f>
        <v/>
      </c>
      <c r="R1427">
        <f>IF(AND(Inputs!$B$38&lt;&gt;"pvp",Inputs!$B$43&gt;0),IF(Inputs!$B$43&lt;=0,0,(INT(Inputs!$B$43/IF(Inputs!$B$38="pvp",15,MAX(0.1,Skills!E17-IF(Skills!F17=TRUE,3.5,0))))+1)),0)</f>
        <v/>
      </c>
      <c r="S1427" t="n">
        <v>0</v>
      </c>
      <c r="U1427" t="n">
        <v>0</v>
      </c>
    </row>
    <row r="1428">
      <c r="A1428">
        <f>Skills!A18</f>
        <v/>
      </c>
      <c r="B1428">
        <f>Skills!B18</f>
        <v/>
      </c>
      <c r="C1428">
        <f>TRUE</f>
        <v/>
      </c>
      <c r="D1428">
        <f>IF(Skills!C18=1,60+Inputs!$B$25+Inputs!$B$29,IF(Skills!C18=2,90+Inputs!$B$26+Inputs!$B$29,IF(Skills!C18=3,120+Inputs!$B$27+Inputs!$B$29,MAX(0,(Inputs!$B$3-100)*3)+Inputs!$B$28+Inputs!$B$29)))</f>
        <v/>
      </c>
      <c r="E1428">
        <f>INDEX(FactorTable!$B$2:$Y$301, MATCH(ROUND(MIN(300,MAX(1,D1428)),0), FactorTable!$A$2:$A$301,0), Skills!M18+1)</f>
        <v/>
      </c>
      <c r="F1428">
        <f>IF(Skills!N18=TRUE,(Skills!L18/10)*(E1428/1000),Skills!L18/10)+Skills!O18</f>
        <v/>
      </c>
      <c r="G1428">
        <f>Calc!G18</f>
        <v/>
      </c>
      <c r="H1428">
        <f>Calc!H18</f>
        <v/>
      </c>
      <c r="I1428">
        <f>IF(Skills!X18&lt;&gt;"",1+(Skills!X18/10)*(Z1413/1000)/100,1)</f>
        <v/>
      </c>
      <c r="J1428" t="inlineStr"/>
      <c r="K1428" t="inlineStr"/>
      <c r="L1428" t="inlineStr"/>
      <c r="M1428" t="inlineStr"/>
      <c r="N1428" t="inlineStr"/>
      <c r="O1428">
        <f>(1-Summary!$B$56)*S1428+Summary!$B$56*U1428</f>
        <v/>
      </c>
      <c r="P1428">
        <f>IF(B1451=0,0,O1428/B1451)</f>
        <v/>
      </c>
      <c r="Q1428">
        <f>IFERROR(1/IF(Inputs!$B$38="pvp",15,MAX(0.1,Skills!E18-IF(Skills!F18=TRUE,3.5,0))),0)</f>
        <v/>
      </c>
      <c r="R1428">
        <f>IF(AND(Inputs!$B$38&lt;&gt;"pvp",Inputs!$B$43&gt;0),IF(Inputs!$B$43&lt;=0,0,(INT(Inputs!$B$43/IF(Inputs!$B$38="pvp",15,MAX(0.1,Skills!E18-IF(Skills!F18=TRUE,3.5,0))))+1)),0)</f>
        <v/>
      </c>
      <c r="S1428" t="n">
        <v>0</v>
      </c>
      <c r="U1428" t="n">
        <v>0</v>
      </c>
    </row>
    <row r="1429">
      <c r="A1429">
        <f>Skills!A19</f>
        <v/>
      </c>
      <c r="B1429">
        <f>Skills!B19</f>
        <v/>
      </c>
      <c r="C1429">
        <f>Inputs!$B$3&gt;=110</f>
        <v/>
      </c>
      <c r="D1429">
        <f>IF(Skills!C19=1,60+Inputs!$B$25+Inputs!$B$29,IF(Skills!C19=2,90+Inputs!$B$26+Inputs!$B$29,IF(Skills!C19=3,120+Inputs!$B$27+Inputs!$B$29,MAX(0,(Inputs!$B$3-100)*3)+Inputs!$B$28+Inputs!$B$29)))</f>
        <v/>
      </c>
      <c r="E1429">
        <f>INDEX(FactorTable!$B$2:$Y$301, MATCH(ROUND(MIN(300,MAX(1,D1429)),0), FactorTable!$A$2:$A$301,0), Skills!M19+1)</f>
        <v/>
      </c>
      <c r="F1429">
        <f>IF(Skills!N19=TRUE,(Skills!L19/10)*(E1429/1000),Skills!L19/10)+Skills!O19</f>
        <v/>
      </c>
      <c r="G1429">
        <f>Calc!G19</f>
        <v/>
      </c>
      <c r="H1429">
        <f>Calc!H19</f>
        <v/>
      </c>
      <c r="I1429">
        <f>IF(Skills!X19&lt;&gt;"",1+(Skills!X19/10)*(Z1413/1000)/100,1)</f>
        <v/>
      </c>
      <c r="J1429" t="inlineStr"/>
      <c r="K1429" t="inlineStr"/>
      <c r="L1429" t="inlineStr"/>
      <c r="M1429" t="inlineStr"/>
      <c r="N1429" t="inlineStr"/>
      <c r="O1429">
        <f>(1-Summary!$B$56)*S1429+Summary!$B$56*U1429</f>
        <v/>
      </c>
      <c r="P1429">
        <f>IF(B1451=0,0,O1429/B1451)</f>
        <v/>
      </c>
      <c r="Q1429">
        <f>IFERROR(1/IF(Inputs!$B$38="pvp",15,MAX(0.1,Skills!E19-IF(Skills!F19=TRUE,3.5,0))),0)</f>
        <v/>
      </c>
      <c r="R1429">
        <f>IF(AND(Inputs!$B$38&lt;&gt;"pvp",Inputs!$B$43&gt;0),IF(Inputs!$B$43&lt;=0,0,(INT(Inputs!$B$43/IF(Inputs!$B$38="pvp",15,MAX(0.1,Skills!E19-IF(Skills!F19=TRUE,3.5,0))))+1)),0)</f>
        <v/>
      </c>
      <c r="S1429" t="n">
        <v>0</v>
      </c>
      <c r="U1429" t="n">
        <v>0</v>
      </c>
    </row>
    <row r="1430">
      <c r="A1430">
        <f>Skills!A20</f>
        <v/>
      </c>
      <c r="B1430">
        <f>Skills!B20</f>
        <v/>
      </c>
      <c r="C1430">
        <f>TRUE</f>
        <v/>
      </c>
      <c r="D1430">
        <f>IF(Skills!C20=1,60+Inputs!$B$25+Inputs!$B$29,IF(Skills!C20=2,90+Inputs!$B$26+Inputs!$B$29,IF(Skills!C20=3,120+Inputs!$B$27+Inputs!$B$29,MAX(0,(Inputs!$B$3-100)*3)+Inputs!$B$28+Inputs!$B$29)))</f>
        <v/>
      </c>
      <c r="E1430">
        <f>INDEX(FactorTable!$B$2:$Y$301, MATCH(ROUND(MIN(300,MAX(1,D1430)),0), FactorTable!$A$2:$A$301,0), Skills!M20+1)</f>
        <v/>
      </c>
      <c r="F1430">
        <f>IF(Skills!N20=TRUE,(Skills!L20/10)*(E1430/1000),Skills!L20/10)+Skills!O20</f>
        <v/>
      </c>
      <c r="G1430">
        <f>Calc!G20</f>
        <v/>
      </c>
      <c r="H1430">
        <f>Calc!H20</f>
        <v/>
      </c>
      <c r="I1430">
        <f>IF(Skills!X20&lt;&gt;"",1+(Skills!X20/10)*(Z1413/1000)/100,1)</f>
        <v/>
      </c>
      <c r="J1430" t="inlineStr"/>
      <c r="K1430" t="inlineStr"/>
      <c r="L1430" t="inlineStr"/>
      <c r="M1430" t="inlineStr"/>
      <c r="N1430" t="inlineStr"/>
      <c r="O1430">
        <f>(1-Summary!$B$56)*S1430+Summary!$B$56*U1430</f>
        <v/>
      </c>
      <c r="P1430">
        <f>IF(B1451=0,0,O1430/B1451)</f>
        <v/>
      </c>
      <c r="Q1430">
        <f>IFERROR(1/IF(Inputs!$B$38="pvp",15,MAX(0.1,Skills!E20-IF(Skills!F20=TRUE,3.5,0))),0)</f>
        <v/>
      </c>
      <c r="R1430" t="n">
        <v>0</v>
      </c>
      <c r="S1430" t="n">
        <v>0</v>
      </c>
      <c r="U1430" t="n">
        <v>0</v>
      </c>
    </row>
    <row r="1431">
      <c r="A1431">
        <f>Skills!A21</f>
        <v/>
      </c>
      <c r="B1431">
        <f>Skills!B21</f>
        <v/>
      </c>
      <c r="C1431">
        <f>TRUE</f>
        <v/>
      </c>
      <c r="D1431">
        <f>IF(Skills!C21=1,60+Inputs!$B$25+Inputs!$B$29,IF(Skills!C21=2,90+Inputs!$B$26+Inputs!$B$29,IF(Skills!C21=3,120+Inputs!$B$27+Inputs!$B$29,MAX(0,(Inputs!$B$3-100)*3)+Inputs!$B$28+Inputs!$B$29)))</f>
        <v/>
      </c>
      <c r="E1431">
        <f>INDEX(FactorTable!$B$2:$Y$301, MATCH(ROUND(MIN(300,MAX(1,D1431)),0), FactorTable!$A$2:$A$301,0), Skills!M21+1)</f>
        <v/>
      </c>
      <c r="F1431">
        <f>IF(Skills!N21=TRUE,(Skills!L21/10)*(E1431/1000),Skills!L21/10)+Skills!O21</f>
        <v/>
      </c>
      <c r="G1431">
        <f>Calc!G21</f>
        <v/>
      </c>
      <c r="H1431">
        <f>Calc!H21</f>
        <v/>
      </c>
      <c r="I1431">
        <f>IF(Skills!X21&lt;&gt;"",1+(Skills!X21/10)*(Z1413/1000)/100,1)</f>
        <v/>
      </c>
      <c r="J1431" t="inlineStr"/>
      <c r="K1431" t="inlineStr"/>
      <c r="L1431" t="inlineStr"/>
      <c r="M1431" t="inlineStr"/>
      <c r="N1431" t="inlineStr"/>
      <c r="O1431">
        <f>(1-Summary!$B$56)*S1431+Summary!$B$56*U1431</f>
        <v/>
      </c>
      <c r="P1431">
        <f>IF(B1451=0,0,O1431/B1451)</f>
        <v/>
      </c>
      <c r="Q1431">
        <f>IFERROR(1/IF(Inputs!$B$38="pvp",15,MAX(0.1,Skills!E21-IF(Skills!F21=TRUE,3.5,0))),0)</f>
        <v/>
      </c>
      <c r="R1431" t="n">
        <v>0</v>
      </c>
      <c r="S1431" t="n">
        <v>0</v>
      </c>
      <c r="U1431" t="n">
        <v>0</v>
      </c>
    </row>
    <row r="1432">
      <c r="A1432">
        <f>Skills!A22</f>
        <v/>
      </c>
      <c r="B1432">
        <f>Skills!B22</f>
        <v/>
      </c>
      <c r="C1432">
        <f>TRUE</f>
        <v/>
      </c>
      <c r="D1432">
        <f>IF(Skills!C22=1,60+Inputs!$B$25+Inputs!$B$29,IF(Skills!C22=2,90+Inputs!$B$26+Inputs!$B$29,IF(Skills!C22=3,120+Inputs!$B$27+Inputs!$B$29,MAX(0,(Inputs!$B$3-100)*3)+Inputs!$B$28+Inputs!$B$29)))</f>
        <v/>
      </c>
      <c r="E1432">
        <f>INDEX(FactorTable!$B$2:$Y$301, MATCH(ROUND(MIN(300,MAX(1,D1432)),0), FactorTable!$A$2:$A$301,0), Skills!M22+1)</f>
        <v/>
      </c>
      <c r="F1432">
        <f>IF(Skills!N22=TRUE,(Skills!L22/10)*(E1432/1000),Skills!L22/10)+Skills!O22</f>
        <v/>
      </c>
      <c r="G1432">
        <f>Calc!G22</f>
        <v/>
      </c>
      <c r="H1432">
        <f>Calc!H22</f>
        <v/>
      </c>
      <c r="I1432">
        <f>IF(Skills!X22&lt;&gt;"",1+(Skills!X22/10)*(Z1413/1000)/100,1)</f>
        <v/>
      </c>
      <c r="J1432" t="inlineStr"/>
      <c r="K1432" t="inlineStr"/>
      <c r="L1432" t="inlineStr"/>
      <c r="M1432" t="inlineStr"/>
      <c r="N1432" t="inlineStr"/>
      <c r="O1432">
        <f>(1-Summary!$B$56)*S1432+Summary!$B$56*U1432</f>
        <v/>
      </c>
      <c r="P1432">
        <f>IF(B1451=0,0,O1432/B1451)</f>
        <v/>
      </c>
      <c r="Q1432">
        <f>IFERROR(1/IF(Inputs!$B$38="pvp",15,MAX(0.1,Skills!E22-IF(Skills!F22=TRUE,3.5,0))),0)</f>
        <v/>
      </c>
      <c r="R1432" t="n">
        <v>0</v>
      </c>
      <c r="S1432" t="n">
        <v>0</v>
      </c>
      <c r="U1432" t="n">
        <v>0</v>
      </c>
    </row>
    <row r="1433">
      <c r="A1433">
        <f>Skills!A23</f>
        <v/>
      </c>
      <c r="B1433">
        <f>Skills!B23</f>
        <v/>
      </c>
      <c r="C1433">
        <f>TRUE</f>
        <v/>
      </c>
      <c r="D1433">
        <f>IF(Skills!C23=1,60+Inputs!$B$25+Inputs!$B$29,IF(Skills!C23=2,90+Inputs!$B$26+Inputs!$B$29,IF(Skills!C23=3,120+Inputs!$B$27+Inputs!$B$29,MAX(0,(Inputs!$B$3-100)*3)+Inputs!$B$28+Inputs!$B$29)))</f>
        <v/>
      </c>
      <c r="E1433">
        <f>INDEX(FactorTable!$B$2:$Y$301, MATCH(ROUND(MIN(300,MAX(1,D1433)),0), FactorTable!$A$2:$A$301,0), Skills!M23+1)</f>
        <v/>
      </c>
      <c r="F1433">
        <f>IF(Skills!N23=TRUE,(Skills!L23/10)*(E1433/1000),Skills!L23/10)+Skills!O23</f>
        <v/>
      </c>
      <c r="G1433">
        <f>Calc!G23</f>
        <v/>
      </c>
      <c r="H1433">
        <f>Calc!H23</f>
        <v/>
      </c>
      <c r="I1433">
        <f>IF(Skills!X23&lt;&gt;"",1+(Skills!X23/10)*(Z1413/1000)/100,1)</f>
        <v/>
      </c>
      <c r="J1433" t="inlineStr"/>
      <c r="K1433" t="inlineStr"/>
      <c r="L1433" t="inlineStr"/>
      <c r="M1433" t="inlineStr"/>
      <c r="N1433" t="inlineStr"/>
      <c r="O1433">
        <f>(1-Summary!$B$56)*S1433+Summary!$B$56*U1433</f>
        <v/>
      </c>
      <c r="P1433">
        <f>IF(B1451=0,0,O1433/B1451)</f>
        <v/>
      </c>
      <c r="Q1433">
        <f>IFERROR(1/IF(Inputs!$B$38="pvp",15,MAX(0.1,Skills!E23-IF(Skills!F23=TRUE,3.5,0))),0)</f>
        <v/>
      </c>
      <c r="R1433" t="n">
        <v>0</v>
      </c>
      <c r="S1433" t="n">
        <v>0</v>
      </c>
      <c r="U1433" t="n">
        <v>0</v>
      </c>
    </row>
    <row r="1434">
      <c r="A1434">
        <f>Skills!A24</f>
        <v/>
      </c>
      <c r="B1434">
        <f>Skills!B24</f>
        <v/>
      </c>
      <c r="C1434">
        <f>Inputs!$B$3&gt;=115</f>
        <v/>
      </c>
      <c r="D1434">
        <f>IF(Skills!C24=1,60+Inputs!$B$25+Inputs!$B$29,IF(Skills!C24=2,90+Inputs!$B$26+Inputs!$B$29,IF(Skills!C24=3,120+Inputs!$B$27+Inputs!$B$29,MAX(0,(Inputs!$B$3-100)*3)+Inputs!$B$28+Inputs!$B$29)))</f>
        <v/>
      </c>
      <c r="E1434">
        <f>INDEX(FactorTable!$B$2:$Y$301, MATCH(ROUND(MIN(300,MAX(1,D1434)),0), FactorTable!$A$2:$A$301,0), Skills!M24+1)</f>
        <v/>
      </c>
      <c r="F1434">
        <f>IF(Skills!N24=TRUE,(Skills!L24/10)*(E1434/1000),Skills!L24/10)+Skills!O24</f>
        <v/>
      </c>
      <c r="G1434">
        <f>Calc!G24</f>
        <v/>
      </c>
      <c r="H1434">
        <f>Calc!H24</f>
        <v/>
      </c>
      <c r="I1434">
        <f>IF(Skills!X24&lt;&gt;"",1+(Skills!X24/10)*(Z1413/1000)/100,1)</f>
        <v/>
      </c>
      <c r="J1434">
        <f>((Inputs!$B$6*(1+Inputs!$B$7/100))+(((Inputs!$B$12*(1+Inputs!$B$13/100))-(Inputs!$B$12*(1+Inputs!$B$13/100)))+0.25*(Inputs!$B$14-Inputs!$B$14))*(1+Inputs!$B$7/100))*(F1434/100)</f>
        <v/>
      </c>
      <c r="K1434">
        <f>J1434*(1+((Inputs!$B$12*(1+Inputs!$B$13/100))*0.01+Inputs!$B$14*0.0025)/100)*(1+Inputs!$B$15/100)*(1+Inputs!$B$16/100)*(5000/(6000+Inputs!$B$42*(1-Inputs!$B$19/100)))*(1+Inputs!$B$24/100)*(1+F1433/100)*(1+IF(Inputs!$B$3&gt;=120,F1436,0)/100)^5*(1+(IF(Skills!A24="BASIC_ATTACK",Inputs!$B$17,Inputs!$B$18+IF(Inputs!$B$3&gt;=125,F1437*5,0)))/100)*(B1440*B1441*B1442*I1434)</f>
        <v/>
      </c>
      <c r="L1434">
        <f>K1434*(MIN(Inputs!$B$22+(F1432-Calc!F22),Inputs!$B$23)/100+Inputs!$B$23/100)/2</f>
        <v/>
      </c>
      <c r="M1434">
        <f>L1434*(1+(Inputs!$B$10+(F1431-Calc!F21))/100)</f>
        <v/>
      </c>
      <c r="N1434">
        <f>L1434*(1-MIN(Inputs!$B$9+(F1430-Calc!F20),100)/100)+M1434*(MIN(Inputs!$B$9+(F1430-Calc!F20),100)/100)</f>
        <v/>
      </c>
      <c r="O1434">
        <f>(1-Summary!$B$56)*S1434+Summary!$B$56*U1434</f>
        <v/>
      </c>
      <c r="P1434">
        <f>IF(B1451=0,0,O1434/B1451)</f>
        <v/>
      </c>
      <c r="Q1434">
        <f>IFERROR(1/IF(Inputs!$B$38="pvp",15,MAX(0.1,Skills!E24-IF(Skills!F24=TRUE,3.5,0))),0)</f>
        <v/>
      </c>
      <c r="R1434">
        <f>IF(AND(Inputs!$B$38&lt;&gt;"pvp",Inputs!$B$43&gt;0),IF(MAX(0,Inputs!$B$43-B1448)&lt;=0,0,(INT(MAX(0,Inputs!$B$43-B1448)/IF(Inputs!$B$38="pvp",15,MAX(0.1,Skills!E24-IF(Skills!F24=TRUE,3.5,0))))+1)),0)</f>
        <v/>
      </c>
      <c r="S1434">
        <f>IF(C1434,(H1434*N1434*IF(AND(Inputs!$B$38&lt;&gt;"pvp",Inputs!$B$43&gt;0),((Skills!G24*((R1434-1)*IF(Skills!H24&gt;0,Skills!I24/Skills!H24,1)+IF(Skills!H24&gt;0,MIN(Skills!I24,MAX(0,MAX(0,Inputs!$B$43-B1448)-((R1434-1)*IF(Inputs!$B$38="pvp",15,MAX(0.1,Skills!E24-IF(Skills!F24=TRUE,3.5,0))))))/Skills!H24,1)))/Inputs!$B$43),G1434*Q1434)*(1+IF(Inputs!$B$3&gt;=130,0.2*(Skills!I16/Skills!E15+IF(Inputs!$B$3&gt;=126,0.05*(B1446+Q1423+(H1424*B1447)/(1+Skills!H14*H1424*B1447)+Q1434),0)*Skills!I16),0)))*IF(Inputs!$B$38="pvp",1,1+(Inputs!$B$20+Skills!P24)/100),0)</f>
        <v/>
      </c>
      <c r="U1434">
        <f>IF(C1434,(H1434*N1434*IF(AND(Inputs!$B$38&lt;&gt;"pvp",Inputs!$B$43&gt;0),((Skills!G24*((R1434-1)*IF(Skills!H24&gt;0,Skills!I24/Skills!H24,1)+IF(Skills!H24&gt;0,MIN(Skills!I24,MAX(0,MAX(0,Inputs!$B$43-B1448)-((R1434-1)*IF(Inputs!$B$38="pvp",15,MAX(0.1,Skills!E24-IF(Skills!F24=TRUE,3.5,0))))))/Skills!H24,1)))/Inputs!$B$43),G1434*Q1434)*(1+IF(Inputs!$B$3&gt;=130,0.2*(Skills!I16/Skills!E15+IF(Inputs!$B$3&gt;=126,0.05*(B1446+Q1423+(H1424*B1447)/(1+Skills!H14*H1424*B1447)+Q1434),0)*Skills!I16),0)))*IF(Inputs!$B$38="pvp",1,(1+(Inputs!$B$21+Skills!Q24)/100)*(MIN(Skills!R24,Inputs!$B$37))),0)</f>
        <v/>
      </c>
    </row>
    <row r="1435">
      <c r="A1435">
        <f>Skills!A25</f>
        <v/>
      </c>
      <c r="B1435">
        <f>Skills!B25</f>
        <v/>
      </c>
      <c r="C1435">
        <f>Inputs!$B$3&gt;=117</f>
        <v/>
      </c>
      <c r="D1435">
        <f>IF(Skills!C25=1,60+Inputs!$B$25+Inputs!$B$29,IF(Skills!C25=2,90+Inputs!$B$26+Inputs!$B$29,IF(Skills!C25=3,120+Inputs!$B$27+Inputs!$B$29,MAX(0,(Inputs!$B$3-100)*3)+Inputs!$B$28+Inputs!$B$29)))</f>
        <v/>
      </c>
      <c r="E1435">
        <f>INDEX(FactorTable!$B$2:$Y$301, MATCH(ROUND(MIN(300,MAX(1,D1435)),0), FactorTable!$A$2:$A$301,0), Skills!M25+1)</f>
        <v/>
      </c>
      <c r="F1435">
        <f>IF(Skills!N25=TRUE,(Skills!L25/10)*(E1435/1000),Skills!L25/10)+Skills!O25</f>
        <v/>
      </c>
      <c r="G1435">
        <f>Calc!G25</f>
        <v/>
      </c>
      <c r="H1435">
        <f>Calc!H25</f>
        <v/>
      </c>
      <c r="I1435">
        <f>IF(Skills!X25&lt;&gt;"",1+(Skills!X25/10)*(Z1413/1000)/100,1)</f>
        <v/>
      </c>
      <c r="J1435" t="inlineStr"/>
      <c r="K1435" t="inlineStr"/>
      <c r="L1435" t="inlineStr"/>
      <c r="M1435" t="inlineStr"/>
      <c r="N1435" t="inlineStr"/>
      <c r="O1435">
        <f>(1-Summary!$B$56)*S1435+Summary!$B$56*U1435</f>
        <v/>
      </c>
      <c r="P1435">
        <f>IF(B1451=0,0,O1435/B1451)</f>
        <v/>
      </c>
      <c r="Q1435">
        <f>IFERROR(1/IF(Inputs!$B$38="pvp",15,MAX(0.1,Skills!E25-IF(Skills!F25=TRUE,3.5,0))),0)</f>
        <v/>
      </c>
      <c r="R1435" t="n">
        <v>0</v>
      </c>
      <c r="S1435" t="n">
        <v>0</v>
      </c>
      <c r="U1435" t="n">
        <v>0</v>
      </c>
    </row>
    <row r="1436">
      <c r="A1436">
        <f>Skills!A26</f>
        <v/>
      </c>
      <c r="B1436">
        <f>Skills!B26</f>
        <v/>
      </c>
      <c r="C1436">
        <f>Inputs!$B$3&gt;=120</f>
        <v/>
      </c>
      <c r="D1436">
        <f>IF(Skills!C26=1,60+Inputs!$B$25+Inputs!$B$29,IF(Skills!C26=2,90+Inputs!$B$26+Inputs!$B$29,IF(Skills!C26=3,120+Inputs!$B$27+Inputs!$B$29,MAX(0,(Inputs!$B$3-100)*3)+Inputs!$B$28+Inputs!$B$29)))</f>
        <v/>
      </c>
      <c r="E1436">
        <f>INDEX(FactorTable!$B$2:$Y$301, MATCH(ROUND(MIN(300,MAX(1,D1436)),0), FactorTable!$A$2:$A$301,0), Skills!M26+1)</f>
        <v/>
      </c>
      <c r="F1436">
        <f>IF(Skills!N26=TRUE,(Skills!L26/10)*(E1436/1000),Skills!L26/10)+Skills!O26</f>
        <v/>
      </c>
      <c r="G1436">
        <f>Calc!G26</f>
        <v/>
      </c>
      <c r="H1436">
        <f>Calc!H26</f>
        <v/>
      </c>
      <c r="I1436">
        <f>IF(Skills!X26&lt;&gt;"",1+(Skills!X26/10)*(Z1413/1000)/100,1)</f>
        <v/>
      </c>
      <c r="J1436" t="inlineStr"/>
      <c r="K1436" t="inlineStr"/>
      <c r="L1436" t="inlineStr"/>
      <c r="M1436" t="inlineStr"/>
      <c r="N1436" t="inlineStr"/>
      <c r="O1436">
        <f>(1-Summary!$B$56)*S1436+Summary!$B$56*U1436</f>
        <v/>
      </c>
      <c r="P1436">
        <f>IF(B1451=0,0,O1436/B1451)</f>
        <v/>
      </c>
      <c r="Q1436">
        <f>IFERROR(1/IF(Inputs!$B$38="pvp",15,MAX(0.1,Skills!E26-IF(Skills!F26=TRUE,3.5,0))),0)</f>
        <v/>
      </c>
      <c r="R1436" t="n">
        <v>0</v>
      </c>
      <c r="S1436" t="n">
        <v>0</v>
      </c>
      <c r="U1436" t="n">
        <v>0</v>
      </c>
    </row>
    <row r="1437">
      <c r="A1437">
        <f>Skills!A27</f>
        <v/>
      </c>
      <c r="B1437">
        <f>Skills!B27</f>
        <v/>
      </c>
      <c r="C1437">
        <f>Inputs!$B$3&gt;=125</f>
        <v/>
      </c>
      <c r="D1437">
        <f>IF(Skills!C27=1,60+Inputs!$B$25+Inputs!$B$29,IF(Skills!C27=2,90+Inputs!$B$26+Inputs!$B$29,IF(Skills!C27=3,120+Inputs!$B$27+Inputs!$B$29,MAX(0,(Inputs!$B$3-100)*3)+Inputs!$B$28+Inputs!$B$29)))</f>
        <v/>
      </c>
      <c r="E1437">
        <f>INDEX(FactorTable!$B$2:$Y$301, MATCH(ROUND(MIN(300,MAX(1,D1437)),0), FactorTable!$A$2:$A$301,0), Skills!M27+1)</f>
        <v/>
      </c>
      <c r="F1437">
        <f>IF(Skills!N27=TRUE,(Skills!L27/10)*(E1437/1000),Skills!L27/10)+Skills!O27</f>
        <v/>
      </c>
      <c r="G1437">
        <f>Calc!G27</f>
        <v/>
      </c>
      <c r="H1437">
        <f>Calc!H27</f>
        <v/>
      </c>
      <c r="I1437">
        <f>IF(Skills!X27&lt;&gt;"",1+(Skills!X27/10)*(Z1413/1000)/100,1)</f>
        <v/>
      </c>
      <c r="J1437" t="inlineStr"/>
      <c r="K1437" t="inlineStr"/>
      <c r="L1437" t="inlineStr"/>
      <c r="M1437" t="inlineStr"/>
      <c r="N1437" t="inlineStr"/>
      <c r="O1437">
        <f>(1-Summary!$B$56)*S1437+Summary!$B$56*U1437</f>
        <v/>
      </c>
      <c r="P1437">
        <f>IF(B1451=0,0,O1437/B1451)</f>
        <v/>
      </c>
      <c r="Q1437">
        <f>IFERROR(1/IF(Inputs!$B$38="pvp",15,MAX(0.1,Skills!E27-IF(Skills!F27=TRUE,3.5,0))),0)</f>
        <v/>
      </c>
      <c r="R1437" t="n">
        <v>0</v>
      </c>
      <c r="S1437" t="n">
        <v>0</v>
      </c>
      <c r="U1437" t="n">
        <v>0</v>
      </c>
    </row>
    <row r="1438">
      <c r="A1438">
        <f>Skills!A28</f>
        <v/>
      </c>
      <c r="B1438">
        <f>Skills!B28</f>
        <v/>
      </c>
      <c r="C1438">
        <f>Inputs!$B$3&gt;=118</f>
        <v/>
      </c>
      <c r="D1438">
        <f>IF(Skills!C28=1,60+Inputs!$B$25+Inputs!$B$29,IF(Skills!C28=2,90+Inputs!$B$26+Inputs!$B$29,IF(Skills!C28=3,120+Inputs!$B$27+Inputs!$B$29,MAX(0,(Inputs!$B$3-100)*3)+Inputs!$B$28+Inputs!$B$29)))</f>
        <v/>
      </c>
      <c r="E1438">
        <f>INDEX(FactorTable!$B$2:$Y$301, MATCH(ROUND(MIN(300,MAX(1,D1438)),0), FactorTable!$A$2:$A$301,0), Skills!M28+1)</f>
        <v/>
      </c>
      <c r="F1438">
        <f>IF(Skills!N28=TRUE,(Skills!L28/10)*(E1438/1000),Skills!L28/10)+Skills!O28</f>
        <v/>
      </c>
      <c r="G1438">
        <f>Calc!G28</f>
        <v/>
      </c>
      <c r="H1438">
        <f>Calc!H28</f>
        <v/>
      </c>
      <c r="I1438">
        <f>IF(Skills!X28&lt;&gt;"",1+(Skills!X28/10)*(Z1413/1000)/100,1)</f>
        <v/>
      </c>
      <c r="J1438">
        <f>((Inputs!$B$6*(1+Inputs!$B$7/100))+(((Inputs!$B$12*(1+Inputs!$B$13/100))-(Inputs!$B$12*(1+Inputs!$B$13/100)))+0.25*(Inputs!$B$14-Inputs!$B$14))*(1+Inputs!$B$7/100))*(F1438/100)</f>
        <v/>
      </c>
      <c r="K1438">
        <f>J1438*(1+((Inputs!$B$12*(1+Inputs!$B$13/100))*0.01+Inputs!$B$14*0.0025)/100)*(1+Inputs!$B$15/100)*(1+Inputs!$B$16/100)*(5000/(6000+Inputs!$B$42*(1-Inputs!$B$19/100)))*(1+Inputs!$B$24/100)*(1+F1433/100)*(1+IF(Inputs!$B$3&gt;=120,F1436,0)/100)^5*(1+(IF(Skills!A28="BASIC_ATTACK",Inputs!$B$17,Inputs!$B$18+IF(Inputs!$B$3&gt;=125,F1437*5,0)))/100)*(B1440*B1441*B1442*I1438)</f>
        <v/>
      </c>
      <c r="L1438">
        <f>K1438*(MIN(Inputs!$B$22+(F1432-Calc!F22),Inputs!$B$23)/100+Inputs!$B$23/100)/2</f>
        <v/>
      </c>
      <c r="M1438">
        <f>L1438*(1+(Inputs!$B$10+(F1431-Calc!F21))/100)</f>
        <v/>
      </c>
      <c r="N1438">
        <f>L1438*(1-MIN(Inputs!$B$9+(F1430-Calc!F20),100)/100)+M1438*(MIN(Inputs!$B$9+(F1430-Calc!F20),100)/100)</f>
        <v/>
      </c>
      <c r="O1438">
        <f>(1-Summary!$B$56)*S1438+Summary!$B$56*U1438</f>
        <v/>
      </c>
      <c r="P1438">
        <f>IF(B1451=0,0,O1438/B1451)</f>
        <v/>
      </c>
      <c r="Q1438">
        <f>IFERROR(1/IF(Inputs!$B$38="pvp",15,MAX(0.1,Skills!E28-IF(Skills!F28=TRUE,3.5,0))),0)</f>
        <v/>
      </c>
      <c r="R1438">
        <f>IF(AND(Inputs!$B$38&lt;&gt;"pvp",Inputs!$B$43&gt;0),IF(MAX(0,Inputs!$B$43-B1448)&lt;=0,0,(INT(MAX(0,Inputs!$B$43-B1448)/IF(Inputs!$B$38="pvp",15,MAX(0.1,Skills!E28-IF(Skills!F28=TRUE,3.5,0))))+1)),0)</f>
        <v/>
      </c>
      <c r="S1438">
        <f>IF(C1438,(H1438*N1438*IF(AND(Inputs!$B$38&lt;&gt;"pvp",Inputs!$B$43&gt;0),((Skills!G28*((R1438-1)*IF(Skills!H28&gt;0,Skills!I28/Skills!H28,1)+IF(Skills!H28&gt;0,MIN(Skills!I28,MAX(0,MAX(0,Inputs!$B$43-B1448)-((R1438-1)*IF(Inputs!$B$38="pvp",15,MAX(0.1,Skills!E28-IF(Skills!F28=TRUE,3.5,0))))))/Skills!H28,1)))/Inputs!$B$43),G1438*Q1438))*IF(Inputs!$B$38="pvp",1,1+(Inputs!$B$20+Skills!P28)/100),0)</f>
        <v/>
      </c>
      <c r="U1438">
        <f>IF(C1438,(H1438*N1438*IF(AND(Inputs!$B$38&lt;&gt;"pvp",Inputs!$B$43&gt;0),((Skills!G28*((R1438-1)*IF(Skills!H28&gt;0,Skills!I28/Skills!H28,1)+IF(Skills!H28&gt;0,MIN(Skills!I28,MAX(0,MAX(0,Inputs!$B$43-B1448)-((R1438-1)*IF(Inputs!$B$38="pvp",15,MAX(0.1,Skills!E28-IF(Skills!F28=TRUE,3.5,0))))))/Skills!H28,1)))/Inputs!$B$43),G1438*Q1438))*IF(Inputs!$B$38="pvp",1,(1+(Inputs!$B$21+Skills!Q28)/100)*(MIN(Skills!R28,Inputs!$B$37))),0)</f>
        <v/>
      </c>
    </row>
    <row r="1440">
      <c r="A1440" t="inlineStr">
        <is>
          <t>Burning Magic Multiplier</t>
        </is>
      </c>
      <c r="B1440">
        <f>1+(F1421*Skills!Z11)/100</f>
        <v/>
      </c>
    </row>
    <row r="1441">
      <c r="A1441" t="inlineStr">
        <is>
          <t>Elemental Decrease Multiplier (always-on)</t>
        </is>
      </c>
      <c r="B1441">
        <f>1+F1422/100</f>
        <v/>
      </c>
    </row>
    <row r="1442">
      <c r="A1442" t="inlineStr">
        <is>
          <t>Average Buff Multiplier (Magic Guard + Meditation, summed; then Infinity)</t>
        </is>
      </c>
      <c r="B1442">
        <f>(1+(F1416*IF(AND(Inputs!$B$38&lt;&gt;"pvp",Inputs!$B$43&gt;0),(((R1416-1)*(Skills!T6*(1+(Inputs!$B$34+IF(Inputs!$B$3&gt;=117,F1435,0))/100))+MIN((Skills!T6*(1+(Inputs!$B$34+IF(Inputs!$B$3&gt;=117,F1435,0))/100)),MAX(0,Inputs!$B$43-((R1416-1)*Skills!E6))))/Inputs!$B$43),IF(Inputs!$B$38="pvp",MIN((Skills!T6*(1+(Inputs!$B$34+IF(Inputs!$B$3&gt;=117,F1435,0))/100)),15)/15,(Skills!T6*(1+(Inputs!$B$34+IF(Inputs!$B$3&gt;=117,F1435,0))/100))/Skills!E6))+F1427*IF(AND(Inputs!$B$38&lt;&gt;"pvp",Inputs!$B$43&gt;0),(((R1427-1)*(Skills!T17*(1+(Inputs!$B$34+IF(Inputs!$B$3&gt;=117,F1435,0))/100))+MIN((Skills!T17*(1+(Inputs!$B$34+IF(Inputs!$B$3&gt;=117,F1435,0))/100)),MAX(0,Inputs!$B$43-((R1427-1)*Skills!E17))))/Inputs!$B$43),IF(Inputs!$B$38="pvp",MIN((Skills!T17*(1+(Inputs!$B$34+IF(Inputs!$B$3&gt;=117,F1435,0))/100)),15)/15,(Skills!T17*(1+(Inputs!$B$34+IF(Inputs!$B$3&gt;=117,F1435,0))/100))/Skills!E17)))/100)*IF(C1429=TRUE,(1+F1429*IF(AND(Inputs!$B$38&lt;&gt;"pvp",Inputs!$B$43&gt;0),(((R1429-1)*(Skills!T19*(1+(Inputs!$B$34+IF(Inputs!$B$3&gt;=117,F1435,0))/100))+MIN((Skills!T19*(1+(Inputs!$B$34+IF(Inputs!$B$3&gt;=117,F1435,0))/100)),MAX(0,Inputs!$B$43-((R1429-1)*Skills!E19))))/Inputs!$B$43),IF(Inputs!$B$38="pvp",MIN((Skills!T19*(1+(Inputs!$B$34+IF(Inputs!$B$3&gt;=117,F1435,0))/100)),15)/15,(Skills!T19*(1+(Inputs!$B$34+IF(Inputs!$B$3&gt;=117,F1435,0))/100))/Skills!E19))/100),1)</f>
        <v/>
      </c>
    </row>
    <row r="1443">
      <c r="A1443" t="inlineStr">
        <is>
          <t>Attack Speed Buff Bonus % (Nimble Feet, averaged)</t>
        </is>
      </c>
      <c r="B1443">
        <f>F1428*IF(AND(Inputs!$B$38&lt;&gt;"pvp",Inputs!$B$43&gt;0),(((R1428-1)*(Skills!T18*(1+(Inputs!$B$34+IF(Inputs!$B$3&gt;=117,F1435,0))/100))+MIN((Skills!T18*(1+(Inputs!$B$34+IF(Inputs!$B$3&gt;=117,F1435,0))/100)),MAX(0,Inputs!$B$43-((R1428-1)*Skills!E18))))/Inputs!$B$43),IF(Inputs!$B$38="pvp",MIN((Skills!T18*(1+(Inputs!$B$34+IF(Inputs!$B$3&gt;=117,F1435,0))/100)),15)/15,(Skills!T18*(1+(Inputs!$B$34+IF(Inputs!$B$3&gt;=117,F1435,0))/100))/Skills!E18))</f>
        <v/>
      </c>
    </row>
    <row r="1444">
      <c r="A1444" t="inlineStr">
        <is>
          <t>Actions Per Second</t>
        </is>
      </c>
      <c r="B1444">
        <f>1+MIN(150,150*(1-(1-Inputs!$B$11/150)*(1-B1443/150)))/100</f>
        <v/>
      </c>
    </row>
    <row r="1445">
      <c r="A1445" t="inlineStr">
        <is>
          <t>Skill + Buff Cast Rate</t>
        </is>
      </c>
      <c r="B1445">
        <f>IF(AND(Inputs!$B$38&lt;&gt;"pvp",Inputs!$B$43&gt;0),SUMPRODUCT((Skills!F2:F28=TRUE)*(C1412:C1438=TRUE)*R1412:R1438)/Inputs!$B$43,SUMPRODUCT((Skills!F2:F28=TRUE)*(C1412:C1438=TRUE)*Q1412:Q1438))</f>
        <v/>
      </c>
    </row>
    <row r="1446">
      <c r="A1446" t="inlineStr">
        <is>
          <t>Basic Attacks Per Second</t>
        </is>
      </c>
      <c r="B1446">
        <f>MAX(0,B1444-B1445)</f>
        <v/>
      </c>
    </row>
    <row r="1447">
      <c r="A1447" t="inlineStr">
        <is>
          <t>Meteor Proc — combined trigger cast rate</t>
        </is>
      </c>
      <c r="B1447">
        <f>IF(AND(Inputs!$B$38&lt;&gt;"pvp",Inputs!$B$43&gt;0),SUMPRODUCT((Skills!V2:V28=TRUE)*(C1412:C1438=TRUE)*R1412:R1438*Skills!W2:W28)/Inputs!$B$43,SUMPRODUCT((Skills!V2:V28=TRUE)*(C1412:C1438=TRUE)*Q1412:Q1438*Skills!W2:W28))+B1446</f>
        <v/>
      </c>
    </row>
    <row r="1448">
      <c r="A1448" t="inlineStr">
        <is>
          <t>Buff-Casting Startup Delay (s, fixed-duration only)</t>
        </is>
      </c>
      <c r="B1448">
        <f>IF(AND(Inputs!$B$38&lt;&gt;"pvp",Inputs!$B$43&gt;0),SUMPRODUCT((Skills!T2:T28&gt;0)*(Skills!F2:F28=TRUE)*(C1412:C1438=TRUE))/B1444,0)</f>
        <v/>
      </c>
    </row>
    <row r="1449">
      <c r="A1449" t="inlineStr">
        <is>
          <t>Boss-Only Total DPS (this block's swept value)</t>
        </is>
      </c>
      <c r="B1449">
        <f>SUM(S1412:S1438)</f>
        <v/>
      </c>
    </row>
    <row r="1450">
      <c r="A1450" t="inlineStr">
        <is>
          <t>Normal-Only Total DPS (this block's swept value)</t>
        </is>
      </c>
      <c r="B1450">
        <f>SUM(U1412:U1438)</f>
        <v/>
      </c>
    </row>
    <row r="1451">
      <c r="A1451" s="5" t="inlineStr">
        <is>
          <t>TOTAL DPS</t>
        </is>
      </c>
      <c r="B1451" s="5">
        <f>SUM(O1412:O1438)</f>
        <v/>
      </c>
    </row>
    <row r="1454">
      <c r="A1454" s="5" t="inlineStr">
        <is>
          <t>Stat: CDR = 4.0s</t>
        </is>
      </c>
    </row>
    <row r="1455">
      <c r="A1455" s="9" t="inlineStr">
        <is>
          <t>Key</t>
        </is>
      </c>
      <c r="B1455" s="9" t="inlineStr">
        <is>
          <t>Name</t>
        </is>
      </c>
      <c r="C1455" s="9" t="inlineStr">
        <is>
          <t>Unlocked</t>
        </is>
      </c>
      <c r="D1455" s="9" t="inlineStr">
        <is>
          <t>InputLevel</t>
        </is>
      </c>
      <c r="E1455" s="9" t="inlineStr">
        <is>
          <t>Factor</t>
        </is>
      </c>
      <c r="F1455" s="9" t="inlineStr">
        <is>
          <t>CoefficientPercent</t>
        </is>
      </c>
      <c r="G1455" s="9" t="inlineStr">
        <is>
          <t>EffectiveHits</t>
        </is>
      </c>
      <c r="H1455" s="9" t="inlineStr">
        <is>
          <t>ProcProbability</t>
        </is>
      </c>
      <c r="I1455" s="9" t="inlineStr">
        <is>
          <t>MapleHeroMultiplier</t>
        </is>
      </c>
      <c r="J1455" s="9" t="inlineStr">
        <is>
          <t>BaseDamage</t>
        </is>
      </c>
      <c r="K1455" s="9" t="inlineStr">
        <is>
          <t>BaseHitDamage</t>
        </is>
      </c>
      <c r="L1455" s="9" t="inlineStr">
        <is>
          <t>NonCritAvg</t>
        </is>
      </c>
      <c r="M1455" s="9" t="inlineStr">
        <is>
          <t>CritAvg</t>
        </is>
      </c>
      <c r="N1455" s="9" t="inlineStr">
        <is>
          <t>ExpectedDamage(perHit)</t>
        </is>
      </c>
      <c r="O1455" s="9" t="inlineStr">
        <is>
          <t>DPS</t>
        </is>
      </c>
      <c r="P1455" s="9" t="inlineStr">
        <is>
          <t>% of Total</t>
        </is>
      </c>
      <c r="R1455" t="inlineStr">
        <is>
          <t>helpers</t>
        </is>
      </c>
    </row>
    <row r="1456">
      <c r="A1456">
        <f>Skills!A2</f>
        <v/>
      </c>
      <c r="B1456">
        <f>Skills!B2</f>
        <v/>
      </c>
      <c r="C1456">
        <f>TRUE</f>
        <v/>
      </c>
      <c r="D1456" t="inlineStr"/>
      <c r="E1456" t="inlineStr"/>
      <c r="F1456">
        <f>T1458+Skills!O2</f>
        <v/>
      </c>
      <c r="G1456">
        <f>Calc!G2</f>
        <v/>
      </c>
      <c r="H1456">
        <f>Calc!H2</f>
        <v/>
      </c>
      <c r="I1456">
        <f>IF(Skills!X2&lt;&gt;"",1+(Skills!X2/10)*(Z1457/1000)/100,1)</f>
        <v/>
      </c>
      <c r="J1456">
        <f>((Inputs!$B$6*(1+Inputs!$B$7/100))+(((Inputs!$B$12*(1+Inputs!$B$13/100))-(Inputs!$B$12*(1+Inputs!$B$13/100)))+0.25*(Inputs!$B$14-Inputs!$B$14))*(1+Inputs!$B$7/100))*(F1456/100)</f>
        <v/>
      </c>
      <c r="K1456">
        <f>J1456*(1+((Inputs!$B$12*(1+Inputs!$B$13/100))*0.01+Inputs!$B$14*0.0025)/100)*(1+Inputs!$B$15/100)*(1+Inputs!$B$16/100)*(5000/(6000+Inputs!$B$42*(1-Inputs!$B$19/100)))*(1+Inputs!$B$24/100)*(1+F1477/100)*(1+IF(Inputs!$B$3&gt;=120,F1480,0)/100)^5*(1+(IF(Skills!A2="BASIC_ATTACK",Inputs!$B$17,Inputs!$B$18+IF(Inputs!$B$3&gt;=125,F1481*5,0)))/100)*(B1484*B1485*B1486*I1456)</f>
        <v/>
      </c>
      <c r="L1456">
        <f>K1456*(MIN(Inputs!$B$22+(F1476-Calc!F22),Inputs!$B$23)/100+Inputs!$B$23/100)/2</f>
        <v/>
      </c>
      <c r="M1456">
        <f>L1456*(1+(Inputs!$B$10+(F1475-Calc!F21))/100)</f>
        <v/>
      </c>
      <c r="N1456">
        <f>L1456*(1-MIN(Inputs!$B$9+(F1474-Calc!F20),100)/100)+M1456*(MIN(Inputs!$B$9+(F1474-Calc!F20),100)/100)</f>
        <v/>
      </c>
      <c r="O1456">
        <f>(1-Summary!$B$56)*S1456+Summary!$B$56*U1456</f>
        <v/>
      </c>
      <c r="P1456">
        <f>IF(B1495=0,0,O1456/B1495)</f>
        <v/>
      </c>
      <c r="Q1456">
        <f>IFERROR(1/IF(Inputs!$B$38="pvp",15,MAX(0.1,Skills!E2-IF(Skills!F2=TRUE,4.0,0))),0)</f>
        <v/>
      </c>
      <c r="R1456" t="n">
        <v>0</v>
      </c>
      <c r="S1456">
        <f>(Skills!G2*N1456*B1490)*IF(Inputs!$B$38="pvp",1,1+(Inputs!$B$20+Skills!P2)/100)</f>
        <v/>
      </c>
      <c r="T1456">
        <f>MAX(0,(Inputs!$B$3-100)*3)+Inputs!$B$28+Inputs!$B$29</f>
        <v/>
      </c>
      <c r="U1456">
        <f>(Skills!G2*N1456*B1490)*IF(Inputs!$B$38="pvp",1,(1+(Inputs!$B$21+Skills!Q2)/100)*(MIN((6+Inputs!$B$33+IF(Inputs!$B$3&gt;=136,1,0)),Inputs!$B$37)))</f>
        <v/>
      </c>
      <c r="Z1456">
        <f>MAX(0,(Inputs!$B$3-100)*3)+Inputs!$B$28+Inputs!$B$29</f>
        <v/>
      </c>
    </row>
    <row r="1457">
      <c r="A1457">
        <f>Skills!A3</f>
        <v/>
      </c>
      <c r="B1457">
        <f>Skills!B3</f>
        <v/>
      </c>
      <c r="C1457">
        <f>TRUE</f>
        <v/>
      </c>
      <c r="D1457">
        <f>IF(Skills!C3=1,60+Inputs!$B$25+Inputs!$B$29,IF(Skills!C3=2,90+Inputs!$B$26+Inputs!$B$29,IF(Skills!C3=3,120+Inputs!$B$27+Inputs!$B$29,MAX(0,(Inputs!$B$3-100)*3)+Inputs!$B$28+Inputs!$B$29)))</f>
        <v/>
      </c>
      <c r="E1457">
        <f>INDEX(FactorTable!$B$2:$Y$301, MATCH(ROUND(MIN(300,MAX(1,D1457)),0), FactorTable!$A$2:$A$301,0), Skills!M3+1)</f>
        <v/>
      </c>
      <c r="F1457">
        <f>IF(Skills!N3=TRUE,(Skills!L3/10)*(E1457/1000),Skills!L3/10)+Skills!O3</f>
        <v/>
      </c>
      <c r="G1457">
        <f>Calc!G3</f>
        <v/>
      </c>
      <c r="H1457">
        <f>Calc!H3</f>
        <v/>
      </c>
      <c r="I1457">
        <f>IF(Skills!X3&lt;&gt;"",1+(Skills!X3/10)*(Z1457/1000)/100,1)</f>
        <v/>
      </c>
      <c r="J1457">
        <f>((Inputs!$B$6*(1+Inputs!$B$7/100))+(((Inputs!$B$12*(1+Inputs!$B$13/100))-(Inputs!$B$12*(1+Inputs!$B$13/100)))+0.25*(Inputs!$B$14-Inputs!$B$14))*(1+Inputs!$B$7/100))*(F1457/100)</f>
        <v/>
      </c>
      <c r="K1457">
        <f>J1457*(1+((Inputs!$B$12*(1+Inputs!$B$13/100))*0.01+Inputs!$B$14*0.0025)/100)*(1+Inputs!$B$15/100)*(1+Inputs!$B$16/100)*(5000/(6000+Inputs!$B$42*(1-Inputs!$B$19/100)))*(1+Inputs!$B$24/100)*(1+F1477/100)*(1+IF(Inputs!$B$3&gt;=120,F1480,0)/100)^5*(1+(IF(Skills!A3="BASIC_ATTACK",Inputs!$B$17,Inputs!$B$18+IF(Inputs!$B$3&gt;=125,F1481*5,0)))/100)*(B1484*B1485*B1486*I1457)</f>
        <v/>
      </c>
      <c r="L1457">
        <f>K1457*(MIN(Inputs!$B$22+(F1476-Calc!F22),Inputs!$B$23)/100+Inputs!$B$23/100)/2</f>
        <v/>
      </c>
      <c r="M1457">
        <f>L1457*(1+(Inputs!$B$10+(F1475-Calc!F21))/100)</f>
        <v/>
      </c>
      <c r="N1457">
        <f>L1457*(1-MIN(Inputs!$B$9+(F1474-Calc!F20),100)/100)+M1457*(MIN(Inputs!$B$9+(F1474-Calc!F20),100)/100)</f>
        <v/>
      </c>
      <c r="O1457">
        <f>(1-Summary!$B$56)*S1457+Summary!$B$56*U1457</f>
        <v/>
      </c>
      <c r="P1457">
        <f>IF(B1495=0,0,O1457/B1495)</f>
        <v/>
      </c>
      <c r="Q1457">
        <f>IFERROR(1/IF(Inputs!$B$38="pvp",15,MAX(0.1,Skills!E3-IF(Skills!F3=TRUE,4.0,0))),0)</f>
        <v/>
      </c>
      <c r="R1457">
        <f>IF(AND(Inputs!$B$38&lt;&gt;"pvp",Inputs!$B$43&gt;0),IF(MAX(0,Inputs!$B$43-B1492)&lt;=0,0,(INT(MAX(0,Inputs!$B$43-B1492)/IF(Inputs!$B$38="pvp",15,MAX(0.1,Skills!E3-IF(Skills!F3=TRUE,4.0,0))))+1)),0)</f>
        <v/>
      </c>
      <c r="S1457">
        <f>IF(C1457,(H1457*N1457*IF(AND(Inputs!$B$38&lt;&gt;"pvp",Inputs!$B$43&gt;0),((Skills!G3*((R1457-1)*IF(Skills!H3&gt;0,Skills!I3/Skills!H3,1)+IF(Skills!H3&gt;0,MIN(Skills!I3,MAX(0,MAX(0,Inputs!$B$43-B1492)-((R1457-1)*IF(Inputs!$B$38="pvp",15,MAX(0.1,Skills!E3-IF(Skills!F3=TRUE,4.0,0))))))/Skills!H3,1)))/Inputs!$B$43),G1457*Q1457))*IF(Inputs!$B$38="pvp",1,1+(Inputs!$B$20+Skills!P3)/100),0)</f>
        <v/>
      </c>
      <c r="T1457">
        <f>INDEX(FactorTable!$B$2:$Y$301, MATCH(ROUND(MIN(300,MAX(1,T1456)),0), FactorTable!$A$2:$A$301,0), 22)</f>
        <v/>
      </c>
      <c r="U1457">
        <f>IF(C1457,(H1457*N1457*IF(AND(Inputs!$B$38&lt;&gt;"pvp",Inputs!$B$43&gt;0),((Skills!G3*((R1457-1)*IF(Skills!H3&gt;0,Skills!I3/Skills!H3,1)+IF(Skills!H3&gt;0,MIN(Skills!I3,MAX(0,MAX(0,Inputs!$B$43-B1492)-((R1457-1)*IF(Inputs!$B$38="pvp",15,MAX(0.1,Skills!E3-IF(Skills!F3=TRUE,4.0,0))))))/Skills!H3,1)))/Inputs!$B$43),G1457*Q1457))*IF(Inputs!$B$38="pvp",1,(1+(Inputs!$B$21+Skills!Q3)/100)*(MIN(Skills!R3,Inputs!$B$37))),0)</f>
        <v/>
      </c>
      <c r="Z1457">
        <f>INDEX(FactorTable!$B$2:$Y$301, MATCH(ROUND(MIN(300,MAX(1,Z1456)),0), FactorTable!$A$2:$A$301,0), 24)</f>
        <v/>
      </c>
    </row>
    <row r="1458">
      <c r="A1458">
        <f>Skills!A4</f>
        <v/>
      </c>
      <c r="B1458">
        <f>Skills!B4</f>
        <v/>
      </c>
      <c r="C1458">
        <f>TRUE</f>
        <v/>
      </c>
      <c r="D1458">
        <f>IF(Skills!C4=1,60+Inputs!$B$25+Inputs!$B$29,IF(Skills!C4=2,90+Inputs!$B$26+Inputs!$B$29,IF(Skills!C4=3,120+Inputs!$B$27+Inputs!$B$29,MAX(0,(Inputs!$B$3-100)*3)+Inputs!$B$28+Inputs!$B$29)))</f>
        <v/>
      </c>
      <c r="E1458">
        <f>INDEX(FactorTable!$B$2:$Y$301, MATCH(ROUND(MIN(300,MAX(1,D1458)),0), FactorTable!$A$2:$A$301,0), Skills!M4+1)</f>
        <v/>
      </c>
      <c r="F1458">
        <f>IF(Skills!N4=TRUE,(Skills!L4/10)*(E1458/1000),Skills!L4/10)+Skills!O4</f>
        <v/>
      </c>
      <c r="G1458">
        <f>Calc!G4</f>
        <v/>
      </c>
      <c r="H1458">
        <f>Calc!H4</f>
        <v/>
      </c>
      <c r="I1458">
        <f>IF(Skills!X4&lt;&gt;"",1+(Skills!X4/10)*(Z1457/1000)/100,1)</f>
        <v/>
      </c>
      <c r="J1458">
        <f>((Inputs!$B$6*(1+Inputs!$B$7/100))+(((Inputs!$B$12*(1+Inputs!$B$13/100))-(Inputs!$B$12*(1+Inputs!$B$13/100)))+0.25*(Inputs!$B$14-Inputs!$B$14))*(1+Inputs!$B$7/100))*(F1458/100)</f>
        <v/>
      </c>
      <c r="K1458">
        <f>J1458*(1+((Inputs!$B$12*(1+Inputs!$B$13/100))*0.01+Inputs!$B$14*0.0025)/100)*(1+Inputs!$B$15/100)*(1+Inputs!$B$16/100)*(5000/(6000+Inputs!$B$42*(1-Inputs!$B$19/100)))*(1+Inputs!$B$24/100)*(1+F1477/100)*(1+IF(Inputs!$B$3&gt;=120,F1480,0)/100)^5*(1+(IF(Skills!A4="BASIC_ATTACK",Inputs!$B$17,Inputs!$B$18+IF(Inputs!$B$3&gt;=125,F1481*5,0)))/100)*(B1484*B1485*B1486*I1458)</f>
        <v/>
      </c>
      <c r="L1458">
        <f>K1458*(MIN(Inputs!$B$22+(F1476-Calc!F22),Inputs!$B$23)/100+Inputs!$B$23/100)/2</f>
        <v/>
      </c>
      <c r="M1458">
        <f>L1458*(1+(Inputs!$B$10+(F1475-Calc!F21))/100)</f>
        <v/>
      </c>
      <c r="N1458">
        <f>L1458*(1-MIN(Inputs!$B$9+(F1474-Calc!F20),100)/100)+M1458*(MIN(Inputs!$B$9+(F1474-Calc!F20),100)/100)</f>
        <v/>
      </c>
      <c r="O1458">
        <f>(1-Summary!$B$56)*S1458+Summary!$B$56*U1458</f>
        <v/>
      </c>
      <c r="P1458">
        <f>IF(B1495=0,0,O1458/B1495)</f>
        <v/>
      </c>
      <c r="Q1458">
        <f>IFERROR(1/IF(Inputs!$B$38="pvp",15,MAX(0.1,Skills!E4-IF(Skills!F4=TRUE,4.0,0))),0)</f>
        <v/>
      </c>
      <c r="R1458">
        <f>IF(AND(Inputs!$B$38&lt;&gt;"pvp",Inputs!$B$43&gt;0),IF(MAX(0,Inputs!$B$43-B1492)&lt;=0,0,(INT(MAX(0,Inputs!$B$43-B1492)/IF(Inputs!$B$38="pvp",15,MAX(0.1,Skills!E4-IF(Skills!F4=TRUE,4.0,0))))+1)),0)</f>
        <v/>
      </c>
      <c r="S1458">
        <f>IF(C1458,(H1458*N1458*IF(AND(Inputs!$B$38&lt;&gt;"pvp",Inputs!$B$43&gt;0),((Skills!G4*((R1458-1)*IF(Skills!H4&gt;0,Skills!I4/Skills!H4,1)+IF(Skills!H4&gt;0,MIN(Skills!I4,MAX(0,MAX(0,Inputs!$B$43-B1492)-((R1458-1)*IF(Inputs!$B$38="pvp",15,MAX(0.1,Skills!E4-IF(Skills!F4=TRUE,4.0,0))))))/Skills!H4,1)))/Inputs!$B$43),G1458*Q1458))*IF(Inputs!$B$38="pvp",1,1+(Inputs!$B$20+Skills!P4)/100),0)</f>
        <v/>
      </c>
      <c r="T1458">
        <f>290*T1457/1000</f>
        <v/>
      </c>
      <c r="U1458">
        <f>IF(C1458,(H1458*N1458*IF(AND(Inputs!$B$38&lt;&gt;"pvp",Inputs!$B$43&gt;0),((Skills!G4*((R1458-1)*IF(Skills!H4&gt;0,Skills!I4/Skills!H4,1)+IF(Skills!H4&gt;0,MIN(Skills!I4,MAX(0,MAX(0,Inputs!$B$43-B1492)-((R1458-1)*IF(Inputs!$B$38="pvp",15,MAX(0.1,Skills!E4-IF(Skills!F4=TRUE,4.0,0))))))/Skills!H4,1)))/Inputs!$B$43),G1458*Q1458))*IF(Inputs!$B$38="pvp",1,(1+(Inputs!$B$21+Skills!Q4)/100)*(MIN(Skills!R4,Inputs!$B$37))),0)</f>
        <v/>
      </c>
    </row>
    <row r="1459">
      <c r="A1459">
        <f>Skills!A5</f>
        <v/>
      </c>
      <c r="B1459">
        <f>Skills!B5</f>
        <v/>
      </c>
      <c r="C1459">
        <f>TRUE</f>
        <v/>
      </c>
      <c r="D1459">
        <f>IF(Skills!C5=1,60+Inputs!$B$25+Inputs!$B$29,IF(Skills!C5=2,90+Inputs!$B$26+Inputs!$B$29,IF(Skills!C5=3,120+Inputs!$B$27+Inputs!$B$29,MAX(0,(Inputs!$B$3-100)*3)+Inputs!$B$28+Inputs!$B$29)))</f>
        <v/>
      </c>
      <c r="E1459">
        <f>INDEX(FactorTable!$B$2:$Y$301, MATCH(ROUND(MIN(300,MAX(1,D1459)),0), FactorTable!$A$2:$A$301,0), Skills!M5+1)</f>
        <v/>
      </c>
      <c r="F1459">
        <f>IF(Skills!N5=TRUE,(Skills!L5/10)*(E1459/1000),Skills!L5/10)+Skills!O5</f>
        <v/>
      </c>
      <c r="G1459">
        <f>Calc!G5</f>
        <v/>
      </c>
      <c r="H1459">
        <f>Calc!H5</f>
        <v/>
      </c>
      <c r="I1459">
        <f>IF(Skills!X5&lt;&gt;"",1+(Skills!X5/10)*(Z1457/1000)/100,1)</f>
        <v/>
      </c>
      <c r="J1459">
        <f>((Inputs!$B$6*(1+Inputs!$B$7/100))+(((Inputs!$B$12*(1+Inputs!$B$13/100))-(Inputs!$B$12*(1+Inputs!$B$13/100)))+0.25*(Inputs!$B$14-Inputs!$B$14))*(1+Inputs!$B$7/100))*(F1459/100)</f>
        <v/>
      </c>
      <c r="K1459">
        <f>J1459*(1+((Inputs!$B$12*(1+Inputs!$B$13/100))*0.01+Inputs!$B$14*0.0025)/100)*(1+Inputs!$B$15/100)*(1+Inputs!$B$16/100)*(5000/(6000+Inputs!$B$42*(1-Inputs!$B$19/100)))*(1+Inputs!$B$24/100)*(1+F1477/100)*(1+IF(Inputs!$B$3&gt;=120,F1480,0)/100)^5*(1+(IF(Skills!A5="BASIC_ATTACK",Inputs!$B$17,Inputs!$B$18+IF(Inputs!$B$3&gt;=125,F1481*5,0)))/100)*(B1484*B1485*B1486*I1459)</f>
        <v/>
      </c>
      <c r="L1459">
        <f>K1459*(MIN(Inputs!$B$22+(F1476-Calc!F22),Inputs!$B$23)/100+Inputs!$B$23/100)/2</f>
        <v/>
      </c>
      <c r="M1459">
        <f>L1459*(1+(Inputs!$B$10+(F1475-Calc!F21))/100)</f>
        <v/>
      </c>
      <c r="N1459">
        <f>L1459*(1-MIN(Inputs!$B$9+(F1474-Calc!F20),100)/100)+M1459*(MIN(Inputs!$B$9+(F1474-Calc!F20),100)/100)</f>
        <v/>
      </c>
      <c r="O1459">
        <f>(1-Summary!$B$56)*S1459+Summary!$B$56*U1459</f>
        <v/>
      </c>
      <c r="P1459">
        <f>IF(B1495=0,0,O1459/B1495)</f>
        <v/>
      </c>
      <c r="Q1459">
        <f>IFERROR(1/IF(Inputs!$B$38="pvp",15,MAX(0.1,Skills!E5-IF(Skills!F5=TRUE,4.0,0))),0)</f>
        <v/>
      </c>
      <c r="R1459">
        <f>IF(AND(Inputs!$B$38&lt;&gt;"pvp",Inputs!$B$43&gt;0),IF(MAX(0,Inputs!$B$43-B1492)&lt;=0,0,(INT(MAX(0,Inputs!$B$43-B1492)/IF(Inputs!$B$38="pvp",15,MAX(0.1,Skills!E5-IF(Skills!F5=TRUE,4.0,0))))+1)),0)</f>
        <v/>
      </c>
      <c r="S1459">
        <f>IF(C1459,(H1459*N1459*IF(AND(Inputs!$B$38&lt;&gt;"pvp",Inputs!$B$43&gt;0),((Skills!G5*((R1459-1)*IF(Skills!H5&gt;0,Skills!I5/Skills!H5,1)+IF(Skills!H5&gt;0,MIN(Skills!I5,MAX(0,MAX(0,Inputs!$B$43-B1492)-((R1459-1)*IF(Inputs!$B$38="pvp",15,MAX(0.1,Skills!E5-IF(Skills!F5=TRUE,4.0,0))))))/Skills!H5,1)))/Inputs!$B$43),G1459*Q1459))*IF(Inputs!$B$38="pvp",1,1+(Inputs!$B$20+Skills!P5)/100),0)</f>
        <v/>
      </c>
      <c r="U1459">
        <f>IF(C1459,(H1459*N1459*IF(AND(Inputs!$B$38&lt;&gt;"pvp",Inputs!$B$43&gt;0),((Skills!G5*((R1459-1)*IF(Skills!H5&gt;0,Skills!I5/Skills!H5,1)+IF(Skills!H5&gt;0,MIN(Skills!I5,MAX(0,MAX(0,Inputs!$B$43-B1492)-((R1459-1)*IF(Inputs!$B$38="pvp",15,MAX(0.1,Skills!E5-IF(Skills!F5=TRUE,4.0,0))))))/Skills!H5,1)))/Inputs!$B$43),G1459*Q1459))*IF(Inputs!$B$38="pvp",1,(1+(Inputs!$B$21+Skills!Q5)/100)*(MIN(Skills!R5,Inputs!$B$37))),0)</f>
        <v/>
      </c>
    </row>
    <row r="1460">
      <c r="A1460">
        <f>Skills!A6</f>
        <v/>
      </c>
      <c r="B1460">
        <f>Skills!B6</f>
        <v/>
      </c>
      <c r="C1460">
        <f>TRUE</f>
        <v/>
      </c>
      <c r="D1460">
        <f>IF(Skills!C6=1,60+Inputs!$B$25+Inputs!$B$29,IF(Skills!C6=2,90+Inputs!$B$26+Inputs!$B$29,IF(Skills!C6=3,120+Inputs!$B$27+Inputs!$B$29,MAX(0,(Inputs!$B$3-100)*3)+Inputs!$B$28+Inputs!$B$29)))</f>
        <v/>
      </c>
      <c r="E1460">
        <f>INDEX(FactorTable!$B$2:$Y$301, MATCH(ROUND(MIN(300,MAX(1,D1460)),0), FactorTable!$A$2:$A$301,0), Skills!M6+1)</f>
        <v/>
      </c>
      <c r="F1460">
        <f>IF(Skills!N6=TRUE,(Skills!L6/10)*(E1460/1000),Skills!L6/10)+Skills!O6</f>
        <v/>
      </c>
      <c r="G1460">
        <f>Calc!G6</f>
        <v/>
      </c>
      <c r="H1460">
        <f>Calc!H6</f>
        <v/>
      </c>
      <c r="I1460">
        <f>IF(Skills!X6&lt;&gt;"",1+(Skills!X6/10)*(Z1457/1000)/100,1)</f>
        <v/>
      </c>
      <c r="J1460" t="inlineStr"/>
      <c r="K1460" t="inlineStr"/>
      <c r="L1460" t="inlineStr"/>
      <c r="M1460" t="inlineStr"/>
      <c r="N1460" t="inlineStr"/>
      <c r="O1460">
        <f>(1-Summary!$B$56)*S1460+Summary!$B$56*U1460</f>
        <v/>
      </c>
      <c r="P1460">
        <f>IF(B1495=0,0,O1460/B1495)</f>
        <v/>
      </c>
      <c r="Q1460">
        <f>IFERROR(1/IF(Inputs!$B$38="pvp",15,MAX(0.1,Skills!E6-IF(Skills!F6=TRUE,4.0,0))),0)</f>
        <v/>
      </c>
      <c r="R1460">
        <f>IF(AND(Inputs!$B$38&lt;&gt;"pvp",Inputs!$B$43&gt;0),IF(Inputs!$B$43&lt;=0,0,(INT(Inputs!$B$43/IF(Inputs!$B$38="pvp",15,MAX(0.1,Skills!E6-IF(Skills!F6=TRUE,4.0,0))))+1)),0)</f>
        <v/>
      </c>
      <c r="S1460" t="n">
        <v>0</v>
      </c>
      <c r="U1460" t="n">
        <v>0</v>
      </c>
    </row>
    <row r="1461">
      <c r="A1461">
        <f>Skills!A7</f>
        <v/>
      </c>
      <c r="B1461">
        <f>Skills!B7</f>
        <v/>
      </c>
      <c r="C1461">
        <f>TRUE</f>
        <v/>
      </c>
      <c r="D1461">
        <f>IF(Skills!C7=1,60+Inputs!$B$25+Inputs!$B$29,IF(Skills!C7=2,90+Inputs!$B$26+Inputs!$B$29,IF(Skills!C7=3,120+Inputs!$B$27+Inputs!$B$29,MAX(0,(Inputs!$B$3-100)*3)+Inputs!$B$28+Inputs!$B$29)))</f>
        <v/>
      </c>
      <c r="E1461">
        <f>INDEX(FactorTable!$B$2:$Y$301, MATCH(ROUND(MIN(300,MAX(1,D1461)),0), FactorTable!$A$2:$A$301,0), Skills!M7+1)</f>
        <v/>
      </c>
      <c r="F1461">
        <f>IF(Skills!N7=TRUE,(Skills!L7/10)*(E1461/1000),Skills!L7/10)+Skills!O7</f>
        <v/>
      </c>
      <c r="G1461">
        <f>Calc!G7</f>
        <v/>
      </c>
      <c r="H1461">
        <f>Calc!H7</f>
        <v/>
      </c>
      <c r="I1461">
        <f>IF(Skills!X7&lt;&gt;"",1+(Skills!X7/10)*(Z1457/1000)/100,1)</f>
        <v/>
      </c>
      <c r="J1461">
        <f>((Inputs!$B$6*(1+Inputs!$B$7/100))+(((Inputs!$B$12*(1+Inputs!$B$13/100))-(Inputs!$B$12*(1+Inputs!$B$13/100)))+0.25*(Inputs!$B$14-Inputs!$B$14))*(1+Inputs!$B$7/100))*(F1461/100)</f>
        <v/>
      </c>
      <c r="K1461">
        <f>J1461*(1+((Inputs!$B$12*(1+Inputs!$B$13/100))*0.01+Inputs!$B$14*0.0025)/100)*(1+Inputs!$B$15/100)*(1+Inputs!$B$16/100)*(5000/(6000+Inputs!$B$42*(1-Inputs!$B$19/100)))*(1+Inputs!$B$24/100)*(1+F1477/100)*(1+IF(Inputs!$B$3&gt;=120,F1480,0)/100)^5*(1+(IF(Skills!A7="BASIC_ATTACK",Inputs!$B$17,Inputs!$B$18+IF(Inputs!$B$3&gt;=125,F1481*5,0)))/100)*(B1484*B1485*B1486*I1461)</f>
        <v/>
      </c>
      <c r="L1461">
        <f>K1461*(MIN(Inputs!$B$22+(F1476-Calc!F22),Inputs!$B$23)/100+Inputs!$B$23/100)/2</f>
        <v/>
      </c>
      <c r="M1461">
        <f>L1461*(1+(Inputs!$B$10+(F1475-Calc!F21))/100)</f>
        <v/>
      </c>
      <c r="N1461">
        <f>L1461*(1-MIN(Inputs!$B$9+(F1474-Calc!F20),100)/100)+M1461*(MIN(Inputs!$B$9+(F1474-Calc!F20),100)/100)</f>
        <v/>
      </c>
      <c r="O1461">
        <f>(1-Summary!$B$56)*S1461+Summary!$B$56*U1461</f>
        <v/>
      </c>
      <c r="P1461">
        <f>IF(B1495=0,0,O1461/B1495)</f>
        <v/>
      </c>
      <c r="Q1461">
        <f>IFERROR(1/IF(Inputs!$B$38="pvp",15,MAX(0.1,Skills!E7-IF(Skills!F7=TRUE,4.0,0))),0)</f>
        <v/>
      </c>
      <c r="R1461">
        <f>IF(AND(Inputs!$B$38&lt;&gt;"pvp",Inputs!$B$43&gt;0),IF(MAX(0,Inputs!$B$43-B1492)&lt;=0,0,(INT(MAX(0,Inputs!$B$43-B1492)/IF(Inputs!$B$38="pvp",15,MAX(0.1,Skills!E7-IF(Skills!F7=TRUE,4.0,0))))+1)),0)</f>
        <v/>
      </c>
      <c r="S1461">
        <f>IF(C1461,(H1461*N1461*IF(AND(Inputs!$B$38&lt;&gt;"pvp",Inputs!$B$43&gt;0),((Skills!G7*((R1461-1)*IF(Skills!H7&gt;0,Skills!I7/Skills!H7,1)+IF(Skills!H7&gt;0,MIN(Skills!I7,MAX(0,MAX(0,Inputs!$B$43-B1492)-((R1461-1)*IF(Inputs!$B$38="pvp",15,MAX(0.1,Skills!E7-IF(Skills!F7=TRUE,4.0,0))))))/Skills!H7,1)))/Inputs!$B$43),G1461*Q1461))*IF(Inputs!$B$38="pvp",1,1+(Inputs!$B$20+Skills!P7)/100),0)</f>
        <v/>
      </c>
      <c r="U1461">
        <f>IF(C1461,(H1461*N1461*IF(AND(Inputs!$B$38&lt;&gt;"pvp",Inputs!$B$43&gt;0),((Skills!G7*((R1461-1)*IF(Skills!H7&gt;0,Skills!I7/Skills!H7,1)+IF(Skills!H7&gt;0,MIN(Skills!I7,MAX(0,MAX(0,Inputs!$B$43-B1492)-((R1461-1)*IF(Inputs!$B$38="pvp",15,MAX(0.1,Skills!E7-IF(Skills!F7=TRUE,4.0,0))))))/Skills!H7,1)))/Inputs!$B$43),G1461*Q1461))*IF(Inputs!$B$38="pvp",1,(1+(Inputs!$B$21+Skills!Q7)/100)*(MIN(Skills!R7,Inputs!$B$37))),0)</f>
        <v/>
      </c>
    </row>
    <row r="1462">
      <c r="A1462">
        <f>Skills!A8</f>
        <v/>
      </c>
      <c r="B1462">
        <f>Skills!B8</f>
        <v/>
      </c>
      <c r="C1462">
        <f>TRUE</f>
        <v/>
      </c>
      <c r="D1462">
        <f>IF(Skills!C8=1,60+Inputs!$B$25+Inputs!$B$29,IF(Skills!C8=2,90+Inputs!$B$26+Inputs!$B$29,IF(Skills!C8=3,120+Inputs!$B$27+Inputs!$B$29,MAX(0,(Inputs!$B$3-100)*3)+Inputs!$B$28+Inputs!$B$29)))</f>
        <v/>
      </c>
      <c r="E1462">
        <f>INDEX(FactorTable!$B$2:$Y$301, MATCH(ROUND(MIN(300,MAX(1,D1462)),0), FactorTable!$A$2:$A$301,0), Skills!M8+1)</f>
        <v/>
      </c>
      <c r="F1462">
        <f>IF(Skills!N8=TRUE,(Skills!L8/10)*(E1462/1000),Skills!L8/10)+Skills!O8</f>
        <v/>
      </c>
      <c r="G1462">
        <f>Calc!G8</f>
        <v/>
      </c>
      <c r="H1462">
        <f>Calc!H8</f>
        <v/>
      </c>
      <c r="I1462">
        <f>IF(Skills!X8&lt;&gt;"",1+(Skills!X8/10)*(Z1457/1000)/100,1)</f>
        <v/>
      </c>
      <c r="J1462">
        <f>((Inputs!$B$6*(1+Inputs!$B$7/100))+(((Inputs!$B$12*(1+Inputs!$B$13/100))-(Inputs!$B$12*(1+Inputs!$B$13/100)))+0.25*(Inputs!$B$14-Inputs!$B$14))*(1+Inputs!$B$7/100))*(F1462/100)</f>
        <v/>
      </c>
      <c r="K1462">
        <f>J1462*(1+((Inputs!$B$12*(1+Inputs!$B$13/100))*0.01+Inputs!$B$14*0.0025)/100)*(1+Inputs!$B$15/100)*(1+Inputs!$B$16/100)*(5000/(6000+Inputs!$B$42*(1-Inputs!$B$19/100)))*(1+Inputs!$B$24/100)*(1+F1477/100)*(1+IF(Inputs!$B$3&gt;=120,F1480,0)/100)^5*(1+(IF(Skills!A8="BASIC_ATTACK",Inputs!$B$17,Inputs!$B$18+IF(Inputs!$B$3&gt;=125,F1481*5,0)))/100)*(B1484*B1485*B1486*I1462)</f>
        <v/>
      </c>
      <c r="L1462">
        <f>K1462*(MIN(Inputs!$B$22+(F1476-Calc!F22),Inputs!$B$23)/100+Inputs!$B$23/100)/2</f>
        <v/>
      </c>
      <c r="M1462">
        <f>L1462*(1+(Inputs!$B$10+(F1475-Calc!F21))/100)</f>
        <v/>
      </c>
      <c r="N1462">
        <f>L1462*(1-MIN(Inputs!$B$9+(F1474-Calc!F20),100)/100)+M1462*(MIN(Inputs!$B$9+(F1474-Calc!F20),100)/100)</f>
        <v/>
      </c>
      <c r="O1462">
        <f>(1-Summary!$B$56)*S1462+Summary!$B$56*U1462</f>
        <v/>
      </c>
      <c r="P1462">
        <f>IF(B1495=0,0,O1462/B1495)</f>
        <v/>
      </c>
      <c r="Q1462">
        <f>IFERROR(1/IF(Inputs!$B$38="pvp",15,MAX(0.1,Skills!E8-IF(Skills!F8=TRUE,4.0,0))),0)</f>
        <v/>
      </c>
      <c r="R1462">
        <f>IF(AND(Inputs!$B$38&lt;&gt;"pvp",Inputs!$B$43&gt;0),IF(MAX(0,Inputs!$B$43-B1492)&lt;=0,0,(INT(MAX(0,Inputs!$B$43-B1492)/IF(Inputs!$B$38="pvp",15,MAX(0.1,Skills!E8-IF(Skills!F8=TRUE,4.0,0))))+1)),0)</f>
        <v/>
      </c>
      <c r="S1462">
        <f>IF(C1462,(H1462*N1462*IF(AND(Inputs!$B$38&lt;&gt;"pvp",Inputs!$B$43&gt;0),((Skills!G8*((R1462-1)*IF(Skills!H8&gt;0,Skills!I8/Skills!H8,1)+IF(Skills!H8&gt;0,MIN(Skills!I8,MAX(0,MAX(0,Inputs!$B$43-B1492)-((R1462-1)*IF(Inputs!$B$38="pvp",15,MAX(0.1,Skills!E8-IF(Skills!F8=TRUE,4.0,0))))))/Skills!H8,1)))/Inputs!$B$43),G1462*Q1462))*IF(Inputs!$B$38="pvp",1,1+(Inputs!$B$20+Skills!P8)/100),0)</f>
        <v/>
      </c>
      <c r="U1462">
        <f>IF(C1462,(H1462*N1462*IF(AND(Inputs!$B$38&lt;&gt;"pvp",Inputs!$B$43&gt;0),((Skills!G8*((R1462-1)*IF(Skills!H8&gt;0,Skills!I8/Skills!H8,1)+IF(Skills!H8&gt;0,MIN(Skills!I8,MAX(0,MAX(0,Inputs!$B$43-B1492)-((R1462-1)*IF(Inputs!$B$38="pvp",15,MAX(0.1,Skills!E8-IF(Skills!F8=TRUE,4.0,0))))))/Skills!H8,1)))/Inputs!$B$43),G1462*Q1462))*IF(Inputs!$B$38="pvp",1,(1+(Inputs!$B$21+Skills!Q8)/100)*(MIN(Skills!R8,Inputs!$B$37))),0)</f>
        <v/>
      </c>
    </row>
    <row r="1463">
      <c r="A1463">
        <f>Skills!A9</f>
        <v/>
      </c>
      <c r="B1463">
        <f>Skills!B9</f>
        <v/>
      </c>
      <c r="C1463">
        <f>Inputs!$B$3&gt;=103</f>
        <v/>
      </c>
      <c r="D1463">
        <f>IF(Skills!C9=1,60+Inputs!$B$25+Inputs!$B$29,IF(Skills!C9=2,90+Inputs!$B$26+Inputs!$B$29,IF(Skills!C9=3,120+Inputs!$B$27+Inputs!$B$29,MAX(0,(Inputs!$B$3-100)*3)+Inputs!$B$28+Inputs!$B$29)))</f>
        <v/>
      </c>
      <c r="E1463">
        <f>INDEX(FactorTable!$B$2:$Y$301, MATCH(ROUND(MIN(300,MAX(1,D1463)),0), FactorTable!$A$2:$A$301,0), Skills!M9+1)</f>
        <v/>
      </c>
      <c r="F1463">
        <f>IF(Skills!N9=TRUE,(Skills!L9/10)*(E1463/1000),Skills!L9/10)+Skills!O9</f>
        <v/>
      </c>
      <c r="G1463">
        <f>Calc!G9</f>
        <v/>
      </c>
      <c r="H1463">
        <f>Calc!H9</f>
        <v/>
      </c>
      <c r="I1463">
        <f>IF(Skills!X9&lt;&gt;"",1+(Skills!X9/10)*(Z1457/1000)/100,1)</f>
        <v/>
      </c>
      <c r="J1463">
        <f>((Inputs!$B$6*(1+Inputs!$B$7/100))+(((Inputs!$B$12*(1+Inputs!$B$13/100))-(Inputs!$B$12*(1+Inputs!$B$13/100)))+0.25*(Inputs!$B$14-Inputs!$B$14))*(1+Inputs!$B$7/100))*(F1463/100)</f>
        <v/>
      </c>
      <c r="K1463">
        <f>J1463*(1+((Inputs!$B$12*(1+Inputs!$B$13/100))*0.01+Inputs!$B$14*0.0025)/100)*(1+Inputs!$B$15/100)*(1+Inputs!$B$16/100)*(5000/(6000+Inputs!$B$42*(1-Inputs!$B$19/100)))*(1+Inputs!$B$24/100)*(1+F1477/100)*(1+IF(Inputs!$B$3&gt;=120,F1480,0)/100)^5*(1+(IF(Skills!A9="BASIC_ATTACK",Inputs!$B$17,Inputs!$B$18+IF(Inputs!$B$3&gt;=125,F1481*5,0)))/100)*(B1484*B1485*B1486*I1463)</f>
        <v/>
      </c>
      <c r="L1463">
        <f>K1463*(MIN(Inputs!$B$22+(F1476-Calc!F22),Inputs!$B$23)/100+Inputs!$B$23/100)/2</f>
        <v/>
      </c>
      <c r="M1463">
        <f>L1463*(1+(Inputs!$B$10+(F1475-Calc!F21))/100)</f>
        <v/>
      </c>
      <c r="N1463">
        <f>L1463*(1-MIN(Inputs!$B$9+(F1474-Calc!F20),100)/100)+M1463*(MIN(Inputs!$B$9+(F1474-Calc!F20),100)/100)</f>
        <v/>
      </c>
      <c r="O1463">
        <f>(1-Summary!$B$56)*S1463+Summary!$B$56*U1463</f>
        <v/>
      </c>
      <c r="P1463">
        <f>IF(B1495=0,0,O1463/B1495)</f>
        <v/>
      </c>
      <c r="Q1463">
        <f>IFERROR(1/IF(Inputs!$B$38="pvp",15,MAX(0.1,Skills!E9-IF(Skills!F7=TRUE,4.0,0))),0)</f>
        <v/>
      </c>
      <c r="R1463">
        <f>IF(AND(Inputs!$B$38&lt;&gt;"pvp",Inputs!$B$43&gt;0),IF(MAX(0,Inputs!$B$43-B1492)&lt;=0,0,(INT(MAX(0,Inputs!$B$43-B1492)/IF(Inputs!$B$38="pvp",15,MAX(0.1,Skills!E9-IF(Skills!F7=TRUE,4.0,0))))+1)),0)</f>
        <v/>
      </c>
      <c r="S1463">
        <f>IF(C1463,(H1463*N1463*IF(AND(Inputs!$B$38&lt;&gt;"pvp",Inputs!$B$43&gt;0),((Skills!G9*((R1463-1)*IF(Skills!H9&gt;0,Skills!I9/Skills!H9,1)+IF(Skills!H9&gt;0,MIN(Skills!I9,MAX(0,MAX(0,Inputs!$B$43-B1492)-((R1463-1)*IF(Inputs!$B$38="pvp",15,MAX(0.1,Skills!E9-IF(Skills!F7=TRUE,4.0,0))))))/Skills!H9,1)))/Inputs!$B$43),G1463*Q1463))*IF(Inputs!$B$38="pvp",1,1+(Inputs!$B$20+Skills!P9)/100),0)</f>
        <v/>
      </c>
      <c r="U1463">
        <f>IF(C1463,(H1463*N1463*IF(AND(Inputs!$B$38&lt;&gt;"pvp",Inputs!$B$43&gt;0),((Skills!G9*((R1463-1)*IF(Skills!H9&gt;0,Skills!I9/Skills!H9,1)+IF(Skills!H9&gt;0,MIN(Skills!I9,MAX(0,MAX(0,Inputs!$B$43-B1492)-((R1463-1)*IF(Inputs!$B$38="pvp",15,MAX(0.1,Skills!E9-IF(Skills!F7=TRUE,4.0,0))))))/Skills!H9,1)))/Inputs!$B$43),G1463*Q1463))*IF(Inputs!$B$38="pvp",1,(1+(Inputs!$B$21+Skills!Q9)/100)*(MIN(Skills!R9,Inputs!$B$37))),0)</f>
        <v/>
      </c>
    </row>
    <row r="1464">
      <c r="A1464">
        <f>Skills!A10</f>
        <v/>
      </c>
      <c r="B1464">
        <f>Skills!B10</f>
        <v/>
      </c>
      <c r="C1464">
        <f>TRUE</f>
        <v/>
      </c>
      <c r="D1464">
        <f>IF(Skills!C10=1,60+Inputs!$B$25+Inputs!$B$29,IF(Skills!C10=2,90+Inputs!$B$26+Inputs!$B$29,IF(Skills!C10=3,120+Inputs!$B$27+Inputs!$B$29,MAX(0,(Inputs!$B$3-100)*3)+Inputs!$B$28+Inputs!$B$29)))</f>
        <v/>
      </c>
      <c r="E1464">
        <f>INDEX(FactorTable!$B$2:$Y$301, MATCH(ROUND(MIN(300,MAX(1,D1464)),0), FactorTable!$A$2:$A$301,0), Skills!M10+1)</f>
        <v/>
      </c>
      <c r="F1464">
        <f>IF(Skills!N10=TRUE,(Skills!L10/10)*(E1464/1000),Skills!L10/10)+Skills!O10</f>
        <v/>
      </c>
      <c r="G1464">
        <f>Calc!G10</f>
        <v/>
      </c>
      <c r="H1464">
        <f>Calc!H10</f>
        <v/>
      </c>
      <c r="I1464">
        <f>IF(Skills!X10&lt;&gt;"",1+(Skills!X10/10)*(Z1457/1000)/100,1)</f>
        <v/>
      </c>
      <c r="J1464">
        <f>((Inputs!$B$6*(1+Inputs!$B$7/100))+(((Inputs!$B$12*(1+Inputs!$B$13/100))-(Inputs!$B$12*(1+Inputs!$B$13/100)))+0.25*(Inputs!$B$14-Inputs!$B$14))*(1+Inputs!$B$7/100))*(F1464/100)</f>
        <v/>
      </c>
      <c r="K1464">
        <f>J1464*(1+((Inputs!$B$12*(1+Inputs!$B$13/100))*0.01+Inputs!$B$14*0.0025)/100)*(1+Inputs!$B$15/100)*(1+Inputs!$B$16/100)*(5000/(6000+Inputs!$B$42*(1-Inputs!$B$19/100)))*(1+Inputs!$B$24/100)*(1+F1477/100)*(1+IF(Inputs!$B$3&gt;=120,F1480,0)/100)^5*(1+(IF(Skills!A10="BASIC_ATTACK",Inputs!$B$17,Inputs!$B$18+IF(Inputs!$B$3&gt;=125,F1481*5,0)))/100)*(B1484*B1485*B1486*I1464)</f>
        <v/>
      </c>
      <c r="L1464">
        <f>K1464*(MIN(Inputs!$B$22+(F1476-Calc!F22),Inputs!$B$23)/100+Inputs!$B$23/100)/2</f>
        <v/>
      </c>
      <c r="M1464">
        <f>L1464*(1+(Inputs!$B$10+(F1475-Calc!F21))/100)</f>
        <v/>
      </c>
      <c r="N1464">
        <f>L1464*(1-MIN(Inputs!$B$9+(F1474-Calc!F20),100)/100)+M1464*(MIN(Inputs!$B$9+(F1474-Calc!F20),100)/100)</f>
        <v/>
      </c>
      <c r="O1464">
        <f>(1-Summary!$B$56)*S1464+Summary!$B$56*U1464</f>
        <v/>
      </c>
      <c r="P1464">
        <f>IF(B1495=0,0,O1464/B1495)</f>
        <v/>
      </c>
      <c r="Q1464">
        <f>IFERROR(1/IF(Inputs!$B$38="pvp",15,MAX(0.1,Skills!E10-IF(Skills!F10=TRUE,4.0,0))),0)</f>
        <v/>
      </c>
      <c r="R1464">
        <f>IF(AND(Inputs!$B$38&lt;&gt;"pvp",Inputs!$B$43&gt;0),IF(MAX(0,Inputs!$B$43-B1492)&lt;=0,0,(INT(MAX(0,Inputs!$B$43-B1492)/IF(Inputs!$B$38="pvp",15,MAX(0.1,Skills!E10-IF(Skills!F10=TRUE,4.0,0))))+1)),0)</f>
        <v/>
      </c>
      <c r="S1464">
        <f>IF(C1464,(H1464*N1464*IF(AND(Inputs!$B$38&lt;&gt;"pvp",Inputs!$B$43&gt;0),((Skills!G10*((R1464-1)*IF(Skills!H10&gt;0,Skills!I10/Skills!H10,1)+IF(Skills!H10&gt;0,MIN(Skills!I10,MAX(0,MAX(0,Inputs!$B$43-B1492)-((R1464-1)*IF(Inputs!$B$38="pvp",15,MAX(0.1,Skills!E10-IF(Skills!F10=TRUE,4.0,0))))))/Skills!H10,1)))/Inputs!$B$43),G1464*Q1464))*IF(Inputs!$B$38="pvp",1,1+(Inputs!$B$20+Skills!P10)/100),0)</f>
        <v/>
      </c>
      <c r="U1464">
        <f>IF(C1464,(H1464*N1464*IF(AND(Inputs!$B$38&lt;&gt;"pvp",Inputs!$B$43&gt;0),((Skills!G10*((R1464-1)*IF(Skills!H10&gt;0,Skills!I10/Skills!H10,1)+IF(Skills!H10&gt;0,MIN(Skills!I10,MAX(0,MAX(0,Inputs!$B$43-B1492)-((R1464-1)*IF(Inputs!$B$38="pvp",15,MAX(0.1,Skills!E10-IF(Skills!F10=TRUE,4.0,0))))))/Skills!H10,1)))/Inputs!$B$43),G1464*Q1464))*IF(Inputs!$B$38="pvp",1,(1+(Inputs!$B$21+Skills!Q10)/100)*(MIN(Skills!R10,Inputs!$B$37))),0)</f>
        <v/>
      </c>
    </row>
    <row r="1465">
      <c r="A1465">
        <f>Skills!A11</f>
        <v/>
      </c>
      <c r="B1465">
        <f>Skills!B11</f>
        <v/>
      </c>
      <c r="C1465">
        <f>TRUE</f>
        <v/>
      </c>
      <c r="D1465">
        <f>IF(Skills!C11=1,60+Inputs!$B$25+Inputs!$B$29,IF(Skills!C11=2,90+Inputs!$B$26+Inputs!$B$29,IF(Skills!C11=3,120+Inputs!$B$27+Inputs!$B$29,MAX(0,(Inputs!$B$3-100)*3)+Inputs!$B$28+Inputs!$B$29)))</f>
        <v/>
      </c>
      <c r="E1465">
        <f>INDEX(FactorTable!$B$2:$Y$301, MATCH(ROUND(MIN(300,MAX(1,D1465)),0), FactorTable!$A$2:$A$301,0), Skills!M11+1)</f>
        <v/>
      </c>
      <c r="F1465">
        <f>IF(Skills!N11=TRUE,(Skills!L11/10)*(E1465/1000),Skills!L11/10)+Skills!O11</f>
        <v/>
      </c>
      <c r="G1465">
        <f>Calc!G11</f>
        <v/>
      </c>
      <c r="H1465">
        <f>Calc!H11</f>
        <v/>
      </c>
      <c r="I1465">
        <f>IF(Skills!X11&lt;&gt;"",1+(Skills!X11/10)*(Z1457/1000)/100,1)</f>
        <v/>
      </c>
      <c r="J1465" t="inlineStr"/>
      <c r="K1465" t="inlineStr"/>
      <c r="L1465" t="inlineStr"/>
      <c r="M1465" t="inlineStr"/>
      <c r="N1465" t="inlineStr"/>
      <c r="O1465">
        <f>(1-Summary!$B$56)*S1465+Summary!$B$56*U1465</f>
        <v/>
      </c>
      <c r="P1465">
        <f>IF(B1495=0,0,O1465/B1495)</f>
        <v/>
      </c>
      <c r="Q1465">
        <f>IFERROR(1/IF(Inputs!$B$38="pvp",15,MAX(0.1,Skills!E11-IF(Skills!F11=TRUE,4.0,0))),0)</f>
        <v/>
      </c>
      <c r="R1465" t="n">
        <v>0</v>
      </c>
      <c r="S1465" t="n">
        <v>0</v>
      </c>
      <c r="U1465" t="n">
        <v>0</v>
      </c>
    </row>
    <row r="1466">
      <c r="A1466">
        <f>Skills!A12</f>
        <v/>
      </c>
      <c r="B1466">
        <f>Skills!B12</f>
        <v/>
      </c>
      <c r="C1466">
        <f>TRUE</f>
        <v/>
      </c>
      <c r="D1466">
        <f>IF(Skills!C12=1,60+Inputs!$B$25+Inputs!$B$29,IF(Skills!C12=2,90+Inputs!$B$26+Inputs!$B$29,IF(Skills!C12=3,120+Inputs!$B$27+Inputs!$B$29,MAX(0,(Inputs!$B$3-100)*3)+Inputs!$B$28+Inputs!$B$29)))</f>
        <v/>
      </c>
      <c r="E1466">
        <f>INDEX(FactorTable!$B$2:$Y$301, MATCH(ROUND(MIN(300,MAX(1,D1466)),0), FactorTable!$A$2:$A$301,0), Skills!M12+1)</f>
        <v/>
      </c>
      <c r="F1466">
        <f>IF(Skills!N12=TRUE,(Skills!L12/10)*(E1466/1000),Skills!L12/10)+Skills!O12</f>
        <v/>
      </c>
      <c r="G1466">
        <f>Calc!G12</f>
        <v/>
      </c>
      <c r="H1466">
        <f>Calc!H12</f>
        <v/>
      </c>
      <c r="I1466">
        <f>IF(Skills!X12&lt;&gt;"",1+(Skills!X12/10)*(Z1457/1000)/100,1)</f>
        <v/>
      </c>
      <c r="J1466" t="inlineStr"/>
      <c r="K1466" t="inlineStr"/>
      <c r="L1466" t="inlineStr"/>
      <c r="M1466" t="inlineStr"/>
      <c r="N1466" t="inlineStr"/>
      <c r="O1466">
        <f>(1-Summary!$B$56)*S1466+Summary!$B$56*U1466</f>
        <v/>
      </c>
      <c r="P1466">
        <f>IF(B1495=0,0,O1466/B1495)</f>
        <v/>
      </c>
      <c r="Q1466">
        <f>IFERROR(1/IF(Inputs!$B$38="pvp",15,MAX(0.1,Skills!E12-IF(Skills!F12=TRUE,4.0,0))),0)</f>
        <v/>
      </c>
      <c r="R1466" t="n">
        <v>0</v>
      </c>
      <c r="S1466" t="n">
        <v>0</v>
      </c>
      <c r="U1466" t="n">
        <v>0</v>
      </c>
    </row>
    <row r="1467">
      <c r="A1467">
        <f>Skills!A13</f>
        <v/>
      </c>
      <c r="B1467">
        <f>Skills!B13</f>
        <v/>
      </c>
      <c r="C1467">
        <f>Inputs!$B$3&gt;=105</f>
        <v/>
      </c>
      <c r="D1467">
        <f>IF(Skills!C13=1,60+Inputs!$B$25+Inputs!$B$29,IF(Skills!C13=2,90+Inputs!$B$26+Inputs!$B$29,IF(Skills!C13=3,120+Inputs!$B$27+Inputs!$B$29,MAX(0,(Inputs!$B$3-100)*3)+Inputs!$B$28+Inputs!$B$29)))</f>
        <v/>
      </c>
      <c r="E1467">
        <f>INDEX(FactorTable!$B$2:$Y$301, MATCH(ROUND(MIN(300,MAX(1,D1467)),0), FactorTable!$A$2:$A$301,0), Skills!M13+1)</f>
        <v/>
      </c>
      <c r="F1467">
        <f>IF(Skills!N13=TRUE,(Skills!L13/10)*(E1467/1000),Skills!L13/10)+Skills!O13</f>
        <v/>
      </c>
      <c r="G1467">
        <f>Calc!G13</f>
        <v/>
      </c>
      <c r="H1467">
        <f>Calc!H13</f>
        <v/>
      </c>
      <c r="I1467">
        <f>IF(Skills!X13&lt;&gt;"",1+(Skills!X13/10)*(Z1457/1000)/100,1)</f>
        <v/>
      </c>
      <c r="J1467">
        <f>((Inputs!$B$6*(1+Inputs!$B$7/100))+(((Inputs!$B$12*(1+Inputs!$B$13/100))-(Inputs!$B$12*(1+Inputs!$B$13/100)))+0.25*(Inputs!$B$14-Inputs!$B$14))*(1+Inputs!$B$7/100))*(F1467/100)</f>
        <v/>
      </c>
      <c r="K1467">
        <f>J1467*(1+((Inputs!$B$12*(1+Inputs!$B$13/100))*0.01+Inputs!$B$14*0.0025)/100)*(1+Inputs!$B$15/100)*(1+Inputs!$B$16/100)*(5000/(6000+Inputs!$B$42*(1-Inputs!$B$19/100)))*(1+Inputs!$B$24/100)*(1+F1477/100)*(1+IF(Inputs!$B$3&gt;=120,F1480,0)/100)^5*(1+(IF(Skills!A13="BASIC_ATTACK",Inputs!$B$17,Inputs!$B$18+IF(Inputs!$B$3&gt;=125,F1481*5,0)))/100)*(B1484*B1485*B1486*I1467)</f>
        <v/>
      </c>
      <c r="L1467">
        <f>K1467*(MIN(Inputs!$B$22+(F1476-Calc!F22),Inputs!$B$23)/100+Inputs!$B$23/100)/2</f>
        <v/>
      </c>
      <c r="M1467">
        <f>L1467*(1+(Inputs!$B$10+(F1475-Calc!F21))/100)</f>
        <v/>
      </c>
      <c r="N1467">
        <f>L1467*(1-MIN(Inputs!$B$9+(F1474-Calc!F20),100)/100)+M1467*(MIN(Inputs!$B$9+(F1474-Calc!F20),100)/100)</f>
        <v/>
      </c>
      <c r="O1467">
        <f>(1-Summary!$B$56)*S1467+Summary!$B$56*U1467</f>
        <v/>
      </c>
      <c r="P1467">
        <f>IF(B1495=0,0,O1467/B1495)</f>
        <v/>
      </c>
      <c r="Q1467">
        <f>IFERROR(1/IF(Inputs!$B$38="pvp",15,MAX(0.1,Skills!E13-IF(Skills!F13=TRUE,4.0,0))),0)</f>
        <v/>
      </c>
      <c r="R1467">
        <f>IF(AND(Inputs!$B$38&lt;&gt;"pvp",Inputs!$B$43&gt;0),IF(MAX(0,Inputs!$B$43-B1492)&lt;=0,0,(INT(MAX(0,Inputs!$B$43-B1492)/IF(Inputs!$B$38="pvp",15,MAX(0.1,Skills!E13-IF(Skills!F13=TRUE,4.0,0))))+1)),0)</f>
        <v/>
      </c>
      <c r="S1467">
        <f>IF(C1467,(H1467*N1467*IF(AND(Inputs!$B$38&lt;&gt;"pvp",Inputs!$B$43&gt;0),((Skills!G13*((R1467-1)*IF(Skills!H13&gt;0,Skills!I13/Skills!H13,1)+IF(Skills!H13&gt;0,MIN(Skills!I13,MAX(0,MAX(0,Inputs!$B$43-B1492)-((R1467-1)*IF(Inputs!$B$38="pvp",15,MAX(0.1,Skills!E13-IF(Skills!F13=TRUE,4.0,0))))))/Skills!H13,1)))/Inputs!$B$43),G1467*Q1467))*IF(Inputs!$B$38="pvp",1,1+(Inputs!$B$20+Skills!P13)/100),0)</f>
        <v/>
      </c>
      <c r="U1467">
        <f>IF(C1467,(H1467*N1467*IF(AND(Inputs!$B$38&lt;&gt;"pvp",Inputs!$B$43&gt;0),((Skills!G13*((R1467-1)*IF(Skills!H13&gt;0,Skills!I13/Skills!H13,1)+IF(Skills!H13&gt;0,MIN(Skills!I13,MAX(0,MAX(0,Inputs!$B$43-B1492)-((R1467-1)*IF(Inputs!$B$38="pvp",15,MAX(0.1,Skills!E13-IF(Skills!F13=TRUE,4.0,0))))))/Skills!H13,1)))/Inputs!$B$43),G1467*Q1467))*IF(Inputs!$B$38="pvp",1,(1+(Inputs!$B$21+Skills!Q13)/100)*(MIN(Skills!R13,Inputs!$B$37))),0)</f>
        <v/>
      </c>
    </row>
    <row r="1468">
      <c r="A1468">
        <f>Skills!A14</f>
        <v/>
      </c>
      <c r="B1468">
        <f>Skills!B14</f>
        <v/>
      </c>
      <c r="C1468">
        <f>Inputs!$B$3&gt;=113</f>
        <v/>
      </c>
      <c r="D1468">
        <f>IF(Skills!C14=1,60+Inputs!$B$25+Inputs!$B$29,IF(Skills!C14=2,90+Inputs!$B$26+Inputs!$B$29,IF(Skills!C14=3,120+Inputs!$B$27+Inputs!$B$29,MAX(0,(Inputs!$B$3-100)*3)+Inputs!$B$28+Inputs!$B$29)))</f>
        <v/>
      </c>
      <c r="E1468">
        <f>INDEX(FactorTable!$B$2:$Y$301, MATCH(ROUND(MIN(300,MAX(1,D1468)),0), FactorTable!$A$2:$A$301,0), Skills!M14+1)</f>
        <v/>
      </c>
      <c r="F1468">
        <f>IF(Skills!N14=TRUE,(Skills!L14/10)*(E1468/1000),Skills!L14/10)+Skills!O14</f>
        <v/>
      </c>
      <c r="G1468">
        <f>Calc!G14</f>
        <v/>
      </c>
      <c r="H1468">
        <f>Calc!H14</f>
        <v/>
      </c>
      <c r="I1468">
        <f>IF(Skills!X14&lt;&gt;"",1+(Skills!X14/10)*(Z1457/1000)/100,1)</f>
        <v/>
      </c>
      <c r="J1468">
        <f>((Inputs!$B$6*(1+Inputs!$B$7/100))+(((Inputs!$B$12*(1+Inputs!$B$13/100))-(Inputs!$B$12*(1+Inputs!$B$13/100)))+0.25*(Inputs!$B$14-Inputs!$B$14))*(1+Inputs!$B$7/100))*(F1468/100)</f>
        <v/>
      </c>
      <c r="K1468">
        <f>J1468*(1+((Inputs!$B$12*(1+Inputs!$B$13/100))*0.01+Inputs!$B$14*0.0025)/100)*(1+Inputs!$B$15/100)*(1+Inputs!$B$16/100)*(5000/(6000+Inputs!$B$42*(1-Inputs!$B$19/100)))*(1+Inputs!$B$24/100)*(1+F1477/100)*(1+IF(Inputs!$B$3&gt;=120,F1480,0)/100)^5*(1+(IF(Skills!A14="BASIC_ATTACK",Inputs!$B$17,Inputs!$B$18+IF(Inputs!$B$3&gt;=125,F1481*5,0)))/100)*(B1484*B1485*B1486*I1468)</f>
        <v/>
      </c>
      <c r="L1468">
        <f>K1468*(MIN(Inputs!$B$22+(F1476-Calc!F22),Inputs!$B$23)/100+Inputs!$B$23/100)/2</f>
        <v/>
      </c>
      <c r="M1468">
        <f>L1468*(1+(Inputs!$B$10+(F1475-Calc!F21))/100)</f>
        <v/>
      </c>
      <c r="N1468">
        <f>L1468*(1-MIN(Inputs!$B$9+(F1474-Calc!F20),100)/100)+M1468*(MIN(Inputs!$B$9+(F1474-Calc!F20),100)/100)</f>
        <v/>
      </c>
      <c r="O1468">
        <f>(1-Summary!$B$56)*S1468+Summary!$B$56*U1468</f>
        <v/>
      </c>
      <c r="P1468">
        <f>IF(B1495=0,0,O1468/B1495)</f>
        <v/>
      </c>
      <c r="Q1468">
        <f>IFERROR(1/IF(Inputs!$B$38="pvp",15,MAX(0.1,Skills!E14-IF(Skills!F14=TRUE,4.0,0))),0)</f>
        <v/>
      </c>
      <c r="R1468" t="n">
        <v>0</v>
      </c>
      <c r="S1468">
        <f>IF(C1468,((H1468*B1491)/(1+Skills!H14*H1468*B1491)*N1468)*IF(Inputs!$B$38="pvp",1,1+(Inputs!$B$20+Skills!P14)/100),0)</f>
        <v/>
      </c>
      <c r="U1468">
        <f>IF(C1468,((H1468*B1491)/(1+Skills!H14*H1468*B1491)*N1468)*IF(Inputs!$B$38="pvp",1,(1+(Inputs!$B$21+Skills!Q14)/100)*(MIN(Skills!R14,Inputs!$B$37))),0)</f>
        <v/>
      </c>
    </row>
    <row r="1469">
      <c r="A1469">
        <f>Skills!A15</f>
        <v/>
      </c>
      <c r="B1469">
        <f>Skills!B15</f>
        <v/>
      </c>
      <c r="C1469">
        <f>Inputs!$B$3&gt;=107</f>
        <v/>
      </c>
      <c r="D1469">
        <f>IF(Skills!C15=1,60+Inputs!$B$25+Inputs!$B$29,IF(Skills!C15=2,90+Inputs!$B$26+Inputs!$B$29,IF(Skills!C15=3,120+Inputs!$B$27+Inputs!$B$29,MAX(0,(Inputs!$B$3-100)*3)+Inputs!$B$28+Inputs!$B$29)))</f>
        <v/>
      </c>
      <c r="E1469">
        <f>INDEX(FactorTable!$B$2:$Y$301, MATCH(ROUND(MIN(300,MAX(1,D1469)),0), FactorTable!$A$2:$A$301,0), Skills!M15+1)</f>
        <v/>
      </c>
      <c r="F1469">
        <f>IF(Skills!N15=TRUE,(Skills!L15/10)*(E1469/1000),Skills!L15/10)+Skills!O15</f>
        <v/>
      </c>
      <c r="G1469">
        <f>Calc!G15</f>
        <v/>
      </c>
      <c r="H1469">
        <f>Calc!H15</f>
        <v/>
      </c>
      <c r="I1469">
        <f>IF(Skills!X15&lt;&gt;"",1+(Skills!X15/10)*(Z1457/1000)/100,1)</f>
        <v/>
      </c>
      <c r="J1469">
        <f>((Inputs!$B$6*(1+Inputs!$B$7/100))+(((Inputs!$B$12*(1+Inputs!$B$13/100))-(Inputs!$B$12*(1+Inputs!$B$13/100)))+0.25*(Inputs!$B$14-Inputs!$B$14))*(1+Inputs!$B$7/100))*(F1469/100)</f>
        <v/>
      </c>
      <c r="K1469">
        <f>J1469*(1+((Inputs!$B$12*(1+Inputs!$B$13/100))*0.01+Inputs!$B$14*0.0025)/100)*(1+Inputs!$B$15/100)*(1+Inputs!$B$16/100)*(5000/(6000+Inputs!$B$42*(1-Inputs!$B$19/100)))*(1+Inputs!$B$24/100)*(1+F1477/100)*(1+IF(Inputs!$B$3&gt;=120,F1480,0)/100)^5*(1+(IF(Skills!A15="BASIC_ATTACK",Inputs!$B$17,Inputs!$B$18+IF(Inputs!$B$3&gt;=125,F1481*5,0)))/100)*(B1484*B1485*B1486*I1469)</f>
        <v/>
      </c>
      <c r="L1469">
        <f>K1469*(MIN(Inputs!$B$22+(F1476-Calc!F22),Inputs!$B$23)/100+Inputs!$B$23/100)/2</f>
        <v/>
      </c>
      <c r="M1469">
        <f>L1469*(1+(Inputs!$B$10+(F1475-Calc!F21))/100)</f>
        <v/>
      </c>
      <c r="N1469">
        <f>L1469*(1-MIN(Inputs!$B$9+(F1474-Calc!F20),100)/100)+M1469*(MIN(Inputs!$B$9+(F1474-Calc!F20),100)/100)</f>
        <v/>
      </c>
      <c r="O1469">
        <f>(1-Summary!$B$56)*S1469+Summary!$B$56*U1469</f>
        <v/>
      </c>
      <c r="P1469">
        <f>IF(B1495=0,0,O1469/B1495)</f>
        <v/>
      </c>
      <c r="Q1469">
        <f>IFERROR(1/IF(Inputs!$B$38="pvp",15,MAX(0.1,Skills!E15-IF(Skills!F15=TRUE,4.0,0))),0)</f>
        <v/>
      </c>
      <c r="R1469">
        <f>IF(AND(Inputs!$B$38&lt;&gt;"pvp",Inputs!$B$43&gt;0),IF(MAX(0,Inputs!$B$43-B1492)&lt;=0,0,(INT(MAX(0,Inputs!$B$43-B1492)/IF(Inputs!$B$38="pvp",15,MAX(0.1,Skills!E15-IF(Skills!F15=TRUE,4.0,0))))+1)),0)</f>
        <v/>
      </c>
      <c r="S1469">
        <f>IF(C1469,(H1469*N1469*IF(AND(Inputs!$B$38&lt;&gt;"pvp",Inputs!$B$43&gt;0),((Skills!G15*((R1469-1)*IF(Skills!H15&gt;0,Skills!I15/Skills!H15,1)+IF(Skills!H15&gt;0,MIN(Skills!I15,MAX(0,MAX(0,Inputs!$B$43-B1492)-((R1469-1)*IF(Inputs!$B$38="pvp",15,MAX(0.1,Skills!E15-IF(Skills!F15=TRUE,4.0,0))))))/Skills!H15,1)))/Inputs!$B$43),G1469*Q1469))*IF(Inputs!$B$38="pvp",1,1+(Inputs!$B$20+Skills!P15)/100),0)</f>
        <v/>
      </c>
      <c r="U1469">
        <f>IF(C1469,(H1469*N1469*IF(AND(Inputs!$B$38&lt;&gt;"pvp",Inputs!$B$43&gt;0),((Skills!G15*((R1469-1)*IF(Skills!H15&gt;0,Skills!I15/Skills!H15,1)+IF(Skills!H15&gt;0,MIN(Skills!I15,MAX(0,MAX(0,Inputs!$B$43-B1492)-((R1469-1)*IF(Inputs!$B$38="pvp",15,MAX(0.1,Skills!E15-IF(Skills!F15=TRUE,4.0,0))))))/Skills!H15,1)))/Inputs!$B$43),G1469*Q1469))*IF(Inputs!$B$38="pvp",1,(1+(Inputs!$B$21+Skills!Q15)/100)*(MIN(Skills!R15,Inputs!$B$37))),0)</f>
        <v/>
      </c>
    </row>
    <row r="1470">
      <c r="A1470">
        <f>Skills!A16</f>
        <v/>
      </c>
      <c r="B1470">
        <f>Skills!B16</f>
        <v/>
      </c>
      <c r="C1470">
        <f>Inputs!$B$3&gt;=107</f>
        <v/>
      </c>
      <c r="D1470">
        <f>IF(Skills!C16=1,60+Inputs!$B$25+Inputs!$B$29,IF(Skills!C16=2,90+Inputs!$B$26+Inputs!$B$29,IF(Skills!C16=3,120+Inputs!$B$27+Inputs!$B$29,MAX(0,(Inputs!$B$3-100)*3)+Inputs!$B$28+Inputs!$B$29)))</f>
        <v/>
      </c>
      <c r="E1470">
        <f>INDEX(FactorTable!$B$2:$Y$301, MATCH(ROUND(MIN(300,MAX(1,D1470)),0), FactorTable!$A$2:$A$301,0), Skills!M16+1)</f>
        <v/>
      </c>
      <c r="F1470">
        <f>IF(Skills!N16=TRUE,(Skills!L16/10)*(E1470/1000),Skills!L16/10)+Skills!O16</f>
        <v/>
      </c>
      <c r="G1470">
        <f>Calc!G16</f>
        <v/>
      </c>
      <c r="H1470">
        <f>Calc!H16</f>
        <v/>
      </c>
      <c r="I1470">
        <f>IF(Skills!X16&lt;&gt;"",1+(Skills!X16/10)*(Z1457/1000)/100,1)</f>
        <v/>
      </c>
      <c r="J1470">
        <f>((Inputs!$B$6*(1+Inputs!$B$7/100))+(((Inputs!$B$12*(1+Inputs!$B$13/100))-(Inputs!$B$12*(1+Inputs!$B$13/100)))+0.25*(Inputs!$B$14-Inputs!$B$14))*(1+Inputs!$B$7/100))*(F1470/100)</f>
        <v/>
      </c>
      <c r="K1470">
        <f>J1470*(1+((Inputs!$B$12*(1+Inputs!$B$13/100))*0.01+Inputs!$B$14*0.0025)/100)*(1+Inputs!$B$15/100)*(1+Inputs!$B$16/100)*(5000/(6000+Inputs!$B$42*(1-Inputs!$B$19/100)))*(1+Inputs!$B$24/100)*(1+F1477/100)*(1+IF(Inputs!$B$3&gt;=120,F1480,0)/100)^5*(1+(IF(Skills!A16="BASIC_ATTACK",Inputs!$B$17,Inputs!$B$18+IF(Inputs!$B$3&gt;=125,F1481*5,0)))/100)*(B1484*B1485*B1486*I1470)</f>
        <v/>
      </c>
      <c r="L1470">
        <f>K1470*(MIN(Inputs!$B$22+(F1476-Calc!F22),Inputs!$B$23)/100+Inputs!$B$23/100)/2</f>
        <v/>
      </c>
      <c r="M1470">
        <f>L1470*(1+(Inputs!$B$10+(F1475-Calc!F21))/100)</f>
        <v/>
      </c>
      <c r="N1470">
        <f>L1470*(1-MIN(Inputs!$B$9+(F1474-Calc!F20),100)/100)+M1470*(MIN(Inputs!$B$9+(F1474-Calc!F20),100)/100)</f>
        <v/>
      </c>
      <c r="O1470">
        <f>(1-Summary!$B$56)*S1470+Summary!$B$56*U1470</f>
        <v/>
      </c>
      <c r="P1470">
        <f>IF(B1495=0,0,O1470/B1495)</f>
        <v/>
      </c>
      <c r="Q1470">
        <f>IFERROR(1/IF(Inputs!$B$38="pvp",15,MAX(0.1,Skills!E16-IF(Skills!F16=TRUE,4.0,0))),0)</f>
        <v/>
      </c>
      <c r="R1470">
        <f>IF(AND(Inputs!$B$38&lt;&gt;"pvp",Inputs!$B$43&gt;0),IF(MAX(0,Inputs!$B$43-B1492)&lt;=0,0,(INT(MAX(0,Inputs!$B$43-B1492)/IF(Inputs!$B$38="pvp",15,MAX(0.1,Skills!E16-IF(Skills!F16=TRUE,4.0,0))))+1)),0)</f>
        <v/>
      </c>
      <c r="S1470">
        <f>IF(C1470,(H1470*N1470*IF(AND(Inputs!$B$38&lt;&gt;"pvp",Inputs!$B$43&gt;0),((Skills!G16*((R1470-1)*IF(Skills!H16&gt;0,Skills!I16/Skills!H16,1)+IF(Skills!H16&gt;0,MIN(Skills!I16,MAX(0,MAX(0,Inputs!$B$43-B1492)-((R1470-1)*IF(Inputs!$B$38="pvp",15,MAX(0.1,Skills!E16-IF(Skills!F16=TRUE,4.0,0))))))/Skills!H16,1)))/Inputs!$B$43),G1470*Q1470)*(1+IF(Inputs!$B$3&gt;=126,0.05*(B1490+Q1467+(H1468*B1491)/(1+Skills!H14*H1468*B1491)+Q1478),0)*Skills!E15))*IF(Inputs!$B$38="pvp",1,1+(Inputs!$B$20+Skills!P16)/100),0)</f>
        <v/>
      </c>
      <c r="U1470">
        <f>IF(C1470,(H1470*N1470*IF(AND(Inputs!$B$38&lt;&gt;"pvp",Inputs!$B$43&gt;0),((Skills!G16*((R1470-1)*IF(Skills!H16&gt;0,Skills!I16/Skills!H16,1)+IF(Skills!H16&gt;0,MIN(Skills!I16,MAX(0,MAX(0,Inputs!$B$43-B1492)-((R1470-1)*IF(Inputs!$B$38="pvp",15,MAX(0.1,Skills!E16-IF(Skills!F16=TRUE,4.0,0))))))/Skills!H16,1)))/Inputs!$B$43),G1470*Q1470)*(1+IF(Inputs!$B$3&gt;=126,0.05*(B1490+Q1467+(H1468*B1491)/(1+Skills!H14*H1468*B1491)+Q1478),0)*Skills!E15))*IF(Inputs!$B$38="pvp",1,(1+(Inputs!$B$21+Skills!Q16)/100)*(MIN(Skills!R16,Inputs!$B$37))),0)</f>
        <v/>
      </c>
    </row>
    <row r="1471">
      <c r="A1471">
        <f>Skills!A17</f>
        <v/>
      </c>
      <c r="B1471">
        <f>Skills!B17</f>
        <v/>
      </c>
      <c r="C1471">
        <f>TRUE</f>
        <v/>
      </c>
      <c r="D1471">
        <f>IF(Skills!C17=1,60+Inputs!$B$25+Inputs!$B$29,IF(Skills!C17=2,90+Inputs!$B$26+Inputs!$B$29,IF(Skills!C17=3,120+Inputs!$B$27+Inputs!$B$29,MAX(0,(Inputs!$B$3-100)*3)+Inputs!$B$28+Inputs!$B$29)))</f>
        <v/>
      </c>
      <c r="E1471">
        <f>INDEX(FactorTable!$B$2:$Y$301, MATCH(ROUND(MIN(300,MAX(1,D1471)),0), FactorTable!$A$2:$A$301,0), Skills!M17+1)</f>
        <v/>
      </c>
      <c r="F1471">
        <f>IF(Skills!N17=TRUE,(Skills!L17/10)*(E1471/1000),Skills!L17/10)+Skills!O17</f>
        <v/>
      </c>
      <c r="G1471">
        <f>Calc!G17</f>
        <v/>
      </c>
      <c r="H1471">
        <f>Calc!H17</f>
        <v/>
      </c>
      <c r="I1471">
        <f>IF(Skills!X17&lt;&gt;"",1+(Skills!X17/10)*(Z1457/1000)/100,1)</f>
        <v/>
      </c>
      <c r="J1471" t="inlineStr"/>
      <c r="K1471" t="inlineStr"/>
      <c r="L1471" t="inlineStr"/>
      <c r="M1471" t="inlineStr"/>
      <c r="N1471" t="inlineStr"/>
      <c r="O1471">
        <f>(1-Summary!$B$56)*S1471+Summary!$B$56*U1471</f>
        <v/>
      </c>
      <c r="P1471">
        <f>IF(B1495=0,0,O1471/B1495)</f>
        <v/>
      </c>
      <c r="Q1471">
        <f>IFERROR(1/IF(Inputs!$B$38="pvp",15,MAX(0.1,Skills!E17-IF(Skills!F17=TRUE,4.0,0))),0)</f>
        <v/>
      </c>
      <c r="R1471">
        <f>IF(AND(Inputs!$B$38&lt;&gt;"pvp",Inputs!$B$43&gt;0),IF(Inputs!$B$43&lt;=0,0,(INT(Inputs!$B$43/IF(Inputs!$B$38="pvp",15,MAX(0.1,Skills!E17-IF(Skills!F17=TRUE,4.0,0))))+1)),0)</f>
        <v/>
      </c>
      <c r="S1471" t="n">
        <v>0</v>
      </c>
      <c r="U1471" t="n">
        <v>0</v>
      </c>
    </row>
    <row r="1472">
      <c r="A1472">
        <f>Skills!A18</f>
        <v/>
      </c>
      <c r="B1472">
        <f>Skills!B18</f>
        <v/>
      </c>
      <c r="C1472">
        <f>TRUE</f>
        <v/>
      </c>
      <c r="D1472">
        <f>IF(Skills!C18=1,60+Inputs!$B$25+Inputs!$B$29,IF(Skills!C18=2,90+Inputs!$B$26+Inputs!$B$29,IF(Skills!C18=3,120+Inputs!$B$27+Inputs!$B$29,MAX(0,(Inputs!$B$3-100)*3)+Inputs!$B$28+Inputs!$B$29)))</f>
        <v/>
      </c>
      <c r="E1472">
        <f>INDEX(FactorTable!$B$2:$Y$301, MATCH(ROUND(MIN(300,MAX(1,D1472)),0), FactorTable!$A$2:$A$301,0), Skills!M18+1)</f>
        <v/>
      </c>
      <c r="F1472">
        <f>IF(Skills!N18=TRUE,(Skills!L18/10)*(E1472/1000),Skills!L18/10)+Skills!O18</f>
        <v/>
      </c>
      <c r="G1472">
        <f>Calc!G18</f>
        <v/>
      </c>
      <c r="H1472">
        <f>Calc!H18</f>
        <v/>
      </c>
      <c r="I1472">
        <f>IF(Skills!X18&lt;&gt;"",1+(Skills!X18/10)*(Z1457/1000)/100,1)</f>
        <v/>
      </c>
      <c r="J1472" t="inlineStr"/>
      <c r="K1472" t="inlineStr"/>
      <c r="L1472" t="inlineStr"/>
      <c r="M1472" t="inlineStr"/>
      <c r="N1472" t="inlineStr"/>
      <c r="O1472">
        <f>(1-Summary!$B$56)*S1472+Summary!$B$56*U1472</f>
        <v/>
      </c>
      <c r="P1472">
        <f>IF(B1495=0,0,O1472/B1495)</f>
        <v/>
      </c>
      <c r="Q1472">
        <f>IFERROR(1/IF(Inputs!$B$38="pvp",15,MAX(0.1,Skills!E18-IF(Skills!F18=TRUE,4.0,0))),0)</f>
        <v/>
      </c>
      <c r="R1472">
        <f>IF(AND(Inputs!$B$38&lt;&gt;"pvp",Inputs!$B$43&gt;0),IF(Inputs!$B$43&lt;=0,0,(INT(Inputs!$B$43/IF(Inputs!$B$38="pvp",15,MAX(0.1,Skills!E18-IF(Skills!F18=TRUE,4.0,0))))+1)),0)</f>
        <v/>
      </c>
      <c r="S1472" t="n">
        <v>0</v>
      </c>
      <c r="U1472" t="n">
        <v>0</v>
      </c>
    </row>
    <row r="1473">
      <c r="A1473">
        <f>Skills!A19</f>
        <v/>
      </c>
      <c r="B1473">
        <f>Skills!B19</f>
        <v/>
      </c>
      <c r="C1473">
        <f>Inputs!$B$3&gt;=110</f>
        <v/>
      </c>
      <c r="D1473">
        <f>IF(Skills!C19=1,60+Inputs!$B$25+Inputs!$B$29,IF(Skills!C19=2,90+Inputs!$B$26+Inputs!$B$29,IF(Skills!C19=3,120+Inputs!$B$27+Inputs!$B$29,MAX(0,(Inputs!$B$3-100)*3)+Inputs!$B$28+Inputs!$B$29)))</f>
        <v/>
      </c>
      <c r="E1473">
        <f>INDEX(FactorTable!$B$2:$Y$301, MATCH(ROUND(MIN(300,MAX(1,D1473)),0), FactorTable!$A$2:$A$301,0), Skills!M19+1)</f>
        <v/>
      </c>
      <c r="F1473">
        <f>IF(Skills!N19=TRUE,(Skills!L19/10)*(E1473/1000),Skills!L19/10)+Skills!O19</f>
        <v/>
      </c>
      <c r="G1473">
        <f>Calc!G19</f>
        <v/>
      </c>
      <c r="H1473">
        <f>Calc!H19</f>
        <v/>
      </c>
      <c r="I1473">
        <f>IF(Skills!X19&lt;&gt;"",1+(Skills!X19/10)*(Z1457/1000)/100,1)</f>
        <v/>
      </c>
      <c r="J1473" t="inlineStr"/>
      <c r="K1473" t="inlineStr"/>
      <c r="L1473" t="inlineStr"/>
      <c r="M1473" t="inlineStr"/>
      <c r="N1473" t="inlineStr"/>
      <c r="O1473">
        <f>(1-Summary!$B$56)*S1473+Summary!$B$56*U1473</f>
        <v/>
      </c>
      <c r="P1473">
        <f>IF(B1495=0,0,O1473/B1495)</f>
        <v/>
      </c>
      <c r="Q1473">
        <f>IFERROR(1/IF(Inputs!$B$38="pvp",15,MAX(0.1,Skills!E19-IF(Skills!F19=TRUE,4.0,0))),0)</f>
        <v/>
      </c>
      <c r="R1473">
        <f>IF(AND(Inputs!$B$38&lt;&gt;"pvp",Inputs!$B$43&gt;0),IF(Inputs!$B$43&lt;=0,0,(INT(Inputs!$B$43/IF(Inputs!$B$38="pvp",15,MAX(0.1,Skills!E19-IF(Skills!F19=TRUE,4.0,0))))+1)),0)</f>
        <v/>
      </c>
      <c r="S1473" t="n">
        <v>0</v>
      </c>
      <c r="U1473" t="n">
        <v>0</v>
      </c>
    </row>
    <row r="1474">
      <c r="A1474">
        <f>Skills!A20</f>
        <v/>
      </c>
      <c r="B1474">
        <f>Skills!B20</f>
        <v/>
      </c>
      <c r="C1474">
        <f>TRUE</f>
        <v/>
      </c>
      <c r="D1474">
        <f>IF(Skills!C20=1,60+Inputs!$B$25+Inputs!$B$29,IF(Skills!C20=2,90+Inputs!$B$26+Inputs!$B$29,IF(Skills!C20=3,120+Inputs!$B$27+Inputs!$B$29,MAX(0,(Inputs!$B$3-100)*3)+Inputs!$B$28+Inputs!$B$29)))</f>
        <v/>
      </c>
      <c r="E1474">
        <f>INDEX(FactorTable!$B$2:$Y$301, MATCH(ROUND(MIN(300,MAX(1,D1474)),0), FactorTable!$A$2:$A$301,0), Skills!M20+1)</f>
        <v/>
      </c>
      <c r="F1474">
        <f>IF(Skills!N20=TRUE,(Skills!L20/10)*(E1474/1000),Skills!L20/10)+Skills!O20</f>
        <v/>
      </c>
      <c r="G1474">
        <f>Calc!G20</f>
        <v/>
      </c>
      <c r="H1474">
        <f>Calc!H20</f>
        <v/>
      </c>
      <c r="I1474">
        <f>IF(Skills!X20&lt;&gt;"",1+(Skills!X20/10)*(Z1457/1000)/100,1)</f>
        <v/>
      </c>
      <c r="J1474" t="inlineStr"/>
      <c r="K1474" t="inlineStr"/>
      <c r="L1474" t="inlineStr"/>
      <c r="M1474" t="inlineStr"/>
      <c r="N1474" t="inlineStr"/>
      <c r="O1474">
        <f>(1-Summary!$B$56)*S1474+Summary!$B$56*U1474</f>
        <v/>
      </c>
      <c r="P1474">
        <f>IF(B1495=0,0,O1474/B1495)</f>
        <v/>
      </c>
      <c r="Q1474">
        <f>IFERROR(1/IF(Inputs!$B$38="pvp",15,MAX(0.1,Skills!E20-IF(Skills!F20=TRUE,4.0,0))),0)</f>
        <v/>
      </c>
      <c r="R1474" t="n">
        <v>0</v>
      </c>
      <c r="S1474" t="n">
        <v>0</v>
      </c>
      <c r="U1474" t="n">
        <v>0</v>
      </c>
    </row>
    <row r="1475">
      <c r="A1475">
        <f>Skills!A21</f>
        <v/>
      </c>
      <c r="B1475">
        <f>Skills!B21</f>
        <v/>
      </c>
      <c r="C1475">
        <f>TRUE</f>
        <v/>
      </c>
      <c r="D1475">
        <f>IF(Skills!C21=1,60+Inputs!$B$25+Inputs!$B$29,IF(Skills!C21=2,90+Inputs!$B$26+Inputs!$B$29,IF(Skills!C21=3,120+Inputs!$B$27+Inputs!$B$29,MAX(0,(Inputs!$B$3-100)*3)+Inputs!$B$28+Inputs!$B$29)))</f>
        <v/>
      </c>
      <c r="E1475">
        <f>INDEX(FactorTable!$B$2:$Y$301, MATCH(ROUND(MIN(300,MAX(1,D1475)),0), FactorTable!$A$2:$A$301,0), Skills!M21+1)</f>
        <v/>
      </c>
      <c r="F1475">
        <f>IF(Skills!N21=TRUE,(Skills!L21/10)*(E1475/1000),Skills!L21/10)+Skills!O21</f>
        <v/>
      </c>
      <c r="G1475">
        <f>Calc!G21</f>
        <v/>
      </c>
      <c r="H1475">
        <f>Calc!H21</f>
        <v/>
      </c>
      <c r="I1475">
        <f>IF(Skills!X21&lt;&gt;"",1+(Skills!X21/10)*(Z1457/1000)/100,1)</f>
        <v/>
      </c>
      <c r="J1475" t="inlineStr"/>
      <c r="K1475" t="inlineStr"/>
      <c r="L1475" t="inlineStr"/>
      <c r="M1475" t="inlineStr"/>
      <c r="N1475" t="inlineStr"/>
      <c r="O1475">
        <f>(1-Summary!$B$56)*S1475+Summary!$B$56*U1475</f>
        <v/>
      </c>
      <c r="P1475">
        <f>IF(B1495=0,0,O1475/B1495)</f>
        <v/>
      </c>
      <c r="Q1475">
        <f>IFERROR(1/IF(Inputs!$B$38="pvp",15,MAX(0.1,Skills!E21-IF(Skills!F21=TRUE,4.0,0))),0)</f>
        <v/>
      </c>
      <c r="R1475" t="n">
        <v>0</v>
      </c>
      <c r="S1475" t="n">
        <v>0</v>
      </c>
      <c r="U1475" t="n">
        <v>0</v>
      </c>
    </row>
    <row r="1476">
      <c r="A1476">
        <f>Skills!A22</f>
        <v/>
      </c>
      <c r="B1476">
        <f>Skills!B22</f>
        <v/>
      </c>
      <c r="C1476">
        <f>TRUE</f>
        <v/>
      </c>
      <c r="D1476">
        <f>IF(Skills!C22=1,60+Inputs!$B$25+Inputs!$B$29,IF(Skills!C22=2,90+Inputs!$B$26+Inputs!$B$29,IF(Skills!C22=3,120+Inputs!$B$27+Inputs!$B$29,MAX(0,(Inputs!$B$3-100)*3)+Inputs!$B$28+Inputs!$B$29)))</f>
        <v/>
      </c>
      <c r="E1476">
        <f>INDEX(FactorTable!$B$2:$Y$301, MATCH(ROUND(MIN(300,MAX(1,D1476)),0), FactorTable!$A$2:$A$301,0), Skills!M22+1)</f>
        <v/>
      </c>
      <c r="F1476">
        <f>IF(Skills!N22=TRUE,(Skills!L22/10)*(E1476/1000),Skills!L22/10)+Skills!O22</f>
        <v/>
      </c>
      <c r="G1476">
        <f>Calc!G22</f>
        <v/>
      </c>
      <c r="H1476">
        <f>Calc!H22</f>
        <v/>
      </c>
      <c r="I1476">
        <f>IF(Skills!X22&lt;&gt;"",1+(Skills!X22/10)*(Z1457/1000)/100,1)</f>
        <v/>
      </c>
      <c r="J1476" t="inlineStr"/>
      <c r="K1476" t="inlineStr"/>
      <c r="L1476" t="inlineStr"/>
      <c r="M1476" t="inlineStr"/>
      <c r="N1476" t="inlineStr"/>
      <c r="O1476">
        <f>(1-Summary!$B$56)*S1476+Summary!$B$56*U1476</f>
        <v/>
      </c>
      <c r="P1476">
        <f>IF(B1495=0,0,O1476/B1495)</f>
        <v/>
      </c>
      <c r="Q1476">
        <f>IFERROR(1/IF(Inputs!$B$38="pvp",15,MAX(0.1,Skills!E22-IF(Skills!F22=TRUE,4.0,0))),0)</f>
        <v/>
      </c>
      <c r="R1476" t="n">
        <v>0</v>
      </c>
      <c r="S1476" t="n">
        <v>0</v>
      </c>
      <c r="U1476" t="n">
        <v>0</v>
      </c>
    </row>
    <row r="1477">
      <c r="A1477">
        <f>Skills!A23</f>
        <v/>
      </c>
      <c r="B1477">
        <f>Skills!B23</f>
        <v/>
      </c>
      <c r="C1477">
        <f>TRUE</f>
        <v/>
      </c>
      <c r="D1477">
        <f>IF(Skills!C23=1,60+Inputs!$B$25+Inputs!$B$29,IF(Skills!C23=2,90+Inputs!$B$26+Inputs!$B$29,IF(Skills!C23=3,120+Inputs!$B$27+Inputs!$B$29,MAX(0,(Inputs!$B$3-100)*3)+Inputs!$B$28+Inputs!$B$29)))</f>
        <v/>
      </c>
      <c r="E1477">
        <f>INDEX(FactorTable!$B$2:$Y$301, MATCH(ROUND(MIN(300,MAX(1,D1477)),0), FactorTable!$A$2:$A$301,0), Skills!M23+1)</f>
        <v/>
      </c>
      <c r="F1477">
        <f>IF(Skills!N23=TRUE,(Skills!L23/10)*(E1477/1000),Skills!L23/10)+Skills!O23</f>
        <v/>
      </c>
      <c r="G1477">
        <f>Calc!G23</f>
        <v/>
      </c>
      <c r="H1477">
        <f>Calc!H23</f>
        <v/>
      </c>
      <c r="I1477">
        <f>IF(Skills!X23&lt;&gt;"",1+(Skills!X23/10)*(Z1457/1000)/100,1)</f>
        <v/>
      </c>
      <c r="J1477" t="inlineStr"/>
      <c r="K1477" t="inlineStr"/>
      <c r="L1477" t="inlineStr"/>
      <c r="M1477" t="inlineStr"/>
      <c r="N1477" t="inlineStr"/>
      <c r="O1477">
        <f>(1-Summary!$B$56)*S1477+Summary!$B$56*U1477</f>
        <v/>
      </c>
      <c r="P1477">
        <f>IF(B1495=0,0,O1477/B1495)</f>
        <v/>
      </c>
      <c r="Q1477">
        <f>IFERROR(1/IF(Inputs!$B$38="pvp",15,MAX(0.1,Skills!E23-IF(Skills!F23=TRUE,4.0,0))),0)</f>
        <v/>
      </c>
      <c r="R1477" t="n">
        <v>0</v>
      </c>
      <c r="S1477" t="n">
        <v>0</v>
      </c>
      <c r="U1477" t="n">
        <v>0</v>
      </c>
    </row>
    <row r="1478">
      <c r="A1478">
        <f>Skills!A24</f>
        <v/>
      </c>
      <c r="B1478">
        <f>Skills!B24</f>
        <v/>
      </c>
      <c r="C1478">
        <f>Inputs!$B$3&gt;=115</f>
        <v/>
      </c>
      <c r="D1478">
        <f>IF(Skills!C24=1,60+Inputs!$B$25+Inputs!$B$29,IF(Skills!C24=2,90+Inputs!$B$26+Inputs!$B$29,IF(Skills!C24=3,120+Inputs!$B$27+Inputs!$B$29,MAX(0,(Inputs!$B$3-100)*3)+Inputs!$B$28+Inputs!$B$29)))</f>
        <v/>
      </c>
      <c r="E1478">
        <f>INDEX(FactorTable!$B$2:$Y$301, MATCH(ROUND(MIN(300,MAX(1,D1478)),0), FactorTable!$A$2:$A$301,0), Skills!M24+1)</f>
        <v/>
      </c>
      <c r="F1478">
        <f>IF(Skills!N24=TRUE,(Skills!L24/10)*(E1478/1000),Skills!L24/10)+Skills!O24</f>
        <v/>
      </c>
      <c r="G1478">
        <f>Calc!G24</f>
        <v/>
      </c>
      <c r="H1478">
        <f>Calc!H24</f>
        <v/>
      </c>
      <c r="I1478">
        <f>IF(Skills!X24&lt;&gt;"",1+(Skills!X24/10)*(Z1457/1000)/100,1)</f>
        <v/>
      </c>
      <c r="J1478">
        <f>((Inputs!$B$6*(1+Inputs!$B$7/100))+(((Inputs!$B$12*(1+Inputs!$B$13/100))-(Inputs!$B$12*(1+Inputs!$B$13/100)))+0.25*(Inputs!$B$14-Inputs!$B$14))*(1+Inputs!$B$7/100))*(F1478/100)</f>
        <v/>
      </c>
      <c r="K1478">
        <f>J1478*(1+((Inputs!$B$12*(1+Inputs!$B$13/100))*0.01+Inputs!$B$14*0.0025)/100)*(1+Inputs!$B$15/100)*(1+Inputs!$B$16/100)*(5000/(6000+Inputs!$B$42*(1-Inputs!$B$19/100)))*(1+Inputs!$B$24/100)*(1+F1477/100)*(1+IF(Inputs!$B$3&gt;=120,F1480,0)/100)^5*(1+(IF(Skills!A24="BASIC_ATTACK",Inputs!$B$17,Inputs!$B$18+IF(Inputs!$B$3&gt;=125,F1481*5,0)))/100)*(B1484*B1485*B1486*I1478)</f>
        <v/>
      </c>
      <c r="L1478">
        <f>K1478*(MIN(Inputs!$B$22+(F1476-Calc!F22),Inputs!$B$23)/100+Inputs!$B$23/100)/2</f>
        <v/>
      </c>
      <c r="M1478">
        <f>L1478*(1+(Inputs!$B$10+(F1475-Calc!F21))/100)</f>
        <v/>
      </c>
      <c r="N1478">
        <f>L1478*(1-MIN(Inputs!$B$9+(F1474-Calc!F20),100)/100)+M1478*(MIN(Inputs!$B$9+(F1474-Calc!F20),100)/100)</f>
        <v/>
      </c>
      <c r="O1478">
        <f>(1-Summary!$B$56)*S1478+Summary!$B$56*U1478</f>
        <v/>
      </c>
      <c r="P1478">
        <f>IF(B1495=0,0,O1478/B1495)</f>
        <v/>
      </c>
      <c r="Q1478">
        <f>IFERROR(1/IF(Inputs!$B$38="pvp",15,MAX(0.1,Skills!E24-IF(Skills!F24=TRUE,4.0,0))),0)</f>
        <v/>
      </c>
      <c r="R1478">
        <f>IF(AND(Inputs!$B$38&lt;&gt;"pvp",Inputs!$B$43&gt;0),IF(MAX(0,Inputs!$B$43-B1492)&lt;=0,0,(INT(MAX(0,Inputs!$B$43-B1492)/IF(Inputs!$B$38="pvp",15,MAX(0.1,Skills!E24-IF(Skills!F24=TRUE,4.0,0))))+1)),0)</f>
        <v/>
      </c>
      <c r="S1478">
        <f>IF(C1478,(H1478*N1478*IF(AND(Inputs!$B$38&lt;&gt;"pvp",Inputs!$B$43&gt;0),((Skills!G24*((R1478-1)*IF(Skills!H24&gt;0,Skills!I24/Skills!H24,1)+IF(Skills!H24&gt;0,MIN(Skills!I24,MAX(0,MAX(0,Inputs!$B$43-B1492)-((R1478-1)*IF(Inputs!$B$38="pvp",15,MAX(0.1,Skills!E24-IF(Skills!F24=TRUE,4.0,0))))))/Skills!H24,1)))/Inputs!$B$43),G1478*Q1478)*(1+IF(Inputs!$B$3&gt;=130,0.2*(Skills!I16/Skills!E15+IF(Inputs!$B$3&gt;=126,0.05*(B1490+Q1467+(H1468*B1491)/(1+Skills!H14*H1468*B1491)+Q1478),0)*Skills!I16),0)))*IF(Inputs!$B$38="pvp",1,1+(Inputs!$B$20+Skills!P24)/100),0)</f>
        <v/>
      </c>
      <c r="U1478">
        <f>IF(C1478,(H1478*N1478*IF(AND(Inputs!$B$38&lt;&gt;"pvp",Inputs!$B$43&gt;0),((Skills!G24*((R1478-1)*IF(Skills!H24&gt;0,Skills!I24/Skills!H24,1)+IF(Skills!H24&gt;0,MIN(Skills!I24,MAX(0,MAX(0,Inputs!$B$43-B1492)-((R1478-1)*IF(Inputs!$B$38="pvp",15,MAX(0.1,Skills!E24-IF(Skills!F24=TRUE,4.0,0))))))/Skills!H24,1)))/Inputs!$B$43),G1478*Q1478)*(1+IF(Inputs!$B$3&gt;=130,0.2*(Skills!I16/Skills!E15+IF(Inputs!$B$3&gt;=126,0.05*(B1490+Q1467+(H1468*B1491)/(1+Skills!H14*H1468*B1491)+Q1478),0)*Skills!I16),0)))*IF(Inputs!$B$38="pvp",1,(1+(Inputs!$B$21+Skills!Q24)/100)*(MIN(Skills!R24,Inputs!$B$37))),0)</f>
        <v/>
      </c>
    </row>
    <row r="1479">
      <c r="A1479">
        <f>Skills!A25</f>
        <v/>
      </c>
      <c r="B1479">
        <f>Skills!B25</f>
        <v/>
      </c>
      <c r="C1479">
        <f>Inputs!$B$3&gt;=117</f>
        <v/>
      </c>
      <c r="D1479">
        <f>IF(Skills!C25=1,60+Inputs!$B$25+Inputs!$B$29,IF(Skills!C25=2,90+Inputs!$B$26+Inputs!$B$29,IF(Skills!C25=3,120+Inputs!$B$27+Inputs!$B$29,MAX(0,(Inputs!$B$3-100)*3)+Inputs!$B$28+Inputs!$B$29)))</f>
        <v/>
      </c>
      <c r="E1479">
        <f>INDEX(FactorTable!$B$2:$Y$301, MATCH(ROUND(MIN(300,MAX(1,D1479)),0), FactorTable!$A$2:$A$301,0), Skills!M25+1)</f>
        <v/>
      </c>
      <c r="F1479">
        <f>IF(Skills!N25=TRUE,(Skills!L25/10)*(E1479/1000),Skills!L25/10)+Skills!O25</f>
        <v/>
      </c>
      <c r="G1479">
        <f>Calc!G25</f>
        <v/>
      </c>
      <c r="H1479">
        <f>Calc!H25</f>
        <v/>
      </c>
      <c r="I1479">
        <f>IF(Skills!X25&lt;&gt;"",1+(Skills!X25/10)*(Z1457/1000)/100,1)</f>
        <v/>
      </c>
      <c r="J1479" t="inlineStr"/>
      <c r="K1479" t="inlineStr"/>
      <c r="L1479" t="inlineStr"/>
      <c r="M1479" t="inlineStr"/>
      <c r="N1479" t="inlineStr"/>
      <c r="O1479">
        <f>(1-Summary!$B$56)*S1479+Summary!$B$56*U1479</f>
        <v/>
      </c>
      <c r="P1479">
        <f>IF(B1495=0,0,O1479/B1495)</f>
        <v/>
      </c>
      <c r="Q1479">
        <f>IFERROR(1/IF(Inputs!$B$38="pvp",15,MAX(0.1,Skills!E25-IF(Skills!F25=TRUE,4.0,0))),0)</f>
        <v/>
      </c>
      <c r="R1479" t="n">
        <v>0</v>
      </c>
      <c r="S1479" t="n">
        <v>0</v>
      </c>
      <c r="U1479" t="n">
        <v>0</v>
      </c>
    </row>
    <row r="1480">
      <c r="A1480">
        <f>Skills!A26</f>
        <v/>
      </c>
      <c r="B1480">
        <f>Skills!B26</f>
        <v/>
      </c>
      <c r="C1480">
        <f>Inputs!$B$3&gt;=120</f>
        <v/>
      </c>
      <c r="D1480">
        <f>IF(Skills!C26=1,60+Inputs!$B$25+Inputs!$B$29,IF(Skills!C26=2,90+Inputs!$B$26+Inputs!$B$29,IF(Skills!C26=3,120+Inputs!$B$27+Inputs!$B$29,MAX(0,(Inputs!$B$3-100)*3)+Inputs!$B$28+Inputs!$B$29)))</f>
        <v/>
      </c>
      <c r="E1480">
        <f>INDEX(FactorTable!$B$2:$Y$301, MATCH(ROUND(MIN(300,MAX(1,D1480)),0), FactorTable!$A$2:$A$301,0), Skills!M26+1)</f>
        <v/>
      </c>
      <c r="F1480">
        <f>IF(Skills!N26=TRUE,(Skills!L26/10)*(E1480/1000),Skills!L26/10)+Skills!O26</f>
        <v/>
      </c>
      <c r="G1480">
        <f>Calc!G26</f>
        <v/>
      </c>
      <c r="H1480">
        <f>Calc!H26</f>
        <v/>
      </c>
      <c r="I1480">
        <f>IF(Skills!X26&lt;&gt;"",1+(Skills!X26/10)*(Z1457/1000)/100,1)</f>
        <v/>
      </c>
      <c r="J1480" t="inlineStr"/>
      <c r="K1480" t="inlineStr"/>
      <c r="L1480" t="inlineStr"/>
      <c r="M1480" t="inlineStr"/>
      <c r="N1480" t="inlineStr"/>
      <c r="O1480">
        <f>(1-Summary!$B$56)*S1480+Summary!$B$56*U1480</f>
        <v/>
      </c>
      <c r="P1480">
        <f>IF(B1495=0,0,O1480/B1495)</f>
        <v/>
      </c>
      <c r="Q1480">
        <f>IFERROR(1/IF(Inputs!$B$38="pvp",15,MAX(0.1,Skills!E26-IF(Skills!F26=TRUE,4.0,0))),0)</f>
        <v/>
      </c>
      <c r="R1480" t="n">
        <v>0</v>
      </c>
      <c r="S1480" t="n">
        <v>0</v>
      </c>
      <c r="U1480" t="n">
        <v>0</v>
      </c>
    </row>
    <row r="1481">
      <c r="A1481">
        <f>Skills!A27</f>
        <v/>
      </c>
      <c r="B1481">
        <f>Skills!B27</f>
        <v/>
      </c>
      <c r="C1481">
        <f>Inputs!$B$3&gt;=125</f>
        <v/>
      </c>
      <c r="D1481">
        <f>IF(Skills!C27=1,60+Inputs!$B$25+Inputs!$B$29,IF(Skills!C27=2,90+Inputs!$B$26+Inputs!$B$29,IF(Skills!C27=3,120+Inputs!$B$27+Inputs!$B$29,MAX(0,(Inputs!$B$3-100)*3)+Inputs!$B$28+Inputs!$B$29)))</f>
        <v/>
      </c>
      <c r="E1481">
        <f>INDEX(FactorTable!$B$2:$Y$301, MATCH(ROUND(MIN(300,MAX(1,D1481)),0), FactorTable!$A$2:$A$301,0), Skills!M27+1)</f>
        <v/>
      </c>
      <c r="F1481">
        <f>IF(Skills!N27=TRUE,(Skills!L27/10)*(E1481/1000),Skills!L27/10)+Skills!O27</f>
        <v/>
      </c>
      <c r="G1481">
        <f>Calc!G27</f>
        <v/>
      </c>
      <c r="H1481">
        <f>Calc!H27</f>
        <v/>
      </c>
      <c r="I1481">
        <f>IF(Skills!X27&lt;&gt;"",1+(Skills!X27/10)*(Z1457/1000)/100,1)</f>
        <v/>
      </c>
      <c r="J1481" t="inlineStr"/>
      <c r="K1481" t="inlineStr"/>
      <c r="L1481" t="inlineStr"/>
      <c r="M1481" t="inlineStr"/>
      <c r="N1481" t="inlineStr"/>
      <c r="O1481">
        <f>(1-Summary!$B$56)*S1481+Summary!$B$56*U1481</f>
        <v/>
      </c>
      <c r="P1481">
        <f>IF(B1495=0,0,O1481/B1495)</f>
        <v/>
      </c>
      <c r="Q1481">
        <f>IFERROR(1/IF(Inputs!$B$38="pvp",15,MAX(0.1,Skills!E27-IF(Skills!F27=TRUE,4.0,0))),0)</f>
        <v/>
      </c>
      <c r="R1481" t="n">
        <v>0</v>
      </c>
      <c r="S1481" t="n">
        <v>0</v>
      </c>
      <c r="U1481" t="n">
        <v>0</v>
      </c>
    </row>
    <row r="1482">
      <c r="A1482">
        <f>Skills!A28</f>
        <v/>
      </c>
      <c r="B1482">
        <f>Skills!B28</f>
        <v/>
      </c>
      <c r="C1482">
        <f>Inputs!$B$3&gt;=118</f>
        <v/>
      </c>
      <c r="D1482">
        <f>IF(Skills!C28=1,60+Inputs!$B$25+Inputs!$B$29,IF(Skills!C28=2,90+Inputs!$B$26+Inputs!$B$29,IF(Skills!C28=3,120+Inputs!$B$27+Inputs!$B$29,MAX(0,(Inputs!$B$3-100)*3)+Inputs!$B$28+Inputs!$B$29)))</f>
        <v/>
      </c>
      <c r="E1482">
        <f>INDEX(FactorTable!$B$2:$Y$301, MATCH(ROUND(MIN(300,MAX(1,D1482)),0), FactorTable!$A$2:$A$301,0), Skills!M28+1)</f>
        <v/>
      </c>
      <c r="F1482">
        <f>IF(Skills!N28=TRUE,(Skills!L28/10)*(E1482/1000),Skills!L28/10)+Skills!O28</f>
        <v/>
      </c>
      <c r="G1482">
        <f>Calc!G28</f>
        <v/>
      </c>
      <c r="H1482">
        <f>Calc!H28</f>
        <v/>
      </c>
      <c r="I1482">
        <f>IF(Skills!X28&lt;&gt;"",1+(Skills!X28/10)*(Z1457/1000)/100,1)</f>
        <v/>
      </c>
      <c r="J1482">
        <f>((Inputs!$B$6*(1+Inputs!$B$7/100))+(((Inputs!$B$12*(1+Inputs!$B$13/100))-(Inputs!$B$12*(1+Inputs!$B$13/100)))+0.25*(Inputs!$B$14-Inputs!$B$14))*(1+Inputs!$B$7/100))*(F1482/100)</f>
        <v/>
      </c>
      <c r="K1482">
        <f>J1482*(1+((Inputs!$B$12*(1+Inputs!$B$13/100))*0.01+Inputs!$B$14*0.0025)/100)*(1+Inputs!$B$15/100)*(1+Inputs!$B$16/100)*(5000/(6000+Inputs!$B$42*(1-Inputs!$B$19/100)))*(1+Inputs!$B$24/100)*(1+F1477/100)*(1+IF(Inputs!$B$3&gt;=120,F1480,0)/100)^5*(1+(IF(Skills!A28="BASIC_ATTACK",Inputs!$B$17,Inputs!$B$18+IF(Inputs!$B$3&gt;=125,F1481*5,0)))/100)*(B1484*B1485*B1486*I1482)</f>
        <v/>
      </c>
      <c r="L1482">
        <f>K1482*(MIN(Inputs!$B$22+(F1476-Calc!F22),Inputs!$B$23)/100+Inputs!$B$23/100)/2</f>
        <v/>
      </c>
      <c r="M1482">
        <f>L1482*(1+(Inputs!$B$10+(F1475-Calc!F21))/100)</f>
        <v/>
      </c>
      <c r="N1482">
        <f>L1482*(1-MIN(Inputs!$B$9+(F1474-Calc!F20),100)/100)+M1482*(MIN(Inputs!$B$9+(F1474-Calc!F20),100)/100)</f>
        <v/>
      </c>
      <c r="O1482">
        <f>(1-Summary!$B$56)*S1482+Summary!$B$56*U1482</f>
        <v/>
      </c>
      <c r="P1482">
        <f>IF(B1495=0,0,O1482/B1495)</f>
        <v/>
      </c>
      <c r="Q1482">
        <f>IFERROR(1/IF(Inputs!$B$38="pvp",15,MAX(0.1,Skills!E28-IF(Skills!F28=TRUE,4.0,0))),0)</f>
        <v/>
      </c>
      <c r="R1482">
        <f>IF(AND(Inputs!$B$38&lt;&gt;"pvp",Inputs!$B$43&gt;0),IF(MAX(0,Inputs!$B$43-B1492)&lt;=0,0,(INT(MAX(0,Inputs!$B$43-B1492)/IF(Inputs!$B$38="pvp",15,MAX(0.1,Skills!E28-IF(Skills!F28=TRUE,4.0,0))))+1)),0)</f>
        <v/>
      </c>
      <c r="S1482">
        <f>IF(C1482,(H1482*N1482*IF(AND(Inputs!$B$38&lt;&gt;"pvp",Inputs!$B$43&gt;0),((Skills!G28*((R1482-1)*IF(Skills!H28&gt;0,Skills!I28/Skills!H28,1)+IF(Skills!H28&gt;0,MIN(Skills!I28,MAX(0,MAX(0,Inputs!$B$43-B1492)-((R1482-1)*IF(Inputs!$B$38="pvp",15,MAX(0.1,Skills!E28-IF(Skills!F28=TRUE,4.0,0))))))/Skills!H28,1)))/Inputs!$B$43),G1482*Q1482))*IF(Inputs!$B$38="pvp",1,1+(Inputs!$B$20+Skills!P28)/100),0)</f>
        <v/>
      </c>
      <c r="U1482">
        <f>IF(C1482,(H1482*N1482*IF(AND(Inputs!$B$38&lt;&gt;"pvp",Inputs!$B$43&gt;0),((Skills!G28*((R1482-1)*IF(Skills!H28&gt;0,Skills!I28/Skills!H28,1)+IF(Skills!H28&gt;0,MIN(Skills!I28,MAX(0,MAX(0,Inputs!$B$43-B1492)-((R1482-1)*IF(Inputs!$B$38="pvp",15,MAX(0.1,Skills!E28-IF(Skills!F28=TRUE,4.0,0))))))/Skills!H28,1)))/Inputs!$B$43),G1482*Q1482))*IF(Inputs!$B$38="pvp",1,(1+(Inputs!$B$21+Skills!Q28)/100)*(MIN(Skills!R28,Inputs!$B$37))),0)</f>
        <v/>
      </c>
    </row>
    <row r="1484">
      <c r="A1484" t="inlineStr">
        <is>
          <t>Burning Magic Multiplier</t>
        </is>
      </c>
      <c r="B1484">
        <f>1+(F1465*Skills!Z11)/100</f>
        <v/>
      </c>
    </row>
    <row r="1485">
      <c r="A1485" t="inlineStr">
        <is>
          <t>Elemental Decrease Multiplier (always-on)</t>
        </is>
      </c>
      <c r="B1485">
        <f>1+F1466/100</f>
        <v/>
      </c>
    </row>
    <row r="1486">
      <c r="A1486" t="inlineStr">
        <is>
          <t>Average Buff Multiplier (Magic Guard + Meditation, summed; then Infinity)</t>
        </is>
      </c>
      <c r="B1486">
        <f>(1+(F1460*IF(AND(Inputs!$B$38&lt;&gt;"pvp",Inputs!$B$43&gt;0),(((R1460-1)*(Skills!T6*(1+(Inputs!$B$34+IF(Inputs!$B$3&gt;=117,F1479,0))/100))+MIN((Skills!T6*(1+(Inputs!$B$34+IF(Inputs!$B$3&gt;=117,F1479,0))/100)),MAX(0,Inputs!$B$43-((R1460-1)*Skills!E6))))/Inputs!$B$43),IF(Inputs!$B$38="pvp",MIN((Skills!T6*(1+(Inputs!$B$34+IF(Inputs!$B$3&gt;=117,F1479,0))/100)),15)/15,(Skills!T6*(1+(Inputs!$B$34+IF(Inputs!$B$3&gt;=117,F1479,0))/100))/Skills!E6))+F1471*IF(AND(Inputs!$B$38&lt;&gt;"pvp",Inputs!$B$43&gt;0),(((R1471-1)*(Skills!T17*(1+(Inputs!$B$34+IF(Inputs!$B$3&gt;=117,F1479,0))/100))+MIN((Skills!T17*(1+(Inputs!$B$34+IF(Inputs!$B$3&gt;=117,F1479,0))/100)),MAX(0,Inputs!$B$43-((R1471-1)*Skills!E17))))/Inputs!$B$43),IF(Inputs!$B$38="pvp",MIN((Skills!T17*(1+(Inputs!$B$34+IF(Inputs!$B$3&gt;=117,F1479,0))/100)),15)/15,(Skills!T17*(1+(Inputs!$B$34+IF(Inputs!$B$3&gt;=117,F1479,0))/100))/Skills!E17)))/100)*IF(C1473=TRUE,(1+F1473*IF(AND(Inputs!$B$38&lt;&gt;"pvp",Inputs!$B$43&gt;0),(((R1473-1)*(Skills!T19*(1+(Inputs!$B$34+IF(Inputs!$B$3&gt;=117,F1479,0))/100))+MIN((Skills!T19*(1+(Inputs!$B$34+IF(Inputs!$B$3&gt;=117,F1479,0))/100)),MAX(0,Inputs!$B$43-((R1473-1)*Skills!E19))))/Inputs!$B$43),IF(Inputs!$B$38="pvp",MIN((Skills!T19*(1+(Inputs!$B$34+IF(Inputs!$B$3&gt;=117,F1479,0))/100)),15)/15,(Skills!T19*(1+(Inputs!$B$34+IF(Inputs!$B$3&gt;=117,F1479,0))/100))/Skills!E19))/100),1)</f>
        <v/>
      </c>
    </row>
    <row r="1487">
      <c r="A1487" t="inlineStr">
        <is>
          <t>Attack Speed Buff Bonus % (Nimble Feet, averaged)</t>
        </is>
      </c>
      <c r="B1487">
        <f>F1472*IF(AND(Inputs!$B$38&lt;&gt;"pvp",Inputs!$B$43&gt;0),(((R1472-1)*(Skills!T18*(1+(Inputs!$B$34+IF(Inputs!$B$3&gt;=117,F1479,0))/100))+MIN((Skills!T18*(1+(Inputs!$B$34+IF(Inputs!$B$3&gt;=117,F1479,0))/100)),MAX(0,Inputs!$B$43-((R1472-1)*Skills!E18))))/Inputs!$B$43),IF(Inputs!$B$38="pvp",MIN((Skills!T18*(1+(Inputs!$B$34+IF(Inputs!$B$3&gt;=117,F1479,0))/100)),15)/15,(Skills!T18*(1+(Inputs!$B$34+IF(Inputs!$B$3&gt;=117,F1479,0))/100))/Skills!E18))</f>
        <v/>
      </c>
    </row>
    <row r="1488">
      <c r="A1488" t="inlineStr">
        <is>
          <t>Actions Per Second</t>
        </is>
      </c>
      <c r="B1488">
        <f>1+MIN(150,150*(1-(1-Inputs!$B$11/150)*(1-B1487/150)))/100</f>
        <v/>
      </c>
    </row>
    <row r="1489">
      <c r="A1489" t="inlineStr">
        <is>
          <t>Skill + Buff Cast Rate</t>
        </is>
      </c>
      <c r="B1489">
        <f>IF(AND(Inputs!$B$38&lt;&gt;"pvp",Inputs!$B$43&gt;0),SUMPRODUCT((Skills!F2:F28=TRUE)*(C1456:C1482=TRUE)*R1456:R1482)/Inputs!$B$43,SUMPRODUCT((Skills!F2:F28=TRUE)*(C1456:C1482=TRUE)*Q1456:Q1482))</f>
        <v/>
      </c>
    </row>
    <row r="1490">
      <c r="A1490" t="inlineStr">
        <is>
          <t>Basic Attacks Per Second</t>
        </is>
      </c>
      <c r="B1490">
        <f>MAX(0,B1488-B1489)</f>
        <v/>
      </c>
    </row>
    <row r="1491">
      <c r="A1491" t="inlineStr">
        <is>
          <t>Meteor Proc — combined trigger cast rate</t>
        </is>
      </c>
      <c r="B1491">
        <f>IF(AND(Inputs!$B$38&lt;&gt;"pvp",Inputs!$B$43&gt;0),SUMPRODUCT((Skills!V2:V28=TRUE)*(C1456:C1482=TRUE)*R1456:R1482*Skills!W2:W28)/Inputs!$B$43,SUMPRODUCT((Skills!V2:V28=TRUE)*(C1456:C1482=TRUE)*Q1456:Q1482*Skills!W2:W28))+B1490</f>
        <v/>
      </c>
    </row>
    <row r="1492">
      <c r="A1492" t="inlineStr">
        <is>
          <t>Buff-Casting Startup Delay (s, fixed-duration only)</t>
        </is>
      </c>
      <c r="B1492">
        <f>IF(AND(Inputs!$B$38&lt;&gt;"pvp",Inputs!$B$43&gt;0),SUMPRODUCT((Skills!T2:T28&gt;0)*(Skills!F2:F28=TRUE)*(C1456:C1482=TRUE))/B1488,0)</f>
        <v/>
      </c>
    </row>
    <row r="1493">
      <c r="A1493" t="inlineStr">
        <is>
          <t>Boss-Only Total DPS (this block's swept value)</t>
        </is>
      </c>
      <c r="B1493">
        <f>SUM(S1456:S1482)</f>
        <v/>
      </c>
    </row>
    <row r="1494">
      <c r="A1494" t="inlineStr">
        <is>
          <t>Normal-Only Total DPS (this block's swept value)</t>
        </is>
      </c>
      <c r="B1494">
        <f>SUM(U1456:U1482)</f>
        <v/>
      </c>
    </row>
    <row r="1495">
      <c r="A1495" s="5" t="inlineStr">
        <is>
          <t>TOTAL DPS</t>
        </is>
      </c>
      <c r="B1495" s="5">
        <f>SUM(O1456:O1482)</f>
        <v/>
      </c>
    </row>
    <row r="1498">
      <c r="A1498" s="5" t="inlineStr">
        <is>
          <t>Stat: CDR = 4.5s</t>
        </is>
      </c>
    </row>
    <row r="1499">
      <c r="A1499" s="9" t="inlineStr">
        <is>
          <t>Key</t>
        </is>
      </c>
      <c r="B1499" s="9" t="inlineStr">
        <is>
          <t>Name</t>
        </is>
      </c>
      <c r="C1499" s="9" t="inlineStr">
        <is>
          <t>Unlocked</t>
        </is>
      </c>
      <c r="D1499" s="9" t="inlineStr">
        <is>
          <t>InputLevel</t>
        </is>
      </c>
      <c r="E1499" s="9" t="inlineStr">
        <is>
          <t>Factor</t>
        </is>
      </c>
      <c r="F1499" s="9" t="inlineStr">
        <is>
          <t>CoefficientPercent</t>
        </is>
      </c>
      <c r="G1499" s="9" t="inlineStr">
        <is>
          <t>EffectiveHits</t>
        </is>
      </c>
      <c r="H1499" s="9" t="inlineStr">
        <is>
          <t>ProcProbability</t>
        </is>
      </c>
      <c r="I1499" s="9" t="inlineStr">
        <is>
          <t>MapleHeroMultiplier</t>
        </is>
      </c>
      <c r="J1499" s="9" t="inlineStr">
        <is>
          <t>BaseDamage</t>
        </is>
      </c>
      <c r="K1499" s="9" t="inlineStr">
        <is>
          <t>BaseHitDamage</t>
        </is>
      </c>
      <c r="L1499" s="9" t="inlineStr">
        <is>
          <t>NonCritAvg</t>
        </is>
      </c>
      <c r="M1499" s="9" t="inlineStr">
        <is>
          <t>CritAvg</t>
        </is>
      </c>
      <c r="N1499" s="9" t="inlineStr">
        <is>
          <t>ExpectedDamage(perHit)</t>
        </is>
      </c>
      <c r="O1499" s="9" t="inlineStr">
        <is>
          <t>DPS</t>
        </is>
      </c>
      <c r="P1499" s="9" t="inlineStr">
        <is>
          <t>% of Total</t>
        </is>
      </c>
      <c r="R1499" t="inlineStr">
        <is>
          <t>helpers</t>
        </is>
      </c>
    </row>
    <row r="1500">
      <c r="A1500">
        <f>Skills!A2</f>
        <v/>
      </c>
      <c r="B1500">
        <f>Skills!B2</f>
        <v/>
      </c>
      <c r="C1500">
        <f>TRUE</f>
        <v/>
      </c>
      <c r="D1500" t="inlineStr"/>
      <c r="E1500" t="inlineStr"/>
      <c r="F1500">
        <f>T1502+Skills!O2</f>
        <v/>
      </c>
      <c r="G1500">
        <f>Calc!G2</f>
        <v/>
      </c>
      <c r="H1500">
        <f>Calc!H2</f>
        <v/>
      </c>
      <c r="I1500">
        <f>IF(Skills!X2&lt;&gt;"",1+(Skills!X2/10)*(Z1501/1000)/100,1)</f>
        <v/>
      </c>
      <c r="J1500">
        <f>((Inputs!$B$6*(1+Inputs!$B$7/100))+(((Inputs!$B$12*(1+Inputs!$B$13/100))-(Inputs!$B$12*(1+Inputs!$B$13/100)))+0.25*(Inputs!$B$14-Inputs!$B$14))*(1+Inputs!$B$7/100))*(F1500/100)</f>
        <v/>
      </c>
      <c r="K1500">
        <f>J1500*(1+((Inputs!$B$12*(1+Inputs!$B$13/100))*0.01+Inputs!$B$14*0.0025)/100)*(1+Inputs!$B$15/100)*(1+Inputs!$B$16/100)*(5000/(6000+Inputs!$B$42*(1-Inputs!$B$19/100)))*(1+Inputs!$B$24/100)*(1+F1521/100)*(1+IF(Inputs!$B$3&gt;=120,F1524,0)/100)^5*(1+(IF(Skills!A2="BASIC_ATTACK",Inputs!$B$17,Inputs!$B$18+IF(Inputs!$B$3&gt;=125,F1525*5,0)))/100)*(B1528*B1529*B1530*I1500)</f>
        <v/>
      </c>
      <c r="L1500">
        <f>K1500*(MIN(Inputs!$B$22+(F1520-Calc!F22),Inputs!$B$23)/100+Inputs!$B$23/100)/2</f>
        <v/>
      </c>
      <c r="M1500">
        <f>L1500*(1+(Inputs!$B$10+(F1519-Calc!F21))/100)</f>
        <v/>
      </c>
      <c r="N1500">
        <f>L1500*(1-MIN(Inputs!$B$9+(F1518-Calc!F20),100)/100)+M1500*(MIN(Inputs!$B$9+(F1518-Calc!F20),100)/100)</f>
        <v/>
      </c>
      <c r="O1500">
        <f>(1-Summary!$B$56)*S1500+Summary!$B$56*U1500</f>
        <v/>
      </c>
      <c r="P1500">
        <f>IF(B1539=0,0,O1500/B1539)</f>
        <v/>
      </c>
      <c r="Q1500">
        <f>IFERROR(1/IF(Inputs!$B$38="pvp",15,MAX(0.1,Skills!E2-IF(Skills!F2=TRUE,4.5,0))),0)</f>
        <v/>
      </c>
      <c r="R1500" t="n">
        <v>0</v>
      </c>
      <c r="S1500">
        <f>(Skills!G2*N1500*B1534)*IF(Inputs!$B$38="pvp",1,1+(Inputs!$B$20+Skills!P2)/100)</f>
        <v/>
      </c>
      <c r="T1500">
        <f>MAX(0,(Inputs!$B$3-100)*3)+Inputs!$B$28+Inputs!$B$29</f>
        <v/>
      </c>
      <c r="U1500">
        <f>(Skills!G2*N1500*B1534)*IF(Inputs!$B$38="pvp",1,(1+(Inputs!$B$21+Skills!Q2)/100)*(MIN((6+Inputs!$B$33+IF(Inputs!$B$3&gt;=136,1,0)),Inputs!$B$37)))</f>
        <v/>
      </c>
      <c r="Z1500">
        <f>MAX(0,(Inputs!$B$3-100)*3)+Inputs!$B$28+Inputs!$B$29</f>
        <v/>
      </c>
    </row>
    <row r="1501">
      <c r="A1501">
        <f>Skills!A3</f>
        <v/>
      </c>
      <c r="B1501">
        <f>Skills!B3</f>
        <v/>
      </c>
      <c r="C1501">
        <f>TRUE</f>
        <v/>
      </c>
      <c r="D1501">
        <f>IF(Skills!C3=1,60+Inputs!$B$25+Inputs!$B$29,IF(Skills!C3=2,90+Inputs!$B$26+Inputs!$B$29,IF(Skills!C3=3,120+Inputs!$B$27+Inputs!$B$29,MAX(0,(Inputs!$B$3-100)*3)+Inputs!$B$28+Inputs!$B$29)))</f>
        <v/>
      </c>
      <c r="E1501">
        <f>INDEX(FactorTable!$B$2:$Y$301, MATCH(ROUND(MIN(300,MAX(1,D1501)),0), FactorTable!$A$2:$A$301,0), Skills!M3+1)</f>
        <v/>
      </c>
      <c r="F1501">
        <f>IF(Skills!N3=TRUE,(Skills!L3/10)*(E1501/1000),Skills!L3/10)+Skills!O3</f>
        <v/>
      </c>
      <c r="G1501">
        <f>Calc!G3</f>
        <v/>
      </c>
      <c r="H1501">
        <f>Calc!H3</f>
        <v/>
      </c>
      <c r="I1501">
        <f>IF(Skills!X3&lt;&gt;"",1+(Skills!X3/10)*(Z1501/1000)/100,1)</f>
        <v/>
      </c>
      <c r="J1501">
        <f>((Inputs!$B$6*(1+Inputs!$B$7/100))+(((Inputs!$B$12*(1+Inputs!$B$13/100))-(Inputs!$B$12*(1+Inputs!$B$13/100)))+0.25*(Inputs!$B$14-Inputs!$B$14))*(1+Inputs!$B$7/100))*(F1501/100)</f>
        <v/>
      </c>
      <c r="K1501">
        <f>J1501*(1+((Inputs!$B$12*(1+Inputs!$B$13/100))*0.01+Inputs!$B$14*0.0025)/100)*(1+Inputs!$B$15/100)*(1+Inputs!$B$16/100)*(5000/(6000+Inputs!$B$42*(1-Inputs!$B$19/100)))*(1+Inputs!$B$24/100)*(1+F1521/100)*(1+IF(Inputs!$B$3&gt;=120,F1524,0)/100)^5*(1+(IF(Skills!A3="BASIC_ATTACK",Inputs!$B$17,Inputs!$B$18+IF(Inputs!$B$3&gt;=125,F1525*5,0)))/100)*(B1528*B1529*B1530*I1501)</f>
        <v/>
      </c>
      <c r="L1501">
        <f>K1501*(MIN(Inputs!$B$22+(F1520-Calc!F22),Inputs!$B$23)/100+Inputs!$B$23/100)/2</f>
        <v/>
      </c>
      <c r="M1501">
        <f>L1501*(1+(Inputs!$B$10+(F1519-Calc!F21))/100)</f>
        <v/>
      </c>
      <c r="N1501">
        <f>L1501*(1-MIN(Inputs!$B$9+(F1518-Calc!F20),100)/100)+M1501*(MIN(Inputs!$B$9+(F1518-Calc!F20),100)/100)</f>
        <v/>
      </c>
      <c r="O1501">
        <f>(1-Summary!$B$56)*S1501+Summary!$B$56*U1501</f>
        <v/>
      </c>
      <c r="P1501">
        <f>IF(B1539=0,0,O1501/B1539)</f>
        <v/>
      </c>
      <c r="Q1501">
        <f>IFERROR(1/IF(Inputs!$B$38="pvp",15,MAX(0.1,Skills!E3-IF(Skills!F3=TRUE,4.5,0))),0)</f>
        <v/>
      </c>
      <c r="R1501">
        <f>IF(AND(Inputs!$B$38&lt;&gt;"pvp",Inputs!$B$43&gt;0),IF(MAX(0,Inputs!$B$43-B1536)&lt;=0,0,(INT(MAX(0,Inputs!$B$43-B1536)/IF(Inputs!$B$38="pvp",15,MAX(0.1,Skills!E3-IF(Skills!F3=TRUE,4.5,0))))+1)),0)</f>
        <v/>
      </c>
      <c r="S1501">
        <f>IF(C1501,(H1501*N1501*IF(AND(Inputs!$B$38&lt;&gt;"pvp",Inputs!$B$43&gt;0),((Skills!G3*((R1501-1)*IF(Skills!H3&gt;0,Skills!I3/Skills!H3,1)+IF(Skills!H3&gt;0,MIN(Skills!I3,MAX(0,MAX(0,Inputs!$B$43-B1536)-((R1501-1)*IF(Inputs!$B$38="pvp",15,MAX(0.1,Skills!E3-IF(Skills!F3=TRUE,4.5,0))))))/Skills!H3,1)))/Inputs!$B$43),G1501*Q1501))*IF(Inputs!$B$38="pvp",1,1+(Inputs!$B$20+Skills!P3)/100),0)</f>
        <v/>
      </c>
      <c r="T1501">
        <f>INDEX(FactorTable!$B$2:$Y$301, MATCH(ROUND(MIN(300,MAX(1,T1500)),0), FactorTable!$A$2:$A$301,0), 22)</f>
        <v/>
      </c>
      <c r="U1501">
        <f>IF(C1501,(H1501*N1501*IF(AND(Inputs!$B$38&lt;&gt;"pvp",Inputs!$B$43&gt;0),((Skills!G3*((R1501-1)*IF(Skills!H3&gt;0,Skills!I3/Skills!H3,1)+IF(Skills!H3&gt;0,MIN(Skills!I3,MAX(0,MAX(0,Inputs!$B$43-B1536)-((R1501-1)*IF(Inputs!$B$38="pvp",15,MAX(0.1,Skills!E3-IF(Skills!F3=TRUE,4.5,0))))))/Skills!H3,1)))/Inputs!$B$43),G1501*Q1501))*IF(Inputs!$B$38="pvp",1,(1+(Inputs!$B$21+Skills!Q3)/100)*(MIN(Skills!R3,Inputs!$B$37))),0)</f>
        <v/>
      </c>
      <c r="Z1501">
        <f>INDEX(FactorTable!$B$2:$Y$301, MATCH(ROUND(MIN(300,MAX(1,Z1500)),0), FactorTable!$A$2:$A$301,0), 24)</f>
        <v/>
      </c>
    </row>
    <row r="1502">
      <c r="A1502">
        <f>Skills!A4</f>
        <v/>
      </c>
      <c r="B1502">
        <f>Skills!B4</f>
        <v/>
      </c>
      <c r="C1502">
        <f>TRUE</f>
        <v/>
      </c>
      <c r="D1502">
        <f>IF(Skills!C4=1,60+Inputs!$B$25+Inputs!$B$29,IF(Skills!C4=2,90+Inputs!$B$26+Inputs!$B$29,IF(Skills!C4=3,120+Inputs!$B$27+Inputs!$B$29,MAX(0,(Inputs!$B$3-100)*3)+Inputs!$B$28+Inputs!$B$29)))</f>
        <v/>
      </c>
      <c r="E1502">
        <f>INDEX(FactorTable!$B$2:$Y$301, MATCH(ROUND(MIN(300,MAX(1,D1502)),0), FactorTable!$A$2:$A$301,0), Skills!M4+1)</f>
        <v/>
      </c>
      <c r="F1502">
        <f>IF(Skills!N4=TRUE,(Skills!L4/10)*(E1502/1000),Skills!L4/10)+Skills!O4</f>
        <v/>
      </c>
      <c r="G1502">
        <f>Calc!G4</f>
        <v/>
      </c>
      <c r="H1502">
        <f>Calc!H4</f>
        <v/>
      </c>
      <c r="I1502">
        <f>IF(Skills!X4&lt;&gt;"",1+(Skills!X4/10)*(Z1501/1000)/100,1)</f>
        <v/>
      </c>
      <c r="J1502">
        <f>((Inputs!$B$6*(1+Inputs!$B$7/100))+(((Inputs!$B$12*(1+Inputs!$B$13/100))-(Inputs!$B$12*(1+Inputs!$B$13/100)))+0.25*(Inputs!$B$14-Inputs!$B$14))*(1+Inputs!$B$7/100))*(F1502/100)</f>
        <v/>
      </c>
      <c r="K1502">
        <f>J1502*(1+((Inputs!$B$12*(1+Inputs!$B$13/100))*0.01+Inputs!$B$14*0.0025)/100)*(1+Inputs!$B$15/100)*(1+Inputs!$B$16/100)*(5000/(6000+Inputs!$B$42*(1-Inputs!$B$19/100)))*(1+Inputs!$B$24/100)*(1+F1521/100)*(1+IF(Inputs!$B$3&gt;=120,F1524,0)/100)^5*(1+(IF(Skills!A4="BASIC_ATTACK",Inputs!$B$17,Inputs!$B$18+IF(Inputs!$B$3&gt;=125,F1525*5,0)))/100)*(B1528*B1529*B1530*I1502)</f>
        <v/>
      </c>
      <c r="L1502">
        <f>K1502*(MIN(Inputs!$B$22+(F1520-Calc!F22),Inputs!$B$23)/100+Inputs!$B$23/100)/2</f>
        <v/>
      </c>
      <c r="M1502">
        <f>L1502*(1+(Inputs!$B$10+(F1519-Calc!F21))/100)</f>
        <v/>
      </c>
      <c r="N1502">
        <f>L1502*(1-MIN(Inputs!$B$9+(F1518-Calc!F20),100)/100)+M1502*(MIN(Inputs!$B$9+(F1518-Calc!F20),100)/100)</f>
        <v/>
      </c>
      <c r="O1502">
        <f>(1-Summary!$B$56)*S1502+Summary!$B$56*U1502</f>
        <v/>
      </c>
      <c r="P1502">
        <f>IF(B1539=0,0,O1502/B1539)</f>
        <v/>
      </c>
      <c r="Q1502">
        <f>IFERROR(1/IF(Inputs!$B$38="pvp",15,MAX(0.1,Skills!E4-IF(Skills!F4=TRUE,4.5,0))),0)</f>
        <v/>
      </c>
      <c r="R1502">
        <f>IF(AND(Inputs!$B$38&lt;&gt;"pvp",Inputs!$B$43&gt;0),IF(MAX(0,Inputs!$B$43-B1536)&lt;=0,0,(INT(MAX(0,Inputs!$B$43-B1536)/IF(Inputs!$B$38="pvp",15,MAX(0.1,Skills!E4-IF(Skills!F4=TRUE,4.5,0))))+1)),0)</f>
        <v/>
      </c>
      <c r="S1502">
        <f>IF(C1502,(H1502*N1502*IF(AND(Inputs!$B$38&lt;&gt;"pvp",Inputs!$B$43&gt;0),((Skills!G4*((R1502-1)*IF(Skills!H4&gt;0,Skills!I4/Skills!H4,1)+IF(Skills!H4&gt;0,MIN(Skills!I4,MAX(0,MAX(0,Inputs!$B$43-B1536)-((R1502-1)*IF(Inputs!$B$38="pvp",15,MAX(0.1,Skills!E4-IF(Skills!F4=TRUE,4.5,0))))))/Skills!H4,1)))/Inputs!$B$43),G1502*Q1502))*IF(Inputs!$B$38="pvp",1,1+(Inputs!$B$20+Skills!P4)/100),0)</f>
        <v/>
      </c>
      <c r="T1502">
        <f>290*T1501/1000</f>
        <v/>
      </c>
      <c r="U1502">
        <f>IF(C1502,(H1502*N1502*IF(AND(Inputs!$B$38&lt;&gt;"pvp",Inputs!$B$43&gt;0),((Skills!G4*((R1502-1)*IF(Skills!H4&gt;0,Skills!I4/Skills!H4,1)+IF(Skills!H4&gt;0,MIN(Skills!I4,MAX(0,MAX(0,Inputs!$B$43-B1536)-((R1502-1)*IF(Inputs!$B$38="pvp",15,MAX(0.1,Skills!E4-IF(Skills!F4=TRUE,4.5,0))))))/Skills!H4,1)))/Inputs!$B$43),G1502*Q1502))*IF(Inputs!$B$38="pvp",1,(1+(Inputs!$B$21+Skills!Q4)/100)*(MIN(Skills!R4,Inputs!$B$37))),0)</f>
        <v/>
      </c>
    </row>
    <row r="1503">
      <c r="A1503">
        <f>Skills!A5</f>
        <v/>
      </c>
      <c r="B1503">
        <f>Skills!B5</f>
        <v/>
      </c>
      <c r="C1503">
        <f>TRUE</f>
        <v/>
      </c>
      <c r="D1503">
        <f>IF(Skills!C5=1,60+Inputs!$B$25+Inputs!$B$29,IF(Skills!C5=2,90+Inputs!$B$26+Inputs!$B$29,IF(Skills!C5=3,120+Inputs!$B$27+Inputs!$B$29,MAX(0,(Inputs!$B$3-100)*3)+Inputs!$B$28+Inputs!$B$29)))</f>
        <v/>
      </c>
      <c r="E1503">
        <f>INDEX(FactorTable!$B$2:$Y$301, MATCH(ROUND(MIN(300,MAX(1,D1503)),0), FactorTable!$A$2:$A$301,0), Skills!M5+1)</f>
        <v/>
      </c>
      <c r="F1503">
        <f>IF(Skills!N5=TRUE,(Skills!L5/10)*(E1503/1000),Skills!L5/10)+Skills!O5</f>
        <v/>
      </c>
      <c r="G1503">
        <f>Calc!G5</f>
        <v/>
      </c>
      <c r="H1503">
        <f>Calc!H5</f>
        <v/>
      </c>
      <c r="I1503">
        <f>IF(Skills!X5&lt;&gt;"",1+(Skills!X5/10)*(Z1501/1000)/100,1)</f>
        <v/>
      </c>
      <c r="J1503">
        <f>((Inputs!$B$6*(1+Inputs!$B$7/100))+(((Inputs!$B$12*(1+Inputs!$B$13/100))-(Inputs!$B$12*(1+Inputs!$B$13/100)))+0.25*(Inputs!$B$14-Inputs!$B$14))*(1+Inputs!$B$7/100))*(F1503/100)</f>
        <v/>
      </c>
      <c r="K1503">
        <f>J1503*(1+((Inputs!$B$12*(1+Inputs!$B$13/100))*0.01+Inputs!$B$14*0.0025)/100)*(1+Inputs!$B$15/100)*(1+Inputs!$B$16/100)*(5000/(6000+Inputs!$B$42*(1-Inputs!$B$19/100)))*(1+Inputs!$B$24/100)*(1+F1521/100)*(1+IF(Inputs!$B$3&gt;=120,F1524,0)/100)^5*(1+(IF(Skills!A5="BASIC_ATTACK",Inputs!$B$17,Inputs!$B$18+IF(Inputs!$B$3&gt;=125,F1525*5,0)))/100)*(B1528*B1529*B1530*I1503)</f>
        <v/>
      </c>
      <c r="L1503">
        <f>K1503*(MIN(Inputs!$B$22+(F1520-Calc!F22),Inputs!$B$23)/100+Inputs!$B$23/100)/2</f>
        <v/>
      </c>
      <c r="M1503">
        <f>L1503*(1+(Inputs!$B$10+(F1519-Calc!F21))/100)</f>
        <v/>
      </c>
      <c r="N1503">
        <f>L1503*(1-MIN(Inputs!$B$9+(F1518-Calc!F20),100)/100)+M1503*(MIN(Inputs!$B$9+(F1518-Calc!F20),100)/100)</f>
        <v/>
      </c>
      <c r="O1503">
        <f>(1-Summary!$B$56)*S1503+Summary!$B$56*U1503</f>
        <v/>
      </c>
      <c r="P1503">
        <f>IF(B1539=0,0,O1503/B1539)</f>
        <v/>
      </c>
      <c r="Q1503">
        <f>IFERROR(1/IF(Inputs!$B$38="pvp",15,MAX(0.1,Skills!E5-IF(Skills!F5=TRUE,4.5,0))),0)</f>
        <v/>
      </c>
      <c r="R1503">
        <f>IF(AND(Inputs!$B$38&lt;&gt;"pvp",Inputs!$B$43&gt;0),IF(MAX(0,Inputs!$B$43-B1536)&lt;=0,0,(INT(MAX(0,Inputs!$B$43-B1536)/IF(Inputs!$B$38="pvp",15,MAX(0.1,Skills!E5-IF(Skills!F5=TRUE,4.5,0))))+1)),0)</f>
        <v/>
      </c>
      <c r="S1503">
        <f>IF(C1503,(H1503*N1503*IF(AND(Inputs!$B$38&lt;&gt;"pvp",Inputs!$B$43&gt;0),((Skills!G5*((R1503-1)*IF(Skills!H5&gt;0,Skills!I5/Skills!H5,1)+IF(Skills!H5&gt;0,MIN(Skills!I5,MAX(0,MAX(0,Inputs!$B$43-B1536)-((R1503-1)*IF(Inputs!$B$38="pvp",15,MAX(0.1,Skills!E5-IF(Skills!F5=TRUE,4.5,0))))))/Skills!H5,1)))/Inputs!$B$43),G1503*Q1503))*IF(Inputs!$B$38="pvp",1,1+(Inputs!$B$20+Skills!P5)/100),0)</f>
        <v/>
      </c>
      <c r="U1503">
        <f>IF(C1503,(H1503*N1503*IF(AND(Inputs!$B$38&lt;&gt;"pvp",Inputs!$B$43&gt;0),((Skills!G5*((R1503-1)*IF(Skills!H5&gt;0,Skills!I5/Skills!H5,1)+IF(Skills!H5&gt;0,MIN(Skills!I5,MAX(0,MAX(0,Inputs!$B$43-B1536)-((R1503-1)*IF(Inputs!$B$38="pvp",15,MAX(0.1,Skills!E5-IF(Skills!F5=TRUE,4.5,0))))))/Skills!H5,1)))/Inputs!$B$43),G1503*Q1503))*IF(Inputs!$B$38="pvp",1,(1+(Inputs!$B$21+Skills!Q5)/100)*(MIN(Skills!R5,Inputs!$B$37))),0)</f>
        <v/>
      </c>
    </row>
    <row r="1504">
      <c r="A1504">
        <f>Skills!A6</f>
        <v/>
      </c>
      <c r="B1504">
        <f>Skills!B6</f>
        <v/>
      </c>
      <c r="C1504">
        <f>TRUE</f>
        <v/>
      </c>
      <c r="D1504">
        <f>IF(Skills!C6=1,60+Inputs!$B$25+Inputs!$B$29,IF(Skills!C6=2,90+Inputs!$B$26+Inputs!$B$29,IF(Skills!C6=3,120+Inputs!$B$27+Inputs!$B$29,MAX(0,(Inputs!$B$3-100)*3)+Inputs!$B$28+Inputs!$B$29)))</f>
        <v/>
      </c>
      <c r="E1504">
        <f>INDEX(FactorTable!$B$2:$Y$301, MATCH(ROUND(MIN(300,MAX(1,D1504)),0), FactorTable!$A$2:$A$301,0), Skills!M6+1)</f>
        <v/>
      </c>
      <c r="F1504">
        <f>IF(Skills!N6=TRUE,(Skills!L6/10)*(E1504/1000),Skills!L6/10)+Skills!O6</f>
        <v/>
      </c>
      <c r="G1504">
        <f>Calc!G6</f>
        <v/>
      </c>
      <c r="H1504">
        <f>Calc!H6</f>
        <v/>
      </c>
      <c r="I1504">
        <f>IF(Skills!X6&lt;&gt;"",1+(Skills!X6/10)*(Z1501/1000)/100,1)</f>
        <v/>
      </c>
      <c r="J1504" t="inlineStr"/>
      <c r="K1504" t="inlineStr"/>
      <c r="L1504" t="inlineStr"/>
      <c r="M1504" t="inlineStr"/>
      <c r="N1504" t="inlineStr"/>
      <c r="O1504">
        <f>(1-Summary!$B$56)*S1504+Summary!$B$56*U1504</f>
        <v/>
      </c>
      <c r="P1504">
        <f>IF(B1539=0,0,O1504/B1539)</f>
        <v/>
      </c>
      <c r="Q1504">
        <f>IFERROR(1/IF(Inputs!$B$38="pvp",15,MAX(0.1,Skills!E6-IF(Skills!F6=TRUE,4.5,0))),0)</f>
        <v/>
      </c>
      <c r="R1504">
        <f>IF(AND(Inputs!$B$38&lt;&gt;"pvp",Inputs!$B$43&gt;0),IF(Inputs!$B$43&lt;=0,0,(INT(Inputs!$B$43/IF(Inputs!$B$38="pvp",15,MAX(0.1,Skills!E6-IF(Skills!F6=TRUE,4.5,0))))+1)),0)</f>
        <v/>
      </c>
      <c r="S1504" t="n">
        <v>0</v>
      </c>
      <c r="U1504" t="n">
        <v>0</v>
      </c>
    </row>
    <row r="1505">
      <c r="A1505">
        <f>Skills!A7</f>
        <v/>
      </c>
      <c r="B1505">
        <f>Skills!B7</f>
        <v/>
      </c>
      <c r="C1505">
        <f>TRUE</f>
        <v/>
      </c>
      <c r="D1505">
        <f>IF(Skills!C7=1,60+Inputs!$B$25+Inputs!$B$29,IF(Skills!C7=2,90+Inputs!$B$26+Inputs!$B$29,IF(Skills!C7=3,120+Inputs!$B$27+Inputs!$B$29,MAX(0,(Inputs!$B$3-100)*3)+Inputs!$B$28+Inputs!$B$29)))</f>
        <v/>
      </c>
      <c r="E1505">
        <f>INDEX(FactorTable!$B$2:$Y$301, MATCH(ROUND(MIN(300,MAX(1,D1505)),0), FactorTable!$A$2:$A$301,0), Skills!M7+1)</f>
        <v/>
      </c>
      <c r="F1505">
        <f>IF(Skills!N7=TRUE,(Skills!L7/10)*(E1505/1000),Skills!L7/10)+Skills!O7</f>
        <v/>
      </c>
      <c r="G1505">
        <f>Calc!G7</f>
        <v/>
      </c>
      <c r="H1505">
        <f>Calc!H7</f>
        <v/>
      </c>
      <c r="I1505">
        <f>IF(Skills!X7&lt;&gt;"",1+(Skills!X7/10)*(Z1501/1000)/100,1)</f>
        <v/>
      </c>
      <c r="J1505">
        <f>((Inputs!$B$6*(1+Inputs!$B$7/100))+(((Inputs!$B$12*(1+Inputs!$B$13/100))-(Inputs!$B$12*(1+Inputs!$B$13/100)))+0.25*(Inputs!$B$14-Inputs!$B$14))*(1+Inputs!$B$7/100))*(F1505/100)</f>
        <v/>
      </c>
      <c r="K1505">
        <f>J1505*(1+((Inputs!$B$12*(1+Inputs!$B$13/100))*0.01+Inputs!$B$14*0.0025)/100)*(1+Inputs!$B$15/100)*(1+Inputs!$B$16/100)*(5000/(6000+Inputs!$B$42*(1-Inputs!$B$19/100)))*(1+Inputs!$B$24/100)*(1+F1521/100)*(1+IF(Inputs!$B$3&gt;=120,F1524,0)/100)^5*(1+(IF(Skills!A7="BASIC_ATTACK",Inputs!$B$17,Inputs!$B$18+IF(Inputs!$B$3&gt;=125,F1525*5,0)))/100)*(B1528*B1529*B1530*I1505)</f>
        <v/>
      </c>
      <c r="L1505">
        <f>K1505*(MIN(Inputs!$B$22+(F1520-Calc!F22),Inputs!$B$23)/100+Inputs!$B$23/100)/2</f>
        <v/>
      </c>
      <c r="M1505">
        <f>L1505*(1+(Inputs!$B$10+(F1519-Calc!F21))/100)</f>
        <v/>
      </c>
      <c r="N1505">
        <f>L1505*(1-MIN(Inputs!$B$9+(F1518-Calc!F20),100)/100)+M1505*(MIN(Inputs!$B$9+(F1518-Calc!F20),100)/100)</f>
        <v/>
      </c>
      <c r="O1505">
        <f>(1-Summary!$B$56)*S1505+Summary!$B$56*U1505</f>
        <v/>
      </c>
      <c r="P1505">
        <f>IF(B1539=0,0,O1505/B1539)</f>
        <v/>
      </c>
      <c r="Q1505">
        <f>IFERROR(1/IF(Inputs!$B$38="pvp",15,MAX(0.1,Skills!E7-IF(Skills!F7=TRUE,4.5,0))),0)</f>
        <v/>
      </c>
      <c r="R1505">
        <f>IF(AND(Inputs!$B$38&lt;&gt;"pvp",Inputs!$B$43&gt;0),IF(MAX(0,Inputs!$B$43-B1536)&lt;=0,0,(INT(MAX(0,Inputs!$B$43-B1536)/IF(Inputs!$B$38="pvp",15,MAX(0.1,Skills!E7-IF(Skills!F7=TRUE,4.5,0))))+1)),0)</f>
        <v/>
      </c>
      <c r="S1505">
        <f>IF(C1505,(H1505*N1505*IF(AND(Inputs!$B$38&lt;&gt;"pvp",Inputs!$B$43&gt;0),((Skills!G7*((R1505-1)*IF(Skills!H7&gt;0,Skills!I7/Skills!H7,1)+IF(Skills!H7&gt;0,MIN(Skills!I7,MAX(0,MAX(0,Inputs!$B$43-B1536)-((R1505-1)*IF(Inputs!$B$38="pvp",15,MAX(0.1,Skills!E7-IF(Skills!F7=TRUE,4.5,0))))))/Skills!H7,1)))/Inputs!$B$43),G1505*Q1505))*IF(Inputs!$B$38="pvp",1,1+(Inputs!$B$20+Skills!P7)/100),0)</f>
        <v/>
      </c>
      <c r="U1505">
        <f>IF(C1505,(H1505*N1505*IF(AND(Inputs!$B$38&lt;&gt;"pvp",Inputs!$B$43&gt;0),((Skills!G7*((R1505-1)*IF(Skills!H7&gt;0,Skills!I7/Skills!H7,1)+IF(Skills!H7&gt;0,MIN(Skills!I7,MAX(0,MAX(0,Inputs!$B$43-B1536)-((R1505-1)*IF(Inputs!$B$38="pvp",15,MAX(0.1,Skills!E7-IF(Skills!F7=TRUE,4.5,0))))))/Skills!H7,1)))/Inputs!$B$43),G1505*Q1505))*IF(Inputs!$B$38="pvp",1,(1+(Inputs!$B$21+Skills!Q7)/100)*(MIN(Skills!R7,Inputs!$B$37))),0)</f>
        <v/>
      </c>
    </row>
    <row r="1506">
      <c r="A1506">
        <f>Skills!A8</f>
        <v/>
      </c>
      <c r="B1506">
        <f>Skills!B8</f>
        <v/>
      </c>
      <c r="C1506">
        <f>TRUE</f>
        <v/>
      </c>
      <c r="D1506">
        <f>IF(Skills!C8=1,60+Inputs!$B$25+Inputs!$B$29,IF(Skills!C8=2,90+Inputs!$B$26+Inputs!$B$29,IF(Skills!C8=3,120+Inputs!$B$27+Inputs!$B$29,MAX(0,(Inputs!$B$3-100)*3)+Inputs!$B$28+Inputs!$B$29)))</f>
        <v/>
      </c>
      <c r="E1506">
        <f>INDEX(FactorTable!$B$2:$Y$301, MATCH(ROUND(MIN(300,MAX(1,D1506)),0), FactorTable!$A$2:$A$301,0), Skills!M8+1)</f>
        <v/>
      </c>
      <c r="F1506">
        <f>IF(Skills!N8=TRUE,(Skills!L8/10)*(E1506/1000),Skills!L8/10)+Skills!O8</f>
        <v/>
      </c>
      <c r="G1506">
        <f>Calc!G8</f>
        <v/>
      </c>
      <c r="H1506">
        <f>Calc!H8</f>
        <v/>
      </c>
      <c r="I1506">
        <f>IF(Skills!X8&lt;&gt;"",1+(Skills!X8/10)*(Z1501/1000)/100,1)</f>
        <v/>
      </c>
      <c r="J1506">
        <f>((Inputs!$B$6*(1+Inputs!$B$7/100))+(((Inputs!$B$12*(1+Inputs!$B$13/100))-(Inputs!$B$12*(1+Inputs!$B$13/100)))+0.25*(Inputs!$B$14-Inputs!$B$14))*(1+Inputs!$B$7/100))*(F1506/100)</f>
        <v/>
      </c>
      <c r="K1506">
        <f>J1506*(1+((Inputs!$B$12*(1+Inputs!$B$13/100))*0.01+Inputs!$B$14*0.0025)/100)*(1+Inputs!$B$15/100)*(1+Inputs!$B$16/100)*(5000/(6000+Inputs!$B$42*(1-Inputs!$B$19/100)))*(1+Inputs!$B$24/100)*(1+F1521/100)*(1+IF(Inputs!$B$3&gt;=120,F1524,0)/100)^5*(1+(IF(Skills!A8="BASIC_ATTACK",Inputs!$B$17,Inputs!$B$18+IF(Inputs!$B$3&gt;=125,F1525*5,0)))/100)*(B1528*B1529*B1530*I1506)</f>
        <v/>
      </c>
      <c r="L1506">
        <f>K1506*(MIN(Inputs!$B$22+(F1520-Calc!F22),Inputs!$B$23)/100+Inputs!$B$23/100)/2</f>
        <v/>
      </c>
      <c r="M1506">
        <f>L1506*(1+(Inputs!$B$10+(F1519-Calc!F21))/100)</f>
        <v/>
      </c>
      <c r="N1506">
        <f>L1506*(1-MIN(Inputs!$B$9+(F1518-Calc!F20),100)/100)+M1506*(MIN(Inputs!$B$9+(F1518-Calc!F20),100)/100)</f>
        <v/>
      </c>
      <c r="O1506">
        <f>(1-Summary!$B$56)*S1506+Summary!$B$56*U1506</f>
        <v/>
      </c>
      <c r="P1506">
        <f>IF(B1539=0,0,O1506/B1539)</f>
        <v/>
      </c>
      <c r="Q1506">
        <f>IFERROR(1/IF(Inputs!$B$38="pvp",15,MAX(0.1,Skills!E8-IF(Skills!F8=TRUE,4.5,0))),0)</f>
        <v/>
      </c>
      <c r="R1506">
        <f>IF(AND(Inputs!$B$38&lt;&gt;"pvp",Inputs!$B$43&gt;0),IF(MAX(0,Inputs!$B$43-B1536)&lt;=0,0,(INT(MAX(0,Inputs!$B$43-B1536)/IF(Inputs!$B$38="pvp",15,MAX(0.1,Skills!E8-IF(Skills!F8=TRUE,4.5,0))))+1)),0)</f>
        <v/>
      </c>
      <c r="S1506">
        <f>IF(C1506,(H1506*N1506*IF(AND(Inputs!$B$38&lt;&gt;"pvp",Inputs!$B$43&gt;0),((Skills!G8*((R1506-1)*IF(Skills!H8&gt;0,Skills!I8/Skills!H8,1)+IF(Skills!H8&gt;0,MIN(Skills!I8,MAX(0,MAX(0,Inputs!$B$43-B1536)-((R1506-1)*IF(Inputs!$B$38="pvp",15,MAX(0.1,Skills!E8-IF(Skills!F8=TRUE,4.5,0))))))/Skills!H8,1)))/Inputs!$B$43),G1506*Q1506))*IF(Inputs!$B$38="pvp",1,1+(Inputs!$B$20+Skills!P8)/100),0)</f>
        <v/>
      </c>
      <c r="U1506">
        <f>IF(C1506,(H1506*N1506*IF(AND(Inputs!$B$38&lt;&gt;"pvp",Inputs!$B$43&gt;0),((Skills!G8*((R1506-1)*IF(Skills!H8&gt;0,Skills!I8/Skills!H8,1)+IF(Skills!H8&gt;0,MIN(Skills!I8,MAX(0,MAX(0,Inputs!$B$43-B1536)-((R1506-1)*IF(Inputs!$B$38="pvp",15,MAX(0.1,Skills!E8-IF(Skills!F8=TRUE,4.5,0))))))/Skills!H8,1)))/Inputs!$B$43),G1506*Q1506))*IF(Inputs!$B$38="pvp",1,(1+(Inputs!$B$21+Skills!Q8)/100)*(MIN(Skills!R8,Inputs!$B$37))),0)</f>
        <v/>
      </c>
    </row>
    <row r="1507">
      <c r="A1507">
        <f>Skills!A9</f>
        <v/>
      </c>
      <c r="B1507">
        <f>Skills!B9</f>
        <v/>
      </c>
      <c r="C1507">
        <f>Inputs!$B$3&gt;=103</f>
        <v/>
      </c>
      <c r="D1507">
        <f>IF(Skills!C9=1,60+Inputs!$B$25+Inputs!$B$29,IF(Skills!C9=2,90+Inputs!$B$26+Inputs!$B$29,IF(Skills!C9=3,120+Inputs!$B$27+Inputs!$B$29,MAX(0,(Inputs!$B$3-100)*3)+Inputs!$B$28+Inputs!$B$29)))</f>
        <v/>
      </c>
      <c r="E1507">
        <f>INDEX(FactorTable!$B$2:$Y$301, MATCH(ROUND(MIN(300,MAX(1,D1507)),0), FactorTable!$A$2:$A$301,0), Skills!M9+1)</f>
        <v/>
      </c>
      <c r="F1507">
        <f>IF(Skills!N9=TRUE,(Skills!L9/10)*(E1507/1000),Skills!L9/10)+Skills!O9</f>
        <v/>
      </c>
      <c r="G1507">
        <f>Calc!G9</f>
        <v/>
      </c>
      <c r="H1507">
        <f>Calc!H9</f>
        <v/>
      </c>
      <c r="I1507">
        <f>IF(Skills!X9&lt;&gt;"",1+(Skills!X9/10)*(Z1501/1000)/100,1)</f>
        <v/>
      </c>
      <c r="J1507">
        <f>((Inputs!$B$6*(1+Inputs!$B$7/100))+(((Inputs!$B$12*(1+Inputs!$B$13/100))-(Inputs!$B$12*(1+Inputs!$B$13/100)))+0.25*(Inputs!$B$14-Inputs!$B$14))*(1+Inputs!$B$7/100))*(F1507/100)</f>
        <v/>
      </c>
      <c r="K1507">
        <f>J1507*(1+((Inputs!$B$12*(1+Inputs!$B$13/100))*0.01+Inputs!$B$14*0.0025)/100)*(1+Inputs!$B$15/100)*(1+Inputs!$B$16/100)*(5000/(6000+Inputs!$B$42*(1-Inputs!$B$19/100)))*(1+Inputs!$B$24/100)*(1+F1521/100)*(1+IF(Inputs!$B$3&gt;=120,F1524,0)/100)^5*(1+(IF(Skills!A9="BASIC_ATTACK",Inputs!$B$17,Inputs!$B$18+IF(Inputs!$B$3&gt;=125,F1525*5,0)))/100)*(B1528*B1529*B1530*I1507)</f>
        <v/>
      </c>
      <c r="L1507">
        <f>K1507*(MIN(Inputs!$B$22+(F1520-Calc!F22),Inputs!$B$23)/100+Inputs!$B$23/100)/2</f>
        <v/>
      </c>
      <c r="M1507">
        <f>L1507*(1+(Inputs!$B$10+(F1519-Calc!F21))/100)</f>
        <v/>
      </c>
      <c r="N1507">
        <f>L1507*(1-MIN(Inputs!$B$9+(F1518-Calc!F20),100)/100)+M1507*(MIN(Inputs!$B$9+(F1518-Calc!F20),100)/100)</f>
        <v/>
      </c>
      <c r="O1507">
        <f>(1-Summary!$B$56)*S1507+Summary!$B$56*U1507</f>
        <v/>
      </c>
      <c r="P1507">
        <f>IF(B1539=0,0,O1507/B1539)</f>
        <v/>
      </c>
      <c r="Q1507">
        <f>IFERROR(1/IF(Inputs!$B$38="pvp",15,MAX(0.1,Skills!E9-IF(Skills!F7=TRUE,4.5,0))),0)</f>
        <v/>
      </c>
      <c r="R1507">
        <f>IF(AND(Inputs!$B$38&lt;&gt;"pvp",Inputs!$B$43&gt;0),IF(MAX(0,Inputs!$B$43-B1536)&lt;=0,0,(INT(MAX(0,Inputs!$B$43-B1536)/IF(Inputs!$B$38="pvp",15,MAX(0.1,Skills!E9-IF(Skills!F7=TRUE,4.5,0))))+1)),0)</f>
        <v/>
      </c>
      <c r="S1507">
        <f>IF(C1507,(H1507*N1507*IF(AND(Inputs!$B$38&lt;&gt;"pvp",Inputs!$B$43&gt;0),((Skills!G9*((R1507-1)*IF(Skills!H9&gt;0,Skills!I9/Skills!H9,1)+IF(Skills!H9&gt;0,MIN(Skills!I9,MAX(0,MAX(0,Inputs!$B$43-B1536)-((R1507-1)*IF(Inputs!$B$38="pvp",15,MAX(0.1,Skills!E9-IF(Skills!F7=TRUE,4.5,0))))))/Skills!H9,1)))/Inputs!$B$43),G1507*Q1507))*IF(Inputs!$B$38="pvp",1,1+(Inputs!$B$20+Skills!P9)/100),0)</f>
        <v/>
      </c>
      <c r="U1507">
        <f>IF(C1507,(H1507*N1507*IF(AND(Inputs!$B$38&lt;&gt;"pvp",Inputs!$B$43&gt;0),((Skills!G9*((R1507-1)*IF(Skills!H9&gt;0,Skills!I9/Skills!H9,1)+IF(Skills!H9&gt;0,MIN(Skills!I9,MAX(0,MAX(0,Inputs!$B$43-B1536)-((R1507-1)*IF(Inputs!$B$38="pvp",15,MAX(0.1,Skills!E9-IF(Skills!F7=TRUE,4.5,0))))))/Skills!H9,1)))/Inputs!$B$43),G1507*Q1507))*IF(Inputs!$B$38="pvp",1,(1+(Inputs!$B$21+Skills!Q9)/100)*(MIN(Skills!R9,Inputs!$B$37))),0)</f>
        <v/>
      </c>
    </row>
    <row r="1508">
      <c r="A1508">
        <f>Skills!A10</f>
        <v/>
      </c>
      <c r="B1508">
        <f>Skills!B10</f>
        <v/>
      </c>
      <c r="C1508">
        <f>TRUE</f>
        <v/>
      </c>
      <c r="D1508">
        <f>IF(Skills!C10=1,60+Inputs!$B$25+Inputs!$B$29,IF(Skills!C10=2,90+Inputs!$B$26+Inputs!$B$29,IF(Skills!C10=3,120+Inputs!$B$27+Inputs!$B$29,MAX(0,(Inputs!$B$3-100)*3)+Inputs!$B$28+Inputs!$B$29)))</f>
        <v/>
      </c>
      <c r="E1508">
        <f>INDEX(FactorTable!$B$2:$Y$301, MATCH(ROUND(MIN(300,MAX(1,D1508)),0), FactorTable!$A$2:$A$301,0), Skills!M10+1)</f>
        <v/>
      </c>
      <c r="F1508">
        <f>IF(Skills!N10=TRUE,(Skills!L10/10)*(E1508/1000),Skills!L10/10)+Skills!O10</f>
        <v/>
      </c>
      <c r="G1508">
        <f>Calc!G10</f>
        <v/>
      </c>
      <c r="H1508">
        <f>Calc!H10</f>
        <v/>
      </c>
      <c r="I1508">
        <f>IF(Skills!X10&lt;&gt;"",1+(Skills!X10/10)*(Z1501/1000)/100,1)</f>
        <v/>
      </c>
      <c r="J1508">
        <f>((Inputs!$B$6*(1+Inputs!$B$7/100))+(((Inputs!$B$12*(1+Inputs!$B$13/100))-(Inputs!$B$12*(1+Inputs!$B$13/100)))+0.25*(Inputs!$B$14-Inputs!$B$14))*(1+Inputs!$B$7/100))*(F1508/100)</f>
        <v/>
      </c>
      <c r="K1508">
        <f>J1508*(1+((Inputs!$B$12*(1+Inputs!$B$13/100))*0.01+Inputs!$B$14*0.0025)/100)*(1+Inputs!$B$15/100)*(1+Inputs!$B$16/100)*(5000/(6000+Inputs!$B$42*(1-Inputs!$B$19/100)))*(1+Inputs!$B$24/100)*(1+F1521/100)*(1+IF(Inputs!$B$3&gt;=120,F1524,0)/100)^5*(1+(IF(Skills!A10="BASIC_ATTACK",Inputs!$B$17,Inputs!$B$18+IF(Inputs!$B$3&gt;=125,F1525*5,0)))/100)*(B1528*B1529*B1530*I1508)</f>
        <v/>
      </c>
      <c r="L1508">
        <f>K1508*(MIN(Inputs!$B$22+(F1520-Calc!F22),Inputs!$B$23)/100+Inputs!$B$23/100)/2</f>
        <v/>
      </c>
      <c r="M1508">
        <f>L1508*(1+(Inputs!$B$10+(F1519-Calc!F21))/100)</f>
        <v/>
      </c>
      <c r="N1508">
        <f>L1508*(1-MIN(Inputs!$B$9+(F1518-Calc!F20),100)/100)+M1508*(MIN(Inputs!$B$9+(F1518-Calc!F20),100)/100)</f>
        <v/>
      </c>
      <c r="O1508">
        <f>(1-Summary!$B$56)*S1508+Summary!$B$56*U1508</f>
        <v/>
      </c>
      <c r="P1508">
        <f>IF(B1539=0,0,O1508/B1539)</f>
        <v/>
      </c>
      <c r="Q1508">
        <f>IFERROR(1/IF(Inputs!$B$38="pvp",15,MAX(0.1,Skills!E10-IF(Skills!F10=TRUE,4.5,0))),0)</f>
        <v/>
      </c>
      <c r="R1508">
        <f>IF(AND(Inputs!$B$38&lt;&gt;"pvp",Inputs!$B$43&gt;0),IF(MAX(0,Inputs!$B$43-B1536)&lt;=0,0,(INT(MAX(0,Inputs!$B$43-B1536)/IF(Inputs!$B$38="pvp",15,MAX(0.1,Skills!E10-IF(Skills!F10=TRUE,4.5,0))))+1)),0)</f>
        <v/>
      </c>
      <c r="S1508">
        <f>IF(C1508,(H1508*N1508*IF(AND(Inputs!$B$38&lt;&gt;"pvp",Inputs!$B$43&gt;0),((Skills!G10*((R1508-1)*IF(Skills!H10&gt;0,Skills!I10/Skills!H10,1)+IF(Skills!H10&gt;0,MIN(Skills!I10,MAX(0,MAX(0,Inputs!$B$43-B1536)-((R1508-1)*IF(Inputs!$B$38="pvp",15,MAX(0.1,Skills!E10-IF(Skills!F10=TRUE,4.5,0))))))/Skills!H10,1)))/Inputs!$B$43),G1508*Q1508))*IF(Inputs!$B$38="pvp",1,1+(Inputs!$B$20+Skills!P10)/100),0)</f>
        <v/>
      </c>
      <c r="U1508">
        <f>IF(C1508,(H1508*N1508*IF(AND(Inputs!$B$38&lt;&gt;"pvp",Inputs!$B$43&gt;0),((Skills!G10*((R1508-1)*IF(Skills!H10&gt;0,Skills!I10/Skills!H10,1)+IF(Skills!H10&gt;0,MIN(Skills!I10,MAX(0,MAX(0,Inputs!$B$43-B1536)-((R1508-1)*IF(Inputs!$B$38="pvp",15,MAX(0.1,Skills!E10-IF(Skills!F10=TRUE,4.5,0))))))/Skills!H10,1)))/Inputs!$B$43),G1508*Q1508))*IF(Inputs!$B$38="pvp",1,(1+(Inputs!$B$21+Skills!Q10)/100)*(MIN(Skills!R10,Inputs!$B$37))),0)</f>
        <v/>
      </c>
    </row>
    <row r="1509">
      <c r="A1509">
        <f>Skills!A11</f>
        <v/>
      </c>
      <c r="B1509">
        <f>Skills!B11</f>
        <v/>
      </c>
      <c r="C1509">
        <f>TRUE</f>
        <v/>
      </c>
      <c r="D1509">
        <f>IF(Skills!C11=1,60+Inputs!$B$25+Inputs!$B$29,IF(Skills!C11=2,90+Inputs!$B$26+Inputs!$B$29,IF(Skills!C11=3,120+Inputs!$B$27+Inputs!$B$29,MAX(0,(Inputs!$B$3-100)*3)+Inputs!$B$28+Inputs!$B$29)))</f>
        <v/>
      </c>
      <c r="E1509">
        <f>INDEX(FactorTable!$B$2:$Y$301, MATCH(ROUND(MIN(300,MAX(1,D1509)),0), FactorTable!$A$2:$A$301,0), Skills!M11+1)</f>
        <v/>
      </c>
      <c r="F1509">
        <f>IF(Skills!N11=TRUE,(Skills!L11/10)*(E1509/1000),Skills!L11/10)+Skills!O11</f>
        <v/>
      </c>
      <c r="G1509">
        <f>Calc!G11</f>
        <v/>
      </c>
      <c r="H1509">
        <f>Calc!H11</f>
        <v/>
      </c>
      <c r="I1509">
        <f>IF(Skills!X11&lt;&gt;"",1+(Skills!X11/10)*(Z1501/1000)/100,1)</f>
        <v/>
      </c>
      <c r="J1509" t="inlineStr"/>
      <c r="K1509" t="inlineStr"/>
      <c r="L1509" t="inlineStr"/>
      <c r="M1509" t="inlineStr"/>
      <c r="N1509" t="inlineStr"/>
      <c r="O1509">
        <f>(1-Summary!$B$56)*S1509+Summary!$B$56*U1509</f>
        <v/>
      </c>
      <c r="P1509">
        <f>IF(B1539=0,0,O1509/B1539)</f>
        <v/>
      </c>
      <c r="Q1509">
        <f>IFERROR(1/IF(Inputs!$B$38="pvp",15,MAX(0.1,Skills!E11-IF(Skills!F11=TRUE,4.5,0))),0)</f>
        <v/>
      </c>
      <c r="R1509" t="n">
        <v>0</v>
      </c>
      <c r="S1509" t="n">
        <v>0</v>
      </c>
      <c r="U1509" t="n">
        <v>0</v>
      </c>
    </row>
    <row r="1510">
      <c r="A1510">
        <f>Skills!A12</f>
        <v/>
      </c>
      <c r="B1510">
        <f>Skills!B12</f>
        <v/>
      </c>
      <c r="C1510">
        <f>TRUE</f>
        <v/>
      </c>
      <c r="D1510">
        <f>IF(Skills!C12=1,60+Inputs!$B$25+Inputs!$B$29,IF(Skills!C12=2,90+Inputs!$B$26+Inputs!$B$29,IF(Skills!C12=3,120+Inputs!$B$27+Inputs!$B$29,MAX(0,(Inputs!$B$3-100)*3)+Inputs!$B$28+Inputs!$B$29)))</f>
        <v/>
      </c>
      <c r="E1510">
        <f>INDEX(FactorTable!$B$2:$Y$301, MATCH(ROUND(MIN(300,MAX(1,D1510)),0), FactorTable!$A$2:$A$301,0), Skills!M12+1)</f>
        <v/>
      </c>
      <c r="F1510">
        <f>IF(Skills!N12=TRUE,(Skills!L12/10)*(E1510/1000),Skills!L12/10)+Skills!O12</f>
        <v/>
      </c>
      <c r="G1510">
        <f>Calc!G12</f>
        <v/>
      </c>
      <c r="H1510">
        <f>Calc!H12</f>
        <v/>
      </c>
      <c r="I1510">
        <f>IF(Skills!X12&lt;&gt;"",1+(Skills!X12/10)*(Z1501/1000)/100,1)</f>
        <v/>
      </c>
      <c r="J1510" t="inlineStr"/>
      <c r="K1510" t="inlineStr"/>
      <c r="L1510" t="inlineStr"/>
      <c r="M1510" t="inlineStr"/>
      <c r="N1510" t="inlineStr"/>
      <c r="O1510">
        <f>(1-Summary!$B$56)*S1510+Summary!$B$56*U1510</f>
        <v/>
      </c>
      <c r="P1510">
        <f>IF(B1539=0,0,O1510/B1539)</f>
        <v/>
      </c>
      <c r="Q1510">
        <f>IFERROR(1/IF(Inputs!$B$38="pvp",15,MAX(0.1,Skills!E12-IF(Skills!F12=TRUE,4.5,0))),0)</f>
        <v/>
      </c>
      <c r="R1510" t="n">
        <v>0</v>
      </c>
      <c r="S1510" t="n">
        <v>0</v>
      </c>
      <c r="U1510" t="n">
        <v>0</v>
      </c>
    </row>
    <row r="1511">
      <c r="A1511">
        <f>Skills!A13</f>
        <v/>
      </c>
      <c r="B1511">
        <f>Skills!B13</f>
        <v/>
      </c>
      <c r="C1511">
        <f>Inputs!$B$3&gt;=105</f>
        <v/>
      </c>
      <c r="D1511">
        <f>IF(Skills!C13=1,60+Inputs!$B$25+Inputs!$B$29,IF(Skills!C13=2,90+Inputs!$B$26+Inputs!$B$29,IF(Skills!C13=3,120+Inputs!$B$27+Inputs!$B$29,MAX(0,(Inputs!$B$3-100)*3)+Inputs!$B$28+Inputs!$B$29)))</f>
        <v/>
      </c>
      <c r="E1511">
        <f>INDEX(FactorTable!$B$2:$Y$301, MATCH(ROUND(MIN(300,MAX(1,D1511)),0), FactorTable!$A$2:$A$301,0), Skills!M13+1)</f>
        <v/>
      </c>
      <c r="F1511">
        <f>IF(Skills!N13=TRUE,(Skills!L13/10)*(E1511/1000),Skills!L13/10)+Skills!O13</f>
        <v/>
      </c>
      <c r="G1511">
        <f>Calc!G13</f>
        <v/>
      </c>
      <c r="H1511">
        <f>Calc!H13</f>
        <v/>
      </c>
      <c r="I1511">
        <f>IF(Skills!X13&lt;&gt;"",1+(Skills!X13/10)*(Z1501/1000)/100,1)</f>
        <v/>
      </c>
      <c r="J1511">
        <f>((Inputs!$B$6*(1+Inputs!$B$7/100))+(((Inputs!$B$12*(1+Inputs!$B$13/100))-(Inputs!$B$12*(1+Inputs!$B$13/100)))+0.25*(Inputs!$B$14-Inputs!$B$14))*(1+Inputs!$B$7/100))*(F1511/100)</f>
        <v/>
      </c>
      <c r="K1511">
        <f>J1511*(1+((Inputs!$B$12*(1+Inputs!$B$13/100))*0.01+Inputs!$B$14*0.0025)/100)*(1+Inputs!$B$15/100)*(1+Inputs!$B$16/100)*(5000/(6000+Inputs!$B$42*(1-Inputs!$B$19/100)))*(1+Inputs!$B$24/100)*(1+F1521/100)*(1+IF(Inputs!$B$3&gt;=120,F1524,0)/100)^5*(1+(IF(Skills!A13="BASIC_ATTACK",Inputs!$B$17,Inputs!$B$18+IF(Inputs!$B$3&gt;=125,F1525*5,0)))/100)*(B1528*B1529*B1530*I1511)</f>
        <v/>
      </c>
      <c r="L1511">
        <f>K1511*(MIN(Inputs!$B$22+(F1520-Calc!F22),Inputs!$B$23)/100+Inputs!$B$23/100)/2</f>
        <v/>
      </c>
      <c r="M1511">
        <f>L1511*(1+(Inputs!$B$10+(F1519-Calc!F21))/100)</f>
        <v/>
      </c>
      <c r="N1511">
        <f>L1511*(1-MIN(Inputs!$B$9+(F1518-Calc!F20),100)/100)+M1511*(MIN(Inputs!$B$9+(F1518-Calc!F20),100)/100)</f>
        <v/>
      </c>
      <c r="O1511">
        <f>(1-Summary!$B$56)*S1511+Summary!$B$56*U1511</f>
        <v/>
      </c>
      <c r="P1511">
        <f>IF(B1539=0,0,O1511/B1539)</f>
        <v/>
      </c>
      <c r="Q1511">
        <f>IFERROR(1/IF(Inputs!$B$38="pvp",15,MAX(0.1,Skills!E13-IF(Skills!F13=TRUE,4.5,0))),0)</f>
        <v/>
      </c>
      <c r="R1511">
        <f>IF(AND(Inputs!$B$38&lt;&gt;"pvp",Inputs!$B$43&gt;0),IF(MAX(0,Inputs!$B$43-B1536)&lt;=0,0,(INT(MAX(0,Inputs!$B$43-B1536)/IF(Inputs!$B$38="pvp",15,MAX(0.1,Skills!E13-IF(Skills!F13=TRUE,4.5,0))))+1)),0)</f>
        <v/>
      </c>
      <c r="S1511">
        <f>IF(C1511,(H1511*N1511*IF(AND(Inputs!$B$38&lt;&gt;"pvp",Inputs!$B$43&gt;0),((Skills!G13*((R1511-1)*IF(Skills!H13&gt;0,Skills!I13/Skills!H13,1)+IF(Skills!H13&gt;0,MIN(Skills!I13,MAX(0,MAX(0,Inputs!$B$43-B1536)-((R1511-1)*IF(Inputs!$B$38="pvp",15,MAX(0.1,Skills!E13-IF(Skills!F13=TRUE,4.5,0))))))/Skills!H13,1)))/Inputs!$B$43),G1511*Q1511))*IF(Inputs!$B$38="pvp",1,1+(Inputs!$B$20+Skills!P13)/100),0)</f>
        <v/>
      </c>
      <c r="U1511">
        <f>IF(C1511,(H1511*N1511*IF(AND(Inputs!$B$38&lt;&gt;"pvp",Inputs!$B$43&gt;0),((Skills!G13*((R1511-1)*IF(Skills!H13&gt;0,Skills!I13/Skills!H13,1)+IF(Skills!H13&gt;0,MIN(Skills!I13,MAX(0,MAX(0,Inputs!$B$43-B1536)-((R1511-1)*IF(Inputs!$B$38="pvp",15,MAX(0.1,Skills!E13-IF(Skills!F13=TRUE,4.5,0))))))/Skills!H13,1)))/Inputs!$B$43),G1511*Q1511))*IF(Inputs!$B$38="pvp",1,(1+(Inputs!$B$21+Skills!Q13)/100)*(MIN(Skills!R13,Inputs!$B$37))),0)</f>
        <v/>
      </c>
    </row>
    <row r="1512">
      <c r="A1512">
        <f>Skills!A14</f>
        <v/>
      </c>
      <c r="B1512">
        <f>Skills!B14</f>
        <v/>
      </c>
      <c r="C1512">
        <f>Inputs!$B$3&gt;=113</f>
        <v/>
      </c>
      <c r="D1512">
        <f>IF(Skills!C14=1,60+Inputs!$B$25+Inputs!$B$29,IF(Skills!C14=2,90+Inputs!$B$26+Inputs!$B$29,IF(Skills!C14=3,120+Inputs!$B$27+Inputs!$B$29,MAX(0,(Inputs!$B$3-100)*3)+Inputs!$B$28+Inputs!$B$29)))</f>
        <v/>
      </c>
      <c r="E1512">
        <f>INDEX(FactorTable!$B$2:$Y$301, MATCH(ROUND(MIN(300,MAX(1,D1512)),0), FactorTable!$A$2:$A$301,0), Skills!M14+1)</f>
        <v/>
      </c>
      <c r="F1512">
        <f>IF(Skills!N14=TRUE,(Skills!L14/10)*(E1512/1000),Skills!L14/10)+Skills!O14</f>
        <v/>
      </c>
      <c r="G1512">
        <f>Calc!G14</f>
        <v/>
      </c>
      <c r="H1512">
        <f>Calc!H14</f>
        <v/>
      </c>
      <c r="I1512">
        <f>IF(Skills!X14&lt;&gt;"",1+(Skills!X14/10)*(Z1501/1000)/100,1)</f>
        <v/>
      </c>
      <c r="J1512">
        <f>((Inputs!$B$6*(1+Inputs!$B$7/100))+(((Inputs!$B$12*(1+Inputs!$B$13/100))-(Inputs!$B$12*(1+Inputs!$B$13/100)))+0.25*(Inputs!$B$14-Inputs!$B$14))*(1+Inputs!$B$7/100))*(F1512/100)</f>
        <v/>
      </c>
      <c r="K1512">
        <f>J1512*(1+((Inputs!$B$12*(1+Inputs!$B$13/100))*0.01+Inputs!$B$14*0.0025)/100)*(1+Inputs!$B$15/100)*(1+Inputs!$B$16/100)*(5000/(6000+Inputs!$B$42*(1-Inputs!$B$19/100)))*(1+Inputs!$B$24/100)*(1+F1521/100)*(1+IF(Inputs!$B$3&gt;=120,F1524,0)/100)^5*(1+(IF(Skills!A14="BASIC_ATTACK",Inputs!$B$17,Inputs!$B$18+IF(Inputs!$B$3&gt;=125,F1525*5,0)))/100)*(B1528*B1529*B1530*I1512)</f>
        <v/>
      </c>
      <c r="L1512">
        <f>K1512*(MIN(Inputs!$B$22+(F1520-Calc!F22),Inputs!$B$23)/100+Inputs!$B$23/100)/2</f>
        <v/>
      </c>
      <c r="M1512">
        <f>L1512*(1+(Inputs!$B$10+(F1519-Calc!F21))/100)</f>
        <v/>
      </c>
      <c r="N1512">
        <f>L1512*(1-MIN(Inputs!$B$9+(F1518-Calc!F20),100)/100)+M1512*(MIN(Inputs!$B$9+(F1518-Calc!F20),100)/100)</f>
        <v/>
      </c>
      <c r="O1512">
        <f>(1-Summary!$B$56)*S1512+Summary!$B$56*U1512</f>
        <v/>
      </c>
      <c r="P1512">
        <f>IF(B1539=0,0,O1512/B1539)</f>
        <v/>
      </c>
      <c r="Q1512">
        <f>IFERROR(1/IF(Inputs!$B$38="pvp",15,MAX(0.1,Skills!E14-IF(Skills!F14=TRUE,4.5,0))),0)</f>
        <v/>
      </c>
      <c r="R1512" t="n">
        <v>0</v>
      </c>
      <c r="S1512">
        <f>IF(C1512,((H1512*B1535)/(1+Skills!H14*H1512*B1535)*N1512)*IF(Inputs!$B$38="pvp",1,1+(Inputs!$B$20+Skills!P14)/100),0)</f>
        <v/>
      </c>
      <c r="U1512">
        <f>IF(C1512,((H1512*B1535)/(1+Skills!H14*H1512*B1535)*N1512)*IF(Inputs!$B$38="pvp",1,(1+(Inputs!$B$21+Skills!Q14)/100)*(MIN(Skills!R14,Inputs!$B$37))),0)</f>
        <v/>
      </c>
    </row>
    <row r="1513">
      <c r="A1513">
        <f>Skills!A15</f>
        <v/>
      </c>
      <c r="B1513">
        <f>Skills!B15</f>
        <v/>
      </c>
      <c r="C1513">
        <f>Inputs!$B$3&gt;=107</f>
        <v/>
      </c>
      <c r="D1513">
        <f>IF(Skills!C15=1,60+Inputs!$B$25+Inputs!$B$29,IF(Skills!C15=2,90+Inputs!$B$26+Inputs!$B$29,IF(Skills!C15=3,120+Inputs!$B$27+Inputs!$B$29,MAX(0,(Inputs!$B$3-100)*3)+Inputs!$B$28+Inputs!$B$29)))</f>
        <v/>
      </c>
      <c r="E1513">
        <f>INDEX(FactorTable!$B$2:$Y$301, MATCH(ROUND(MIN(300,MAX(1,D1513)),0), FactorTable!$A$2:$A$301,0), Skills!M15+1)</f>
        <v/>
      </c>
      <c r="F1513">
        <f>IF(Skills!N15=TRUE,(Skills!L15/10)*(E1513/1000),Skills!L15/10)+Skills!O15</f>
        <v/>
      </c>
      <c r="G1513">
        <f>Calc!G15</f>
        <v/>
      </c>
      <c r="H1513">
        <f>Calc!H15</f>
        <v/>
      </c>
      <c r="I1513">
        <f>IF(Skills!X15&lt;&gt;"",1+(Skills!X15/10)*(Z1501/1000)/100,1)</f>
        <v/>
      </c>
      <c r="J1513">
        <f>((Inputs!$B$6*(1+Inputs!$B$7/100))+(((Inputs!$B$12*(1+Inputs!$B$13/100))-(Inputs!$B$12*(1+Inputs!$B$13/100)))+0.25*(Inputs!$B$14-Inputs!$B$14))*(1+Inputs!$B$7/100))*(F1513/100)</f>
        <v/>
      </c>
      <c r="K1513">
        <f>J1513*(1+((Inputs!$B$12*(1+Inputs!$B$13/100))*0.01+Inputs!$B$14*0.0025)/100)*(1+Inputs!$B$15/100)*(1+Inputs!$B$16/100)*(5000/(6000+Inputs!$B$42*(1-Inputs!$B$19/100)))*(1+Inputs!$B$24/100)*(1+F1521/100)*(1+IF(Inputs!$B$3&gt;=120,F1524,0)/100)^5*(1+(IF(Skills!A15="BASIC_ATTACK",Inputs!$B$17,Inputs!$B$18+IF(Inputs!$B$3&gt;=125,F1525*5,0)))/100)*(B1528*B1529*B1530*I1513)</f>
        <v/>
      </c>
      <c r="L1513">
        <f>K1513*(MIN(Inputs!$B$22+(F1520-Calc!F22),Inputs!$B$23)/100+Inputs!$B$23/100)/2</f>
        <v/>
      </c>
      <c r="M1513">
        <f>L1513*(1+(Inputs!$B$10+(F1519-Calc!F21))/100)</f>
        <v/>
      </c>
      <c r="N1513">
        <f>L1513*(1-MIN(Inputs!$B$9+(F1518-Calc!F20),100)/100)+M1513*(MIN(Inputs!$B$9+(F1518-Calc!F20),100)/100)</f>
        <v/>
      </c>
      <c r="O1513">
        <f>(1-Summary!$B$56)*S1513+Summary!$B$56*U1513</f>
        <v/>
      </c>
      <c r="P1513">
        <f>IF(B1539=0,0,O1513/B1539)</f>
        <v/>
      </c>
      <c r="Q1513">
        <f>IFERROR(1/IF(Inputs!$B$38="pvp",15,MAX(0.1,Skills!E15-IF(Skills!F15=TRUE,4.5,0))),0)</f>
        <v/>
      </c>
      <c r="R1513">
        <f>IF(AND(Inputs!$B$38&lt;&gt;"pvp",Inputs!$B$43&gt;0),IF(MAX(0,Inputs!$B$43-B1536)&lt;=0,0,(INT(MAX(0,Inputs!$B$43-B1536)/IF(Inputs!$B$38="pvp",15,MAX(0.1,Skills!E15-IF(Skills!F15=TRUE,4.5,0))))+1)),0)</f>
        <v/>
      </c>
      <c r="S1513">
        <f>IF(C1513,(H1513*N1513*IF(AND(Inputs!$B$38&lt;&gt;"pvp",Inputs!$B$43&gt;0),((Skills!G15*((R1513-1)*IF(Skills!H15&gt;0,Skills!I15/Skills!H15,1)+IF(Skills!H15&gt;0,MIN(Skills!I15,MAX(0,MAX(0,Inputs!$B$43-B1536)-((R1513-1)*IF(Inputs!$B$38="pvp",15,MAX(0.1,Skills!E15-IF(Skills!F15=TRUE,4.5,0))))))/Skills!H15,1)))/Inputs!$B$43),G1513*Q1513))*IF(Inputs!$B$38="pvp",1,1+(Inputs!$B$20+Skills!P15)/100),0)</f>
        <v/>
      </c>
      <c r="U1513">
        <f>IF(C1513,(H1513*N1513*IF(AND(Inputs!$B$38&lt;&gt;"pvp",Inputs!$B$43&gt;0),((Skills!G15*((R1513-1)*IF(Skills!H15&gt;0,Skills!I15/Skills!H15,1)+IF(Skills!H15&gt;0,MIN(Skills!I15,MAX(0,MAX(0,Inputs!$B$43-B1536)-((R1513-1)*IF(Inputs!$B$38="pvp",15,MAX(0.1,Skills!E15-IF(Skills!F15=TRUE,4.5,0))))))/Skills!H15,1)))/Inputs!$B$43),G1513*Q1513))*IF(Inputs!$B$38="pvp",1,(1+(Inputs!$B$21+Skills!Q15)/100)*(MIN(Skills!R15,Inputs!$B$37))),0)</f>
        <v/>
      </c>
    </row>
    <row r="1514">
      <c r="A1514">
        <f>Skills!A16</f>
        <v/>
      </c>
      <c r="B1514">
        <f>Skills!B16</f>
        <v/>
      </c>
      <c r="C1514">
        <f>Inputs!$B$3&gt;=107</f>
        <v/>
      </c>
      <c r="D1514">
        <f>IF(Skills!C16=1,60+Inputs!$B$25+Inputs!$B$29,IF(Skills!C16=2,90+Inputs!$B$26+Inputs!$B$29,IF(Skills!C16=3,120+Inputs!$B$27+Inputs!$B$29,MAX(0,(Inputs!$B$3-100)*3)+Inputs!$B$28+Inputs!$B$29)))</f>
        <v/>
      </c>
      <c r="E1514">
        <f>INDEX(FactorTable!$B$2:$Y$301, MATCH(ROUND(MIN(300,MAX(1,D1514)),0), FactorTable!$A$2:$A$301,0), Skills!M16+1)</f>
        <v/>
      </c>
      <c r="F1514">
        <f>IF(Skills!N16=TRUE,(Skills!L16/10)*(E1514/1000),Skills!L16/10)+Skills!O16</f>
        <v/>
      </c>
      <c r="G1514">
        <f>Calc!G16</f>
        <v/>
      </c>
      <c r="H1514">
        <f>Calc!H16</f>
        <v/>
      </c>
      <c r="I1514">
        <f>IF(Skills!X16&lt;&gt;"",1+(Skills!X16/10)*(Z1501/1000)/100,1)</f>
        <v/>
      </c>
      <c r="J1514">
        <f>((Inputs!$B$6*(1+Inputs!$B$7/100))+(((Inputs!$B$12*(1+Inputs!$B$13/100))-(Inputs!$B$12*(1+Inputs!$B$13/100)))+0.25*(Inputs!$B$14-Inputs!$B$14))*(1+Inputs!$B$7/100))*(F1514/100)</f>
        <v/>
      </c>
      <c r="K1514">
        <f>J1514*(1+((Inputs!$B$12*(1+Inputs!$B$13/100))*0.01+Inputs!$B$14*0.0025)/100)*(1+Inputs!$B$15/100)*(1+Inputs!$B$16/100)*(5000/(6000+Inputs!$B$42*(1-Inputs!$B$19/100)))*(1+Inputs!$B$24/100)*(1+F1521/100)*(1+IF(Inputs!$B$3&gt;=120,F1524,0)/100)^5*(1+(IF(Skills!A16="BASIC_ATTACK",Inputs!$B$17,Inputs!$B$18+IF(Inputs!$B$3&gt;=125,F1525*5,0)))/100)*(B1528*B1529*B1530*I1514)</f>
        <v/>
      </c>
      <c r="L1514">
        <f>K1514*(MIN(Inputs!$B$22+(F1520-Calc!F22),Inputs!$B$23)/100+Inputs!$B$23/100)/2</f>
        <v/>
      </c>
      <c r="M1514">
        <f>L1514*(1+(Inputs!$B$10+(F1519-Calc!F21))/100)</f>
        <v/>
      </c>
      <c r="N1514">
        <f>L1514*(1-MIN(Inputs!$B$9+(F1518-Calc!F20),100)/100)+M1514*(MIN(Inputs!$B$9+(F1518-Calc!F20),100)/100)</f>
        <v/>
      </c>
      <c r="O1514">
        <f>(1-Summary!$B$56)*S1514+Summary!$B$56*U1514</f>
        <v/>
      </c>
      <c r="P1514">
        <f>IF(B1539=0,0,O1514/B1539)</f>
        <v/>
      </c>
      <c r="Q1514">
        <f>IFERROR(1/IF(Inputs!$B$38="pvp",15,MAX(0.1,Skills!E16-IF(Skills!F16=TRUE,4.5,0))),0)</f>
        <v/>
      </c>
      <c r="R1514">
        <f>IF(AND(Inputs!$B$38&lt;&gt;"pvp",Inputs!$B$43&gt;0),IF(MAX(0,Inputs!$B$43-B1536)&lt;=0,0,(INT(MAX(0,Inputs!$B$43-B1536)/IF(Inputs!$B$38="pvp",15,MAX(0.1,Skills!E16-IF(Skills!F16=TRUE,4.5,0))))+1)),0)</f>
        <v/>
      </c>
      <c r="S1514">
        <f>IF(C1514,(H1514*N1514*IF(AND(Inputs!$B$38&lt;&gt;"pvp",Inputs!$B$43&gt;0),((Skills!G16*((R1514-1)*IF(Skills!H16&gt;0,Skills!I16/Skills!H16,1)+IF(Skills!H16&gt;0,MIN(Skills!I16,MAX(0,MAX(0,Inputs!$B$43-B1536)-((R1514-1)*IF(Inputs!$B$38="pvp",15,MAX(0.1,Skills!E16-IF(Skills!F16=TRUE,4.5,0))))))/Skills!H16,1)))/Inputs!$B$43),G1514*Q1514)*(1+IF(Inputs!$B$3&gt;=126,0.05*(B1534+Q1511+(H1512*B1535)/(1+Skills!H14*H1512*B1535)+Q1522),0)*Skills!E15))*IF(Inputs!$B$38="pvp",1,1+(Inputs!$B$20+Skills!P16)/100),0)</f>
        <v/>
      </c>
      <c r="U1514">
        <f>IF(C1514,(H1514*N1514*IF(AND(Inputs!$B$38&lt;&gt;"pvp",Inputs!$B$43&gt;0),((Skills!G16*((R1514-1)*IF(Skills!H16&gt;0,Skills!I16/Skills!H16,1)+IF(Skills!H16&gt;0,MIN(Skills!I16,MAX(0,MAX(0,Inputs!$B$43-B1536)-((R1514-1)*IF(Inputs!$B$38="pvp",15,MAX(0.1,Skills!E16-IF(Skills!F16=TRUE,4.5,0))))))/Skills!H16,1)))/Inputs!$B$43),G1514*Q1514)*(1+IF(Inputs!$B$3&gt;=126,0.05*(B1534+Q1511+(H1512*B1535)/(1+Skills!H14*H1512*B1535)+Q1522),0)*Skills!E15))*IF(Inputs!$B$38="pvp",1,(1+(Inputs!$B$21+Skills!Q16)/100)*(MIN(Skills!R16,Inputs!$B$37))),0)</f>
        <v/>
      </c>
    </row>
    <row r="1515">
      <c r="A1515">
        <f>Skills!A17</f>
        <v/>
      </c>
      <c r="B1515">
        <f>Skills!B17</f>
        <v/>
      </c>
      <c r="C1515">
        <f>TRUE</f>
        <v/>
      </c>
      <c r="D1515">
        <f>IF(Skills!C17=1,60+Inputs!$B$25+Inputs!$B$29,IF(Skills!C17=2,90+Inputs!$B$26+Inputs!$B$29,IF(Skills!C17=3,120+Inputs!$B$27+Inputs!$B$29,MAX(0,(Inputs!$B$3-100)*3)+Inputs!$B$28+Inputs!$B$29)))</f>
        <v/>
      </c>
      <c r="E1515">
        <f>INDEX(FactorTable!$B$2:$Y$301, MATCH(ROUND(MIN(300,MAX(1,D1515)),0), FactorTable!$A$2:$A$301,0), Skills!M17+1)</f>
        <v/>
      </c>
      <c r="F1515">
        <f>IF(Skills!N17=TRUE,(Skills!L17/10)*(E1515/1000),Skills!L17/10)+Skills!O17</f>
        <v/>
      </c>
      <c r="G1515">
        <f>Calc!G17</f>
        <v/>
      </c>
      <c r="H1515">
        <f>Calc!H17</f>
        <v/>
      </c>
      <c r="I1515">
        <f>IF(Skills!X17&lt;&gt;"",1+(Skills!X17/10)*(Z1501/1000)/100,1)</f>
        <v/>
      </c>
      <c r="J1515" t="inlineStr"/>
      <c r="K1515" t="inlineStr"/>
      <c r="L1515" t="inlineStr"/>
      <c r="M1515" t="inlineStr"/>
      <c r="N1515" t="inlineStr"/>
      <c r="O1515">
        <f>(1-Summary!$B$56)*S1515+Summary!$B$56*U1515</f>
        <v/>
      </c>
      <c r="P1515">
        <f>IF(B1539=0,0,O1515/B1539)</f>
        <v/>
      </c>
      <c r="Q1515">
        <f>IFERROR(1/IF(Inputs!$B$38="pvp",15,MAX(0.1,Skills!E17-IF(Skills!F17=TRUE,4.5,0))),0)</f>
        <v/>
      </c>
      <c r="R1515">
        <f>IF(AND(Inputs!$B$38&lt;&gt;"pvp",Inputs!$B$43&gt;0),IF(Inputs!$B$43&lt;=0,0,(INT(Inputs!$B$43/IF(Inputs!$B$38="pvp",15,MAX(0.1,Skills!E17-IF(Skills!F17=TRUE,4.5,0))))+1)),0)</f>
        <v/>
      </c>
      <c r="S1515" t="n">
        <v>0</v>
      </c>
      <c r="U1515" t="n">
        <v>0</v>
      </c>
    </row>
    <row r="1516">
      <c r="A1516">
        <f>Skills!A18</f>
        <v/>
      </c>
      <c r="B1516">
        <f>Skills!B18</f>
        <v/>
      </c>
      <c r="C1516">
        <f>TRUE</f>
        <v/>
      </c>
      <c r="D1516">
        <f>IF(Skills!C18=1,60+Inputs!$B$25+Inputs!$B$29,IF(Skills!C18=2,90+Inputs!$B$26+Inputs!$B$29,IF(Skills!C18=3,120+Inputs!$B$27+Inputs!$B$29,MAX(0,(Inputs!$B$3-100)*3)+Inputs!$B$28+Inputs!$B$29)))</f>
        <v/>
      </c>
      <c r="E1516">
        <f>INDEX(FactorTable!$B$2:$Y$301, MATCH(ROUND(MIN(300,MAX(1,D1516)),0), FactorTable!$A$2:$A$301,0), Skills!M18+1)</f>
        <v/>
      </c>
      <c r="F1516">
        <f>IF(Skills!N18=TRUE,(Skills!L18/10)*(E1516/1000),Skills!L18/10)+Skills!O18</f>
        <v/>
      </c>
      <c r="G1516">
        <f>Calc!G18</f>
        <v/>
      </c>
      <c r="H1516">
        <f>Calc!H18</f>
        <v/>
      </c>
      <c r="I1516">
        <f>IF(Skills!X18&lt;&gt;"",1+(Skills!X18/10)*(Z1501/1000)/100,1)</f>
        <v/>
      </c>
      <c r="J1516" t="inlineStr"/>
      <c r="K1516" t="inlineStr"/>
      <c r="L1516" t="inlineStr"/>
      <c r="M1516" t="inlineStr"/>
      <c r="N1516" t="inlineStr"/>
      <c r="O1516">
        <f>(1-Summary!$B$56)*S1516+Summary!$B$56*U1516</f>
        <v/>
      </c>
      <c r="P1516">
        <f>IF(B1539=0,0,O1516/B1539)</f>
        <v/>
      </c>
      <c r="Q1516">
        <f>IFERROR(1/IF(Inputs!$B$38="pvp",15,MAX(0.1,Skills!E18-IF(Skills!F18=TRUE,4.5,0))),0)</f>
        <v/>
      </c>
      <c r="R1516">
        <f>IF(AND(Inputs!$B$38&lt;&gt;"pvp",Inputs!$B$43&gt;0),IF(Inputs!$B$43&lt;=0,0,(INT(Inputs!$B$43/IF(Inputs!$B$38="pvp",15,MAX(0.1,Skills!E18-IF(Skills!F18=TRUE,4.5,0))))+1)),0)</f>
        <v/>
      </c>
      <c r="S1516" t="n">
        <v>0</v>
      </c>
      <c r="U1516" t="n">
        <v>0</v>
      </c>
    </row>
    <row r="1517">
      <c r="A1517">
        <f>Skills!A19</f>
        <v/>
      </c>
      <c r="B1517">
        <f>Skills!B19</f>
        <v/>
      </c>
      <c r="C1517">
        <f>Inputs!$B$3&gt;=110</f>
        <v/>
      </c>
      <c r="D1517">
        <f>IF(Skills!C19=1,60+Inputs!$B$25+Inputs!$B$29,IF(Skills!C19=2,90+Inputs!$B$26+Inputs!$B$29,IF(Skills!C19=3,120+Inputs!$B$27+Inputs!$B$29,MAX(0,(Inputs!$B$3-100)*3)+Inputs!$B$28+Inputs!$B$29)))</f>
        <v/>
      </c>
      <c r="E1517">
        <f>INDEX(FactorTable!$B$2:$Y$301, MATCH(ROUND(MIN(300,MAX(1,D1517)),0), FactorTable!$A$2:$A$301,0), Skills!M19+1)</f>
        <v/>
      </c>
      <c r="F1517">
        <f>IF(Skills!N19=TRUE,(Skills!L19/10)*(E1517/1000),Skills!L19/10)+Skills!O19</f>
        <v/>
      </c>
      <c r="G1517">
        <f>Calc!G19</f>
        <v/>
      </c>
      <c r="H1517">
        <f>Calc!H19</f>
        <v/>
      </c>
      <c r="I1517">
        <f>IF(Skills!X19&lt;&gt;"",1+(Skills!X19/10)*(Z1501/1000)/100,1)</f>
        <v/>
      </c>
      <c r="J1517" t="inlineStr"/>
      <c r="K1517" t="inlineStr"/>
      <c r="L1517" t="inlineStr"/>
      <c r="M1517" t="inlineStr"/>
      <c r="N1517" t="inlineStr"/>
      <c r="O1517">
        <f>(1-Summary!$B$56)*S1517+Summary!$B$56*U1517</f>
        <v/>
      </c>
      <c r="P1517">
        <f>IF(B1539=0,0,O1517/B1539)</f>
        <v/>
      </c>
      <c r="Q1517">
        <f>IFERROR(1/IF(Inputs!$B$38="pvp",15,MAX(0.1,Skills!E19-IF(Skills!F19=TRUE,4.5,0))),0)</f>
        <v/>
      </c>
      <c r="R1517">
        <f>IF(AND(Inputs!$B$38&lt;&gt;"pvp",Inputs!$B$43&gt;0),IF(Inputs!$B$43&lt;=0,0,(INT(Inputs!$B$43/IF(Inputs!$B$38="pvp",15,MAX(0.1,Skills!E19-IF(Skills!F19=TRUE,4.5,0))))+1)),0)</f>
        <v/>
      </c>
      <c r="S1517" t="n">
        <v>0</v>
      </c>
      <c r="U1517" t="n">
        <v>0</v>
      </c>
    </row>
    <row r="1518">
      <c r="A1518">
        <f>Skills!A20</f>
        <v/>
      </c>
      <c r="B1518">
        <f>Skills!B20</f>
        <v/>
      </c>
      <c r="C1518">
        <f>TRUE</f>
        <v/>
      </c>
      <c r="D1518">
        <f>IF(Skills!C20=1,60+Inputs!$B$25+Inputs!$B$29,IF(Skills!C20=2,90+Inputs!$B$26+Inputs!$B$29,IF(Skills!C20=3,120+Inputs!$B$27+Inputs!$B$29,MAX(0,(Inputs!$B$3-100)*3)+Inputs!$B$28+Inputs!$B$29)))</f>
        <v/>
      </c>
      <c r="E1518">
        <f>INDEX(FactorTable!$B$2:$Y$301, MATCH(ROUND(MIN(300,MAX(1,D1518)),0), FactorTable!$A$2:$A$301,0), Skills!M20+1)</f>
        <v/>
      </c>
      <c r="F1518">
        <f>IF(Skills!N20=TRUE,(Skills!L20/10)*(E1518/1000),Skills!L20/10)+Skills!O20</f>
        <v/>
      </c>
      <c r="G1518">
        <f>Calc!G20</f>
        <v/>
      </c>
      <c r="H1518">
        <f>Calc!H20</f>
        <v/>
      </c>
      <c r="I1518">
        <f>IF(Skills!X20&lt;&gt;"",1+(Skills!X20/10)*(Z1501/1000)/100,1)</f>
        <v/>
      </c>
      <c r="J1518" t="inlineStr"/>
      <c r="K1518" t="inlineStr"/>
      <c r="L1518" t="inlineStr"/>
      <c r="M1518" t="inlineStr"/>
      <c r="N1518" t="inlineStr"/>
      <c r="O1518">
        <f>(1-Summary!$B$56)*S1518+Summary!$B$56*U1518</f>
        <v/>
      </c>
      <c r="P1518">
        <f>IF(B1539=0,0,O1518/B1539)</f>
        <v/>
      </c>
      <c r="Q1518">
        <f>IFERROR(1/IF(Inputs!$B$38="pvp",15,MAX(0.1,Skills!E20-IF(Skills!F20=TRUE,4.5,0))),0)</f>
        <v/>
      </c>
      <c r="R1518" t="n">
        <v>0</v>
      </c>
      <c r="S1518" t="n">
        <v>0</v>
      </c>
      <c r="U1518" t="n">
        <v>0</v>
      </c>
    </row>
    <row r="1519">
      <c r="A1519">
        <f>Skills!A21</f>
        <v/>
      </c>
      <c r="B1519">
        <f>Skills!B21</f>
        <v/>
      </c>
      <c r="C1519">
        <f>TRUE</f>
        <v/>
      </c>
      <c r="D1519">
        <f>IF(Skills!C21=1,60+Inputs!$B$25+Inputs!$B$29,IF(Skills!C21=2,90+Inputs!$B$26+Inputs!$B$29,IF(Skills!C21=3,120+Inputs!$B$27+Inputs!$B$29,MAX(0,(Inputs!$B$3-100)*3)+Inputs!$B$28+Inputs!$B$29)))</f>
        <v/>
      </c>
      <c r="E1519">
        <f>INDEX(FactorTable!$B$2:$Y$301, MATCH(ROUND(MIN(300,MAX(1,D1519)),0), FactorTable!$A$2:$A$301,0), Skills!M21+1)</f>
        <v/>
      </c>
      <c r="F1519">
        <f>IF(Skills!N21=TRUE,(Skills!L21/10)*(E1519/1000),Skills!L21/10)+Skills!O21</f>
        <v/>
      </c>
      <c r="G1519">
        <f>Calc!G21</f>
        <v/>
      </c>
      <c r="H1519">
        <f>Calc!H21</f>
        <v/>
      </c>
      <c r="I1519">
        <f>IF(Skills!X21&lt;&gt;"",1+(Skills!X21/10)*(Z1501/1000)/100,1)</f>
        <v/>
      </c>
      <c r="J1519" t="inlineStr"/>
      <c r="K1519" t="inlineStr"/>
      <c r="L1519" t="inlineStr"/>
      <c r="M1519" t="inlineStr"/>
      <c r="N1519" t="inlineStr"/>
      <c r="O1519">
        <f>(1-Summary!$B$56)*S1519+Summary!$B$56*U1519</f>
        <v/>
      </c>
      <c r="P1519">
        <f>IF(B1539=0,0,O1519/B1539)</f>
        <v/>
      </c>
      <c r="Q1519">
        <f>IFERROR(1/IF(Inputs!$B$38="pvp",15,MAX(0.1,Skills!E21-IF(Skills!F21=TRUE,4.5,0))),0)</f>
        <v/>
      </c>
      <c r="R1519" t="n">
        <v>0</v>
      </c>
      <c r="S1519" t="n">
        <v>0</v>
      </c>
      <c r="U1519" t="n">
        <v>0</v>
      </c>
    </row>
    <row r="1520">
      <c r="A1520">
        <f>Skills!A22</f>
        <v/>
      </c>
      <c r="B1520">
        <f>Skills!B22</f>
        <v/>
      </c>
      <c r="C1520">
        <f>TRUE</f>
        <v/>
      </c>
      <c r="D1520">
        <f>IF(Skills!C22=1,60+Inputs!$B$25+Inputs!$B$29,IF(Skills!C22=2,90+Inputs!$B$26+Inputs!$B$29,IF(Skills!C22=3,120+Inputs!$B$27+Inputs!$B$29,MAX(0,(Inputs!$B$3-100)*3)+Inputs!$B$28+Inputs!$B$29)))</f>
        <v/>
      </c>
      <c r="E1520">
        <f>INDEX(FactorTable!$B$2:$Y$301, MATCH(ROUND(MIN(300,MAX(1,D1520)),0), FactorTable!$A$2:$A$301,0), Skills!M22+1)</f>
        <v/>
      </c>
      <c r="F1520">
        <f>IF(Skills!N22=TRUE,(Skills!L22/10)*(E1520/1000),Skills!L22/10)+Skills!O22</f>
        <v/>
      </c>
      <c r="G1520">
        <f>Calc!G22</f>
        <v/>
      </c>
      <c r="H1520">
        <f>Calc!H22</f>
        <v/>
      </c>
      <c r="I1520">
        <f>IF(Skills!X22&lt;&gt;"",1+(Skills!X22/10)*(Z1501/1000)/100,1)</f>
        <v/>
      </c>
      <c r="J1520" t="inlineStr"/>
      <c r="K1520" t="inlineStr"/>
      <c r="L1520" t="inlineStr"/>
      <c r="M1520" t="inlineStr"/>
      <c r="N1520" t="inlineStr"/>
      <c r="O1520">
        <f>(1-Summary!$B$56)*S1520+Summary!$B$56*U1520</f>
        <v/>
      </c>
      <c r="P1520">
        <f>IF(B1539=0,0,O1520/B1539)</f>
        <v/>
      </c>
      <c r="Q1520">
        <f>IFERROR(1/IF(Inputs!$B$38="pvp",15,MAX(0.1,Skills!E22-IF(Skills!F22=TRUE,4.5,0))),0)</f>
        <v/>
      </c>
      <c r="R1520" t="n">
        <v>0</v>
      </c>
      <c r="S1520" t="n">
        <v>0</v>
      </c>
      <c r="U1520" t="n">
        <v>0</v>
      </c>
    </row>
    <row r="1521">
      <c r="A1521">
        <f>Skills!A23</f>
        <v/>
      </c>
      <c r="B1521">
        <f>Skills!B23</f>
        <v/>
      </c>
      <c r="C1521">
        <f>TRUE</f>
        <v/>
      </c>
      <c r="D1521">
        <f>IF(Skills!C23=1,60+Inputs!$B$25+Inputs!$B$29,IF(Skills!C23=2,90+Inputs!$B$26+Inputs!$B$29,IF(Skills!C23=3,120+Inputs!$B$27+Inputs!$B$29,MAX(0,(Inputs!$B$3-100)*3)+Inputs!$B$28+Inputs!$B$29)))</f>
        <v/>
      </c>
      <c r="E1521">
        <f>INDEX(FactorTable!$B$2:$Y$301, MATCH(ROUND(MIN(300,MAX(1,D1521)),0), FactorTable!$A$2:$A$301,0), Skills!M23+1)</f>
        <v/>
      </c>
      <c r="F1521">
        <f>IF(Skills!N23=TRUE,(Skills!L23/10)*(E1521/1000),Skills!L23/10)+Skills!O23</f>
        <v/>
      </c>
      <c r="G1521">
        <f>Calc!G23</f>
        <v/>
      </c>
      <c r="H1521">
        <f>Calc!H23</f>
        <v/>
      </c>
      <c r="I1521">
        <f>IF(Skills!X23&lt;&gt;"",1+(Skills!X23/10)*(Z1501/1000)/100,1)</f>
        <v/>
      </c>
      <c r="J1521" t="inlineStr"/>
      <c r="K1521" t="inlineStr"/>
      <c r="L1521" t="inlineStr"/>
      <c r="M1521" t="inlineStr"/>
      <c r="N1521" t="inlineStr"/>
      <c r="O1521">
        <f>(1-Summary!$B$56)*S1521+Summary!$B$56*U1521</f>
        <v/>
      </c>
      <c r="P1521">
        <f>IF(B1539=0,0,O1521/B1539)</f>
        <v/>
      </c>
      <c r="Q1521">
        <f>IFERROR(1/IF(Inputs!$B$38="pvp",15,MAX(0.1,Skills!E23-IF(Skills!F23=TRUE,4.5,0))),0)</f>
        <v/>
      </c>
      <c r="R1521" t="n">
        <v>0</v>
      </c>
      <c r="S1521" t="n">
        <v>0</v>
      </c>
      <c r="U1521" t="n">
        <v>0</v>
      </c>
    </row>
    <row r="1522">
      <c r="A1522">
        <f>Skills!A24</f>
        <v/>
      </c>
      <c r="B1522">
        <f>Skills!B24</f>
        <v/>
      </c>
      <c r="C1522">
        <f>Inputs!$B$3&gt;=115</f>
        <v/>
      </c>
      <c r="D1522">
        <f>IF(Skills!C24=1,60+Inputs!$B$25+Inputs!$B$29,IF(Skills!C24=2,90+Inputs!$B$26+Inputs!$B$29,IF(Skills!C24=3,120+Inputs!$B$27+Inputs!$B$29,MAX(0,(Inputs!$B$3-100)*3)+Inputs!$B$28+Inputs!$B$29)))</f>
        <v/>
      </c>
      <c r="E1522">
        <f>INDEX(FactorTable!$B$2:$Y$301, MATCH(ROUND(MIN(300,MAX(1,D1522)),0), FactorTable!$A$2:$A$301,0), Skills!M24+1)</f>
        <v/>
      </c>
      <c r="F1522">
        <f>IF(Skills!N24=TRUE,(Skills!L24/10)*(E1522/1000),Skills!L24/10)+Skills!O24</f>
        <v/>
      </c>
      <c r="G1522">
        <f>Calc!G24</f>
        <v/>
      </c>
      <c r="H1522">
        <f>Calc!H24</f>
        <v/>
      </c>
      <c r="I1522">
        <f>IF(Skills!X24&lt;&gt;"",1+(Skills!X24/10)*(Z1501/1000)/100,1)</f>
        <v/>
      </c>
      <c r="J1522">
        <f>((Inputs!$B$6*(1+Inputs!$B$7/100))+(((Inputs!$B$12*(1+Inputs!$B$13/100))-(Inputs!$B$12*(1+Inputs!$B$13/100)))+0.25*(Inputs!$B$14-Inputs!$B$14))*(1+Inputs!$B$7/100))*(F1522/100)</f>
        <v/>
      </c>
      <c r="K1522">
        <f>J1522*(1+((Inputs!$B$12*(1+Inputs!$B$13/100))*0.01+Inputs!$B$14*0.0025)/100)*(1+Inputs!$B$15/100)*(1+Inputs!$B$16/100)*(5000/(6000+Inputs!$B$42*(1-Inputs!$B$19/100)))*(1+Inputs!$B$24/100)*(1+F1521/100)*(1+IF(Inputs!$B$3&gt;=120,F1524,0)/100)^5*(1+(IF(Skills!A24="BASIC_ATTACK",Inputs!$B$17,Inputs!$B$18+IF(Inputs!$B$3&gt;=125,F1525*5,0)))/100)*(B1528*B1529*B1530*I1522)</f>
        <v/>
      </c>
      <c r="L1522">
        <f>K1522*(MIN(Inputs!$B$22+(F1520-Calc!F22),Inputs!$B$23)/100+Inputs!$B$23/100)/2</f>
        <v/>
      </c>
      <c r="M1522">
        <f>L1522*(1+(Inputs!$B$10+(F1519-Calc!F21))/100)</f>
        <v/>
      </c>
      <c r="N1522">
        <f>L1522*(1-MIN(Inputs!$B$9+(F1518-Calc!F20),100)/100)+M1522*(MIN(Inputs!$B$9+(F1518-Calc!F20),100)/100)</f>
        <v/>
      </c>
      <c r="O1522">
        <f>(1-Summary!$B$56)*S1522+Summary!$B$56*U1522</f>
        <v/>
      </c>
      <c r="P1522">
        <f>IF(B1539=0,0,O1522/B1539)</f>
        <v/>
      </c>
      <c r="Q1522">
        <f>IFERROR(1/IF(Inputs!$B$38="pvp",15,MAX(0.1,Skills!E24-IF(Skills!F24=TRUE,4.5,0))),0)</f>
        <v/>
      </c>
      <c r="R1522">
        <f>IF(AND(Inputs!$B$38&lt;&gt;"pvp",Inputs!$B$43&gt;0),IF(MAX(0,Inputs!$B$43-B1536)&lt;=0,0,(INT(MAX(0,Inputs!$B$43-B1536)/IF(Inputs!$B$38="pvp",15,MAX(0.1,Skills!E24-IF(Skills!F24=TRUE,4.5,0))))+1)),0)</f>
        <v/>
      </c>
      <c r="S1522">
        <f>IF(C1522,(H1522*N1522*IF(AND(Inputs!$B$38&lt;&gt;"pvp",Inputs!$B$43&gt;0),((Skills!G24*((R1522-1)*IF(Skills!H24&gt;0,Skills!I24/Skills!H24,1)+IF(Skills!H24&gt;0,MIN(Skills!I24,MAX(0,MAX(0,Inputs!$B$43-B1536)-((R1522-1)*IF(Inputs!$B$38="pvp",15,MAX(0.1,Skills!E24-IF(Skills!F24=TRUE,4.5,0))))))/Skills!H24,1)))/Inputs!$B$43),G1522*Q1522)*(1+IF(Inputs!$B$3&gt;=130,0.2*(Skills!I16/Skills!E15+IF(Inputs!$B$3&gt;=126,0.05*(B1534+Q1511+(H1512*B1535)/(1+Skills!H14*H1512*B1535)+Q1522),0)*Skills!I16),0)))*IF(Inputs!$B$38="pvp",1,1+(Inputs!$B$20+Skills!P24)/100),0)</f>
        <v/>
      </c>
      <c r="U1522">
        <f>IF(C1522,(H1522*N1522*IF(AND(Inputs!$B$38&lt;&gt;"pvp",Inputs!$B$43&gt;0),((Skills!G24*((R1522-1)*IF(Skills!H24&gt;0,Skills!I24/Skills!H24,1)+IF(Skills!H24&gt;0,MIN(Skills!I24,MAX(0,MAX(0,Inputs!$B$43-B1536)-((R1522-1)*IF(Inputs!$B$38="pvp",15,MAX(0.1,Skills!E24-IF(Skills!F24=TRUE,4.5,0))))))/Skills!H24,1)))/Inputs!$B$43),G1522*Q1522)*(1+IF(Inputs!$B$3&gt;=130,0.2*(Skills!I16/Skills!E15+IF(Inputs!$B$3&gt;=126,0.05*(B1534+Q1511+(H1512*B1535)/(1+Skills!H14*H1512*B1535)+Q1522),0)*Skills!I16),0)))*IF(Inputs!$B$38="pvp",1,(1+(Inputs!$B$21+Skills!Q24)/100)*(MIN(Skills!R24,Inputs!$B$37))),0)</f>
        <v/>
      </c>
    </row>
    <row r="1523">
      <c r="A1523">
        <f>Skills!A25</f>
        <v/>
      </c>
      <c r="B1523">
        <f>Skills!B25</f>
        <v/>
      </c>
      <c r="C1523">
        <f>Inputs!$B$3&gt;=117</f>
        <v/>
      </c>
      <c r="D1523">
        <f>IF(Skills!C25=1,60+Inputs!$B$25+Inputs!$B$29,IF(Skills!C25=2,90+Inputs!$B$26+Inputs!$B$29,IF(Skills!C25=3,120+Inputs!$B$27+Inputs!$B$29,MAX(0,(Inputs!$B$3-100)*3)+Inputs!$B$28+Inputs!$B$29)))</f>
        <v/>
      </c>
      <c r="E1523">
        <f>INDEX(FactorTable!$B$2:$Y$301, MATCH(ROUND(MIN(300,MAX(1,D1523)),0), FactorTable!$A$2:$A$301,0), Skills!M25+1)</f>
        <v/>
      </c>
      <c r="F1523">
        <f>IF(Skills!N25=TRUE,(Skills!L25/10)*(E1523/1000),Skills!L25/10)+Skills!O25</f>
        <v/>
      </c>
      <c r="G1523">
        <f>Calc!G25</f>
        <v/>
      </c>
      <c r="H1523">
        <f>Calc!H25</f>
        <v/>
      </c>
      <c r="I1523">
        <f>IF(Skills!X25&lt;&gt;"",1+(Skills!X25/10)*(Z1501/1000)/100,1)</f>
        <v/>
      </c>
      <c r="J1523" t="inlineStr"/>
      <c r="K1523" t="inlineStr"/>
      <c r="L1523" t="inlineStr"/>
      <c r="M1523" t="inlineStr"/>
      <c r="N1523" t="inlineStr"/>
      <c r="O1523">
        <f>(1-Summary!$B$56)*S1523+Summary!$B$56*U1523</f>
        <v/>
      </c>
      <c r="P1523">
        <f>IF(B1539=0,0,O1523/B1539)</f>
        <v/>
      </c>
      <c r="Q1523">
        <f>IFERROR(1/IF(Inputs!$B$38="pvp",15,MAX(0.1,Skills!E25-IF(Skills!F25=TRUE,4.5,0))),0)</f>
        <v/>
      </c>
      <c r="R1523" t="n">
        <v>0</v>
      </c>
      <c r="S1523" t="n">
        <v>0</v>
      </c>
      <c r="U1523" t="n">
        <v>0</v>
      </c>
    </row>
    <row r="1524">
      <c r="A1524">
        <f>Skills!A26</f>
        <v/>
      </c>
      <c r="B1524">
        <f>Skills!B26</f>
        <v/>
      </c>
      <c r="C1524">
        <f>Inputs!$B$3&gt;=120</f>
        <v/>
      </c>
      <c r="D1524">
        <f>IF(Skills!C26=1,60+Inputs!$B$25+Inputs!$B$29,IF(Skills!C26=2,90+Inputs!$B$26+Inputs!$B$29,IF(Skills!C26=3,120+Inputs!$B$27+Inputs!$B$29,MAX(0,(Inputs!$B$3-100)*3)+Inputs!$B$28+Inputs!$B$29)))</f>
        <v/>
      </c>
      <c r="E1524">
        <f>INDEX(FactorTable!$B$2:$Y$301, MATCH(ROUND(MIN(300,MAX(1,D1524)),0), FactorTable!$A$2:$A$301,0), Skills!M26+1)</f>
        <v/>
      </c>
      <c r="F1524">
        <f>IF(Skills!N26=TRUE,(Skills!L26/10)*(E1524/1000),Skills!L26/10)+Skills!O26</f>
        <v/>
      </c>
      <c r="G1524">
        <f>Calc!G26</f>
        <v/>
      </c>
      <c r="H1524">
        <f>Calc!H26</f>
        <v/>
      </c>
      <c r="I1524">
        <f>IF(Skills!X26&lt;&gt;"",1+(Skills!X26/10)*(Z1501/1000)/100,1)</f>
        <v/>
      </c>
      <c r="J1524" t="inlineStr"/>
      <c r="K1524" t="inlineStr"/>
      <c r="L1524" t="inlineStr"/>
      <c r="M1524" t="inlineStr"/>
      <c r="N1524" t="inlineStr"/>
      <c r="O1524">
        <f>(1-Summary!$B$56)*S1524+Summary!$B$56*U1524</f>
        <v/>
      </c>
      <c r="P1524">
        <f>IF(B1539=0,0,O1524/B1539)</f>
        <v/>
      </c>
      <c r="Q1524">
        <f>IFERROR(1/IF(Inputs!$B$38="pvp",15,MAX(0.1,Skills!E26-IF(Skills!F26=TRUE,4.5,0))),0)</f>
        <v/>
      </c>
      <c r="R1524" t="n">
        <v>0</v>
      </c>
      <c r="S1524" t="n">
        <v>0</v>
      </c>
      <c r="U1524" t="n">
        <v>0</v>
      </c>
    </row>
    <row r="1525">
      <c r="A1525">
        <f>Skills!A27</f>
        <v/>
      </c>
      <c r="B1525">
        <f>Skills!B27</f>
        <v/>
      </c>
      <c r="C1525">
        <f>Inputs!$B$3&gt;=125</f>
        <v/>
      </c>
      <c r="D1525">
        <f>IF(Skills!C27=1,60+Inputs!$B$25+Inputs!$B$29,IF(Skills!C27=2,90+Inputs!$B$26+Inputs!$B$29,IF(Skills!C27=3,120+Inputs!$B$27+Inputs!$B$29,MAX(0,(Inputs!$B$3-100)*3)+Inputs!$B$28+Inputs!$B$29)))</f>
        <v/>
      </c>
      <c r="E1525">
        <f>INDEX(FactorTable!$B$2:$Y$301, MATCH(ROUND(MIN(300,MAX(1,D1525)),0), FactorTable!$A$2:$A$301,0), Skills!M27+1)</f>
        <v/>
      </c>
      <c r="F1525">
        <f>IF(Skills!N27=TRUE,(Skills!L27/10)*(E1525/1000),Skills!L27/10)+Skills!O27</f>
        <v/>
      </c>
      <c r="G1525">
        <f>Calc!G27</f>
        <v/>
      </c>
      <c r="H1525">
        <f>Calc!H27</f>
        <v/>
      </c>
      <c r="I1525">
        <f>IF(Skills!X27&lt;&gt;"",1+(Skills!X27/10)*(Z1501/1000)/100,1)</f>
        <v/>
      </c>
      <c r="J1525" t="inlineStr"/>
      <c r="K1525" t="inlineStr"/>
      <c r="L1525" t="inlineStr"/>
      <c r="M1525" t="inlineStr"/>
      <c r="N1525" t="inlineStr"/>
      <c r="O1525">
        <f>(1-Summary!$B$56)*S1525+Summary!$B$56*U1525</f>
        <v/>
      </c>
      <c r="P1525">
        <f>IF(B1539=0,0,O1525/B1539)</f>
        <v/>
      </c>
      <c r="Q1525">
        <f>IFERROR(1/IF(Inputs!$B$38="pvp",15,MAX(0.1,Skills!E27-IF(Skills!F27=TRUE,4.5,0))),0)</f>
        <v/>
      </c>
      <c r="R1525" t="n">
        <v>0</v>
      </c>
      <c r="S1525" t="n">
        <v>0</v>
      </c>
      <c r="U1525" t="n">
        <v>0</v>
      </c>
    </row>
    <row r="1526">
      <c r="A1526">
        <f>Skills!A28</f>
        <v/>
      </c>
      <c r="B1526">
        <f>Skills!B28</f>
        <v/>
      </c>
      <c r="C1526">
        <f>Inputs!$B$3&gt;=118</f>
        <v/>
      </c>
      <c r="D1526">
        <f>IF(Skills!C28=1,60+Inputs!$B$25+Inputs!$B$29,IF(Skills!C28=2,90+Inputs!$B$26+Inputs!$B$29,IF(Skills!C28=3,120+Inputs!$B$27+Inputs!$B$29,MAX(0,(Inputs!$B$3-100)*3)+Inputs!$B$28+Inputs!$B$29)))</f>
        <v/>
      </c>
      <c r="E1526">
        <f>INDEX(FactorTable!$B$2:$Y$301, MATCH(ROUND(MIN(300,MAX(1,D1526)),0), FactorTable!$A$2:$A$301,0), Skills!M28+1)</f>
        <v/>
      </c>
      <c r="F1526">
        <f>IF(Skills!N28=TRUE,(Skills!L28/10)*(E1526/1000),Skills!L28/10)+Skills!O28</f>
        <v/>
      </c>
      <c r="G1526">
        <f>Calc!G28</f>
        <v/>
      </c>
      <c r="H1526">
        <f>Calc!H28</f>
        <v/>
      </c>
      <c r="I1526">
        <f>IF(Skills!X28&lt;&gt;"",1+(Skills!X28/10)*(Z1501/1000)/100,1)</f>
        <v/>
      </c>
      <c r="J1526">
        <f>((Inputs!$B$6*(1+Inputs!$B$7/100))+(((Inputs!$B$12*(1+Inputs!$B$13/100))-(Inputs!$B$12*(1+Inputs!$B$13/100)))+0.25*(Inputs!$B$14-Inputs!$B$14))*(1+Inputs!$B$7/100))*(F1526/100)</f>
        <v/>
      </c>
      <c r="K1526">
        <f>J1526*(1+((Inputs!$B$12*(1+Inputs!$B$13/100))*0.01+Inputs!$B$14*0.0025)/100)*(1+Inputs!$B$15/100)*(1+Inputs!$B$16/100)*(5000/(6000+Inputs!$B$42*(1-Inputs!$B$19/100)))*(1+Inputs!$B$24/100)*(1+F1521/100)*(1+IF(Inputs!$B$3&gt;=120,F1524,0)/100)^5*(1+(IF(Skills!A28="BASIC_ATTACK",Inputs!$B$17,Inputs!$B$18+IF(Inputs!$B$3&gt;=125,F1525*5,0)))/100)*(B1528*B1529*B1530*I1526)</f>
        <v/>
      </c>
      <c r="L1526">
        <f>K1526*(MIN(Inputs!$B$22+(F1520-Calc!F22),Inputs!$B$23)/100+Inputs!$B$23/100)/2</f>
        <v/>
      </c>
      <c r="M1526">
        <f>L1526*(1+(Inputs!$B$10+(F1519-Calc!F21))/100)</f>
        <v/>
      </c>
      <c r="N1526">
        <f>L1526*(1-MIN(Inputs!$B$9+(F1518-Calc!F20),100)/100)+M1526*(MIN(Inputs!$B$9+(F1518-Calc!F20),100)/100)</f>
        <v/>
      </c>
      <c r="O1526">
        <f>(1-Summary!$B$56)*S1526+Summary!$B$56*U1526</f>
        <v/>
      </c>
      <c r="P1526">
        <f>IF(B1539=0,0,O1526/B1539)</f>
        <v/>
      </c>
      <c r="Q1526">
        <f>IFERROR(1/IF(Inputs!$B$38="pvp",15,MAX(0.1,Skills!E28-IF(Skills!F28=TRUE,4.5,0))),0)</f>
        <v/>
      </c>
      <c r="R1526">
        <f>IF(AND(Inputs!$B$38&lt;&gt;"pvp",Inputs!$B$43&gt;0),IF(MAX(0,Inputs!$B$43-B1536)&lt;=0,0,(INT(MAX(0,Inputs!$B$43-B1536)/IF(Inputs!$B$38="pvp",15,MAX(0.1,Skills!E28-IF(Skills!F28=TRUE,4.5,0))))+1)),0)</f>
        <v/>
      </c>
      <c r="S1526">
        <f>IF(C1526,(H1526*N1526*IF(AND(Inputs!$B$38&lt;&gt;"pvp",Inputs!$B$43&gt;0),((Skills!G28*((R1526-1)*IF(Skills!H28&gt;0,Skills!I28/Skills!H28,1)+IF(Skills!H28&gt;0,MIN(Skills!I28,MAX(0,MAX(0,Inputs!$B$43-B1536)-((R1526-1)*IF(Inputs!$B$38="pvp",15,MAX(0.1,Skills!E28-IF(Skills!F28=TRUE,4.5,0))))))/Skills!H28,1)))/Inputs!$B$43),G1526*Q1526))*IF(Inputs!$B$38="pvp",1,1+(Inputs!$B$20+Skills!P28)/100),0)</f>
        <v/>
      </c>
      <c r="U1526">
        <f>IF(C1526,(H1526*N1526*IF(AND(Inputs!$B$38&lt;&gt;"pvp",Inputs!$B$43&gt;0),((Skills!G28*((R1526-1)*IF(Skills!H28&gt;0,Skills!I28/Skills!H28,1)+IF(Skills!H28&gt;0,MIN(Skills!I28,MAX(0,MAX(0,Inputs!$B$43-B1536)-((R1526-1)*IF(Inputs!$B$38="pvp",15,MAX(0.1,Skills!E28-IF(Skills!F28=TRUE,4.5,0))))))/Skills!H28,1)))/Inputs!$B$43),G1526*Q1526))*IF(Inputs!$B$38="pvp",1,(1+(Inputs!$B$21+Skills!Q28)/100)*(MIN(Skills!R28,Inputs!$B$37))),0)</f>
        <v/>
      </c>
    </row>
    <row r="1528">
      <c r="A1528" t="inlineStr">
        <is>
          <t>Burning Magic Multiplier</t>
        </is>
      </c>
      <c r="B1528">
        <f>1+(F1509*Skills!Z11)/100</f>
        <v/>
      </c>
    </row>
    <row r="1529">
      <c r="A1529" t="inlineStr">
        <is>
          <t>Elemental Decrease Multiplier (always-on)</t>
        </is>
      </c>
      <c r="B1529">
        <f>1+F1510/100</f>
        <v/>
      </c>
    </row>
    <row r="1530">
      <c r="A1530" t="inlineStr">
        <is>
          <t>Average Buff Multiplier (Magic Guard + Meditation, summed; then Infinity)</t>
        </is>
      </c>
      <c r="B1530">
        <f>(1+(F1504*IF(AND(Inputs!$B$38&lt;&gt;"pvp",Inputs!$B$43&gt;0),(((R1504-1)*(Skills!T6*(1+(Inputs!$B$34+IF(Inputs!$B$3&gt;=117,F1523,0))/100))+MIN((Skills!T6*(1+(Inputs!$B$34+IF(Inputs!$B$3&gt;=117,F1523,0))/100)),MAX(0,Inputs!$B$43-((R1504-1)*Skills!E6))))/Inputs!$B$43),IF(Inputs!$B$38="pvp",MIN((Skills!T6*(1+(Inputs!$B$34+IF(Inputs!$B$3&gt;=117,F1523,0))/100)),15)/15,(Skills!T6*(1+(Inputs!$B$34+IF(Inputs!$B$3&gt;=117,F1523,0))/100))/Skills!E6))+F1515*IF(AND(Inputs!$B$38&lt;&gt;"pvp",Inputs!$B$43&gt;0),(((R1515-1)*(Skills!T17*(1+(Inputs!$B$34+IF(Inputs!$B$3&gt;=117,F1523,0))/100))+MIN((Skills!T17*(1+(Inputs!$B$34+IF(Inputs!$B$3&gt;=117,F1523,0))/100)),MAX(0,Inputs!$B$43-((R1515-1)*Skills!E17))))/Inputs!$B$43),IF(Inputs!$B$38="pvp",MIN((Skills!T17*(1+(Inputs!$B$34+IF(Inputs!$B$3&gt;=117,F1523,0))/100)),15)/15,(Skills!T17*(1+(Inputs!$B$34+IF(Inputs!$B$3&gt;=117,F1523,0))/100))/Skills!E17)))/100)*IF(C1517=TRUE,(1+F1517*IF(AND(Inputs!$B$38&lt;&gt;"pvp",Inputs!$B$43&gt;0),(((R1517-1)*(Skills!T19*(1+(Inputs!$B$34+IF(Inputs!$B$3&gt;=117,F1523,0))/100))+MIN((Skills!T19*(1+(Inputs!$B$34+IF(Inputs!$B$3&gt;=117,F1523,0))/100)),MAX(0,Inputs!$B$43-((R1517-1)*Skills!E19))))/Inputs!$B$43),IF(Inputs!$B$38="pvp",MIN((Skills!T19*(1+(Inputs!$B$34+IF(Inputs!$B$3&gt;=117,F1523,0))/100)),15)/15,(Skills!T19*(1+(Inputs!$B$34+IF(Inputs!$B$3&gt;=117,F1523,0))/100))/Skills!E19))/100),1)</f>
        <v/>
      </c>
    </row>
    <row r="1531">
      <c r="A1531" t="inlineStr">
        <is>
          <t>Attack Speed Buff Bonus % (Nimble Feet, averaged)</t>
        </is>
      </c>
      <c r="B1531">
        <f>F1516*IF(AND(Inputs!$B$38&lt;&gt;"pvp",Inputs!$B$43&gt;0),(((R1516-1)*(Skills!T18*(1+(Inputs!$B$34+IF(Inputs!$B$3&gt;=117,F1523,0))/100))+MIN((Skills!T18*(1+(Inputs!$B$34+IF(Inputs!$B$3&gt;=117,F1523,0))/100)),MAX(0,Inputs!$B$43-((R1516-1)*Skills!E18))))/Inputs!$B$43),IF(Inputs!$B$38="pvp",MIN((Skills!T18*(1+(Inputs!$B$34+IF(Inputs!$B$3&gt;=117,F1523,0))/100)),15)/15,(Skills!T18*(1+(Inputs!$B$34+IF(Inputs!$B$3&gt;=117,F1523,0))/100))/Skills!E18))</f>
        <v/>
      </c>
    </row>
    <row r="1532">
      <c r="A1532" t="inlineStr">
        <is>
          <t>Actions Per Second</t>
        </is>
      </c>
      <c r="B1532">
        <f>1+MIN(150,150*(1-(1-Inputs!$B$11/150)*(1-B1531/150)))/100</f>
        <v/>
      </c>
    </row>
    <row r="1533">
      <c r="A1533" t="inlineStr">
        <is>
          <t>Skill + Buff Cast Rate</t>
        </is>
      </c>
      <c r="B1533">
        <f>IF(AND(Inputs!$B$38&lt;&gt;"pvp",Inputs!$B$43&gt;0),SUMPRODUCT((Skills!F2:F28=TRUE)*(C1500:C1526=TRUE)*R1500:R1526)/Inputs!$B$43,SUMPRODUCT((Skills!F2:F28=TRUE)*(C1500:C1526=TRUE)*Q1500:Q1526))</f>
        <v/>
      </c>
    </row>
    <row r="1534">
      <c r="A1534" t="inlineStr">
        <is>
          <t>Basic Attacks Per Second</t>
        </is>
      </c>
      <c r="B1534">
        <f>MAX(0,B1532-B1533)</f>
        <v/>
      </c>
    </row>
    <row r="1535">
      <c r="A1535" t="inlineStr">
        <is>
          <t>Meteor Proc — combined trigger cast rate</t>
        </is>
      </c>
      <c r="B1535">
        <f>IF(AND(Inputs!$B$38&lt;&gt;"pvp",Inputs!$B$43&gt;0),SUMPRODUCT((Skills!V2:V28=TRUE)*(C1500:C1526=TRUE)*R1500:R1526*Skills!W2:W28)/Inputs!$B$43,SUMPRODUCT((Skills!V2:V28=TRUE)*(C1500:C1526=TRUE)*Q1500:Q1526*Skills!W2:W28))+B1534</f>
        <v/>
      </c>
    </row>
    <row r="1536">
      <c r="A1536" t="inlineStr">
        <is>
          <t>Buff-Casting Startup Delay (s, fixed-duration only)</t>
        </is>
      </c>
      <c r="B1536">
        <f>IF(AND(Inputs!$B$38&lt;&gt;"pvp",Inputs!$B$43&gt;0),SUMPRODUCT((Skills!T2:T28&gt;0)*(Skills!F2:F28=TRUE)*(C1500:C1526=TRUE))/B1532,0)</f>
        <v/>
      </c>
    </row>
    <row r="1537">
      <c r="A1537" t="inlineStr">
        <is>
          <t>Boss-Only Total DPS (this block's swept value)</t>
        </is>
      </c>
      <c r="B1537">
        <f>SUM(S1500:S1526)</f>
        <v/>
      </c>
    </row>
    <row r="1538">
      <c r="A1538" t="inlineStr">
        <is>
          <t>Normal-Only Total DPS (this block's swept value)</t>
        </is>
      </c>
      <c r="B1538">
        <f>SUM(U1500:U1526)</f>
        <v/>
      </c>
    </row>
    <row r="1539">
      <c r="A1539" s="5" t="inlineStr">
        <is>
          <t>TOTAL DPS</t>
        </is>
      </c>
      <c r="B1539" s="5">
        <f>SUM(O1500:O1526)</f>
        <v/>
      </c>
    </row>
    <row r="1542">
      <c r="A1542" s="5" t="inlineStr">
        <is>
          <t>Stat: CDR = 5.0s</t>
        </is>
      </c>
    </row>
    <row r="1543">
      <c r="A1543" s="9" t="inlineStr">
        <is>
          <t>Key</t>
        </is>
      </c>
      <c r="B1543" s="9" t="inlineStr">
        <is>
          <t>Name</t>
        </is>
      </c>
      <c r="C1543" s="9" t="inlineStr">
        <is>
          <t>Unlocked</t>
        </is>
      </c>
      <c r="D1543" s="9" t="inlineStr">
        <is>
          <t>InputLevel</t>
        </is>
      </c>
      <c r="E1543" s="9" t="inlineStr">
        <is>
          <t>Factor</t>
        </is>
      </c>
      <c r="F1543" s="9" t="inlineStr">
        <is>
          <t>CoefficientPercent</t>
        </is>
      </c>
      <c r="G1543" s="9" t="inlineStr">
        <is>
          <t>EffectiveHits</t>
        </is>
      </c>
      <c r="H1543" s="9" t="inlineStr">
        <is>
          <t>ProcProbability</t>
        </is>
      </c>
      <c r="I1543" s="9" t="inlineStr">
        <is>
          <t>MapleHeroMultiplier</t>
        </is>
      </c>
      <c r="J1543" s="9" t="inlineStr">
        <is>
          <t>BaseDamage</t>
        </is>
      </c>
      <c r="K1543" s="9" t="inlineStr">
        <is>
          <t>BaseHitDamage</t>
        </is>
      </c>
      <c r="L1543" s="9" t="inlineStr">
        <is>
          <t>NonCritAvg</t>
        </is>
      </c>
      <c r="M1543" s="9" t="inlineStr">
        <is>
          <t>CritAvg</t>
        </is>
      </c>
      <c r="N1543" s="9" t="inlineStr">
        <is>
          <t>ExpectedDamage(perHit)</t>
        </is>
      </c>
      <c r="O1543" s="9" t="inlineStr">
        <is>
          <t>DPS</t>
        </is>
      </c>
      <c r="P1543" s="9" t="inlineStr">
        <is>
          <t>% of Total</t>
        </is>
      </c>
      <c r="R1543" t="inlineStr">
        <is>
          <t>helpers</t>
        </is>
      </c>
    </row>
    <row r="1544">
      <c r="A1544">
        <f>Skills!A2</f>
        <v/>
      </c>
      <c r="B1544">
        <f>Skills!B2</f>
        <v/>
      </c>
      <c r="C1544">
        <f>TRUE</f>
        <v/>
      </c>
      <c r="D1544" t="inlineStr"/>
      <c r="E1544" t="inlineStr"/>
      <c r="F1544">
        <f>T1546+Skills!O2</f>
        <v/>
      </c>
      <c r="G1544">
        <f>Calc!G2</f>
        <v/>
      </c>
      <c r="H1544">
        <f>Calc!H2</f>
        <v/>
      </c>
      <c r="I1544">
        <f>IF(Skills!X2&lt;&gt;"",1+(Skills!X2/10)*(Z1545/1000)/100,1)</f>
        <v/>
      </c>
      <c r="J1544">
        <f>((Inputs!$B$6*(1+Inputs!$B$7/100))+(((Inputs!$B$12*(1+Inputs!$B$13/100))-(Inputs!$B$12*(1+Inputs!$B$13/100)))+0.25*(Inputs!$B$14-Inputs!$B$14))*(1+Inputs!$B$7/100))*(F1544/100)</f>
        <v/>
      </c>
      <c r="K1544">
        <f>J1544*(1+((Inputs!$B$12*(1+Inputs!$B$13/100))*0.01+Inputs!$B$14*0.0025)/100)*(1+Inputs!$B$15/100)*(1+Inputs!$B$16/100)*(5000/(6000+Inputs!$B$42*(1-Inputs!$B$19/100)))*(1+Inputs!$B$24/100)*(1+F1565/100)*(1+IF(Inputs!$B$3&gt;=120,F1568,0)/100)^5*(1+(IF(Skills!A2="BASIC_ATTACK",Inputs!$B$17,Inputs!$B$18+IF(Inputs!$B$3&gt;=125,F1569*5,0)))/100)*(B1572*B1573*B1574*I1544)</f>
        <v/>
      </c>
      <c r="L1544">
        <f>K1544*(MIN(Inputs!$B$22+(F1564-Calc!F22),Inputs!$B$23)/100+Inputs!$B$23/100)/2</f>
        <v/>
      </c>
      <c r="M1544">
        <f>L1544*(1+(Inputs!$B$10+(F1563-Calc!F21))/100)</f>
        <v/>
      </c>
      <c r="N1544">
        <f>L1544*(1-MIN(Inputs!$B$9+(F1562-Calc!F20),100)/100)+M1544*(MIN(Inputs!$B$9+(F1562-Calc!F20),100)/100)</f>
        <v/>
      </c>
      <c r="O1544">
        <f>(1-Summary!$B$56)*S1544+Summary!$B$56*U1544</f>
        <v/>
      </c>
      <c r="P1544">
        <f>IF(B1583=0,0,O1544/B1583)</f>
        <v/>
      </c>
      <c r="Q1544">
        <f>IFERROR(1/IF(Inputs!$B$38="pvp",15,MAX(0.1,Skills!E2-IF(Skills!F2=TRUE,5.0,0))),0)</f>
        <v/>
      </c>
      <c r="R1544" t="n">
        <v>0</v>
      </c>
      <c r="S1544">
        <f>(Skills!G2*N1544*B1578)*IF(Inputs!$B$38="pvp",1,1+(Inputs!$B$20+Skills!P2)/100)</f>
        <v/>
      </c>
      <c r="T1544">
        <f>MAX(0,(Inputs!$B$3-100)*3)+Inputs!$B$28+Inputs!$B$29</f>
        <v/>
      </c>
      <c r="U1544">
        <f>(Skills!G2*N1544*B1578)*IF(Inputs!$B$38="pvp",1,(1+(Inputs!$B$21+Skills!Q2)/100)*(MIN((6+Inputs!$B$33+IF(Inputs!$B$3&gt;=136,1,0)),Inputs!$B$37)))</f>
        <v/>
      </c>
      <c r="Z1544">
        <f>MAX(0,(Inputs!$B$3-100)*3)+Inputs!$B$28+Inputs!$B$29</f>
        <v/>
      </c>
    </row>
    <row r="1545">
      <c r="A1545">
        <f>Skills!A3</f>
        <v/>
      </c>
      <c r="B1545">
        <f>Skills!B3</f>
        <v/>
      </c>
      <c r="C1545">
        <f>TRUE</f>
        <v/>
      </c>
      <c r="D1545">
        <f>IF(Skills!C3=1,60+Inputs!$B$25+Inputs!$B$29,IF(Skills!C3=2,90+Inputs!$B$26+Inputs!$B$29,IF(Skills!C3=3,120+Inputs!$B$27+Inputs!$B$29,MAX(0,(Inputs!$B$3-100)*3)+Inputs!$B$28+Inputs!$B$29)))</f>
        <v/>
      </c>
      <c r="E1545">
        <f>INDEX(FactorTable!$B$2:$Y$301, MATCH(ROUND(MIN(300,MAX(1,D1545)),0), FactorTable!$A$2:$A$301,0), Skills!M3+1)</f>
        <v/>
      </c>
      <c r="F1545">
        <f>IF(Skills!N3=TRUE,(Skills!L3/10)*(E1545/1000),Skills!L3/10)+Skills!O3</f>
        <v/>
      </c>
      <c r="G1545">
        <f>Calc!G3</f>
        <v/>
      </c>
      <c r="H1545">
        <f>Calc!H3</f>
        <v/>
      </c>
      <c r="I1545">
        <f>IF(Skills!X3&lt;&gt;"",1+(Skills!X3/10)*(Z1545/1000)/100,1)</f>
        <v/>
      </c>
      <c r="J1545">
        <f>((Inputs!$B$6*(1+Inputs!$B$7/100))+(((Inputs!$B$12*(1+Inputs!$B$13/100))-(Inputs!$B$12*(1+Inputs!$B$13/100)))+0.25*(Inputs!$B$14-Inputs!$B$14))*(1+Inputs!$B$7/100))*(F1545/100)</f>
        <v/>
      </c>
      <c r="K1545">
        <f>J1545*(1+((Inputs!$B$12*(1+Inputs!$B$13/100))*0.01+Inputs!$B$14*0.0025)/100)*(1+Inputs!$B$15/100)*(1+Inputs!$B$16/100)*(5000/(6000+Inputs!$B$42*(1-Inputs!$B$19/100)))*(1+Inputs!$B$24/100)*(1+F1565/100)*(1+IF(Inputs!$B$3&gt;=120,F1568,0)/100)^5*(1+(IF(Skills!A3="BASIC_ATTACK",Inputs!$B$17,Inputs!$B$18+IF(Inputs!$B$3&gt;=125,F1569*5,0)))/100)*(B1572*B1573*B1574*I1545)</f>
        <v/>
      </c>
      <c r="L1545">
        <f>K1545*(MIN(Inputs!$B$22+(F1564-Calc!F22),Inputs!$B$23)/100+Inputs!$B$23/100)/2</f>
        <v/>
      </c>
      <c r="M1545">
        <f>L1545*(1+(Inputs!$B$10+(F1563-Calc!F21))/100)</f>
        <v/>
      </c>
      <c r="N1545">
        <f>L1545*(1-MIN(Inputs!$B$9+(F1562-Calc!F20),100)/100)+M1545*(MIN(Inputs!$B$9+(F1562-Calc!F20),100)/100)</f>
        <v/>
      </c>
      <c r="O1545">
        <f>(1-Summary!$B$56)*S1545+Summary!$B$56*U1545</f>
        <v/>
      </c>
      <c r="P1545">
        <f>IF(B1583=0,0,O1545/B1583)</f>
        <v/>
      </c>
      <c r="Q1545">
        <f>IFERROR(1/IF(Inputs!$B$38="pvp",15,MAX(0.1,Skills!E3-IF(Skills!F3=TRUE,5.0,0))),0)</f>
        <v/>
      </c>
      <c r="R1545">
        <f>IF(AND(Inputs!$B$38&lt;&gt;"pvp",Inputs!$B$43&gt;0),IF(MAX(0,Inputs!$B$43-B1580)&lt;=0,0,(INT(MAX(0,Inputs!$B$43-B1580)/IF(Inputs!$B$38="pvp",15,MAX(0.1,Skills!E3-IF(Skills!F3=TRUE,5.0,0))))+1)),0)</f>
        <v/>
      </c>
      <c r="S1545">
        <f>IF(C1545,(H1545*N1545*IF(AND(Inputs!$B$38&lt;&gt;"pvp",Inputs!$B$43&gt;0),((Skills!G3*((R1545-1)*IF(Skills!H3&gt;0,Skills!I3/Skills!H3,1)+IF(Skills!H3&gt;0,MIN(Skills!I3,MAX(0,MAX(0,Inputs!$B$43-B1580)-((R1545-1)*IF(Inputs!$B$38="pvp",15,MAX(0.1,Skills!E3-IF(Skills!F3=TRUE,5.0,0))))))/Skills!H3,1)))/Inputs!$B$43),G1545*Q1545))*IF(Inputs!$B$38="pvp",1,1+(Inputs!$B$20+Skills!P3)/100),0)</f>
        <v/>
      </c>
      <c r="T1545">
        <f>INDEX(FactorTable!$B$2:$Y$301, MATCH(ROUND(MIN(300,MAX(1,T1544)),0), FactorTable!$A$2:$A$301,0), 22)</f>
        <v/>
      </c>
      <c r="U1545">
        <f>IF(C1545,(H1545*N1545*IF(AND(Inputs!$B$38&lt;&gt;"pvp",Inputs!$B$43&gt;0),((Skills!G3*((R1545-1)*IF(Skills!H3&gt;0,Skills!I3/Skills!H3,1)+IF(Skills!H3&gt;0,MIN(Skills!I3,MAX(0,MAX(0,Inputs!$B$43-B1580)-((R1545-1)*IF(Inputs!$B$38="pvp",15,MAX(0.1,Skills!E3-IF(Skills!F3=TRUE,5.0,0))))))/Skills!H3,1)))/Inputs!$B$43),G1545*Q1545))*IF(Inputs!$B$38="pvp",1,(1+(Inputs!$B$21+Skills!Q3)/100)*(MIN(Skills!R3,Inputs!$B$37))),0)</f>
        <v/>
      </c>
      <c r="Z1545">
        <f>INDEX(FactorTable!$B$2:$Y$301, MATCH(ROUND(MIN(300,MAX(1,Z1544)),0), FactorTable!$A$2:$A$301,0), 24)</f>
        <v/>
      </c>
    </row>
    <row r="1546">
      <c r="A1546">
        <f>Skills!A4</f>
        <v/>
      </c>
      <c r="B1546">
        <f>Skills!B4</f>
        <v/>
      </c>
      <c r="C1546">
        <f>TRUE</f>
        <v/>
      </c>
      <c r="D1546">
        <f>IF(Skills!C4=1,60+Inputs!$B$25+Inputs!$B$29,IF(Skills!C4=2,90+Inputs!$B$26+Inputs!$B$29,IF(Skills!C4=3,120+Inputs!$B$27+Inputs!$B$29,MAX(0,(Inputs!$B$3-100)*3)+Inputs!$B$28+Inputs!$B$29)))</f>
        <v/>
      </c>
      <c r="E1546">
        <f>INDEX(FactorTable!$B$2:$Y$301, MATCH(ROUND(MIN(300,MAX(1,D1546)),0), FactorTable!$A$2:$A$301,0), Skills!M4+1)</f>
        <v/>
      </c>
      <c r="F1546">
        <f>IF(Skills!N4=TRUE,(Skills!L4/10)*(E1546/1000),Skills!L4/10)+Skills!O4</f>
        <v/>
      </c>
      <c r="G1546">
        <f>Calc!G4</f>
        <v/>
      </c>
      <c r="H1546">
        <f>Calc!H4</f>
        <v/>
      </c>
      <c r="I1546">
        <f>IF(Skills!X4&lt;&gt;"",1+(Skills!X4/10)*(Z1545/1000)/100,1)</f>
        <v/>
      </c>
      <c r="J1546">
        <f>((Inputs!$B$6*(1+Inputs!$B$7/100))+(((Inputs!$B$12*(1+Inputs!$B$13/100))-(Inputs!$B$12*(1+Inputs!$B$13/100)))+0.25*(Inputs!$B$14-Inputs!$B$14))*(1+Inputs!$B$7/100))*(F1546/100)</f>
        <v/>
      </c>
      <c r="K1546">
        <f>J1546*(1+((Inputs!$B$12*(1+Inputs!$B$13/100))*0.01+Inputs!$B$14*0.0025)/100)*(1+Inputs!$B$15/100)*(1+Inputs!$B$16/100)*(5000/(6000+Inputs!$B$42*(1-Inputs!$B$19/100)))*(1+Inputs!$B$24/100)*(1+F1565/100)*(1+IF(Inputs!$B$3&gt;=120,F1568,0)/100)^5*(1+(IF(Skills!A4="BASIC_ATTACK",Inputs!$B$17,Inputs!$B$18+IF(Inputs!$B$3&gt;=125,F1569*5,0)))/100)*(B1572*B1573*B1574*I1546)</f>
        <v/>
      </c>
      <c r="L1546">
        <f>K1546*(MIN(Inputs!$B$22+(F1564-Calc!F22),Inputs!$B$23)/100+Inputs!$B$23/100)/2</f>
        <v/>
      </c>
      <c r="M1546">
        <f>L1546*(1+(Inputs!$B$10+(F1563-Calc!F21))/100)</f>
        <v/>
      </c>
      <c r="N1546">
        <f>L1546*(1-MIN(Inputs!$B$9+(F1562-Calc!F20),100)/100)+M1546*(MIN(Inputs!$B$9+(F1562-Calc!F20),100)/100)</f>
        <v/>
      </c>
      <c r="O1546">
        <f>(1-Summary!$B$56)*S1546+Summary!$B$56*U1546</f>
        <v/>
      </c>
      <c r="P1546">
        <f>IF(B1583=0,0,O1546/B1583)</f>
        <v/>
      </c>
      <c r="Q1546">
        <f>IFERROR(1/IF(Inputs!$B$38="pvp",15,MAX(0.1,Skills!E4-IF(Skills!F4=TRUE,5.0,0))),0)</f>
        <v/>
      </c>
      <c r="R1546">
        <f>IF(AND(Inputs!$B$38&lt;&gt;"pvp",Inputs!$B$43&gt;0),IF(MAX(0,Inputs!$B$43-B1580)&lt;=0,0,(INT(MAX(0,Inputs!$B$43-B1580)/IF(Inputs!$B$38="pvp",15,MAX(0.1,Skills!E4-IF(Skills!F4=TRUE,5.0,0))))+1)),0)</f>
        <v/>
      </c>
      <c r="S1546">
        <f>IF(C1546,(H1546*N1546*IF(AND(Inputs!$B$38&lt;&gt;"pvp",Inputs!$B$43&gt;0),((Skills!G4*((R1546-1)*IF(Skills!H4&gt;0,Skills!I4/Skills!H4,1)+IF(Skills!H4&gt;0,MIN(Skills!I4,MAX(0,MAX(0,Inputs!$B$43-B1580)-((R1546-1)*IF(Inputs!$B$38="pvp",15,MAX(0.1,Skills!E4-IF(Skills!F4=TRUE,5.0,0))))))/Skills!H4,1)))/Inputs!$B$43),G1546*Q1546))*IF(Inputs!$B$38="pvp",1,1+(Inputs!$B$20+Skills!P4)/100),0)</f>
        <v/>
      </c>
      <c r="T1546">
        <f>290*T1545/1000</f>
        <v/>
      </c>
      <c r="U1546">
        <f>IF(C1546,(H1546*N1546*IF(AND(Inputs!$B$38&lt;&gt;"pvp",Inputs!$B$43&gt;0),((Skills!G4*((R1546-1)*IF(Skills!H4&gt;0,Skills!I4/Skills!H4,1)+IF(Skills!H4&gt;0,MIN(Skills!I4,MAX(0,MAX(0,Inputs!$B$43-B1580)-((R1546-1)*IF(Inputs!$B$38="pvp",15,MAX(0.1,Skills!E4-IF(Skills!F4=TRUE,5.0,0))))))/Skills!H4,1)))/Inputs!$B$43),G1546*Q1546))*IF(Inputs!$B$38="pvp",1,(1+(Inputs!$B$21+Skills!Q4)/100)*(MIN(Skills!R4,Inputs!$B$37))),0)</f>
        <v/>
      </c>
    </row>
    <row r="1547">
      <c r="A1547">
        <f>Skills!A5</f>
        <v/>
      </c>
      <c r="B1547">
        <f>Skills!B5</f>
        <v/>
      </c>
      <c r="C1547">
        <f>TRUE</f>
        <v/>
      </c>
      <c r="D1547">
        <f>IF(Skills!C5=1,60+Inputs!$B$25+Inputs!$B$29,IF(Skills!C5=2,90+Inputs!$B$26+Inputs!$B$29,IF(Skills!C5=3,120+Inputs!$B$27+Inputs!$B$29,MAX(0,(Inputs!$B$3-100)*3)+Inputs!$B$28+Inputs!$B$29)))</f>
        <v/>
      </c>
      <c r="E1547">
        <f>INDEX(FactorTable!$B$2:$Y$301, MATCH(ROUND(MIN(300,MAX(1,D1547)),0), FactorTable!$A$2:$A$301,0), Skills!M5+1)</f>
        <v/>
      </c>
      <c r="F1547">
        <f>IF(Skills!N5=TRUE,(Skills!L5/10)*(E1547/1000),Skills!L5/10)+Skills!O5</f>
        <v/>
      </c>
      <c r="G1547">
        <f>Calc!G5</f>
        <v/>
      </c>
      <c r="H1547">
        <f>Calc!H5</f>
        <v/>
      </c>
      <c r="I1547">
        <f>IF(Skills!X5&lt;&gt;"",1+(Skills!X5/10)*(Z1545/1000)/100,1)</f>
        <v/>
      </c>
      <c r="J1547">
        <f>((Inputs!$B$6*(1+Inputs!$B$7/100))+(((Inputs!$B$12*(1+Inputs!$B$13/100))-(Inputs!$B$12*(1+Inputs!$B$13/100)))+0.25*(Inputs!$B$14-Inputs!$B$14))*(1+Inputs!$B$7/100))*(F1547/100)</f>
        <v/>
      </c>
      <c r="K1547">
        <f>J1547*(1+((Inputs!$B$12*(1+Inputs!$B$13/100))*0.01+Inputs!$B$14*0.0025)/100)*(1+Inputs!$B$15/100)*(1+Inputs!$B$16/100)*(5000/(6000+Inputs!$B$42*(1-Inputs!$B$19/100)))*(1+Inputs!$B$24/100)*(1+F1565/100)*(1+IF(Inputs!$B$3&gt;=120,F1568,0)/100)^5*(1+(IF(Skills!A5="BASIC_ATTACK",Inputs!$B$17,Inputs!$B$18+IF(Inputs!$B$3&gt;=125,F1569*5,0)))/100)*(B1572*B1573*B1574*I1547)</f>
        <v/>
      </c>
      <c r="L1547">
        <f>K1547*(MIN(Inputs!$B$22+(F1564-Calc!F22),Inputs!$B$23)/100+Inputs!$B$23/100)/2</f>
        <v/>
      </c>
      <c r="M1547">
        <f>L1547*(1+(Inputs!$B$10+(F1563-Calc!F21))/100)</f>
        <v/>
      </c>
      <c r="N1547">
        <f>L1547*(1-MIN(Inputs!$B$9+(F1562-Calc!F20),100)/100)+M1547*(MIN(Inputs!$B$9+(F1562-Calc!F20),100)/100)</f>
        <v/>
      </c>
      <c r="O1547">
        <f>(1-Summary!$B$56)*S1547+Summary!$B$56*U1547</f>
        <v/>
      </c>
      <c r="P1547">
        <f>IF(B1583=0,0,O1547/B1583)</f>
        <v/>
      </c>
      <c r="Q1547">
        <f>IFERROR(1/IF(Inputs!$B$38="pvp",15,MAX(0.1,Skills!E5-IF(Skills!F5=TRUE,5.0,0))),0)</f>
        <v/>
      </c>
      <c r="R1547">
        <f>IF(AND(Inputs!$B$38&lt;&gt;"pvp",Inputs!$B$43&gt;0),IF(MAX(0,Inputs!$B$43-B1580)&lt;=0,0,(INT(MAX(0,Inputs!$B$43-B1580)/IF(Inputs!$B$38="pvp",15,MAX(0.1,Skills!E5-IF(Skills!F5=TRUE,5.0,0))))+1)),0)</f>
        <v/>
      </c>
      <c r="S1547">
        <f>IF(C1547,(H1547*N1547*IF(AND(Inputs!$B$38&lt;&gt;"pvp",Inputs!$B$43&gt;0),((Skills!G5*((R1547-1)*IF(Skills!H5&gt;0,Skills!I5/Skills!H5,1)+IF(Skills!H5&gt;0,MIN(Skills!I5,MAX(0,MAX(0,Inputs!$B$43-B1580)-((R1547-1)*IF(Inputs!$B$38="pvp",15,MAX(0.1,Skills!E5-IF(Skills!F5=TRUE,5.0,0))))))/Skills!H5,1)))/Inputs!$B$43),G1547*Q1547))*IF(Inputs!$B$38="pvp",1,1+(Inputs!$B$20+Skills!P5)/100),0)</f>
        <v/>
      </c>
      <c r="U1547">
        <f>IF(C1547,(H1547*N1547*IF(AND(Inputs!$B$38&lt;&gt;"pvp",Inputs!$B$43&gt;0),((Skills!G5*((R1547-1)*IF(Skills!H5&gt;0,Skills!I5/Skills!H5,1)+IF(Skills!H5&gt;0,MIN(Skills!I5,MAX(0,MAX(0,Inputs!$B$43-B1580)-((R1547-1)*IF(Inputs!$B$38="pvp",15,MAX(0.1,Skills!E5-IF(Skills!F5=TRUE,5.0,0))))))/Skills!H5,1)))/Inputs!$B$43),G1547*Q1547))*IF(Inputs!$B$38="pvp",1,(1+(Inputs!$B$21+Skills!Q5)/100)*(MIN(Skills!R5,Inputs!$B$37))),0)</f>
        <v/>
      </c>
    </row>
    <row r="1548">
      <c r="A1548">
        <f>Skills!A6</f>
        <v/>
      </c>
      <c r="B1548">
        <f>Skills!B6</f>
        <v/>
      </c>
      <c r="C1548">
        <f>TRUE</f>
        <v/>
      </c>
      <c r="D1548">
        <f>IF(Skills!C6=1,60+Inputs!$B$25+Inputs!$B$29,IF(Skills!C6=2,90+Inputs!$B$26+Inputs!$B$29,IF(Skills!C6=3,120+Inputs!$B$27+Inputs!$B$29,MAX(0,(Inputs!$B$3-100)*3)+Inputs!$B$28+Inputs!$B$29)))</f>
        <v/>
      </c>
      <c r="E1548">
        <f>INDEX(FactorTable!$B$2:$Y$301, MATCH(ROUND(MIN(300,MAX(1,D1548)),0), FactorTable!$A$2:$A$301,0), Skills!M6+1)</f>
        <v/>
      </c>
      <c r="F1548">
        <f>IF(Skills!N6=TRUE,(Skills!L6/10)*(E1548/1000),Skills!L6/10)+Skills!O6</f>
        <v/>
      </c>
      <c r="G1548">
        <f>Calc!G6</f>
        <v/>
      </c>
      <c r="H1548">
        <f>Calc!H6</f>
        <v/>
      </c>
      <c r="I1548">
        <f>IF(Skills!X6&lt;&gt;"",1+(Skills!X6/10)*(Z1545/1000)/100,1)</f>
        <v/>
      </c>
      <c r="J1548" t="inlineStr"/>
      <c r="K1548" t="inlineStr"/>
      <c r="L1548" t="inlineStr"/>
      <c r="M1548" t="inlineStr"/>
      <c r="N1548" t="inlineStr"/>
      <c r="O1548">
        <f>(1-Summary!$B$56)*S1548+Summary!$B$56*U1548</f>
        <v/>
      </c>
      <c r="P1548">
        <f>IF(B1583=0,0,O1548/B1583)</f>
        <v/>
      </c>
      <c r="Q1548">
        <f>IFERROR(1/IF(Inputs!$B$38="pvp",15,MAX(0.1,Skills!E6-IF(Skills!F6=TRUE,5.0,0))),0)</f>
        <v/>
      </c>
      <c r="R1548">
        <f>IF(AND(Inputs!$B$38&lt;&gt;"pvp",Inputs!$B$43&gt;0),IF(Inputs!$B$43&lt;=0,0,(INT(Inputs!$B$43/IF(Inputs!$B$38="pvp",15,MAX(0.1,Skills!E6-IF(Skills!F6=TRUE,5.0,0))))+1)),0)</f>
        <v/>
      </c>
      <c r="S1548" t="n">
        <v>0</v>
      </c>
      <c r="U1548" t="n">
        <v>0</v>
      </c>
    </row>
    <row r="1549">
      <c r="A1549">
        <f>Skills!A7</f>
        <v/>
      </c>
      <c r="B1549">
        <f>Skills!B7</f>
        <v/>
      </c>
      <c r="C1549">
        <f>TRUE</f>
        <v/>
      </c>
      <c r="D1549">
        <f>IF(Skills!C7=1,60+Inputs!$B$25+Inputs!$B$29,IF(Skills!C7=2,90+Inputs!$B$26+Inputs!$B$29,IF(Skills!C7=3,120+Inputs!$B$27+Inputs!$B$29,MAX(0,(Inputs!$B$3-100)*3)+Inputs!$B$28+Inputs!$B$29)))</f>
        <v/>
      </c>
      <c r="E1549">
        <f>INDEX(FactorTable!$B$2:$Y$301, MATCH(ROUND(MIN(300,MAX(1,D1549)),0), FactorTable!$A$2:$A$301,0), Skills!M7+1)</f>
        <v/>
      </c>
      <c r="F1549">
        <f>IF(Skills!N7=TRUE,(Skills!L7/10)*(E1549/1000),Skills!L7/10)+Skills!O7</f>
        <v/>
      </c>
      <c r="G1549">
        <f>Calc!G7</f>
        <v/>
      </c>
      <c r="H1549">
        <f>Calc!H7</f>
        <v/>
      </c>
      <c r="I1549">
        <f>IF(Skills!X7&lt;&gt;"",1+(Skills!X7/10)*(Z1545/1000)/100,1)</f>
        <v/>
      </c>
      <c r="J1549">
        <f>((Inputs!$B$6*(1+Inputs!$B$7/100))+(((Inputs!$B$12*(1+Inputs!$B$13/100))-(Inputs!$B$12*(1+Inputs!$B$13/100)))+0.25*(Inputs!$B$14-Inputs!$B$14))*(1+Inputs!$B$7/100))*(F1549/100)</f>
        <v/>
      </c>
      <c r="K1549">
        <f>J1549*(1+((Inputs!$B$12*(1+Inputs!$B$13/100))*0.01+Inputs!$B$14*0.0025)/100)*(1+Inputs!$B$15/100)*(1+Inputs!$B$16/100)*(5000/(6000+Inputs!$B$42*(1-Inputs!$B$19/100)))*(1+Inputs!$B$24/100)*(1+F1565/100)*(1+IF(Inputs!$B$3&gt;=120,F1568,0)/100)^5*(1+(IF(Skills!A7="BASIC_ATTACK",Inputs!$B$17,Inputs!$B$18+IF(Inputs!$B$3&gt;=125,F1569*5,0)))/100)*(B1572*B1573*B1574*I1549)</f>
        <v/>
      </c>
      <c r="L1549">
        <f>K1549*(MIN(Inputs!$B$22+(F1564-Calc!F22),Inputs!$B$23)/100+Inputs!$B$23/100)/2</f>
        <v/>
      </c>
      <c r="M1549">
        <f>L1549*(1+(Inputs!$B$10+(F1563-Calc!F21))/100)</f>
        <v/>
      </c>
      <c r="N1549">
        <f>L1549*(1-MIN(Inputs!$B$9+(F1562-Calc!F20),100)/100)+M1549*(MIN(Inputs!$B$9+(F1562-Calc!F20),100)/100)</f>
        <v/>
      </c>
      <c r="O1549">
        <f>(1-Summary!$B$56)*S1549+Summary!$B$56*U1549</f>
        <v/>
      </c>
      <c r="P1549">
        <f>IF(B1583=0,0,O1549/B1583)</f>
        <v/>
      </c>
      <c r="Q1549">
        <f>IFERROR(1/IF(Inputs!$B$38="pvp",15,MAX(0.1,Skills!E7-IF(Skills!F7=TRUE,5.0,0))),0)</f>
        <v/>
      </c>
      <c r="R1549">
        <f>IF(AND(Inputs!$B$38&lt;&gt;"pvp",Inputs!$B$43&gt;0),IF(MAX(0,Inputs!$B$43-B1580)&lt;=0,0,(INT(MAX(0,Inputs!$B$43-B1580)/IF(Inputs!$B$38="pvp",15,MAX(0.1,Skills!E7-IF(Skills!F7=TRUE,5.0,0))))+1)),0)</f>
        <v/>
      </c>
      <c r="S1549">
        <f>IF(C1549,(H1549*N1549*IF(AND(Inputs!$B$38&lt;&gt;"pvp",Inputs!$B$43&gt;0),((Skills!G7*((R1549-1)*IF(Skills!H7&gt;0,Skills!I7/Skills!H7,1)+IF(Skills!H7&gt;0,MIN(Skills!I7,MAX(0,MAX(0,Inputs!$B$43-B1580)-((R1549-1)*IF(Inputs!$B$38="pvp",15,MAX(0.1,Skills!E7-IF(Skills!F7=TRUE,5.0,0))))))/Skills!H7,1)))/Inputs!$B$43),G1549*Q1549))*IF(Inputs!$B$38="pvp",1,1+(Inputs!$B$20+Skills!P7)/100),0)</f>
        <v/>
      </c>
      <c r="U1549">
        <f>IF(C1549,(H1549*N1549*IF(AND(Inputs!$B$38&lt;&gt;"pvp",Inputs!$B$43&gt;0),((Skills!G7*((R1549-1)*IF(Skills!H7&gt;0,Skills!I7/Skills!H7,1)+IF(Skills!H7&gt;0,MIN(Skills!I7,MAX(0,MAX(0,Inputs!$B$43-B1580)-((R1549-1)*IF(Inputs!$B$38="pvp",15,MAX(0.1,Skills!E7-IF(Skills!F7=TRUE,5.0,0))))))/Skills!H7,1)))/Inputs!$B$43),G1549*Q1549))*IF(Inputs!$B$38="pvp",1,(1+(Inputs!$B$21+Skills!Q7)/100)*(MIN(Skills!R7,Inputs!$B$37))),0)</f>
        <v/>
      </c>
    </row>
    <row r="1550">
      <c r="A1550">
        <f>Skills!A8</f>
        <v/>
      </c>
      <c r="B1550">
        <f>Skills!B8</f>
        <v/>
      </c>
      <c r="C1550">
        <f>TRUE</f>
        <v/>
      </c>
      <c r="D1550">
        <f>IF(Skills!C8=1,60+Inputs!$B$25+Inputs!$B$29,IF(Skills!C8=2,90+Inputs!$B$26+Inputs!$B$29,IF(Skills!C8=3,120+Inputs!$B$27+Inputs!$B$29,MAX(0,(Inputs!$B$3-100)*3)+Inputs!$B$28+Inputs!$B$29)))</f>
        <v/>
      </c>
      <c r="E1550">
        <f>INDEX(FactorTable!$B$2:$Y$301, MATCH(ROUND(MIN(300,MAX(1,D1550)),0), FactorTable!$A$2:$A$301,0), Skills!M8+1)</f>
        <v/>
      </c>
      <c r="F1550">
        <f>IF(Skills!N8=TRUE,(Skills!L8/10)*(E1550/1000),Skills!L8/10)+Skills!O8</f>
        <v/>
      </c>
      <c r="G1550">
        <f>Calc!G8</f>
        <v/>
      </c>
      <c r="H1550">
        <f>Calc!H8</f>
        <v/>
      </c>
      <c r="I1550">
        <f>IF(Skills!X8&lt;&gt;"",1+(Skills!X8/10)*(Z1545/1000)/100,1)</f>
        <v/>
      </c>
      <c r="J1550">
        <f>((Inputs!$B$6*(1+Inputs!$B$7/100))+(((Inputs!$B$12*(1+Inputs!$B$13/100))-(Inputs!$B$12*(1+Inputs!$B$13/100)))+0.25*(Inputs!$B$14-Inputs!$B$14))*(1+Inputs!$B$7/100))*(F1550/100)</f>
        <v/>
      </c>
      <c r="K1550">
        <f>J1550*(1+((Inputs!$B$12*(1+Inputs!$B$13/100))*0.01+Inputs!$B$14*0.0025)/100)*(1+Inputs!$B$15/100)*(1+Inputs!$B$16/100)*(5000/(6000+Inputs!$B$42*(1-Inputs!$B$19/100)))*(1+Inputs!$B$24/100)*(1+F1565/100)*(1+IF(Inputs!$B$3&gt;=120,F1568,0)/100)^5*(1+(IF(Skills!A8="BASIC_ATTACK",Inputs!$B$17,Inputs!$B$18+IF(Inputs!$B$3&gt;=125,F1569*5,0)))/100)*(B1572*B1573*B1574*I1550)</f>
        <v/>
      </c>
      <c r="L1550">
        <f>K1550*(MIN(Inputs!$B$22+(F1564-Calc!F22),Inputs!$B$23)/100+Inputs!$B$23/100)/2</f>
        <v/>
      </c>
      <c r="M1550">
        <f>L1550*(1+(Inputs!$B$10+(F1563-Calc!F21))/100)</f>
        <v/>
      </c>
      <c r="N1550">
        <f>L1550*(1-MIN(Inputs!$B$9+(F1562-Calc!F20),100)/100)+M1550*(MIN(Inputs!$B$9+(F1562-Calc!F20),100)/100)</f>
        <v/>
      </c>
      <c r="O1550">
        <f>(1-Summary!$B$56)*S1550+Summary!$B$56*U1550</f>
        <v/>
      </c>
      <c r="P1550">
        <f>IF(B1583=0,0,O1550/B1583)</f>
        <v/>
      </c>
      <c r="Q1550">
        <f>IFERROR(1/IF(Inputs!$B$38="pvp",15,MAX(0.1,Skills!E8-IF(Skills!F8=TRUE,5.0,0))),0)</f>
        <v/>
      </c>
      <c r="R1550">
        <f>IF(AND(Inputs!$B$38&lt;&gt;"pvp",Inputs!$B$43&gt;0),IF(MAX(0,Inputs!$B$43-B1580)&lt;=0,0,(INT(MAX(0,Inputs!$B$43-B1580)/IF(Inputs!$B$38="pvp",15,MAX(0.1,Skills!E8-IF(Skills!F8=TRUE,5.0,0))))+1)),0)</f>
        <v/>
      </c>
      <c r="S1550">
        <f>IF(C1550,(H1550*N1550*IF(AND(Inputs!$B$38&lt;&gt;"pvp",Inputs!$B$43&gt;0),((Skills!G8*((R1550-1)*IF(Skills!H8&gt;0,Skills!I8/Skills!H8,1)+IF(Skills!H8&gt;0,MIN(Skills!I8,MAX(0,MAX(0,Inputs!$B$43-B1580)-((R1550-1)*IF(Inputs!$B$38="pvp",15,MAX(0.1,Skills!E8-IF(Skills!F8=TRUE,5.0,0))))))/Skills!H8,1)))/Inputs!$B$43),G1550*Q1550))*IF(Inputs!$B$38="pvp",1,1+(Inputs!$B$20+Skills!P8)/100),0)</f>
        <v/>
      </c>
      <c r="U1550">
        <f>IF(C1550,(H1550*N1550*IF(AND(Inputs!$B$38&lt;&gt;"pvp",Inputs!$B$43&gt;0),((Skills!G8*((R1550-1)*IF(Skills!H8&gt;0,Skills!I8/Skills!H8,1)+IF(Skills!H8&gt;0,MIN(Skills!I8,MAX(0,MAX(0,Inputs!$B$43-B1580)-((R1550-1)*IF(Inputs!$B$38="pvp",15,MAX(0.1,Skills!E8-IF(Skills!F8=TRUE,5.0,0))))))/Skills!H8,1)))/Inputs!$B$43),G1550*Q1550))*IF(Inputs!$B$38="pvp",1,(1+(Inputs!$B$21+Skills!Q8)/100)*(MIN(Skills!R8,Inputs!$B$37))),0)</f>
        <v/>
      </c>
    </row>
    <row r="1551">
      <c r="A1551">
        <f>Skills!A9</f>
        <v/>
      </c>
      <c r="B1551">
        <f>Skills!B9</f>
        <v/>
      </c>
      <c r="C1551">
        <f>Inputs!$B$3&gt;=103</f>
        <v/>
      </c>
      <c r="D1551">
        <f>IF(Skills!C9=1,60+Inputs!$B$25+Inputs!$B$29,IF(Skills!C9=2,90+Inputs!$B$26+Inputs!$B$29,IF(Skills!C9=3,120+Inputs!$B$27+Inputs!$B$29,MAX(0,(Inputs!$B$3-100)*3)+Inputs!$B$28+Inputs!$B$29)))</f>
        <v/>
      </c>
      <c r="E1551">
        <f>INDEX(FactorTable!$B$2:$Y$301, MATCH(ROUND(MIN(300,MAX(1,D1551)),0), FactorTable!$A$2:$A$301,0), Skills!M9+1)</f>
        <v/>
      </c>
      <c r="F1551">
        <f>IF(Skills!N9=TRUE,(Skills!L9/10)*(E1551/1000),Skills!L9/10)+Skills!O9</f>
        <v/>
      </c>
      <c r="G1551">
        <f>Calc!G9</f>
        <v/>
      </c>
      <c r="H1551">
        <f>Calc!H9</f>
        <v/>
      </c>
      <c r="I1551">
        <f>IF(Skills!X9&lt;&gt;"",1+(Skills!X9/10)*(Z1545/1000)/100,1)</f>
        <v/>
      </c>
      <c r="J1551">
        <f>((Inputs!$B$6*(1+Inputs!$B$7/100))+(((Inputs!$B$12*(1+Inputs!$B$13/100))-(Inputs!$B$12*(1+Inputs!$B$13/100)))+0.25*(Inputs!$B$14-Inputs!$B$14))*(1+Inputs!$B$7/100))*(F1551/100)</f>
        <v/>
      </c>
      <c r="K1551">
        <f>J1551*(1+((Inputs!$B$12*(1+Inputs!$B$13/100))*0.01+Inputs!$B$14*0.0025)/100)*(1+Inputs!$B$15/100)*(1+Inputs!$B$16/100)*(5000/(6000+Inputs!$B$42*(1-Inputs!$B$19/100)))*(1+Inputs!$B$24/100)*(1+F1565/100)*(1+IF(Inputs!$B$3&gt;=120,F1568,0)/100)^5*(1+(IF(Skills!A9="BASIC_ATTACK",Inputs!$B$17,Inputs!$B$18+IF(Inputs!$B$3&gt;=125,F1569*5,0)))/100)*(B1572*B1573*B1574*I1551)</f>
        <v/>
      </c>
      <c r="L1551">
        <f>K1551*(MIN(Inputs!$B$22+(F1564-Calc!F22),Inputs!$B$23)/100+Inputs!$B$23/100)/2</f>
        <v/>
      </c>
      <c r="M1551">
        <f>L1551*(1+(Inputs!$B$10+(F1563-Calc!F21))/100)</f>
        <v/>
      </c>
      <c r="N1551">
        <f>L1551*(1-MIN(Inputs!$B$9+(F1562-Calc!F20),100)/100)+M1551*(MIN(Inputs!$B$9+(F1562-Calc!F20),100)/100)</f>
        <v/>
      </c>
      <c r="O1551">
        <f>(1-Summary!$B$56)*S1551+Summary!$B$56*U1551</f>
        <v/>
      </c>
      <c r="P1551">
        <f>IF(B1583=0,0,O1551/B1583)</f>
        <v/>
      </c>
      <c r="Q1551">
        <f>IFERROR(1/IF(Inputs!$B$38="pvp",15,MAX(0.1,Skills!E9-IF(Skills!F7=TRUE,5.0,0))),0)</f>
        <v/>
      </c>
      <c r="R1551">
        <f>IF(AND(Inputs!$B$38&lt;&gt;"pvp",Inputs!$B$43&gt;0),IF(MAX(0,Inputs!$B$43-B1580)&lt;=0,0,(INT(MAX(0,Inputs!$B$43-B1580)/IF(Inputs!$B$38="pvp",15,MAX(0.1,Skills!E9-IF(Skills!F7=TRUE,5.0,0))))+1)),0)</f>
        <v/>
      </c>
      <c r="S1551">
        <f>IF(C1551,(H1551*N1551*IF(AND(Inputs!$B$38&lt;&gt;"pvp",Inputs!$B$43&gt;0),((Skills!G9*((R1551-1)*IF(Skills!H9&gt;0,Skills!I9/Skills!H9,1)+IF(Skills!H9&gt;0,MIN(Skills!I9,MAX(0,MAX(0,Inputs!$B$43-B1580)-((R1551-1)*IF(Inputs!$B$38="pvp",15,MAX(0.1,Skills!E9-IF(Skills!F7=TRUE,5.0,0))))))/Skills!H9,1)))/Inputs!$B$43),G1551*Q1551))*IF(Inputs!$B$38="pvp",1,1+(Inputs!$B$20+Skills!P9)/100),0)</f>
        <v/>
      </c>
      <c r="U1551">
        <f>IF(C1551,(H1551*N1551*IF(AND(Inputs!$B$38&lt;&gt;"pvp",Inputs!$B$43&gt;0),((Skills!G9*((R1551-1)*IF(Skills!H9&gt;0,Skills!I9/Skills!H9,1)+IF(Skills!H9&gt;0,MIN(Skills!I9,MAX(0,MAX(0,Inputs!$B$43-B1580)-((R1551-1)*IF(Inputs!$B$38="pvp",15,MAX(0.1,Skills!E9-IF(Skills!F7=TRUE,5.0,0))))))/Skills!H9,1)))/Inputs!$B$43),G1551*Q1551))*IF(Inputs!$B$38="pvp",1,(1+(Inputs!$B$21+Skills!Q9)/100)*(MIN(Skills!R9,Inputs!$B$37))),0)</f>
        <v/>
      </c>
    </row>
    <row r="1552">
      <c r="A1552">
        <f>Skills!A10</f>
        <v/>
      </c>
      <c r="B1552">
        <f>Skills!B10</f>
        <v/>
      </c>
      <c r="C1552">
        <f>TRUE</f>
        <v/>
      </c>
      <c r="D1552">
        <f>IF(Skills!C10=1,60+Inputs!$B$25+Inputs!$B$29,IF(Skills!C10=2,90+Inputs!$B$26+Inputs!$B$29,IF(Skills!C10=3,120+Inputs!$B$27+Inputs!$B$29,MAX(0,(Inputs!$B$3-100)*3)+Inputs!$B$28+Inputs!$B$29)))</f>
        <v/>
      </c>
      <c r="E1552">
        <f>INDEX(FactorTable!$B$2:$Y$301, MATCH(ROUND(MIN(300,MAX(1,D1552)),0), FactorTable!$A$2:$A$301,0), Skills!M10+1)</f>
        <v/>
      </c>
      <c r="F1552">
        <f>IF(Skills!N10=TRUE,(Skills!L10/10)*(E1552/1000),Skills!L10/10)+Skills!O10</f>
        <v/>
      </c>
      <c r="G1552">
        <f>Calc!G10</f>
        <v/>
      </c>
      <c r="H1552">
        <f>Calc!H10</f>
        <v/>
      </c>
      <c r="I1552">
        <f>IF(Skills!X10&lt;&gt;"",1+(Skills!X10/10)*(Z1545/1000)/100,1)</f>
        <v/>
      </c>
      <c r="J1552">
        <f>((Inputs!$B$6*(1+Inputs!$B$7/100))+(((Inputs!$B$12*(1+Inputs!$B$13/100))-(Inputs!$B$12*(1+Inputs!$B$13/100)))+0.25*(Inputs!$B$14-Inputs!$B$14))*(1+Inputs!$B$7/100))*(F1552/100)</f>
        <v/>
      </c>
      <c r="K1552">
        <f>J1552*(1+((Inputs!$B$12*(1+Inputs!$B$13/100))*0.01+Inputs!$B$14*0.0025)/100)*(1+Inputs!$B$15/100)*(1+Inputs!$B$16/100)*(5000/(6000+Inputs!$B$42*(1-Inputs!$B$19/100)))*(1+Inputs!$B$24/100)*(1+F1565/100)*(1+IF(Inputs!$B$3&gt;=120,F1568,0)/100)^5*(1+(IF(Skills!A10="BASIC_ATTACK",Inputs!$B$17,Inputs!$B$18+IF(Inputs!$B$3&gt;=125,F1569*5,0)))/100)*(B1572*B1573*B1574*I1552)</f>
        <v/>
      </c>
      <c r="L1552">
        <f>K1552*(MIN(Inputs!$B$22+(F1564-Calc!F22),Inputs!$B$23)/100+Inputs!$B$23/100)/2</f>
        <v/>
      </c>
      <c r="M1552">
        <f>L1552*(1+(Inputs!$B$10+(F1563-Calc!F21))/100)</f>
        <v/>
      </c>
      <c r="N1552">
        <f>L1552*(1-MIN(Inputs!$B$9+(F1562-Calc!F20),100)/100)+M1552*(MIN(Inputs!$B$9+(F1562-Calc!F20),100)/100)</f>
        <v/>
      </c>
      <c r="O1552">
        <f>(1-Summary!$B$56)*S1552+Summary!$B$56*U1552</f>
        <v/>
      </c>
      <c r="P1552">
        <f>IF(B1583=0,0,O1552/B1583)</f>
        <v/>
      </c>
      <c r="Q1552">
        <f>IFERROR(1/IF(Inputs!$B$38="pvp",15,MAX(0.1,Skills!E10-IF(Skills!F10=TRUE,5.0,0))),0)</f>
        <v/>
      </c>
      <c r="R1552">
        <f>IF(AND(Inputs!$B$38&lt;&gt;"pvp",Inputs!$B$43&gt;0),IF(MAX(0,Inputs!$B$43-B1580)&lt;=0,0,(INT(MAX(0,Inputs!$B$43-B1580)/IF(Inputs!$B$38="pvp",15,MAX(0.1,Skills!E10-IF(Skills!F10=TRUE,5.0,0))))+1)),0)</f>
        <v/>
      </c>
      <c r="S1552">
        <f>IF(C1552,(H1552*N1552*IF(AND(Inputs!$B$38&lt;&gt;"pvp",Inputs!$B$43&gt;0),((Skills!G10*((R1552-1)*IF(Skills!H10&gt;0,Skills!I10/Skills!H10,1)+IF(Skills!H10&gt;0,MIN(Skills!I10,MAX(0,MAX(0,Inputs!$B$43-B1580)-((R1552-1)*IF(Inputs!$B$38="pvp",15,MAX(0.1,Skills!E10-IF(Skills!F10=TRUE,5.0,0))))))/Skills!H10,1)))/Inputs!$B$43),G1552*Q1552))*IF(Inputs!$B$38="pvp",1,1+(Inputs!$B$20+Skills!P10)/100),0)</f>
        <v/>
      </c>
      <c r="U1552">
        <f>IF(C1552,(H1552*N1552*IF(AND(Inputs!$B$38&lt;&gt;"pvp",Inputs!$B$43&gt;0),((Skills!G10*((R1552-1)*IF(Skills!H10&gt;0,Skills!I10/Skills!H10,1)+IF(Skills!H10&gt;0,MIN(Skills!I10,MAX(0,MAX(0,Inputs!$B$43-B1580)-((R1552-1)*IF(Inputs!$B$38="pvp",15,MAX(0.1,Skills!E10-IF(Skills!F10=TRUE,5.0,0))))))/Skills!H10,1)))/Inputs!$B$43),G1552*Q1552))*IF(Inputs!$B$38="pvp",1,(1+(Inputs!$B$21+Skills!Q10)/100)*(MIN(Skills!R10,Inputs!$B$37))),0)</f>
        <v/>
      </c>
    </row>
    <row r="1553">
      <c r="A1553">
        <f>Skills!A11</f>
        <v/>
      </c>
      <c r="B1553">
        <f>Skills!B11</f>
        <v/>
      </c>
      <c r="C1553">
        <f>TRUE</f>
        <v/>
      </c>
      <c r="D1553">
        <f>IF(Skills!C11=1,60+Inputs!$B$25+Inputs!$B$29,IF(Skills!C11=2,90+Inputs!$B$26+Inputs!$B$29,IF(Skills!C11=3,120+Inputs!$B$27+Inputs!$B$29,MAX(0,(Inputs!$B$3-100)*3)+Inputs!$B$28+Inputs!$B$29)))</f>
        <v/>
      </c>
      <c r="E1553">
        <f>INDEX(FactorTable!$B$2:$Y$301, MATCH(ROUND(MIN(300,MAX(1,D1553)),0), FactorTable!$A$2:$A$301,0), Skills!M11+1)</f>
        <v/>
      </c>
      <c r="F1553">
        <f>IF(Skills!N11=TRUE,(Skills!L11/10)*(E1553/1000),Skills!L11/10)+Skills!O11</f>
        <v/>
      </c>
      <c r="G1553">
        <f>Calc!G11</f>
        <v/>
      </c>
      <c r="H1553">
        <f>Calc!H11</f>
        <v/>
      </c>
      <c r="I1553">
        <f>IF(Skills!X11&lt;&gt;"",1+(Skills!X11/10)*(Z1545/1000)/100,1)</f>
        <v/>
      </c>
      <c r="J1553" t="inlineStr"/>
      <c r="K1553" t="inlineStr"/>
      <c r="L1553" t="inlineStr"/>
      <c r="M1553" t="inlineStr"/>
      <c r="N1553" t="inlineStr"/>
      <c r="O1553">
        <f>(1-Summary!$B$56)*S1553+Summary!$B$56*U1553</f>
        <v/>
      </c>
      <c r="P1553">
        <f>IF(B1583=0,0,O1553/B1583)</f>
        <v/>
      </c>
      <c r="Q1553">
        <f>IFERROR(1/IF(Inputs!$B$38="pvp",15,MAX(0.1,Skills!E11-IF(Skills!F11=TRUE,5.0,0))),0)</f>
        <v/>
      </c>
      <c r="R1553" t="n">
        <v>0</v>
      </c>
      <c r="S1553" t="n">
        <v>0</v>
      </c>
      <c r="U1553" t="n">
        <v>0</v>
      </c>
    </row>
    <row r="1554">
      <c r="A1554">
        <f>Skills!A12</f>
        <v/>
      </c>
      <c r="B1554">
        <f>Skills!B12</f>
        <v/>
      </c>
      <c r="C1554">
        <f>TRUE</f>
        <v/>
      </c>
      <c r="D1554">
        <f>IF(Skills!C12=1,60+Inputs!$B$25+Inputs!$B$29,IF(Skills!C12=2,90+Inputs!$B$26+Inputs!$B$29,IF(Skills!C12=3,120+Inputs!$B$27+Inputs!$B$29,MAX(0,(Inputs!$B$3-100)*3)+Inputs!$B$28+Inputs!$B$29)))</f>
        <v/>
      </c>
      <c r="E1554">
        <f>INDEX(FactorTable!$B$2:$Y$301, MATCH(ROUND(MIN(300,MAX(1,D1554)),0), FactorTable!$A$2:$A$301,0), Skills!M12+1)</f>
        <v/>
      </c>
      <c r="F1554">
        <f>IF(Skills!N12=TRUE,(Skills!L12/10)*(E1554/1000),Skills!L12/10)+Skills!O12</f>
        <v/>
      </c>
      <c r="G1554">
        <f>Calc!G12</f>
        <v/>
      </c>
      <c r="H1554">
        <f>Calc!H12</f>
        <v/>
      </c>
      <c r="I1554">
        <f>IF(Skills!X12&lt;&gt;"",1+(Skills!X12/10)*(Z1545/1000)/100,1)</f>
        <v/>
      </c>
      <c r="J1554" t="inlineStr"/>
      <c r="K1554" t="inlineStr"/>
      <c r="L1554" t="inlineStr"/>
      <c r="M1554" t="inlineStr"/>
      <c r="N1554" t="inlineStr"/>
      <c r="O1554">
        <f>(1-Summary!$B$56)*S1554+Summary!$B$56*U1554</f>
        <v/>
      </c>
      <c r="P1554">
        <f>IF(B1583=0,0,O1554/B1583)</f>
        <v/>
      </c>
      <c r="Q1554">
        <f>IFERROR(1/IF(Inputs!$B$38="pvp",15,MAX(0.1,Skills!E12-IF(Skills!F12=TRUE,5.0,0))),0)</f>
        <v/>
      </c>
      <c r="R1554" t="n">
        <v>0</v>
      </c>
      <c r="S1554" t="n">
        <v>0</v>
      </c>
      <c r="U1554" t="n">
        <v>0</v>
      </c>
    </row>
    <row r="1555">
      <c r="A1555">
        <f>Skills!A13</f>
        <v/>
      </c>
      <c r="B1555">
        <f>Skills!B13</f>
        <v/>
      </c>
      <c r="C1555">
        <f>Inputs!$B$3&gt;=105</f>
        <v/>
      </c>
      <c r="D1555">
        <f>IF(Skills!C13=1,60+Inputs!$B$25+Inputs!$B$29,IF(Skills!C13=2,90+Inputs!$B$26+Inputs!$B$29,IF(Skills!C13=3,120+Inputs!$B$27+Inputs!$B$29,MAX(0,(Inputs!$B$3-100)*3)+Inputs!$B$28+Inputs!$B$29)))</f>
        <v/>
      </c>
      <c r="E1555">
        <f>INDEX(FactorTable!$B$2:$Y$301, MATCH(ROUND(MIN(300,MAX(1,D1555)),0), FactorTable!$A$2:$A$301,0), Skills!M13+1)</f>
        <v/>
      </c>
      <c r="F1555">
        <f>IF(Skills!N13=TRUE,(Skills!L13/10)*(E1555/1000),Skills!L13/10)+Skills!O13</f>
        <v/>
      </c>
      <c r="G1555">
        <f>Calc!G13</f>
        <v/>
      </c>
      <c r="H1555">
        <f>Calc!H13</f>
        <v/>
      </c>
      <c r="I1555">
        <f>IF(Skills!X13&lt;&gt;"",1+(Skills!X13/10)*(Z1545/1000)/100,1)</f>
        <v/>
      </c>
      <c r="J1555">
        <f>((Inputs!$B$6*(1+Inputs!$B$7/100))+(((Inputs!$B$12*(1+Inputs!$B$13/100))-(Inputs!$B$12*(1+Inputs!$B$13/100)))+0.25*(Inputs!$B$14-Inputs!$B$14))*(1+Inputs!$B$7/100))*(F1555/100)</f>
        <v/>
      </c>
      <c r="K1555">
        <f>J1555*(1+((Inputs!$B$12*(1+Inputs!$B$13/100))*0.01+Inputs!$B$14*0.0025)/100)*(1+Inputs!$B$15/100)*(1+Inputs!$B$16/100)*(5000/(6000+Inputs!$B$42*(1-Inputs!$B$19/100)))*(1+Inputs!$B$24/100)*(1+F1565/100)*(1+IF(Inputs!$B$3&gt;=120,F1568,0)/100)^5*(1+(IF(Skills!A13="BASIC_ATTACK",Inputs!$B$17,Inputs!$B$18+IF(Inputs!$B$3&gt;=125,F1569*5,0)))/100)*(B1572*B1573*B1574*I1555)</f>
        <v/>
      </c>
      <c r="L1555">
        <f>K1555*(MIN(Inputs!$B$22+(F1564-Calc!F22),Inputs!$B$23)/100+Inputs!$B$23/100)/2</f>
        <v/>
      </c>
      <c r="M1555">
        <f>L1555*(1+(Inputs!$B$10+(F1563-Calc!F21))/100)</f>
        <v/>
      </c>
      <c r="N1555">
        <f>L1555*(1-MIN(Inputs!$B$9+(F1562-Calc!F20),100)/100)+M1555*(MIN(Inputs!$B$9+(F1562-Calc!F20),100)/100)</f>
        <v/>
      </c>
      <c r="O1555">
        <f>(1-Summary!$B$56)*S1555+Summary!$B$56*U1555</f>
        <v/>
      </c>
      <c r="P1555">
        <f>IF(B1583=0,0,O1555/B1583)</f>
        <v/>
      </c>
      <c r="Q1555">
        <f>IFERROR(1/IF(Inputs!$B$38="pvp",15,MAX(0.1,Skills!E13-IF(Skills!F13=TRUE,5.0,0))),0)</f>
        <v/>
      </c>
      <c r="R1555">
        <f>IF(AND(Inputs!$B$38&lt;&gt;"pvp",Inputs!$B$43&gt;0),IF(MAX(0,Inputs!$B$43-B1580)&lt;=0,0,(INT(MAX(0,Inputs!$B$43-B1580)/IF(Inputs!$B$38="pvp",15,MAX(0.1,Skills!E13-IF(Skills!F13=TRUE,5.0,0))))+1)),0)</f>
        <v/>
      </c>
      <c r="S1555">
        <f>IF(C1555,(H1555*N1555*IF(AND(Inputs!$B$38&lt;&gt;"pvp",Inputs!$B$43&gt;0),((Skills!G13*((R1555-1)*IF(Skills!H13&gt;0,Skills!I13/Skills!H13,1)+IF(Skills!H13&gt;0,MIN(Skills!I13,MAX(0,MAX(0,Inputs!$B$43-B1580)-((R1555-1)*IF(Inputs!$B$38="pvp",15,MAX(0.1,Skills!E13-IF(Skills!F13=TRUE,5.0,0))))))/Skills!H13,1)))/Inputs!$B$43),G1555*Q1555))*IF(Inputs!$B$38="pvp",1,1+(Inputs!$B$20+Skills!P13)/100),0)</f>
        <v/>
      </c>
      <c r="U1555">
        <f>IF(C1555,(H1555*N1555*IF(AND(Inputs!$B$38&lt;&gt;"pvp",Inputs!$B$43&gt;0),((Skills!G13*((R1555-1)*IF(Skills!H13&gt;0,Skills!I13/Skills!H13,1)+IF(Skills!H13&gt;0,MIN(Skills!I13,MAX(0,MAX(0,Inputs!$B$43-B1580)-((R1555-1)*IF(Inputs!$B$38="pvp",15,MAX(0.1,Skills!E13-IF(Skills!F13=TRUE,5.0,0))))))/Skills!H13,1)))/Inputs!$B$43),G1555*Q1555))*IF(Inputs!$B$38="pvp",1,(1+(Inputs!$B$21+Skills!Q13)/100)*(MIN(Skills!R13,Inputs!$B$37))),0)</f>
        <v/>
      </c>
    </row>
    <row r="1556">
      <c r="A1556">
        <f>Skills!A14</f>
        <v/>
      </c>
      <c r="B1556">
        <f>Skills!B14</f>
        <v/>
      </c>
      <c r="C1556">
        <f>Inputs!$B$3&gt;=113</f>
        <v/>
      </c>
      <c r="D1556">
        <f>IF(Skills!C14=1,60+Inputs!$B$25+Inputs!$B$29,IF(Skills!C14=2,90+Inputs!$B$26+Inputs!$B$29,IF(Skills!C14=3,120+Inputs!$B$27+Inputs!$B$29,MAX(0,(Inputs!$B$3-100)*3)+Inputs!$B$28+Inputs!$B$29)))</f>
        <v/>
      </c>
      <c r="E1556">
        <f>INDEX(FactorTable!$B$2:$Y$301, MATCH(ROUND(MIN(300,MAX(1,D1556)),0), FactorTable!$A$2:$A$301,0), Skills!M14+1)</f>
        <v/>
      </c>
      <c r="F1556">
        <f>IF(Skills!N14=TRUE,(Skills!L14/10)*(E1556/1000),Skills!L14/10)+Skills!O14</f>
        <v/>
      </c>
      <c r="G1556">
        <f>Calc!G14</f>
        <v/>
      </c>
      <c r="H1556">
        <f>Calc!H14</f>
        <v/>
      </c>
      <c r="I1556">
        <f>IF(Skills!X14&lt;&gt;"",1+(Skills!X14/10)*(Z1545/1000)/100,1)</f>
        <v/>
      </c>
      <c r="J1556">
        <f>((Inputs!$B$6*(1+Inputs!$B$7/100))+(((Inputs!$B$12*(1+Inputs!$B$13/100))-(Inputs!$B$12*(1+Inputs!$B$13/100)))+0.25*(Inputs!$B$14-Inputs!$B$14))*(1+Inputs!$B$7/100))*(F1556/100)</f>
        <v/>
      </c>
      <c r="K1556">
        <f>J1556*(1+((Inputs!$B$12*(1+Inputs!$B$13/100))*0.01+Inputs!$B$14*0.0025)/100)*(1+Inputs!$B$15/100)*(1+Inputs!$B$16/100)*(5000/(6000+Inputs!$B$42*(1-Inputs!$B$19/100)))*(1+Inputs!$B$24/100)*(1+F1565/100)*(1+IF(Inputs!$B$3&gt;=120,F1568,0)/100)^5*(1+(IF(Skills!A14="BASIC_ATTACK",Inputs!$B$17,Inputs!$B$18+IF(Inputs!$B$3&gt;=125,F1569*5,0)))/100)*(B1572*B1573*B1574*I1556)</f>
        <v/>
      </c>
      <c r="L1556">
        <f>K1556*(MIN(Inputs!$B$22+(F1564-Calc!F22),Inputs!$B$23)/100+Inputs!$B$23/100)/2</f>
        <v/>
      </c>
      <c r="M1556">
        <f>L1556*(1+(Inputs!$B$10+(F1563-Calc!F21))/100)</f>
        <v/>
      </c>
      <c r="N1556">
        <f>L1556*(1-MIN(Inputs!$B$9+(F1562-Calc!F20),100)/100)+M1556*(MIN(Inputs!$B$9+(F1562-Calc!F20),100)/100)</f>
        <v/>
      </c>
      <c r="O1556">
        <f>(1-Summary!$B$56)*S1556+Summary!$B$56*U1556</f>
        <v/>
      </c>
      <c r="P1556">
        <f>IF(B1583=0,0,O1556/B1583)</f>
        <v/>
      </c>
      <c r="Q1556">
        <f>IFERROR(1/IF(Inputs!$B$38="pvp",15,MAX(0.1,Skills!E14-IF(Skills!F14=TRUE,5.0,0))),0)</f>
        <v/>
      </c>
      <c r="R1556" t="n">
        <v>0</v>
      </c>
      <c r="S1556">
        <f>IF(C1556,((H1556*B1579)/(1+Skills!H14*H1556*B1579)*N1556)*IF(Inputs!$B$38="pvp",1,1+(Inputs!$B$20+Skills!P14)/100),0)</f>
        <v/>
      </c>
      <c r="U1556">
        <f>IF(C1556,((H1556*B1579)/(1+Skills!H14*H1556*B1579)*N1556)*IF(Inputs!$B$38="pvp",1,(1+(Inputs!$B$21+Skills!Q14)/100)*(MIN(Skills!R14,Inputs!$B$37))),0)</f>
        <v/>
      </c>
    </row>
    <row r="1557">
      <c r="A1557">
        <f>Skills!A15</f>
        <v/>
      </c>
      <c r="B1557">
        <f>Skills!B15</f>
        <v/>
      </c>
      <c r="C1557">
        <f>Inputs!$B$3&gt;=107</f>
        <v/>
      </c>
      <c r="D1557">
        <f>IF(Skills!C15=1,60+Inputs!$B$25+Inputs!$B$29,IF(Skills!C15=2,90+Inputs!$B$26+Inputs!$B$29,IF(Skills!C15=3,120+Inputs!$B$27+Inputs!$B$29,MAX(0,(Inputs!$B$3-100)*3)+Inputs!$B$28+Inputs!$B$29)))</f>
        <v/>
      </c>
      <c r="E1557">
        <f>INDEX(FactorTable!$B$2:$Y$301, MATCH(ROUND(MIN(300,MAX(1,D1557)),0), FactorTable!$A$2:$A$301,0), Skills!M15+1)</f>
        <v/>
      </c>
      <c r="F1557">
        <f>IF(Skills!N15=TRUE,(Skills!L15/10)*(E1557/1000),Skills!L15/10)+Skills!O15</f>
        <v/>
      </c>
      <c r="G1557">
        <f>Calc!G15</f>
        <v/>
      </c>
      <c r="H1557">
        <f>Calc!H15</f>
        <v/>
      </c>
      <c r="I1557">
        <f>IF(Skills!X15&lt;&gt;"",1+(Skills!X15/10)*(Z1545/1000)/100,1)</f>
        <v/>
      </c>
      <c r="J1557">
        <f>((Inputs!$B$6*(1+Inputs!$B$7/100))+(((Inputs!$B$12*(1+Inputs!$B$13/100))-(Inputs!$B$12*(1+Inputs!$B$13/100)))+0.25*(Inputs!$B$14-Inputs!$B$14))*(1+Inputs!$B$7/100))*(F1557/100)</f>
        <v/>
      </c>
      <c r="K1557">
        <f>J1557*(1+((Inputs!$B$12*(1+Inputs!$B$13/100))*0.01+Inputs!$B$14*0.0025)/100)*(1+Inputs!$B$15/100)*(1+Inputs!$B$16/100)*(5000/(6000+Inputs!$B$42*(1-Inputs!$B$19/100)))*(1+Inputs!$B$24/100)*(1+F1565/100)*(1+IF(Inputs!$B$3&gt;=120,F1568,0)/100)^5*(1+(IF(Skills!A15="BASIC_ATTACK",Inputs!$B$17,Inputs!$B$18+IF(Inputs!$B$3&gt;=125,F1569*5,0)))/100)*(B1572*B1573*B1574*I1557)</f>
        <v/>
      </c>
      <c r="L1557">
        <f>K1557*(MIN(Inputs!$B$22+(F1564-Calc!F22),Inputs!$B$23)/100+Inputs!$B$23/100)/2</f>
        <v/>
      </c>
      <c r="M1557">
        <f>L1557*(1+(Inputs!$B$10+(F1563-Calc!F21))/100)</f>
        <v/>
      </c>
      <c r="N1557">
        <f>L1557*(1-MIN(Inputs!$B$9+(F1562-Calc!F20),100)/100)+M1557*(MIN(Inputs!$B$9+(F1562-Calc!F20),100)/100)</f>
        <v/>
      </c>
      <c r="O1557">
        <f>(1-Summary!$B$56)*S1557+Summary!$B$56*U1557</f>
        <v/>
      </c>
      <c r="P1557">
        <f>IF(B1583=0,0,O1557/B1583)</f>
        <v/>
      </c>
      <c r="Q1557">
        <f>IFERROR(1/IF(Inputs!$B$38="pvp",15,MAX(0.1,Skills!E15-IF(Skills!F15=TRUE,5.0,0))),0)</f>
        <v/>
      </c>
      <c r="R1557">
        <f>IF(AND(Inputs!$B$38&lt;&gt;"pvp",Inputs!$B$43&gt;0),IF(MAX(0,Inputs!$B$43-B1580)&lt;=0,0,(INT(MAX(0,Inputs!$B$43-B1580)/IF(Inputs!$B$38="pvp",15,MAX(0.1,Skills!E15-IF(Skills!F15=TRUE,5.0,0))))+1)),0)</f>
        <v/>
      </c>
      <c r="S1557">
        <f>IF(C1557,(H1557*N1557*IF(AND(Inputs!$B$38&lt;&gt;"pvp",Inputs!$B$43&gt;0),((Skills!G15*((R1557-1)*IF(Skills!H15&gt;0,Skills!I15/Skills!H15,1)+IF(Skills!H15&gt;0,MIN(Skills!I15,MAX(0,MAX(0,Inputs!$B$43-B1580)-((R1557-1)*IF(Inputs!$B$38="pvp",15,MAX(0.1,Skills!E15-IF(Skills!F15=TRUE,5.0,0))))))/Skills!H15,1)))/Inputs!$B$43),G1557*Q1557))*IF(Inputs!$B$38="pvp",1,1+(Inputs!$B$20+Skills!P15)/100),0)</f>
        <v/>
      </c>
      <c r="U1557">
        <f>IF(C1557,(H1557*N1557*IF(AND(Inputs!$B$38&lt;&gt;"pvp",Inputs!$B$43&gt;0),((Skills!G15*((R1557-1)*IF(Skills!H15&gt;0,Skills!I15/Skills!H15,1)+IF(Skills!H15&gt;0,MIN(Skills!I15,MAX(0,MAX(0,Inputs!$B$43-B1580)-((R1557-1)*IF(Inputs!$B$38="pvp",15,MAX(0.1,Skills!E15-IF(Skills!F15=TRUE,5.0,0))))))/Skills!H15,1)))/Inputs!$B$43),G1557*Q1557))*IF(Inputs!$B$38="pvp",1,(1+(Inputs!$B$21+Skills!Q15)/100)*(MIN(Skills!R15,Inputs!$B$37))),0)</f>
        <v/>
      </c>
    </row>
    <row r="1558">
      <c r="A1558">
        <f>Skills!A16</f>
        <v/>
      </c>
      <c r="B1558">
        <f>Skills!B16</f>
        <v/>
      </c>
      <c r="C1558">
        <f>Inputs!$B$3&gt;=107</f>
        <v/>
      </c>
      <c r="D1558">
        <f>IF(Skills!C16=1,60+Inputs!$B$25+Inputs!$B$29,IF(Skills!C16=2,90+Inputs!$B$26+Inputs!$B$29,IF(Skills!C16=3,120+Inputs!$B$27+Inputs!$B$29,MAX(0,(Inputs!$B$3-100)*3)+Inputs!$B$28+Inputs!$B$29)))</f>
        <v/>
      </c>
      <c r="E1558">
        <f>INDEX(FactorTable!$B$2:$Y$301, MATCH(ROUND(MIN(300,MAX(1,D1558)),0), FactorTable!$A$2:$A$301,0), Skills!M16+1)</f>
        <v/>
      </c>
      <c r="F1558">
        <f>IF(Skills!N16=TRUE,(Skills!L16/10)*(E1558/1000),Skills!L16/10)+Skills!O16</f>
        <v/>
      </c>
      <c r="G1558">
        <f>Calc!G16</f>
        <v/>
      </c>
      <c r="H1558">
        <f>Calc!H16</f>
        <v/>
      </c>
      <c r="I1558">
        <f>IF(Skills!X16&lt;&gt;"",1+(Skills!X16/10)*(Z1545/1000)/100,1)</f>
        <v/>
      </c>
      <c r="J1558">
        <f>((Inputs!$B$6*(1+Inputs!$B$7/100))+(((Inputs!$B$12*(1+Inputs!$B$13/100))-(Inputs!$B$12*(1+Inputs!$B$13/100)))+0.25*(Inputs!$B$14-Inputs!$B$14))*(1+Inputs!$B$7/100))*(F1558/100)</f>
        <v/>
      </c>
      <c r="K1558">
        <f>J1558*(1+((Inputs!$B$12*(1+Inputs!$B$13/100))*0.01+Inputs!$B$14*0.0025)/100)*(1+Inputs!$B$15/100)*(1+Inputs!$B$16/100)*(5000/(6000+Inputs!$B$42*(1-Inputs!$B$19/100)))*(1+Inputs!$B$24/100)*(1+F1565/100)*(1+IF(Inputs!$B$3&gt;=120,F1568,0)/100)^5*(1+(IF(Skills!A16="BASIC_ATTACK",Inputs!$B$17,Inputs!$B$18+IF(Inputs!$B$3&gt;=125,F1569*5,0)))/100)*(B1572*B1573*B1574*I1558)</f>
        <v/>
      </c>
      <c r="L1558">
        <f>K1558*(MIN(Inputs!$B$22+(F1564-Calc!F22),Inputs!$B$23)/100+Inputs!$B$23/100)/2</f>
        <v/>
      </c>
      <c r="M1558">
        <f>L1558*(1+(Inputs!$B$10+(F1563-Calc!F21))/100)</f>
        <v/>
      </c>
      <c r="N1558">
        <f>L1558*(1-MIN(Inputs!$B$9+(F1562-Calc!F20),100)/100)+M1558*(MIN(Inputs!$B$9+(F1562-Calc!F20),100)/100)</f>
        <v/>
      </c>
      <c r="O1558">
        <f>(1-Summary!$B$56)*S1558+Summary!$B$56*U1558</f>
        <v/>
      </c>
      <c r="P1558">
        <f>IF(B1583=0,0,O1558/B1583)</f>
        <v/>
      </c>
      <c r="Q1558">
        <f>IFERROR(1/IF(Inputs!$B$38="pvp",15,MAX(0.1,Skills!E16-IF(Skills!F16=TRUE,5.0,0))),0)</f>
        <v/>
      </c>
      <c r="R1558">
        <f>IF(AND(Inputs!$B$38&lt;&gt;"pvp",Inputs!$B$43&gt;0),IF(MAX(0,Inputs!$B$43-B1580)&lt;=0,0,(INT(MAX(0,Inputs!$B$43-B1580)/IF(Inputs!$B$38="pvp",15,MAX(0.1,Skills!E16-IF(Skills!F16=TRUE,5.0,0))))+1)),0)</f>
        <v/>
      </c>
      <c r="S1558">
        <f>IF(C1558,(H1558*N1558*IF(AND(Inputs!$B$38&lt;&gt;"pvp",Inputs!$B$43&gt;0),((Skills!G16*((R1558-1)*IF(Skills!H16&gt;0,Skills!I16/Skills!H16,1)+IF(Skills!H16&gt;0,MIN(Skills!I16,MAX(0,MAX(0,Inputs!$B$43-B1580)-((R1558-1)*IF(Inputs!$B$38="pvp",15,MAX(0.1,Skills!E16-IF(Skills!F16=TRUE,5.0,0))))))/Skills!H16,1)))/Inputs!$B$43),G1558*Q1558)*(1+IF(Inputs!$B$3&gt;=126,0.05*(B1578+Q1555+(H1556*B1579)/(1+Skills!H14*H1556*B1579)+Q1566),0)*Skills!E15))*IF(Inputs!$B$38="pvp",1,1+(Inputs!$B$20+Skills!P16)/100),0)</f>
        <v/>
      </c>
      <c r="U1558">
        <f>IF(C1558,(H1558*N1558*IF(AND(Inputs!$B$38&lt;&gt;"pvp",Inputs!$B$43&gt;0),((Skills!G16*((R1558-1)*IF(Skills!H16&gt;0,Skills!I16/Skills!H16,1)+IF(Skills!H16&gt;0,MIN(Skills!I16,MAX(0,MAX(0,Inputs!$B$43-B1580)-((R1558-1)*IF(Inputs!$B$38="pvp",15,MAX(0.1,Skills!E16-IF(Skills!F16=TRUE,5.0,0))))))/Skills!H16,1)))/Inputs!$B$43),G1558*Q1558)*(1+IF(Inputs!$B$3&gt;=126,0.05*(B1578+Q1555+(H1556*B1579)/(1+Skills!H14*H1556*B1579)+Q1566),0)*Skills!E15))*IF(Inputs!$B$38="pvp",1,(1+(Inputs!$B$21+Skills!Q16)/100)*(MIN(Skills!R16,Inputs!$B$37))),0)</f>
        <v/>
      </c>
    </row>
    <row r="1559">
      <c r="A1559">
        <f>Skills!A17</f>
        <v/>
      </c>
      <c r="B1559">
        <f>Skills!B17</f>
        <v/>
      </c>
      <c r="C1559">
        <f>TRUE</f>
        <v/>
      </c>
      <c r="D1559">
        <f>IF(Skills!C17=1,60+Inputs!$B$25+Inputs!$B$29,IF(Skills!C17=2,90+Inputs!$B$26+Inputs!$B$29,IF(Skills!C17=3,120+Inputs!$B$27+Inputs!$B$29,MAX(0,(Inputs!$B$3-100)*3)+Inputs!$B$28+Inputs!$B$29)))</f>
        <v/>
      </c>
      <c r="E1559">
        <f>INDEX(FactorTable!$B$2:$Y$301, MATCH(ROUND(MIN(300,MAX(1,D1559)),0), FactorTable!$A$2:$A$301,0), Skills!M17+1)</f>
        <v/>
      </c>
      <c r="F1559">
        <f>IF(Skills!N17=TRUE,(Skills!L17/10)*(E1559/1000),Skills!L17/10)+Skills!O17</f>
        <v/>
      </c>
      <c r="G1559">
        <f>Calc!G17</f>
        <v/>
      </c>
      <c r="H1559">
        <f>Calc!H17</f>
        <v/>
      </c>
      <c r="I1559">
        <f>IF(Skills!X17&lt;&gt;"",1+(Skills!X17/10)*(Z1545/1000)/100,1)</f>
        <v/>
      </c>
      <c r="J1559" t="inlineStr"/>
      <c r="K1559" t="inlineStr"/>
      <c r="L1559" t="inlineStr"/>
      <c r="M1559" t="inlineStr"/>
      <c r="N1559" t="inlineStr"/>
      <c r="O1559">
        <f>(1-Summary!$B$56)*S1559+Summary!$B$56*U1559</f>
        <v/>
      </c>
      <c r="P1559">
        <f>IF(B1583=0,0,O1559/B1583)</f>
        <v/>
      </c>
      <c r="Q1559">
        <f>IFERROR(1/IF(Inputs!$B$38="pvp",15,MAX(0.1,Skills!E17-IF(Skills!F17=TRUE,5.0,0))),0)</f>
        <v/>
      </c>
      <c r="R1559">
        <f>IF(AND(Inputs!$B$38&lt;&gt;"pvp",Inputs!$B$43&gt;0),IF(Inputs!$B$43&lt;=0,0,(INT(Inputs!$B$43/IF(Inputs!$B$38="pvp",15,MAX(0.1,Skills!E17-IF(Skills!F17=TRUE,5.0,0))))+1)),0)</f>
        <v/>
      </c>
      <c r="S1559" t="n">
        <v>0</v>
      </c>
      <c r="U1559" t="n">
        <v>0</v>
      </c>
    </row>
    <row r="1560">
      <c r="A1560">
        <f>Skills!A18</f>
        <v/>
      </c>
      <c r="B1560">
        <f>Skills!B18</f>
        <v/>
      </c>
      <c r="C1560">
        <f>TRUE</f>
        <v/>
      </c>
      <c r="D1560">
        <f>IF(Skills!C18=1,60+Inputs!$B$25+Inputs!$B$29,IF(Skills!C18=2,90+Inputs!$B$26+Inputs!$B$29,IF(Skills!C18=3,120+Inputs!$B$27+Inputs!$B$29,MAX(0,(Inputs!$B$3-100)*3)+Inputs!$B$28+Inputs!$B$29)))</f>
        <v/>
      </c>
      <c r="E1560">
        <f>INDEX(FactorTable!$B$2:$Y$301, MATCH(ROUND(MIN(300,MAX(1,D1560)),0), FactorTable!$A$2:$A$301,0), Skills!M18+1)</f>
        <v/>
      </c>
      <c r="F1560">
        <f>IF(Skills!N18=TRUE,(Skills!L18/10)*(E1560/1000),Skills!L18/10)+Skills!O18</f>
        <v/>
      </c>
      <c r="G1560">
        <f>Calc!G18</f>
        <v/>
      </c>
      <c r="H1560">
        <f>Calc!H18</f>
        <v/>
      </c>
      <c r="I1560">
        <f>IF(Skills!X18&lt;&gt;"",1+(Skills!X18/10)*(Z1545/1000)/100,1)</f>
        <v/>
      </c>
      <c r="J1560" t="inlineStr"/>
      <c r="K1560" t="inlineStr"/>
      <c r="L1560" t="inlineStr"/>
      <c r="M1560" t="inlineStr"/>
      <c r="N1560" t="inlineStr"/>
      <c r="O1560">
        <f>(1-Summary!$B$56)*S1560+Summary!$B$56*U1560</f>
        <v/>
      </c>
      <c r="P1560">
        <f>IF(B1583=0,0,O1560/B1583)</f>
        <v/>
      </c>
      <c r="Q1560">
        <f>IFERROR(1/IF(Inputs!$B$38="pvp",15,MAX(0.1,Skills!E18-IF(Skills!F18=TRUE,5.0,0))),0)</f>
        <v/>
      </c>
      <c r="R1560">
        <f>IF(AND(Inputs!$B$38&lt;&gt;"pvp",Inputs!$B$43&gt;0),IF(Inputs!$B$43&lt;=0,0,(INT(Inputs!$B$43/IF(Inputs!$B$38="pvp",15,MAX(0.1,Skills!E18-IF(Skills!F18=TRUE,5.0,0))))+1)),0)</f>
        <v/>
      </c>
      <c r="S1560" t="n">
        <v>0</v>
      </c>
      <c r="U1560" t="n">
        <v>0</v>
      </c>
    </row>
    <row r="1561">
      <c r="A1561">
        <f>Skills!A19</f>
        <v/>
      </c>
      <c r="B1561">
        <f>Skills!B19</f>
        <v/>
      </c>
      <c r="C1561">
        <f>Inputs!$B$3&gt;=110</f>
        <v/>
      </c>
      <c r="D1561">
        <f>IF(Skills!C19=1,60+Inputs!$B$25+Inputs!$B$29,IF(Skills!C19=2,90+Inputs!$B$26+Inputs!$B$29,IF(Skills!C19=3,120+Inputs!$B$27+Inputs!$B$29,MAX(0,(Inputs!$B$3-100)*3)+Inputs!$B$28+Inputs!$B$29)))</f>
        <v/>
      </c>
      <c r="E1561">
        <f>INDEX(FactorTable!$B$2:$Y$301, MATCH(ROUND(MIN(300,MAX(1,D1561)),0), FactorTable!$A$2:$A$301,0), Skills!M19+1)</f>
        <v/>
      </c>
      <c r="F1561">
        <f>IF(Skills!N19=TRUE,(Skills!L19/10)*(E1561/1000),Skills!L19/10)+Skills!O19</f>
        <v/>
      </c>
      <c r="G1561">
        <f>Calc!G19</f>
        <v/>
      </c>
      <c r="H1561">
        <f>Calc!H19</f>
        <v/>
      </c>
      <c r="I1561">
        <f>IF(Skills!X19&lt;&gt;"",1+(Skills!X19/10)*(Z1545/1000)/100,1)</f>
        <v/>
      </c>
      <c r="J1561" t="inlineStr"/>
      <c r="K1561" t="inlineStr"/>
      <c r="L1561" t="inlineStr"/>
      <c r="M1561" t="inlineStr"/>
      <c r="N1561" t="inlineStr"/>
      <c r="O1561">
        <f>(1-Summary!$B$56)*S1561+Summary!$B$56*U1561</f>
        <v/>
      </c>
      <c r="P1561">
        <f>IF(B1583=0,0,O1561/B1583)</f>
        <v/>
      </c>
      <c r="Q1561">
        <f>IFERROR(1/IF(Inputs!$B$38="pvp",15,MAX(0.1,Skills!E19-IF(Skills!F19=TRUE,5.0,0))),0)</f>
        <v/>
      </c>
      <c r="R1561">
        <f>IF(AND(Inputs!$B$38&lt;&gt;"pvp",Inputs!$B$43&gt;0),IF(Inputs!$B$43&lt;=0,0,(INT(Inputs!$B$43/IF(Inputs!$B$38="pvp",15,MAX(0.1,Skills!E19-IF(Skills!F19=TRUE,5.0,0))))+1)),0)</f>
        <v/>
      </c>
      <c r="S1561" t="n">
        <v>0</v>
      </c>
      <c r="U1561" t="n">
        <v>0</v>
      </c>
    </row>
    <row r="1562">
      <c r="A1562">
        <f>Skills!A20</f>
        <v/>
      </c>
      <c r="B1562">
        <f>Skills!B20</f>
        <v/>
      </c>
      <c r="C1562">
        <f>TRUE</f>
        <v/>
      </c>
      <c r="D1562">
        <f>IF(Skills!C20=1,60+Inputs!$B$25+Inputs!$B$29,IF(Skills!C20=2,90+Inputs!$B$26+Inputs!$B$29,IF(Skills!C20=3,120+Inputs!$B$27+Inputs!$B$29,MAX(0,(Inputs!$B$3-100)*3)+Inputs!$B$28+Inputs!$B$29)))</f>
        <v/>
      </c>
      <c r="E1562">
        <f>INDEX(FactorTable!$B$2:$Y$301, MATCH(ROUND(MIN(300,MAX(1,D1562)),0), FactorTable!$A$2:$A$301,0), Skills!M20+1)</f>
        <v/>
      </c>
      <c r="F1562">
        <f>IF(Skills!N20=TRUE,(Skills!L20/10)*(E1562/1000),Skills!L20/10)+Skills!O20</f>
        <v/>
      </c>
      <c r="G1562">
        <f>Calc!G20</f>
        <v/>
      </c>
      <c r="H1562">
        <f>Calc!H20</f>
        <v/>
      </c>
      <c r="I1562">
        <f>IF(Skills!X20&lt;&gt;"",1+(Skills!X20/10)*(Z1545/1000)/100,1)</f>
        <v/>
      </c>
      <c r="J1562" t="inlineStr"/>
      <c r="K1562" t="inlineStr"/>
      <c r="L1562" t="inlineStr"/>
      <c r="M1562" t="inlineStr"/>
      <c r="N1562" t="inlineStr"/>
      <c r="O1562">
        <f>(1-Summary!$B$56)*S1562+Summary!$B$56*U1562</f>
        <v/>
      </c>
      <c r="P1562">
        <f>IF(B1583=0,0,O1562/B1583)</f>
        <v/>
      </c>
      <c r="Q1562">
        <f>IFERROR(1/IF(Inputs!$B$38="pvp",15,MAX(0.1,Skills!E20-IF(Skills!F20=TRUE,5.0,0))),0)</f>
        <v/>
      </c>
      <c r="R1562" t="n">
        <v>0</v>
      </c>
      <c r="S1562" t="n">
        <v>0</v>
      </c>
      <c r="U1562" t="n">
        <v>0</v>
      </c>
    </row>
    <row r="1563">
      <c r="A1563">
        <f>Skills!A21</f>
        <v/>
      </c>
      <c r="B1563">
        <f>Skills!B21</f>
        <v/>
      </c>
      <c r="C1563">
        <f>TRUE</f>
        <v/>
      </c>
      <c r="D1563">
        <f>IF(Skills!C21=1,60+Inputs!$B$25+Inputs!$B$29,IF(Skills!C21=2,90+Inputs!$B$26+Inputs!$B$29,IF(Skills!C21=3,120+Inputs!$B$27+Inputs!$B$29,MAX(0,(Inputs!$B$3-100)*3)+Inputs!$B$28+Inputs!$B$29)))</f>
        <v/>
      </c>
      <c r="E1563">
        <f>INDEX(FactorTable!$B$2:$Y$301, MATCH(ROUND(MIN(300,MAX(1,D1563)),0), FactorTable!$A$2:$A$301,0), Skills!M21+1)</f>
        <v/>
      </c>
      <c r="F1563">
        <f>IF(Skills!N21=TRUE,(Skills!L21/10)*(E1563/1000),Skills!L21/10)+Skills!O21</f>
        <v/>
      </c>
      <c r="G1563">
        <f>Calc!G21</f>
        <v/>
      </c>
      <c r="H1563">
        <f>Calc!H21</f>
        <v/>
      </c>
      <c r="I1563">
        <f>IF(Skills!X21&lt;&gt;"",1+(Skills!X21/10)*(Z1545/1000)/100,1)</f>
        <v/>
      </c>
      <c r="J1563" t="inlineStr"/>
      <c r="K1563" t="inlineStr"/>
      <c r="L1563" t="inlineStr"/>
      <c r="M1563" t="inlineStr"/>
      <c r="N1563" t="inlineStr"/>
      <c r="O1563">
        <f>(1-Summary!$B$56)*S1563+Summary!$B$56*U1563</f>
        <v/>
      </c>
      <c r="P1563">
        <f>IF(B1583=0,0,O1563/B1583)</f>
        <v/>
      </c>
      <c r="Q1563">
        <f>IFERROR(1/IF(Inputs!$B$38="pvp",15,MAX(0.1,Skills!E21-IF(Skills!F21=TRUE,5.0,0))),0)</f>
        <v/>
      </c>
      <c r="R1563" t="n">
        <v>0</v>
      </c>
      <c r="S1563" t="n">
        <v>0</v>
      </c>
      <c r="U1563" t="n">
        <v>0</v>
      </c>
    </row>
    <row r="1564">
      <c r="A1564">
        <f>Skills!A22</f>
        <v/>
      </c>
      <c r="B1564">
        <f>Skills!B22</f>
        <v/>
      </c>
      <c r="C1564">
        <f>TRUE</f>
        <v/>
      </c>
      <c r="D1564">
        <f>IF(Skills!C22=1,60+Inputs!$B$25+Inputs!$B$29,IF(Skills!C22=2,90+Inputs!$B$26+Inputs!$B$29,IF(Skills!C22=3,120+Inputs!$B$27+Inputs!$B$29,MAX(0,(Inputs!$B$3-100)*3)+Inputs!$B$28+Inputs!$B$29)))</f>
        <v/>
      </c>
      <c r="E1564">
        <f>INDEX(FactorTable!$B$2:$Y$301, MATCH(ROUND(MIN(300,MAX(1,D1564)),0), FactorTable!$A$2:$A$301,0), Skills!M22+1)</f>
        <v/>
      </c>
      <c r="F1564">
        <f>IF(Skills!N22=TRUE,(Skills!L22/10)*(E1564/1000),Skills!L22/10)+Skills!O22</f>
        <v/>
      </c>
      <c r="G1564">
        <f>Calc!G22</f>
        <v/>
      </c>
      <c r="H1564">
        <f>Calc!H22</f>
        <v/>
      </c>
      <c r="I1564">
        <f>IF(Skills!X22&lt;&gt;"",1+(Skills!X22/10)*(Z1545/1000)/100,1)</f>
        <v/>
      </c>
      <c r="J1564" t="inlineStr"/>
      <c r="K1564" t="inlineStr"/>
      <c r="L1564" t="inlineStr"/>
      <c r="M1564" t="inlineStr"/>
      <c r="N1564" t="inlineStr"/>
      <c r="O1564">
        <f>(1-Summary!$B$56)*S1564+Summary!$B$56*U1564</f>
        <v/>
      </c>
      <c r="P1564">
        <f>IF(B1583=0,0,O1564/B1583)</f>
        <v/>
      </c>
      <c r="Q1564">
        <f>IFERROR(1/IF(Inputs!$B$38="pvp",15,MAX(0.1,Skills!E22-IF(Skills!F22=TRUE,5.0,0))),0)</f>
        <v/>
      </c>
      <c r="R1564" t="n">
        <v>0</v>
      </c>
      <c r="S1564" t="n">
        <v>0</v>
      </c>
      <c r="U1564" t="n">
        <v>0</v>
      </c>
    </row>
    <row r="1565">
      <c r="A1565">
        <f>Skills!A23</f>
        <v/>
      </c>
      <c r="B1565">
        <f>Skills!B23</f>
        <v/>
      </c>
      <c r="C1565">
        <f>TRUE</f>
        <v/>
      </c>
      <c r="D1565">
        <f>IF(Skills!C23=1,60+Inputs!$B$25+Inputs!$B$29,IF(Skills!C23=2,90+Inputs!$B$26+Inputs!$B$29,IF(Skills!C23=3,120+Inputs!$B$27+Inputs!$B$29,MAX(0,(Inputs!$B$3-100)*3)+Inputs!$B$28+Inputs!$B$29)))</f>
        <v/>
      </c>
      <c r="E1565">
        <f>INDEX(FactorTable!$B$2:$Y$301, MATCH(ROUND(MIN(300,MAX(1,D1565)),0), FactorTable!$A$2:$A$301,0), Skills!M23+1)</f>
        <v/>
      </c>
      <c r="F1565">
        <f>IF(Skills!N23=TRUE,(Skills!L23/10)*(E1565/1000),Skills!L23/10)+Skills!O23</f>
        <v/>
      </c>
      <c r="G1565">
        <f>Calc!G23</f>
        <v/>
      </c>
      <c r="H1565">
        <f>Calc!H23</f>
        <v/>
      </c>
      <c r="I1565">
        <f>IF(Skills!X23&lt;&gt;"",1+(Skills!X23/10)*(Z1545/1000)/100,1)</f>
        <v/>
      </c>
      <c r="J1565" t="inlineStr"/>
      <c r="K1565" t="inlineStr"/>
      <c r="L1565" t="inlineStr"/>
      <c r="M1565" t="inlineStr"/>
      <c r="N1565" t="inlineStr"/>
      <c r="O1565">
        <f>(1-Summary!$B$56)*S1565+Summary!$B$56*U1565</f>
        <v/>
      </c>
      <c r="P1565">
        <f>IF(B1583=0,0,O1565/B1583)</f>
        <v/>
      </c>
      <c r="Q1565">
        <f>IFERROR(1/IF(Inputs!$B$38="pvp",15,MAX(0.1,Skills!E23-IF(Skills!F23=TRUE,5.0,0))),0)</f>
        <v/>
      </c>
      <c r="R1565" t="n">
        <v>0</v>
      </c>
      <c r="S1565" t="n">
        <v>0</v>
      </c>
      <c r="U1565" t="n">
        <v>0</v>
      </c>
    </row>
    <row r="1566">
      <c r="A1566">
        <f>Skills!A24</f>
        <v/>
      </c>
      <c r="B1566">
        <f>Skills!B24</f>
        <v/>
      </c>
      <c r="C1566">
        <f>Inputs!$B$3&gt;=115</f>
        <v/>
      </c>
      <c r="D1566">
        <f>IF(Skills!C24=1,60+Inputs!$B$25+Inputs!$B$29,IF(Skills!C24=2,90+Inputs!$B$26+Inputs!$B$29,IF(Skills!C24=3,120+Inputs!$B$27+Inputs!$B$29,MAX(0,(Inputs!$B$3-100)*3)+Inputs!$B$28+Inputs!$B$29)))</f>
        <v/>
      </c>
      <c r="E1566">
        <f>INDEX(FactorTable!$B$2:$Y$301, MATCH(ROUND(MIN(300,MAX(1,D1566)),0), FactorTable!$A$2:$A$301,0), Skills!M24+1)</f>
        <v/>
      </c>
      <c r="F1566">
        <f>IF(Skills!N24=TRUE,(Skills!L24/10)*(E1566/1000),Skills!L24/10)+Skills!O24</f>
        <v/>
      </c>
      <c r="G1566">
        <f>Calc!G24</f>
        <v/>
      </c>
      <c r="H1566">
        <f>Calc!H24</f>
        <v/>
      </c>
      <c r="I1566">
        <f>IF(Skills!X24&lt;&gt;"",1+(Skills!X24/10)*(Z1545/1000)/100,1)</f>
        <v/>
      </c>
      <c r="J1566">
        <f>((Inputs!$B$6*(1+Inputs!$B$7/100))+(((Inputs!$B$12*(1+Inputs!$B$13/100))-(Inputs!$B$12*(1+Inputs!$B$13/100)))+0.25*(Inputs!$B$14-Inputs!$B$14))*(1+Inputs!$B$7/100))*(F1566/100)</f>
        <v/>
      </c>
      <c r="K1566">
        <f>J1566*(1+((Inputs!$B$12*(1+Inputs!$B$13/100))*0.01+Inputs!$B$14*0.0025)/100)*(1+Inputs!$B$15/100)*(1+Inputs!$B$16/100)*(5000/(6000+Inputs!$B$42*(1-Inputs!$B$19/100)))*(1+Inputs!$B$24/100)*(1+F1565/100)*(1+IF(Inputs!$B$3&gt;=120,F1568,0)/100)^5*(1+(IF(Skills!A24="BASIC_ATTACK",Inputs!$B$17,Inputs!$B$18+IF(Inputs!$B$3&gt;=125,F1569*5,0)))/100)*(B1572*B1573*B1574*I1566)</f>
        <v/>
      </c>
      <c r="L1566">
        <f>K1566*(MIN(Inputs!$B$22+(F1564-Calc!F22),Inputs!$B$23)/100+Inputs!$B$23/100)/2</f>
        <v/>
      </c>
      <c r="M1566">
        <f>L1566*(1+(Inputs!$B$10+(F1563-Calc!F21))/100)</f>
        <v/>
      </c>
      <c r="N1566">
        <f>L1566*(1-MIN(Inputs!$B$9+(F1562-Calc!F20),100)/100)+M1566*(MIN(Inputs!$B$9+(F1562-Calc!F20),100)/100)</f>
        <v/>
      </c>
      <c r="O1566">
        <f>(1-Summary!$B$56)*S1566+Summary!$B$56*U1566</f>
        <v/>
      </c>
      <c r="P1566">
        <f>IF(B1583=0,0,O1566/B1583)</f>
        <v/>
      </c>
      <c r="Q1566">
        <f>IFERROR(1/IF(Inputs!$B$38="pvp",15,MAX(0.1,Skills!E24-IF(Skills!F24=TRUE,5.0,0))),0)</f>
        <v/>
      </c>
      <c r="R1566">
        <f>IF(AND(Inputs!$B$38&lt;&gt;"pvp",Inputs!$B$43&gt;0),IF(MAX(0,Inputs!$B$43-B1580)&lt;=0,0,(INT(MAX(0,Inputs!$B$43-B1580)/IF(Inputs!$B$38="pvp",15,MAX(0.1,Skills!E24-IF(Skills!F24=TRUE,5.0,0))))+1)),0)</f>
        <v/>
      </c>
      <c r="S1566">
        <f>IF(C1566,(H1566*N1566*IF(AND(Inputs!$B$38&lt;&gt;"pvp",Inputs!$B$43&gt;0),((Skills!G24*((R1566-1)*IF(Skills!H24&gt;0,Skills!I24/Skills!H24,1)+IF(Skills!H24&gt;0,MIN(Skills!I24,MAX(0,MAX(0,Inputs!$B$43-B1580)-((R1566-1)*IF(Inputs!$B$38="pvp",15,MAX(0.1,Skills!E24-IF(Skills!F24=TRUE,5.0,0))))))/Skills!H24,1)))/Inputs!$B$43),G1566*Q1566)*(1+IF(Inputs!$B$3&gt;=130,0.2*(Skills!I16/Skills!E15+IF(Inputs!$B$3&gt;=126,0.05*(B1578+Q1555+(H1556*B1579)/(1+Skills!H14*H1556*B1579)+Q1566),0)*Skills!I16),0)))*IF(Inputs!$B$38="pvp",1,1+(Inputs!$B$20+Skills!P24)/100),0)</f>
        <v/>
      </c>
      <c r="U1566">
        <f>IF(C1566,(H1566*N1566*IF(AND(Inputs!$B$38&lt;&gt;"pvp",Inputs!$B$43&gt;0),((Skills!G24*((R1566-1)*IF(Skills!H24&gt;0,Skills!I24/Skills!H24,1)+IF(Skills!H24&gt;0,MIN(Skills!I24,MAX(0,MAX(0,Inputs!$B$43-B1580)-((R1566-1)*IF(Inputs!$B$38="pvp",15,MAX(0.1,Skills!E24-IF(Skills!F24=TRUE,5.0,0))))))/Skills!H24,1)))/Inputs!$B$43),G1566*Q1566)*(1+IF(Inputs!$B$3&gt;=130,0.2*(Skills!I16/Skills!E15+IF(Inputs!$B$3&gt;=126,0.05*(B1578+Q1555+(H1556*B1579)/(1+Skills!H14*H1556*B1579)+Q1566),0)*Skills!I16),0)))*IF(Inputs!$B$38="pvp",1,(1+(Inputs!$B$21+Skills!Q24)/100)*(MIN(Skills!R24,Inputs!$B$37))),0)</f>
        <v/>
      </c>
    </row>
    <row r="1567">
      <c r="A1567">
        <f>Skills!A25</f>
        <v/>
      </c>
      <c r="B1567">
        <f>Skills!B25</f>
        <v/>
      </c>
      <c r="C1567">
        <f>Inputs!$B$3&gt;=117</f>
        <v/>
      </c>
      <c r="D1567">
        <f>IF(Skills!C25=1,60+Inputs!$B$25+Inputs!$B$29,IF(Skills!C25=2,90+Inputs!$B$26+Inputs!$B$29,IF(Skills!C25=3,120+Inputs!$B$27+Inputs!$B$29,MAX(0,(Inputs!$B$3-100)*3)+Inputs!$B$28+Inputs!$B$29)))</f>
        <v/>
      </c>
      <c r="E1567">
        <f>INDEX(FactorTable!$B$2:$Y$301, MATCH(ROUND(MIN(300,MAX(1,D1567)),0), FactorTable!$A$2:$A$301,0), Skills!M25+1)</f>
        <v/>
      </c>
      <c r="F1567">
        <f>IF(Skills!N25=TRUE,(Skills!L25/10)*(E1567/1000),Skills!L25/10)+Skills!O25</f>
        <v/>
      </c>
      <c r="G1567">
        <f>Calc!G25</f>
        <v/>
      </c>
      <c r="H1567">
        <f>Calc!H25</f>
        <v/>
      </c>
      <c r="I1567">
        <f>IF(Skills!X25&lt;&gt;"",1+(Skills!X25/10)*(Z1545/1000)/100,1)</f>
        <v/>
      </c>
      <c r="J1567" t="inlineStr"/>
      <c r="K1567" t="inlineStr"/>
      <c r="L1567" t="inlineStr"/>
      <c r="M1567" t="inlineStr"/>
      <c r="N1567" t="inlineStr"/>
      <c r="O1567">
        <f>(1-Summary!$B$56)*S1567+Summary!$B$56*U1567</f>
        <v/>
      </c>
      <c r="P1567">
        <f>IF(B1583=0,0,O1567/B1583)</f>
        <v/>
      </c>
      <c r="Q1567">
        <f>IFERROR(1/IF(Inputs!$B$38="pvp",15,MAX(0.1,Skills!E25-IF(Skills!F25=TRUE,5.0,0))),0)</f>
        <v/>
      </c>
      <c r="R1567" t="n">
        <v>0</v>
      </c>
      <c r="S1567" t="n">
        <v>0</v>
      </c>
      <c r="U1567" t="n">
        <v>0</v>
      </c>
    </row>
    <row r="1568">
      <c r="A1568">
        <f>Skills!A26</f>
        <v/>
      </c>
      <c r="B1568">
        <f>Skills!B26</f>
        <v/>
      </c>
      <c r="C1568">
        <f>Inputs!$B$3&gt;=120</f>
        <v/>
      </c>
      <c r="D1568">
        <f>IF(Skills!C26=1,60+Inputs!$B$25+Inputs!$B$29,IF(Skills!C26=2,90+Inputs!$B$26+Inputs!$B$29,IF(Skills!C26=3,120+Inputs!$B$27+Inputs!$B$29,MAX(0,(Inputs!$B$3-100)*3)+Inputs!$B$28+Inputs!$B$29)))</f>
        <v/>
      </c>
      <c r="E1568">
        <f>INDEX(FactorTable!$B$2:$Y$301, MATCH(ROUND(MIN(300,MAX(1,D1568)),0), FactorTable!$A$2:$A$301,0), Skills!M26+1)</f>
        <v/>
      </c>
      <c r="F1568">
        <f>IF(Skills!N26=TRUE,(Skills!L26/10)*(E1568/1000),Skills!L26/10)+Skills!O26</f>
        <v/>
      </c>
      <c r="G1568">
        <f>Calc!G26</f>
        <v/>
      </c>
      <c r="H1568">
        <f>Calc!H26</f>
        <v/>
      </c>
      <c r="I1568">
        <f>IF(Skills!X26&lt;&gt;"",1+(Skills!X26/10)*(Z1545/1000)/100,1)</f>
        <v/>
      </c>
      <c r="J1568" t="inlineStr"/>
      <c r="K1568" t="inlineStr"/>
      <c r="L1568" t="inlineStr"/>
      <c r="M1568" t="inlineStr"/>
      <c r="N1568" t="inlineStr"/>
      <c r="O1568">
        <f>(1-Summary!$B$56)*S1568+Summary!$B$56*U1568</f>
        <v/>
      </c>
      <c r="P1568">
        <f>IF(B1583=0,0,O1568/B1583)</f>
        <v/>
      </c>
      <c r="Q1568">
        <f>IFERROR(1/IF(Inputs!$B$38="pvp",15,MAX(0.1,Skills!E26-IF(Skills!F26=TRUE,5.0,0))),0)</f>
        <v/>
      </c>
      <c r="R1568" t="n">
        <v>0</v>
      </c>
      <c r="S1568" t="n">
        <v>0</v>
      </c>
      <c r="U1568" t="n">
        <v>0</v>
      </c>
    </row>
    <row r="1569">
      <c r="A1569">
        <f>Skills!A27</f>
        <v/>
      </c>
      <c r="B1569">
        <f>Skills!B27</f>
        <v/>
      </c>
      <c r="C1569">
        <f>Inputs!$B$3&gt;=125</f>
        <v/>
      </c>
      <c r="D1569">
        <f>IF(Skills!C27=1,60+Inputs!$B$25+Inputs!$B$29,IF(Skills!C27=2,90+Inputs!$B$26+Inputs!$B$29,IF(Skills!C27=3,120+Inputs!$B$27+Inputs!$B$29,MAX(0,(Inputs!$B$3-100)*3)+Inputs!$B$28+Inputs!$B$29)))</f>
        <v/>
      </c>
      <c r="E1569">
        <f>INDEX(FactorTable!$B$2:$Y$301, MATCH(ROUND(MIN(300,MAX(1,D1569)),0), FactorTable!$A$2:$A$301,0), Skills!M27+1)</f>
        <v/>
      </c>
      <c r="F1569">
        <f>IF(Skills!N27=TRUE,(Skills!L27/10)*(E1569/1000),Skills!L27/10)+Skills!O27</f>
        <v/>
      </c>
      <c r="G1569">
        <f>Calc!G27</f>
        <v/>
      </c>
      <c r="H1569">
        <f>Calc!H27</f>
        <v/>
      </c>
      <c r="I1569">
        <f>IF(Skills!X27&lt;&gt;"",1+(Skills!X27/10)*(Z1545/1000)/100,1)</f>
        <v/>
      </c>
      <c r="J1569" t="inlineStr"/>
      <c r="K1569" t="inlineStr"/>
      <c r="L1569" t="inlineStr"/>
      <c r="M1569" t="inlineStr"/>
      <c r="N1569" t="inlineStr"/>
      <c r="O1569">
        <f>(1-Summary!$B$56)*S1569+Summary!$B$56*U1569</f>
        <v/>
      </c>
      <c r="P1569">
        <f>IF(B1583=0,0,O1569/B1583)</f>
        <v/>
      </c>
      <c r="Q1569">
        <f>IFERROR(1/IF(Inputs!$B$38="pvp",15,MAX(0.1,Skills!E27-IF(Skills!F27=TRUE,5.0,0))),0)</f>
        <v/>
      </c>
      <c r="R1569" t="n">
        <v>0</v>
      </c>
      <c r="S1569" t="n">
        <v>0</v>
      </c>
      <c r="U1569" t="n">
        <v>0</v>
      </c>
    </row>
    <row r="1570">
      <c r="A1570">
        <f>Skills!A28</f>
        <v/>
      </c>
      <c r="B1570">
        <f>Skills!B28</f>
        <v/>
      </c>
      <c r="C1570">
        <f>Inputs!$B$3&gt;=118</f>
        <v/>
      </c>
      <c r="D1570">
        <f>IF(Skills!C28=1,60+Inputs!$B$25+Inputs!$B$29,IF(Skills!C28=2,90+Inputs!$B$26+Inputs!$B$29,IF(Skills!C28=3,120+Inputs!$B$27+Inputs!$B$29,MAX(0,(Inputs!$B$3-100)*3)+Inputs!$B$28+Inputs!$B$29)))</f>
        <v/>
      </c>
      <c r="E1570">
        <f>INDEX(FactorTable!$B$2:$Y$301, MATCH(ROUND(MIN(300,MAX(1,D1570)),0), FactorTable!$A$2:$A$301,0), Skills!M28+1)</f>
        <v/>
      </c>
      <c r="F1570">
        <f>IF(Skills!N28=TRUE,(Skills!L28/10)*(E1570/1000),Skills!L28/10)+Skills!O28</f>
        <v/>
      </c>
      <c r="G1570">
        <f>Calc!G28</f>
        <v/>
      </c>
      <c r="H1570">
        <f>Calc!H28</f>
        <v/>
      </c>
      <c r="I1570">
        <f>IF(Skills!X28&lt;&gt;"",1+(Skills!X28/10)*(Z1545/1000)/100,1)</f>
        <v/>
      </c>
      <c r="J1570">
        <f>((Inputs!$B$6*(1+Inputs!$B$7/100))+(((Inputs!$B$12*(1+Inputs!$B$13/100))-(Inputs!$B$12*(1+Inputs!$B$13/100)))+0.25*(Inputs!$B$14-Inputs!$B$14))*(1+Inputs!$B$7/100))*(F1570/100)</f>
        <v/>
      </c>
      <c r="K1570">
        <f>J1570*(1+((Inputs!$B$12*(1+Inputs!$B$13/100))*0.01+Inputs!$B$14*0.0025)/100)*(1+Inputs!$B$15/100)*(1+Inputs!$B$16/100)*(5000/(6000+Inputs!$B$42*(1-Inputs!$B$19/100)))*(1+Inputs!$B$24/100)*(1+F1565/100)*(1+IF(Inputs!$B$3&gt;=120,F1568,0)/100)^5*(1+(IF(Skills!A28="BASIC_ATTACK",Inputs!$B$17,Inputs!$B$18+IF(Inputs!$B$3&gt;=125,F1569*5,0)))/100)*(B1572*B1573*B1574*I1570)</f>
        <v/>
      </c>
      <c r="L1570">
        <f>K1570*(MIN(Inputs!$B$22+(F1564-Calc!F22),Inputs!$B$23)/100+Inputs!$B$23/100)/2</f>
        <v/>
      </c>
      <c r="M1570">
        <f>L1570*(1+(Inputs!$B$10+(F1563-Calc!F21))/100)</f>
        <v/>
      </c>
      <c r="N1570">
        <f>L1570*(1-MIN(Inputs!$B$9+(F1562-Calc!F20),100)/100)+M1570*(MIN(Inputs!$B$9+(F1562-Calc!F20),100)/100)</f>
        <v/>
      </c>
      <c r="O1570">
        <f>(1-Summary!$B$56)*S1570+Summary!$B$56*U1570</f>
        <v/>
      </c>
      <c r="P1570">
        <f>IF(B1583=0,0,O1570/B1583)</f>
        <v/>
      </c>
      <c r="Q1570">
        <f>IFERROR(1/IF(Inputs!$B$38="pvp",15,MAX(0.1,Skills!E28-IF(Skills!F28=TRUE,5.0,0))),0)</f>
        <v/>
      </c>
      <c r="R1570">
        <f>IF(AND(Inputs!$B$38&lt;&gt;"pvp",Inputs!$B$43&gt;0),IF(MAX(0,Inputs!$B$43-B1580)&lt;=0,0,(INT(MAX(0,Inputs!$B$43-B1580)/IF(Inputs!$B$38="pvp",15,MAX(0.1,Skills!E28-IF(Skills!F28=TRUE,5.0,0))))+1)),0)</f>
        <v/>
      </c>
      <c r="S1570">
        <f>IF(C1570,(H1570*N1570*IF(AND(Inputs!$B$38&lt;&gt;"pvp",Inputs!$B$43&gt;0),((Skills!G28*((R1570-1)*IF(Skills!H28&gt;0,Skills!I28/Skills!H28,1)+IF(Skills!H28&gt;0,MIN(Skills!I28,MAX(0,MAX(0,Inputs!$B$43-B1580)-((R1570-1)*IF(Inputs!$B$38="pvp",15,MAX(0.1,Skills!E28-IF(Skills!F28=TRUE,5.0,0))))))/Skills!H28,1)))/Inputs!$B$43),G1570*Q1570))*IF(Inputs!$B$38="pvp",1,1+(Inputs!$B$20+Skills!P28)/100),0)</f>
        <v/>
      </c>
      <c r="U1570">
        <f>IF(C1570,(H1570*N1570*IF(AND(Inputs!$B$38&lt;&gt;"pvp",Inputs!$B$43&gt;0),((Skills!G28*((R1570-1)*IF(Skills!H28&gt;0,Skills!I28/Skills!H28,1)+IF(Skills!H28&gt;0,MIN(Skills!I28,MAX(0,MAX(0,Inputs!$B$43-B1580)-((R1570-1)*IF(Inputs!$B$38="pvp",15,MAX(0.1,Skills!E28-IF(Skills!F28=TRUE,5.0,0))))))/Skills!H28,1)))/Inputs!$B$43),G1570*Q1570))*IF(Inputs!$B$38="pvp",1,(1+(Inputs!$B$21+Skills!Q28)/100)*(MIN(Skills!R28,Inputs!$B$37))),0)</f>
        <v/>
      </c>
    </row>
    <row r="1572">
      <c r="A1572" t="inlineStr">
        <is>
          <t>Burning Magic Multiplier</t>
        </is>
      </c>
      <c r="B1572">
        <f>1+(F1553*Skills!Z11)/100</f>
        <v/>
      </c>
    </row>
    <row r="1573">
      <c r="A1573" t="inlineStr">
        <is>
          <t>Elemental Decrease Multiplier (always-on)</t>
        </is>
      </c>
      <c r="B1573">
        <f>1+F1554/100</f>
        <v/>
      </c>
    </row>
    <row r="1574">
      <c r="A1574" t="inlineStr">
        <is>
          <t>Average Buff Multiplier (Magic Guard + Meditation, summed; then Infinity)</t>
        </is>
      </c>
      <c r="B1574">
        <f>(1+(F1548*IF(AND(Inputs!$B$38&lt;&gt;"pvp",Inputs!$B$43&gt;0),(((R1548-1)*(Skills!T6*(1+(Inputs!$B$34+IF(Inputs!$B$3&gt;=117,F1567,0))/100))+MIN((Skills!T6*(1+(Inputs!$B$34+IF(Inputs!$B$3&gt;=117,F1567,0))/100)),MAX(0,Inputs!$B$43-((R1548-1)*Skills!E6))))/Inputs!$B$43),IF(Inputs!$B$38="pvp",MIN((Skills!T6*(1+(Inputs!$B$34+IF(Inputs!$B$3&gt;=117,F1567,0))/100)),15)/15,(Skills!T6*(1+(Inputs!$B$34+IF(Inputs!$B$3&gt;=117,F1567,0))/100))/Skills!E6))+F1559*IF(AND(Inputs!$B$38&lt;&gt;"pvp",Inputs!$B$43&gt;0),(((R1559-1)*(Skills!T17*(1+(Inputs!$B$34+IF(Inputs!$B$3&gt;=117,F1567,0))/100))+MIN((Skills!T17*(1+(Inputs!$B$34+IF(Inputs!$B$3&gt;=117,F1567,0))/100)),MAX(0,Inputs!$B$43-((R1559-1)*Skills!E17))))/Inputs!$B$43),IF(Inputs!$B$38="pvp",MIN((Skills!T17*(1+(Inputs!$B$34+IF(Inputs!$B$3&gt;=117,F1567,0))/100)),15)/15,(Skills!T17*(1+(Inputs!$B$34+IF(Inputs!$B$3&gt;=117,F1567,0))/100))/Skills!E17)))/100)*IF(C1561=TRUE,(1+F1561*IF(AND(Inputs!$B$38&lt;&gt;"pvp",Inputs!$B$43&gt;0),(((R1561-1)*(Skills!T19*(1+(Inputs!$B$34+IF(Inputs!$B$3&gt;=117,F1567,0))/100))+MIN((Skills!T19*(1+(Inputs!$B$34+IF(Inputs!$B$3&gt;=117,F1567,0))/100)),MAX(0,Inputs!$B$43-((R1561-1)*Skills!E19))))/Inputs!$B$43),IF(Inputs!$B$38="pvp",MIN((Skills!T19*(1+(Inputs!$B$34+IF(Inputs!$B$3&gt;=117,F1567,0))/100)),15)/15,(Skills!T19*(1+(Inputs!$B$34+IF(Inputs!$B$3&gt;=117,F1567,0))/100))/Skills!E19))/100),1)</f>
        <v/>
      </c>
    </row>
    <row r="1575">
      <c r="A1575" t="inlineStr">
        <is>
          <t>Attack Speed Buff Bonus % (Nimble Feet, averaged)</t>
        </is>
      </c>
      <c r="B1575">
        <f>F1560*IF(AND(Inputs!$B$38&lt;&gt;"pvp",Inputs!$B$43&gt;0),(((R1560-1)*(Skills!T18*(1+(Inputs!$B$34+IF(Inputs!$B$3&gt;=117,F1567,0))/100))+MIN((Skills!T18*(1+(Inputs!$B$34+IF(Inputs!$B$3&gt;=117,F1567,0))/100)),MAX(0,Inputs!$B$43-((R1560-1)*Skills!E18))))/Inputs!$B$43),IF(Inputs!$B$38="pvp",MIN((Skills!T18*(1+(Inputs!$B$34+IF(Inputs!$B$3&gt;=117,F1567,0))/100)),15)/15,(Skills!T18*(1+(Inputs!$B$34+IF(Inputs!$B$3&gt;=117,F1567,0))/100))/Skills!E18))</f>
        <v/>
      </c>
    </row>
    <row r="1576">
      <c r="A1576" t="inlineStr">
        <is>
          <t>Actions Per Second</t>
        </is>
      </c>
      <c r="B1576">
        <f>1+MIN(150,150*(1-(1-Inputs!$B$11/150)*(1-B1575/150)))/100</f>
        <v/>
      </c>
    </row>
    <row r="1577">
      <c r="A1577" t="inlineStr">
        <is>
          <t>Skill + Buff Cast Rate</t>
        </is>
      </c>
      <c r="B1577">
        <f>IF(AND(Inputs!$B$38&lt;&gt;"pvp",Inputs!$B$43&gt;0),SUMPRODUCT((Skills!F2:F28=TRUE)*(C1544:C1570=TRUE)*R1544:R1570)/Inputs!$B$43,SUMPRODUCT((Skills!F2:F28=TRUE)*(C1544:C1570=TRUE)*Q1544:Q1570))</f>
        <v/>
      </c>
    </row>
    <row r="1578">
      <c r="A1578" t="inlineStr">
        <is>
          <t>Basic Attacks Per Second</t>
        </is>
      </c>
      <c r="B1578">
        <f>MAX(0,B1576-B1577)</f>
        <v/>
      </c>
    </row>
    <row r="1579">
      <c r="A1579" t="inlineStr">
        <is>
          <t>Meteor Proc — combined trigger cast rate</t>
        </is>
      </c>
      <c r="B1579">
        <f>IF(AND(Inputs!$B$38&lt;&gt;"pvp",Inputs!$B$43&gt;0),SUMPRODUCT((Skills!V2:V28=TRUE)*(C1544:C1570=TRUE)*R1544:R1570*Skills!W2:W28)/Inputs!$B$43,SUMPRODUCT((Skills!V2:V28=TRUE)*(C1544:C1570=TRUE)*Q1544:Q1570*Skills!W2:W28))+B1578</f>
        <v/>
      </c>
    </row>
    <row r="1580">
      <c r="A1580" t="inlineStr">
        <is>
          <t>Buff-Casting Startup Delay (s, fixed-duration only)</t>
        </is>
      </c>
      <c r="B1580">
        <f>IF(AND(Inputs!$B$38&lt;&gt;"pvp",Inputs!$B$43&gt;0),SUMPRODUCT((Skills!T2:T28&gt;0)*(Skills!F2:F28=TRUE)*(C1544:C1570=TRUE))/B1576,0)</f>
        <v/>
      </c>
    </row>
    <row r="1581">
      <c r="A1581" t="inlineStr">
        <is>
          <t>Boss-Only Total DPS (this block's swept value)</t>
        </is>
      </c>
      <c r="B1581">
        <f>SUM(S1544:S1570)</f>
        <v/>
      </c>
    </row>
    <row r="1582">
      <c r="A1582" t="inlineStr">
        <is>
          <t>Normal-Only Total DPS (this block's swept value)</t>
        </is>
      </c>
      <c r="B1582">
        <f>SUM(U1544:U1570)</f>
        <v/>
      </c>
    </row>
    <row r="1583">
      <c r="A1583" s="5" t="inlineStr">
        <is>
          <t>TOTAL DPS</t>
        </is>
      </c>
      <c r="B1583" s="5">
        <f>SUM(O1544:O1570)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IF(Inputs!$B$9&gt;=100,Sensitivity!H15,Sensitivity!H14)</f>
        <v/>
      </c>
    </row>
    <row r="67">
      <c r="A67" t="inlineStr">
        <is>
          <t>ALL</t>
        </is>
      </c>
      <c r="B67" t="inlineStr">
        <is>
          <t>rare</t>
        </is>
      </c>
      <c r="C67" t="n">
        <v>2</v>
      </c>
      <c r="D67" t="inlineStr">
        <is>
          <t>Critical Rate %</t>
        </is>
      </c>
      <c r="E67" t="n">
        <v>4.5</v>
      </c>
      <c r="F67" t="n">
        <v>0.6</v>
      </c>
      <c r="G67" t="b">
        <v>1</v>
      </c>
      <c r="H67">
        <f>IF(Inputs!$B$9&gt;=100,Sensitivity!H15,Sensitivity!H14)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IF(Inputs!$B$9&gt;=100,Sensitivity!H15,Sensitivity!H14)</f>
        <v/>
      </c>
    </row>
    <row r="99">
      <c r="A99" t="inlineStr">
        <is>
          <t>ALL</t>
        </is>
      </c>
      <c r="B99" t="inlineStr">
        <is>
          <t>rare</t>
        </is>
      </c>
      <c r="C99" t="n">
        <v>3</v>
      </c>
      <c r="D99" t="inlineStr">
        <is>
          <t>Critical Rate %</t>
        </is>
      </c>
      <c r="E99" t="n">
        <v>4.5</v>
      </c>
      <c r="F99" t="n">
        <v>0.2</v>
      </c>
      <c r="G99" t="b">
        <v>1</v>
      </c>
      <c r="H99">
        <f>IF(Inputs!$B$9&gt;=100,Sensitivity!H15,Sensitivity!H14)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IF(Inputs!$B$9&gt;=100,Sensitivity!H15,Sensitivity!H14)</f>
        <v/>
      </c>
    </row>
    <row r="147">
      <c r="A147" t="inlineStr">
        <is>
          <t>ALL</t>
        </is>
      </c>
      <c r="B147" t="inlineStr">
        <is>
          <t>epic</t>
        </is>
      </c>
      <c r="C147" t="n">
        <v>2</v>
      </c>
      <c r="D147" t="inlineStr">
        <is>
          <t>Critical Rate %</t>
        </is>
      </c>
      <c r="E147" t="n">
        <v>6</v>
      </c>
      <c r="F147" t="n">
        <v>0.6</v>
      </c>
      <c r="G147" t="b">
        <v>1</v>
      </c>
      <c r="H147">
        <f>IF(Inputs!$B$9&gt;=100,Sensitivity!H15,Sensitivity!H14)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IF(Inputs!$B$9&gt;=100,Sensitivity!H15,Sensitivity!H14)</f>
        <v/>
      </c>
    </row>
    <row r="179">
      <c r="A179" t="inlineStr">
        <is>
          <t>ALL</t>
        </is>
      </c>
      <c r="B179" t="inlineStr">
        <is>
          <t>epic</t>
        </is>
      </c>
      <c r="C179" t="n">
        <v>3</v>
      </c>
      <c r="D179" t="inlineStr">
        <is>
          <t>Critical Rate %</t>
        </is>
      </c>
      <c r="E179" t="n">
        <v>6</v>
      </c>
      <c r="F179" t="n">
        <v>0.2</v>
      </c>
      <c r="G179" t="b">
        <v>1</v>
      </c>
      <c r="H179">
        <f>IF(Inputs!$B$9&gt;=100,Sensitivity!H15,Sensitivity!H14)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IF(Inputs!$B$9&gt;=100,Sensitivity!H15,Sensitivity!H14)</f>
        <v/>
      </c>
    </row>
    <row r="227">
      <c r="A227" t="inlineStr">
        <is>
          <t>ALL</t>
        </is>
      </c>
      <c r="B227" t="inlineStr">
        <is>
          <t>unique</t>
        </is>
      </c>
      <c r="C227" t="n">
        <v>2</v>
      </c>
      <c r="D227" t="inlineStr">
        <is>
          <t>Critical Rate %</t>
        </is>
      </c>
      <c r="E227" t="n">
        <v>9</v>
      </c>
      <c r="F227" t="n">
        <v>0.6</v>
      </c>
      <c r="G227" t="b">
        <v>1</v>
      </c>
      <c r="H227">
        <f>IF(Inputs!$B$9&gt;=100,Sensitivity!H15,Sensitivity!H14)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IF(Inputs!$B$9&gt;=100,Sensitivity!H15,Sensitivity!H14)</f>
        <v/>
      </c>
    </row>
    <row r="259">
      <c r="A259" t="inlineStr">
        <is>
          <t>ALL</t>
        </is>
      </c>
      <c r="B259" t="inlineStr">
        <is>
          <t>unique</t>
        </is>
      </c>
      <c r="C259" t="n">
        <v>3</v>
      </c>
      <c r="D259" t="inlineStr">
        <is>
          <t>Critical Rate %</t>
        </is>
      </c>
      <c r="E259" t="n">
        <v>9</v>
      </c>
      <c r="F259" t="n">
        <v>0.2</v>
      </c>
      <c r="G259" t="b">
        <v>1</v>
      </c>
      <c r="H259">
        <f>IF(Inputs!$B$9&gt;=100,Sensitivity!H15,Sensitivity!H14)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IF(Inputs!$B$9&gt;=100,Sensitivity!H15,Sensitivity!H14)</f>
        <v/>
      </c>
    </row>
    <row r="307">
      <c r="A307" t="inlineStr">
        <is>
          <t>ALL</t>
        </is>
      </c>
      <c r="B307" t="inlineStr">
        <is>
          <t>legendary</t>
        </is>
      </c>
      <c r="C307" t="n">
        <v>2</v>
      </c>
      <c r="D307" t="inlineStr">
        <is>
          <t>Critical Rate %</t>
        </is>
      </c>
      <c r="E307" t="n">
        <v>12</v>
      </c>
      <c r="F307" t="n">
        <v>0.6</v>
      </c>
      <c r="G307" t="b">
        <v>1</v>
      </c>
      <c r="H307">
        <f>IF(Inputs!$B$9&gt;=100,Sensitivity!H15,Sensitivity!H14)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IF(Inputs!$B$9&gt;=100,Sensitivity!H15,Sensitivity!H14)</f>
        <v/>
      </c>
    </row>
    <row r="339">
      <c r="A339" t="inlineStr">
        <is>
          <t>ALL</t>
        </is>
      </c>
      <c r="B339" t="inlineStr">
        <is>
          <t>legendary</t>
        </is>
      </c>
      <c r="C339" t="n">
        <v>3</v>
      </c>
      <c r="D339" t="inlineStr">
        <is>
          <t>Critical Rate %</t>
        </is>
      </c>
      <c r="E339" t="n">
        <v>12</v>
      </c>
      <c r="F339" t="n">
        <v>0.2</v>
      </c>
      <c r="G339" t="b">
        <v>1</v>
      </c>
      <c r="H339">
        <f>IF(Inputs!$B$9&gt;=100,Sensitivity!H15,Sensitivity!H14)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IF(Inputs!$B$9&gt;=100,Sensitivity!H15,Sensitivity!H14)</f>
        <v/>
      </c>
    </row>
    <row r="387">
      <c r="A387" t="inlineStr">
        <is>
          <t>ALL</t>
        </is>
      </c>
      <c r="B387" t="inlineStr">
        <is>
          <t>mystic</t>
        </is>
      </c>
      <c r="C387" t="n">
        <v>2</v>
      </c>
      <c r="D387" t="inlineStr">
        <is>
          <t>Critical Rate %</t>
        </is>
      </c>
      <c r="E387" t="n">
        <v>15</v>
      </c>
      <c r="F387" t="n">
        <v>0.6</v>
      </c>
      <c r="G387" t="b">
        <v>1</v>
      </c>
      <c r="H387">
        <f>IF(Inputs!$B$9&gt;=100,Sensitivity!H15,Sensitivity!H14)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IF(Inputs!$B$9&gt;=100,Sensitivity!H15,Sensitivity!H14)</f>
        <v/>
      </c>
    </row>
    <row r="419">
      <c r="A419" t="inlineStr">
        <is>
          <t>ALL</t>
        </is>
      </c>
      <c r="B419" t="inlineStr">
        <is>
          <t>mystic</t>
        </is>
      </c>
      <c r="C419" t="n">
        <v>3</v>
      </c>
      <c r="D419" t="inlineStr">
        <is>
          <t>Critical Rate %</t>
        </is>
      </c>
      <c r="E419" t="n">
        <v>15</v>
      </c>
      <c r="F419" t="n">
        <v>0.2</v>
      </c>
      <c r="G419" t="b">
        <v>1</v>
      </c>
      <c r="H419">
        <f>IF(Inputs!$B$9&gt;=100,Sensitivity!H15,Sensitivity!H14)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rare</t>
        </is>
      </c>
      <c r="D13" t="n">
        <v>3</v>
      </c>
      <c r="E13" t="inlineStr">
        <is>
          <t>Max Damage Multiplier %</t>
        </is>
      </c>
      <c r="F13" t="n">
        <v>6</v>
      </c>
      <c r="G13" t="inlineStr">
        <is>
          <t>Int %</t>
        </is>
      </c>
      <c r="H13" t="n">
        <v>3</v>
      </c>
      <c r="I13" t="inlineStr">
        <is>
          <t>Attack Speed %</t>
        </is>
      </c>
      <c r="J13" t="n">
        <v>3</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38</v>
      </c>
      <c r="E15" t="inlineStr">
        <is>
          <t>Int</t>
        </is>
      </c>
      <c r="F15" t="n">
        <v>200</v>
      </c>
      <c r="G15" t="inlineStr">
        <is>
          <t>Int %</t>
        </is>
      </c>
      <c r="H15" t="n">
        <v>4.5</v>
      </c>
      <c r="I15" t="inlineStr">
        <is>
          <t>Int %</t>
        </is>
      </c>
      <c r="J15" t="n">
        <v>4.5</v>
      </c>
    </row>
    <row r="16">
      <c r="A16" t="inlineStr">
        <is>
          <t>belt</t>
        </is>
      </c>
      <c r="B16" t="inlineStr">
        <is>
          <t>Potential</t>
        </is>
      </c>
      <c r="C16" t="inlineStr">
        <is>
          <t>legendary</t>
        </is>
      </c>
      <c r="D16" t="n">
        <v>382</v>
      </c>
      <c r="E16" t="inlineStr">
        <is>
          <t>Min Damage Multiplier %</t>
        </is>
      </c>
      <c r="F16" t="n">
        <v>15</v>
      </c>
      <c r="G16" t="inlineStr">
        <is>
          <t>Int %</t>
        </is>
      </c>
      <c r="H16" t="n">
        <v>9</v>
      </c>
      <c r="I16" t="inlineStr">
        <is>
          <t>Damage %</t>
        </is>
      </c>
      <c r="J16" t="n">
        <v>18</v>
      </c>
    </row>
    <row r="17">
      <c r="A17" t="inlineStr">
        <is>
          <t>belt</t>
        </is>
      </c>
      <c r="B17" t="inlineStr">
        <is>
          <t>Bonus Potential</t>
        </is>
      </c>
      <c r="C17" t="inlineStr">
        <is>
          <t>rare</t>
        </is>
      </c>
      <c r="D17" t="n">
        <v>1</v>
      </c>
      <c r="E17" t="inlineStr">
        <is>
          <t>Int %</t>
        </is>
      </c>
      <c r="F17" t="n">
        <v>4.5</v>
      </c>
      <c r="G17" t="inlineStr">
        <is>
          <t>Damage %</t>
        </is>
      </c>
      <c r="H17" t="n">
        <v>5</v>
      </c>
      <c r="I17" t="inlineStr">
        <is>
          <t>Damage %</t>
        </is>
      </c>
      <c r="J17" t="n">
        <v>5</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Damage %</t>
        </is>
      </c>
      <c r="F28" t="n">
        <v>25</v>
      </c>
      <c r="G28" t="inlineStr">
        <is>
          <t>Damage %</t>
        </is>
      </c>
      <c r="H28" t="n">
        <v>18</v>
      </c>
      <c r="I28" t="inlineStr">
        <is>
          <t>Basic Attack Damage %</t>
        </is>
      </c>
      <c r="J28" t="n">
        <v>14</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unique</t>
        </is>
      </c>
      <c r="D30" t="n">
        <v>196</v>
      </c>
      <c r="E30" t="inlineStr">
        <is>
          <t>Int %</t>
        </is>
      </c>
      <c r="F30" t="n">
        <v>9</v>
      </c>
      <c r="G30" t="inlineStr">
        <is>
          <t>Final Damage %</t>
        </is>
      </c>
      <c r="H30" t="n">
        <v>5</v>
      </c>
      <c r="I30" t="inlineStr">
        <is>
          <t>Luk %</t>
        </is>
      </c>
      <c r="J30" t="n">
        <v>6</v>
      </c>
    </row>
    <row r="31">
      <c r="A31" t="inlineStr">
        <is>
          <t>face</t>
        </is>
      </c>
      <c r="B31" t="inlineStr">
        <is>
          <t>Bonus Potential</t>
        </is>
      </c>
      <c r="C31" t="inlineStr">
        <is>
          <t>unique</t>
        </is>
      </c>
      <c r="D31" t="n">
        <v>19</v>
      </c>
      <c r="E31" t="inlineStr">
        <is>
          <t>Damage %</t>
        </is>
      </c>
      <c r="F31" t="n">
        <v>18</v>
      </c>
      <c r="G31" t="inlineStr">
        <is>
          <t>Int %</t>
        </is>
      </c>
      <c r="H31" t="n">
        <v>9</v>
      </c>
      <c r="I31" t="inlineStr">
        <is>
          <t>Dex %</t>
        </is>
      </c>
      <c r="J31" t="n">
        <v>6</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rare</t>
        </is>
      </c>
      <c r="D33" t="n">
        <v>5</v>
      </c>
      <c r="E33" t="inlineStr">
        <is>
          <t>Int %</t>
        </is>
      </c>
      <c r="F33" t="n">
        <v>4.5</v>
      </c>
      <c r="G33" t="inlineStr">
        <is>
          <t>Max MP %</t>
        </is>
      </c>
      <c r="H33" t="n">
        <v>3</v>
      </c>
      <c r="I33" t="inlineStr">
        <is>
          <t>Int %</t>
        </is>
      </c>
      <c r="J33" t="n">
        <v>3</v>
      </c>
    </row>
    <row r="34">
      <c r="A34" t="inlineStr">
        <is>
          <t>pocket</t>
        </is>
      </c>
      <c r="B34" t="inlineStr">
        <is>
          <t>Potential</t>
        </is>
      </c>
      <c r="C34" t="inlineStr">
        <is>
          <t>legendary</t>
        </is>
      </c>
      <c r="D34" t="n">
        <v>15</v>
      </c>
      <c r="E34" t="inlineStr">
        <is>
          <t>Str</t>
        </is>
      </c>
      <c r="F34" t="n">
        <v>400</v>
      </c>
      <c r="G34" t="inlineStr">
        <is>
          <t>Int</t>
        </is>
      </c>
      <c r="H34" t="n">
        <v>400</v>
      </c>
      <c r="I34" t="inlineStr">
        <is>
          <t>Main Stat % per 4 Levels</t>
        </is>
      </c>
      <c r="J34" t="n">
        <v>0.8</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2026-09-20T08:34:07Z</dcterms:created>
  <dcterms:modified xsi:type="dcterms:W3CDTF">2026-09-20T08:34:07Z</dcterms:modified>
</cp:coreProperties>
</file>