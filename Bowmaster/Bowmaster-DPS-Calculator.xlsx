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10=TRUE,F10,0)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10=TRUE,F10,0)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10=TRUE,F10,0)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c r="T10" t="inlineStr"/>
      <c r="V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C12=TRUE,F12,0)/100)*(1+(IF(Skills!A11="ARROW_STREAM",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2"/>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Arrow Stream, 1/s)</t>
        </is>
      </c>
      <c r="B18">
        <f>IF(AND(Inputs!$B$38&lt;&gt;"pvp",Inputs!$B$43&gt;0),SUMPRODUCT((Skills!E2:E30=TRUE)*(Calc!C2:C30=TRUE)*Calc!R2:R30*Skills!F2:F30)/Inputs!$B$43,SUMPRODUCT((Skills!E2:E30=TRUE)*(Calc!C2:C30=TRUE)*Calc!Q2:Q30*Skills!F2:F30))</f>
        <v/>
      </c>
    </row>
    <row r="19">
      <c r="A19" t="inlineStr">
        <is>
          <t>Arrow Stream (Basic Attack) Casts Per Second</t>
        </is>
      </c>
      <c r="B19">
        <f>MAX(0,B17-B18)</f>
        <v/>
      </c>
    </row>
    <row r="20">
      <c r="A20" t="inlineStr">
        <is>
          <t>Global Critical Damage Bonus % (Sharp Eyes scaling + Concentration steady-state max stacks)</t>
        </is>
      </c>
      <c r="B20">
        <f>(Calc!C16=TRUE)*Calc!F16*IF(AND(Inputs!$B$38&lt;&gt;"pvp",Inputs!$B$43&gt;0),(((Calc!R16-1)*(Skills!T16*(1+Inputs!$B$34/100))+MIN((Skills!T16*(1+Inputs!$B$34/100)),MAX(0,Inputs!$B$43-((Calc!R16-1)*Skills!D16))))/Inputs!$B$43),IF(Inputs!$B$38="pvp",MIN((Skills!T16*(1+Inputs!$B$34/100)),15)/15,(Skills!T16*(1+Inputs!$B$34/100))/Skills!D16))+(Calc!C17=TRUE)*30</f>
        <v/>
      </c>
    </row>
    <row r="21">
      <c r="A21" t="inlineStr">
        <is>
          <t>Global Final Damage Bonus % (Mortal Blow, steady-state always-active)</t>
        </is>
      </c>
      <c r="B21">
        <f>(Calc!C18=TRUE)*Calc!F18</f>
        <v/>
      </c>
    </row>
    <row r="22">
      <c r="A22" t="inlineStr">
        <is>
          <t>Arrow Stream (Basic Attack) DPS</t>
        </is>
      </c>
      <c r="B22">
        <f>Calc!O2</f>
        <v/>
      </c>
    </row>
    <row r="23">
      <c r="A23" t="inlineStr">
        <is>
          <t>Buff-Casting Startup Delay (s, before first damage-skill cast; fixed-duration only)</t>
        </is>
      </c>
      <c r="B23">
        <f>IF(AND(Inputs!$B$38&lt;&gt;"pvp",Inputs!$B$43&gt;0),SUMPRODUCT((Skills!T2:T30&gt;0)*(Skills!E2:E30=TRUE)*(Calc!C2:C30=TRUE))/B17,0)</f>
        <v/>
      </c>
    </row>
    <row r="24">
      <c r="A24" t="inlineStr">
        <is>
          <t>Boss-Only Total DPS (Sensitivity baseline)</t>
        </is>
      </c>
      <c r="B24">
        <f>SUM(Calc!T2:T30)</f>
        <v/>
      </c>
    </row>
    <row r="25">
      <c r="A25" t="inlineStr">
        <is>
          <t>Normal-Only Total DPS (Sensitivity baseline)</t>
        </is>
      </c>
      <c r="B25">
        <f>SUM(Calc!V2:V30)</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Calc!B8</f>
        <v/>
      </c>
      <c r="B32">
        <f>Calc!O8</f>
        <v/>
      </c>
      <c r="C32">
        <f>Calc!P8*100</f>
        <v/>
      </c>
    </row>
    <row r="33">
      <c r="A33">
        <f>Calc!B9</f>
        <v/>
      </c>
      <c r="B33">
        <f>Calc!O9</f>
        <v/>
      </c>
      <c r="C33">
        <f>Calc!P9*100</f>
        <v/>
      </c>
    </row>
    <row r="34">
      <c r="A34">
        <f>Calc!B11</f>
        <v/>
      </c>
      <c r="B34">
        <f>Calc!O11</f>
        <v/>
      </c>
      <c r="C34">
        <f>Calc!P11*100</f>
        <v/>
      </c>
    </row>
    <row r="35">
      <c r="A35" s="9" t="inlineStr">
        <is>
          <t>Marginal DPS &amp; Stat Value (see Sensitivity for full detail)</t>
        </is>
      </c>
    </row>
    <row r="37">
      <c r="A37" s="5" t="inlineStr">
        <is>
          <t>Stat</t>
        </is>
      </c>
      <c r="B37" s="5" t="inlineStr">
        <is>
          <t>DPS per +1</t>
        </is>
      </c>
      <c r="C37" s="5" t="inlineStr">
        <is>
          <t>Units per +1% DPS</t>
        </is>
      </c>
    </row>
    <row r="38">
      <c r="A38">
        <f>Sensitivity!A5</f>
        <v/>
      </c>
      <c r="B38">
        <f>Sensitivity!H5</f>
        <v/>
      </c>
      <c r="C38">
        <f>Sensitivity!B5</f>
        <v/>
      </c>
    </row>
    <row r="39">
      <c r="A39">
        <f>Sensitivity!A6</f>
        <v/>
      </c>
      <c r="B39">
        <f>Sensitivity!H6</f>
        <v/>
      </c>
      <c r="C39">
        <f>Sensitivity!B6</f>
        <v/>
      </c>
    </row>
    <row r="40">
      <c r="A40">
        <f>Sensitivity!A7</f>
        <v/>
      </c>
      <c r="B40">
        <f>Sensitivity!H7</f>
        <v/>
      </c>
      <c r="C40">
        <f>Sensitivity!B7</f>
        <v/>
      </c>
    </row>
    <row r="41">
      <c r="A41">
        <f>Sensitivity!A8</f>
        <v/>
      </c>
      <c r="B41">
        <f>Sensitivity!H8</f>
        <v/>
      </c>
      <c r="C41">
        <f>Sensitivity!B8</f>
        <v/>
      </c>
    </row>
    <row r="42">
      <c r="A42">
        <f>Sensitivity!A9</f>
        <v/>
      </c>
      <c r="B42">
        <f>Sensitivity!H9</f>
        <v/>
      </c>
      <c r="C42">
        <f>Sensitivity!B9</f>
        <v/>
      </c>
    </row>
    <row r="43">
      <c r="A43">
        <f>Sensitivity!A10</f>
        <v/>
      </c>
      <c r="B43">
        <f>Sensitivity!H10</f>
        <v/>
      </c>
      <c r="C43">
        <f>Sensitivity!B10</f>
        <v/>
      </c>
    </row>
    <row r="44">
      <c r="A44">
        <f>Sensitivity!A11</f>
        <v/>
      </c>
      <c r="B44">
        <f>Sensitivity!H11</f>
        <v/>
      </c>
      <c r="C44">
        <f>Sensitivity!B11</f>
        <v/>
      </c>
    </row>
    <row r="45">
      <c r="A45">
        <f>Sensitivity!A12</f>
        <v/>
      </c>
      <c r="B45">
        <f>Sensitivity!H12</f>
        <v/>
      </c>
      <c r="C45">
        <f>Sensitivity!B12</f>
        <v/>
      </c>
    </row>
    <row r="46">
      <c r="A46">
        <f>Sensitivity!A13</f>
        <v/>
      </c>
      <c r="B46">
        <f>Sensitivity!H13</f>
        <v/>
      </c>
      <c r="C46">
        <f>Sensitivity!B13</f>
        <v/>
      </c>
    </row>
    <row r="47">
      <c r="A47">
        <f>Sensitivity!A14</f>
        <v/>
      </c>
      <c r="B47">
        <f>Sensitivity!H14</f>
        <v/>
      </c>
      <c r="C47">
        <f>Sensitivity!B14</f>
        <v/>
      </c>
    </row>
    <row r="48">
      <c r="A48">
        <f>Sensitivity!A15</f>
        <v/>
      </c>
      <c r="B48">
        <f>Sensitivity!H15</f>
        <v/>
      </c>
      <c r="C48">
        <f>Sensitivity!B15</f>
        <v/>
      </c>
    </row>
    <row r="49">
      <c r="A49">
        <f>Sensitivity!A16</f>
        <v/>
      </c>
      <c r="B49">
        <f>Sensitivity!H16</f>
        <v/>
      </c>
      <c r="C49">
        <f>Sensitivity!B16</f>
        <v/>
      </c>
    </row>
    <row r="50">
      <c r="A50">
        <f>Sensitivity!A17</f>
        <v/>
      </c>
      <c r="B50">
        <f>Sensitivity!H17</f>
        <v/>
      </c>
      <c r="C50">
        <f>Sensitivity!B17</f>
        <v/>
      </c>
    </row>
    <row r="51">
      <c r="A51">
        <f>Sensitivity!A18</f>
        <v/>
      </c>
      <c r="B51">
        <f>Sensitivity!H18</f>
        <v/>
      </c>
      <c r="C51">
        <f>Sensitivity!B18</f>
        <v/>
      </c>
    </row>
    <row r="52">
      <c r="A52">
        <f>Sensitivity!A19</f>
        <v/>
      </c>
      <c r="B52">
        <f>Sensitivity!H19</f>
        <v/>
      </c>
      <c r="C52">
        <f>Sensitivity!B19</f>
        <v/>
      </c>
    </row>
    <row r="53">
      <c r="A53">
        <f>Sensitivity!A20</f>
        <v/>
      </c>
      <c r="B53">
        <f>Sensitivity!H20</f>
        <v/>
      </c>
      <c r="C53">
        <f>Sensitivity!B20</f>
        <v/>
      </c>
    </row>
    <row r="54">
      <c r="A54">
        <f>Sensitivity!A21</f>
        <v/>
      </c>
      <c r="B54">
        <f>Sensitivity!H21</f>
        <v/>
      </c>
      <c r="C54">
        <f>Sensitivity!B21</f>
        <v/>
      </c>
    </row>
    <row r="55">
      <c r="A55">
        <f>Sensitivity!A22</f>
        <v/>
      </c>
      <c r="B55">
        <f>Sensitivity!H22</f>
        <v/>
      </c>
      <c r="C55">
        <f>Sensitivity!B22</f>
        <v/>
      </c>
    </row>
    <row r="56">
      <c r="A56">
        <f>Sensitivity!A23</f>
        <v/>
      </c>
      <c r="B56">
        <f>Sensitivity!H23</f>
        <v/>
      </c>
      <c r="C56">
        <f>Sensitivity!B23</f>
        <v/>
      </c>
    </row>
    <row r="57">
      <c r="A57">
        <f>Sensitivity!A24</f>
        <v/>
      </c>
      <c r="B57">
        <f>Sensitivity!H24</f>
        <v/>
      </c>
      <c r="C57">
        <f>Sensitivity!B24</f>
        <v/>
      </c>
    </row>
    <row r="58">
      <c r="A58">
        <f>Sensitivity!A25</f>
        <v/>
      </c>
      <c r="B58">
        <f>Sensitivity!H25</f>
        <v/>
      </c>
      <c r="C58">
        <f>Sensitivity!B25</f>
        <v/>
      </c>
    </row>
    <row r="59">
      <c r="A59">
        <f>Sensitivity!A26</f>
        <v/>
      </c>
      <c r="B59">
        <f>Sensitivity!H26</f>
        <v/>
      </c>
      <c r="C59">
        <f>Sensitivity!B26</f>
        <v/>
      </c>
    </row>
    <row r="60">
      <c r="A60">
        <f>Sensitivity!A27</f>
        <v/>
      </c>
      <c r="B60">
        <f>Sensitivity!H27</f>
        <v/>
      </c>
      <c r="C60">
        <f>Sensitivity!B27</f>
        <v/>
      </c>
    </row>
    <row r="61">
      <c r="A61">
        <f>Sensitivity!A28</f>
        <v/>
      </c>
      <c r="B61">
        <f>Sensitivity!H28</f>
        <v/>
      </c>
      <c r="C61">
        <f>Sensitivity!B28</f>
        <v/>
      </c>
    </row>
    <row r="62">
      <c r="A62">
        <f>Sensitivity!A29</f>
        <v/>
      </c>
      <c r="B62">
        <f>Sensitivity!H29</f>
        <v/>
      </c>
      <c r="C62">
        <f>Sensitivity!B29</f>
        <v/>
      </c>
    </row>
    <row r="63">
      <c r="A63">
        <f>Sensitivity!A30</f>
        <v/>
      </c>
      <c r="B63">
        <f>Sensitivity!H30</f>
        <v/>
      </c>
      <c r="C63">
        <f>Sensitivity!B30</f>
        <v/>
      </c>
    </row>
    <row r="64">
      <c r="A64" s="9" t="inlineStr">
        <is>
          <t>Artifact Equip-Toggle DPS Gain, best to worst (see Sensitivity for full detail)</t>
        </is>
      </c>
    </row>
    <row r="66">
      <c r="A66" s="5" t="inlineStr">
        <is>
          <t>Artifact</t>
        </is>
      </c>
      <c r="B66" s="5" t="inlineStr">
        <is>
          <t>DPS Gain</t>
        </is>
      </c>
      <c r="C66" s="5" t="inlineStr">
        <is>
          <t>% Gain</t>
        </is>
      </c>
    </row>
    <row r="67">
      <c r="A67">
        <f>Sensitivity!A33</f>
        <v/>
      </c>
      <c r="B67">
        <f>Sensitivity!B33</f>
        <v/>
      </c>
      <c r="C67">
        <f>Sensitivity!C33</f>
        <v/>
      </c>
    </row>
    <row r="68">
      <c r="A68">
        <f>Sensitivity!A34</f>
        <v/>
      </c>
      <c r="B68">
        <f>Sensitivity!B34</f>
        <v/>
      </c>
      <c r="C68">
        <f>Sensitivity!C34</f>
        <v/>
      </c>
    </row>
    <row r="69">
      <c r="A69">
        <f>Sensitivity!A35</f>
        <v/>
      </c>
      <c r="B69">
        <f>Sensitivity!B35</f>
        <v/>
      </c>
      <c r="C69">
        <f>Sensitivity!C35</f>
        <v/>
      </c>
    </row>
    <row r="70">
      <c r="A70">
        <f>Sensitivity!A36</f>
        <v/>
      </c>
      <c r="B70">
        <f>Sensitivity!B36</f>
        <v/>
      </c>
      <c r="C70">
        <f>Sensitivity!C36</f>
        <v/>
      </c>
    </row>
    <row r="71">
      <c r="A71">
        <f>Sensitivity!A37</f>
        <v/>
      </c>
      <c r="B71">
        <f>Sensitivity!B37</f>
        <v/>
      </c>
      <c r="C71">
        <f>Sensitivity!C37</f>
        <v/>
      </c>
    </row>
    <row r="72">
      <c r="A72">
        <f>Sensitivity!A38</f>
        <v/>
      </c>
      <c r="B72">
        <f>Sensitivity!B38</f>
        <v/>
      </c>
      <c r="C72">
        <f>Sensitivity!C38</f>
        <v/>
      </c>
    </row>
    <row r="73">
      <c r="A73">
        <f>Sensitivity!A39</f>
        <v/>
      </c>
      <c r="B73">
        <f>Sensitivity!B39</f>
        <v/>
      </c>
      <c r="C73">
        <f>Sensitivity!C39</f>
        <v/>
      </c>
    </row>
    <row r="74">
      <c r="A74">
        <f>Sensitivity!A40</f>
        <v/>
      </c>
      <c r="B74">
        <f>Sensitivity!B40</f>
        <v/>
      </c>
      <c r="C74">
        <f>Sensitivity!C40</f>
        <v/>
      </c>
    </row>
    <row r="75">
      <c r="A75">
        <f>Sensitivity!A41</f>
        <v/>
      </c>
      <c r="B75">
        <f>Sensitivity!B41</f>
        <v/>
      </c>
      <c r="C75">
        <f>Sensitivity!C41</f>
        <v/>
      </c>
    </row>
    <row r="76">
      <c r="A76">
        <f>Sensitivity!A42</f>
        <v/>
      </c>
      <c r="B76">
        <f>Sensitivity!B42</f>
        <v/>
      </c>
      <c r="C76">
        <f>Sensitivity!C42</f>
        <v/>
      </c>
    </row>
    <row r="77">
      <c r="A77">
        <f>Sensitivity!A43</f>
        <v/>
      </c>
      <c r="B77">
        <f>Sensitivity!B43</f>
        <v/>
      </c>
      <c r="C77">
        <f>Sensitivity!C43</f>
        <v/>
      </c>
    </row>
    <row r="78">
      <c r="A78">
        <f>Sensitivity!A44</f>
        <v/>
      </c>
      <c r="B78">
        <f>Sensitivity!B44</f>
        <v/>
      </c>
      <c r="C78">
        <f>Sensitivity!C44</f>
        <v/>
      </c>
    </row>
    <row r="79">
      <c r="A79">
        <f>Sensitivity!A45</f>
        <v/>
      </c>
      <c r="B79">
        <f>Sensitivity!B45</f>
        <v/>
      </c>
      <c r="C79">
        <f>Sensitivity!C45</f>
        <v/>
      </c>
    </row>
    <row r="80">
      <c r="A80">
        <f>Sensitivity!A46</f>
        <v/>
      </c>
      <c r="B80">
        <f>Sensitivity!B46</f>
        <v/>
      </c>
      <c r="C80">
        <f>Sensitivity!C46</f>
        <v/>
      </c>
    </row>
    <row r="81">
      <c r="A81">
        <f>Sensitivity!A47</f>
        <v/>
      </c>
      <c r="B81">
        <f>Sensitivity!B47</f>
        <v/>
      </c>
      <c r="C81">
        <f>Sensitivity!C47</f>
        <v/>
      </c>
    </row>
    <row r="82">
      <c r="A82">
        <f>Sensitivity!A48</f>
        <v/>
      </c>
      <c r="B82">
        <f>Sensitivity!B48</f>
        <v/>
      </c>
      <c r="C82">
        <f>Sensitivity!C48</f>
        <v/>
      </c>
    </row>
    <row r="83">
      <c r="A83">
        <f>Sensitivity!A49</f>
        <v/>
      </c>
      <c r="B83">
        <f>Sensitivity!B49</f>
        <v/>
      </c>
      <c r="C83">
        <f>Sensitivity!C49</f>
        <v/>
      </c>
    </row>
    <row r="84">
      <c r="A84">
        <f>Sensitivity!A50</f>
        <v/>
      </c>
      <c r="B84">
        <f>Sensitivity!B50</f>
        <v/>
      </c>
      <c r="C84">
        <f>Sensitivity!C50</f>
        <v/>
      </c>
    </row>
    <row r="85">
      <c r="A85">
        <f>Sensitivity!A51</f>
        <v/>
      </c>
      <c r="B85">
        <f>Sensitivity!B51</f>
        <v/>
      </c>
      <c r="C85">
        <f>Sensitivity!C51</f>
        <v/>
      </c>
    </row>
    <row r="86">
      <c r="A86">
        <f>Sensitivity!A52</f>
        <v/>
      </c>
      <c r="B86">
        <f>Sensitivity!B52</f>
        <v/>
      </c>
      <c r="C86">
        <f>Sensitivity!C52</f>
        <v/>
      </c>
    </row>
    <row r="87">
      <c r="A87">
        <f>Sensitivity!A53</f>
        <v/>
      </c>
      <c r="B87">
        <f>Sensitivity!B53</f>
        <v/>
      </c>
      <c r="C87">
        <f>Sensitivity!C53</f>
        <v/>
      </c>
    </row>
    <row r="88">
      <c r="A88">
        <f>Sensitivity!A54</f>
        <v/>
      </c>
      <c r="B88">
        <f>Sensitivity!B54</f>
        <v/>
      </c>
      <c r="C88">
        <f>Sensitivity!C54</f>
        <v/>
      </c>
    </row>
    <row r="89">
      <c r="A89">
        <f>Sensitivity!A55</f>
        <v/>
      </c>
      <c r="B89">
        <f>Sensitivity!B55</f>
        <v/>
      </c>
      <c r="C89">
        <f>Sensitivity!C55</f>
        <v/>
      </c>
    </row>
    <row r="90">
      <c r="A90">
        <f>Sensitivity!A56</f>
        <v/>
      </c>
      <c r="B90">
        <f>Sensitivity!B56</f>
        <v/>
      </c>
      <c r="C90">
        <f>Sensitivity!C56</f>
        <v/>
      </c>
    </row>
    <row r="91">
      <c r="A91">
        <f>Sensitivity!A57</f>
        <v/>
      </c>
      <c r="B91">
        <f>Sensitivity!B57</f>
        <v/>
      </c>
      <c r="C91">
        <f>Sensitivity!C57</f>
        <v/>
      </c>
    </row>
    <row r="92">
      <c r="A92">
        <f>Sensitivity!A58</f>
        <v/>
      </c>
      <c r="B92">
        <f>Sensitivity!B58</f>
        <v/>
      </c>
      <c r="C92">
        <f>Sensitivity!C58</f>
        <v/>
      </c>
    </row>
    <row r="93">
      <c r="A93">
        <f>Sensitivity!A59</f>
        <v/>
      </c>
      <c r="B93">
        <f>Sensitivity!B59</f>
        <v/>
      </c>
      <c r="C93">
        <f>Sensitivity!C59</f>
        <v/>
      </c>
    </row>
    <row r="94">
      <c r="A94">
        <f>Sensitivity!A60</f>
        <v/>
      </c>
      <c r="B94">
        <f>Sensitivity!B60</f>
        <v/>
      </c>
      <c r="C94">
        <f>Sensitivity!C60</f>
        <v/>
      </c>
    </row>
    <row r="95">
      <c r="A95">
        <f>Sensitivity!A61</f>
        <v/>
      </c>
      <c r="B95">
        <f>Sensitivity!B61</f>
        <v/>
      </c>
      <c r="C95">
        <f>Sensitivity!C61</f>
        <v/>
      </c>
    </row>
    <row r="96">
      <c r="A96">
        <f>Sensitivity!A62</f>
        <v/>
      </c>
      <c r="B96">
        <f>Sensitivity!B62</f>
        <v/>
      </c>
      <c r="C96">
        <f>Sensitivity!C62</f>
        <v/>
      </c>
    </row>
    <row r="97">
      <c r="A97">
        <f>Sensitivity!A63</f>
        <v/>
      </c>
      <c r="B97">
        <f>Sensitivity!B63</f>
        <v/>
      </c>
      <c r="C97">
        <f>Sensitivity!C63</f>
        <v/>
      </c>
    </row>
    <row r="98">
      <c r="A98">
        <f>Sensitivity!A64</f>
        <v/>
      </c>
      <c r="B98">
        <f>Sensitivity!B64</f>
        <v/>
      </c>
      <c r="C98">
        <f>Sensitivity!C64</f>
        <v/>
      </c>
    </row>
    <row r="99">
      <c r="A99">
        <f>Sensitivity!A65</f>
        <v/>
      </c>
      <c r="B99">
        <f>Sensitivity!B65</f>
        <v/>
      </c>
      <c r="C99">
        <f>Sensitivity!C65</f>
        <v/>
      </c>
    </row>
    <row r="100">
      <c r="A100">
        <f>Sensitivity!A66</f>
        <v/>
      </c>
      <c r="B100">
        <f>Sensitivity!B66</f>
        <v/>
      </c>
      <c r="C100">
        <f>Sensitivity!C66</f>
        <v/>
      </c>
    </row>
    <row r="101">
      <c r="A101">
        <f>Sensitivity!A67</f>
        <v/>
      </c>
      <c r="B101">
        <f>Sensitivity!B67</f>
        <v/>
      </c>
      <c r="C101">
        <f>Sensitivity!C67</f>
        <v/>
      </c>
    </row>
    <row r="102">
      <c r="A102">
        <f>Sensitivity!A68</f>
        <v/>
      </c>
      <c r="B102">
        <f>Sensitivity!B68</f>
        <v/>
      </c>
      <c r="C102">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9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B114</f>
        <v/>
      </c>
      <c r="H5">
        <f>Summary!$B$3*(((1-Summary!$B$11)*IFERROR(B112/Summary!$B$24,1)+Summary!$B$11*IFERROR(B113/Summary!$B$25,1))-1)</f>
        <v/>
      </c>
      <c r="I5">
        <f>((1-Summary!$B$11)*IFERROR(B112/Summary!$B$24,1)+Summary!$B$11*IFERROR(B113/Summary!$B$25,1))*100</f>
        <v/>
      </c>
    </row>
    <row r="6">
      <c r="A6" t="inlineStr">
        <is>
          <t>DEX %</t>
        </is>
      </c>
      <c r="B6">
        <f>IFERROR(1/(I6-100),"n/a")</f>
        <v/>
      </c>
      <c r="C6" t="inlineStr">
        <is>
          <t>pct</t>
        </is>
      </c>
      <c r="D6">
        <f>Inputs!$B$13</f>
        <v/>
      </c>
      <c r="E6">
        <f>(Inputs!$B$13+1)</f>
        <v/>
      </c>
      <c r="F6">
        <f>Summary!$B$3</f>
        <v/>
      </c>
      <c r="G6">
        <f>B160</f>
        <v/>
      </c>
      <c r="H6">
        <f>Summary!$B$3*(((1-Summary!$B$11)*IFERROR(B158/Summary!$B$24,1)+Summary!$B$11*IFERROR(B159/Summary!$B$25,1))-1)</f>
        <v/>
      </c>
      <c r="I6">
        <f>((1-Summary!$B$11)*IFERROR(B158/Summary!$B$24,1)+Summary!$B$11*IFERROR(B159/Summary!$B$25,1))*100</f>
        <v/>
      </c>
    </row>
    <row r="7">
      <c r="A7" t="inlineStr">
        <is>
          <t>STR</t>
        </is>
      </c>
      <c r="B7">
        <f>IFERROR(1/(I7-100),"n/a")</f>
        <v/>
      </c>
      <c r="C7" t="inlineStr">
        <is>
          <t>flat</t>
        </is>
      </c>
      <c r="D7">
        <f>Inputs!$B$14</f>
        <v/>
      </c>
      <c r="E7">
        <f>(Inputs!$B$14+1)</f>
        <v/>
      </c>
      <c r="F7">
        <f>Summary!$B$3</f>
        <v/>
      </c>
      <c r="G7">
        <f>B206</f>
        <v/>
      </c>
      <c r="H7">
        <f>Summary!$B$3*(((1-Summary!$B$11)*IFERROR(B204/Summary!$B$24,1)+Summary!$B$11*IFERROR(B205/Summary!$B$25,1))-1)</f>
        <v/>
      </c>
      <c r="I7">
        <f>((1-Summary!$B$11)*IFERROR(B204/Summary!$B$24,1)+Summary!$B$11*IFERROR(B205/Summary!$B$25,1))*100</f>
        <v/>
      </c>
    </row>
    <row r="8">
      <c r="A8" t="inlineStr">
        <is>
          <t>DAMAGE %</t>
        </is>
      </c>
      <c r="B8">
        <f>IFERROR(1/(I8-100),"n/a")</f>
        <v/>
      </c>
      <c r="C8" t="inlineStr">
        <is>
          <t>pct</t>
        </is>
      </c>
      <c r="D8">
        <f>Inputs!$B$15</f>
        <v/>
      </c>
      <c r="E8">
        <f>(Inputs!$B$15+1)</f>
        <v/>
      </c>
      <c r="F8">
        <f>Summary!$B$3</f>
        <v/>
      </c>
      <c r="G8">
        <f>B252</f>
        <v/>
      </c>
      <c r="H8">
        <f>Summary!$B$3*(((1-Summary!$B$11)*IFERROR(B250/Summary!$B$24,1)+Summary!$B$11*IFERROR(B251/Summary!$B$25,1))-1)</f>
        <v/>
      </c>
      <c r="I8">
        <f>((1-Summary!$B$11)*IFERROR(B250/Summary!$B$24,1)+Summary!$B$11*IFERROR(B251/Summary!$B$25,1))*100</f>
        <v/>
      </c>
    </row>
    <row r="9">
      <c r="A9" t="inlineStr">
        <is>
          <t>DAMAGE_AMP %</t>
        </is>
      </c>
      <c r="B9">
        <f>IFERROR(1/(I9-100),"n/a")</f>
        <v/>
      </c>
      <c r="C9" t="inlineStr">
        <is>
          <t>pct</t>
        </is>
      </c>
      <c r="D9">
        <f>Inputs!$B$16</f>
        <v/>
      </c>
      <c r="E9">
        <f>(Inputs!$B$16+1)</f>
        <v/>
      </c>
      <c r="F9">
        <f>Summary!$B$3</f>
        <v/>
      </c>
      <c r="G9">
        <f>B298</f>
        <v/>
      </c>
      <c r="H9">
        <f>Summary!$B$3*(((1-Summary!$B$11)*IFERROR(B296/Summary!$B$24,1)+Summary!$B$11*IFERROR(B297/Summary!$B$25,1))-1)</f>
        <v/>
      </c>
      <c r="I9">
        <f>((1-Summary!$B$11)*IFERROR(B296/Summary!$B$24,1)+Summary!$B$11*IFERROR(B297/Summary!$B$25,1))*100</f>
        <v/>
      </c>
    </row>
    <row r="10">
      <c r="A10" t="inlineStr">
        <is>
          <t>BOSS_DAMAGE %</t>
        </is>
      </c>
      <c r="B10">
        <f>IFERROR(1/(I10-100),"n/a")</f>
        <v/>
      </c>
      <c r="C10" t="inlineStr">
        <is>
          <t>pct</t>
        </is>
      </c>
      <c r="D10">
        <f>Inputs!$B$20</f>
        <v/>
      </c>
      <c r="E10">
        <f>(Inputs!$B$20+1)</f>
        <v/>
      </c>
      <c r="F10">
        <f>Summary!$B$3</f>
        <v/>
      </c>
      <c r="G10">
        <f>B344</f>
        <v/>
      </c>
      <c r="H10">
        <f>Summary!$B$3*(((1-Summary!$B$11)*IFERROR(B342/Summary!$B$24,1)+Summary!$B$11*IFERROR(B343/Summary!$B$25,1))-1)</f>
        <v/>
      </c>
      <c r="I10">
        <f>((1-Summary!$B$11)*IFERROR(B342/Summary!$B$24,1)+Summary!$B$11*IFERROR(B343/Summary!$B$25,1))*100</f>
        <v/>
      </c>
    </row>
    <row r="11">
      <c r="A11" t="inlineStr">
        <is>
          <t>NORMAL_DAMAGE %</t>
        </is>
      </c>
      <c r="B11">
        <f>IFERROR(1/(I11-100),"n/a")</f>
        <v/>
      </c>
      <c r="C11" t="inlineStr">
        <is>
          <t>pct</t>
        </is>
      </c>
      <c r="D11">
        <f>Inputs!$B$21</f>
        <v/>
      </c>
      <c r="E11">
        <f>(Inputs!$B$21+1)</f>
        <v/>
      </c>
      <c r="F11">
        <f>Summary!$B$3</f>
        <v/>
      </c>
      <c r="G11">
        <f>B390</f>
        <v/>
      </c>
      <c r="H11">
        <f>Summary!$B$3*(((1-Summary!$B$11)*IFERROR(B388/Summary!$B$24,1)+Summary!$B$11*IFERROR(B389/Summary!$B$25,1))-1)</f>
        <v/>
      </c>
      <c r="I11">
        <f>((1-Summary!$B$11)*IFERROR(B388/Summary!$B$24,1)+Summary!$B$11*IFERROR(B389/Summary!$B$25,1))*100</f>
        <v/>
      </c>
    </row>
    <row r="12">
      <c r="A12" t="inlineStr">
        <is>
          <t>FINAL_DAMAGE % (multiplicative source)</t>
        </is>
      </c>
      <c r="B12">
        <f>IFERROR(1/(I12-100),"n/a")</f>
        <v/>
      </c>
      <c r="C12" t="inlineStr">
        <is>
          <t>mult</t>
        </is>
      </c>
      <c r="D12">
        <f>Inputs!$B$24</f>
        <v/>
      </c>
      <c r="E12">
        <f>((((1+Inputs!$B$24/100)*(1.01))-1)*100)</f>
        <v/>
      </c>
      <c r="F12">
        <f>Summary!$B$3</f>
        <v/>
      </c>
      <c r="G12">
        <f>B436</f>
        <v/>
      </c>
      <c r="H12">
        <f>Summary!$B$3*(((1-Summary!$B$11)*IFERROR(B434/Summary!$B$24,1)+Summary!$B$11*IFERROR(B435/Summary!$B$25,1))-1)</f>
        <v/>
      </c>
      <c r="I12">
        <f>((1-Summary!$B$11)*IFERROR(B434/Summary!$B$24,1)+Summary!$B$11*IFERROR(B435/Summary!$B$25,1))*100</f>
        <v/>
      </c>
    </row>
    <row r="13">
      <c r="A13" t="inlineStr">
        <is>
          <t>MIN_DAMAGE %</t>
        </is>
      </c>
      <c r="B13">
        <f>IFERROR(1/(I13-100),"n/a")</f>
        <v/>
      </c>
      <c r="C13" t="inlineStr">
        <is>
          <t>pct</t>
        </is>
      </c>
      <c r="D13">
        <f>Inputs!$B$22</f>
        <v/>
      </c>
      <c r="E13">
        <f>(Inputs!$B$22+1)</f>
        <v/>
      </c>
      <c r="F13">
        <f>Summary!$B$3</f>
        <v/>
      </c>
      <c r="G13">
        <f>B482</f>
        <v/>
      </c>
      <c r="H13">
        <f>Summary!$B$3*(((1-Summary!$B$11)*IFERROR(B480/Summary!$B$24,1)+Summary!$B$11*IFERROR(B481/Summary!$B$25,1))-1)</f>
        <v/>
      </c>
      <c r="I13">
        <f>((1-Summary!$B$11)*IFERROR(B480/Summary!$B$24,1)+Summary!$B$11*IFERROR(B481/Summary!$B$25,1))*100</f>
        <v/>
      </c>
    </row>
    <row r="14">
      <c r="A14" t="inlineStr">
        <is>
          <t>MAX_DAMAGE %</t>
        </is>
      </c>
      <c r="B14">
        <f>IFERROR(1/(I14-100),"n/a")</f>
        <v/>
      </c>
      <c r="C14" t="inlineStr">
        <is>
          <t>pct</t>
        </is>
      </c>
      <c r="D14">
        <f>Inputs!$B$23</f>
        <v/>
      </c>
      <c r="E14">
        <f>(Inputs!$B$23+1)</f>
        <v/>
      </c>
      <c r="F14">
        <f>Summary!$B$3</f>
        <v/>
      </c>
      <c r="G14">
        <f>B528</f>
        <v/>
      </c>
      <c r="H14">
        <f>Summary!$B$3*(((1-Summary!$B$11)*IFERROR(B526/Summary!$B$24,1)+Summary!$B$11*IFERROR(B527/Summary!$B$25,1))-1)</f>
        <v/>
      </c>
      <c r="I14">
        <f>((1-Summary!$B$11)*IFERROR(B526/Summary!$B$24,1)+Summary!$B$11*IFERROR(B527/Summary!$B$25,1))*100</f>
        <v/>
      </c>
    </row>
    <row r="15">
      <c r="A15" t="inlineStr">
        <is>
          <t>CRIT_RATE %</t>
        </is>
      </c>
      <c r="B15">
        <f>IFERROR(1/(I15-100),"n/a")</f>
        <v/>
      </c>
      <c r="C15" t="inlineStr">
        <is>
          <t>pct</t>
        </is>
      </c>
      <c r="D15">
        <f>Inputs!$B$9</f>
        <v/>
      </c>
      <c r="E15">
        <f>(Inputs!$B$9+1)</f>
        <v/>
      </c>
      <c r="F15">
        <f>Summary!$B$3</f>
        <v/>
      </c>
      <c r="G15">
        <f>B574</f>
        <v/>
      </c>
      <c r="H15">
        <f>Summary!$B$3*(((1-Summary!$B$11)*IFERROR(B572/Summary!$B$24,1)+Summary!$B$11*IFERROR(B573/Summary!$B$25,1))-1)</f>
        <v/>
      </c>
      <c r="I15">
        <f>((1-Summary!$B$11)*IFERROR(B572/Summary!$B$24,1)+Summary!$B$11*IFERROR(B573/Summary!$B$25,1))*100</f>
        <v/>
      </c>
    </row>
    <row r="16">
      <c r="A16" t="inlineStr">
        <is>
          <t>CRIT_DAMAGE %</t>
        </is>
      </c>
      <c r="B16">
        <f>IFERROR(1/(I16-100),"n/a")</f>
        <v/>
      </c>
      <c r="C16" t="inlineStr">
        <is>
          <t>pct</t>
        </is>
      </c>
      <c r="D16">
        <f>Inputs!$B$10</f>
        <v/>
      </c>
      <c r="E16">
        <f>(Inputs!$B$10+1)</f>
        <v/>
      </c>
      <c r="F16">
        <f>Summary!$B$3</f>
        <v/>
      </c>
      <c r="G16">
        <f>B620</f>
        <v/>
      </c>
      <c r="H16">
        <f>Summary!$B$3*(((1-Summary!$B$11)*IFERROR(B618/Summary!$B$24,1)+Summary!$B$11*IFERROR(B619/Summary!$B$25,1))-1)</f>
        <v/>
      </c>
      <c r="I16">
        <f>((1-Summary!$B$11)*IFERROR(B618/Summary!$B$24,1)+Summary!$B$11*IFERROR(B619/Summary!$B$25,1))*100</f>
        <v/>
      </c>
    </row>
    <row r="17">
      <c r="A17" t="inlineStr">
        <is>
          <t>ATTACK_SPEED % (diminishing returns, factor 150)</t>
        </is>
      </c>
      <c r="B17">
        <f>IFERROR(1/(I17-100),"n/a")</f>
        <v/>
      </c>
      <c r="C17" t="inlineStr">
        <is>
          <t>dr150</t>
        </is>
      </c>
      <c r="D17">
        <f>Inputs!$B$11</f>
        <v/>
      </c>
      <c r="E17">
        <f>((1-(1-Inputs!$B$11/150)*(1-1/150))*150)</f>
        <v/>
      </c>
      <c r="F17">
        <f>Summary!$B$3</f>
        <v/>
      </c>
      <c r="G17">
        <f>B666</f>
        <v/>
      </c>
      <c r="H17">
        <f>Summary!$B$3*(((1-Summary!$B$11)*IFERROR(B664/Summary!$B$24,1)+Summary!$B$11*IFERROR(B665/Summary!$B$25,1))-1)</f>
        <v/>
      </c>
      <c r="I17">
        <f>((1-Summary!$B$11)*IFERROR(B664/Summary!$B$24,1)+Summary!$B$11*IFERROR(B665/Summary!$B$25,1))*100</f>
        <v/>
      </c>
    </row>
    <row r="18">
      <c r="A18" t="inlineStr">
        <is>
          <t>DEF_PEN % (diminishing returns, factor 100)</t>
        </is>
      </c>
      <c r="B18">
        <f>IFERROR(1/(I18-100),"n/a")</f>
        <v/>
      </c>
      <c r="C18" t="inlineStr">
        <is>
          <t>dr100</t>
        </is>
      </c>
      <c r="D18">
        <f>Inputs!$B$19</f>
        <v/>
      </c>
      <c r="E18">
        <f>((1-(1-Inputs!$B$19/100)*(1-1/100))*100)</f>
        <v/>
      </c>
      <c r="F18">
        <f>Summary!$B$3</f>
        <v/>
      </c>
      <c r="G18">
        <f>B712</f>
        <v/>
      </c>
      <c r="H18">
        <f>Summary!$B$3*(((1-Summary!$B$11)*IFERROR(B710/Summary!$B$24,1)+Summary!$B$11*IFERROR(B711/Summary!$B$25,1))-1)</f>
        <v/>
      </c>
      <c r="I18">
        <f>((1-Summary!$B$11)*IFERROR(B710/Summary!$B$24,1)+Summary!$B$11*IFERROR(B711/Summary!$B$25,1))*100</f>
        <v/>
      </c>
    </row>
    <row r="19">
      <c r="A19" t="inlineStr">
        <is>
          <t>BASIC_ATTACK_DAMAGE %</t>
        </is>
      </c>
      <c r="B19">
        <f>IFERROR(1/(I19-100),"n/a")</f>
        <v/>
      </c>
      <c r="C19" t="inlineStr">
        <is>
          <t>pct</t>
        </is>
      </c>
      <c r="D19">
        <f>Inputs!$B$17</f>
        <v/>
      </c>
      <c r="E19">
        <f>(Inputs!$B$17+1)</f>
        <v/>
      </c>
      <c r="F19">
        <f>Summary!$B$3</f>
        <v/>
      </c>
      <c r="G19">
        <f>B758</f>
        <v/>
      </c>
      <c r="H19">
        <f>Summary!$B$3*(((1-Summary!$B$11)*IFERROR(B756/Summary!$B$24,1)+Summary!$B$11*IFERROR(B757/Summary!$B$25,1))-1)</f>
        <v/>
      </c>
      <c r="I19">
        <f>((1-Summary!$B$11)*IFERROR(B756/Summary!$B$24,1)+Summary!$B$11*IFERROR(B757/Summary!$B$25,1))*100</f>
        <v/>
      </c>
    </row>
    <row r="20">
      <c r="A20" t="inlineStr">
        <is>
          <t>SKILL_DAMAGE %</t>
        </is>
      </c>
      <c r="B20">
        <f>IFERROR(1/(I20-100),"n/a")</f>
        <v/>
      </c>
      <c r="C20" t="inlineStr">
        <is>
          <t>pct</t>
        </is>
      </c>
      <c r="D20">
        <f>Inputs!$B$18</f>
        <v/>
      </c>
      <c r="E20">
        <f>(Inputs!$B$18+1)</f>
        <v/>
      </c>
      <c r="F20">
        <f>Summary!$B$3</f>
        <v/>
      </c>
      <c r="G20">
        <f>B804</f>
        <v/>
      </c>
      <c r="H20">
        <f>Summary!$B$3*(((1-Summary!$B$11)*IFERROR(B802/Summary!$B$24,1)+Summary!$B$11*IFERROR(B803/Summary!$B$25,1))-1)</f>
        <v/>
      </c>
      <c r="I20">
        <f>((1-Summary!$B$11)*IFERROR(B802/Summary!$B$24,1)+Summary!$B$11*IFERROR(B803/Summary!$B$25,1))*100</f>
        <v/>
      </c>
    </row>
    <row r="21">
      <c r="A21" t="inlineStr">
        <is>
          <t>Skill Level Bonus — 1st Job</t>
        </is>
      </c>
      <c r="B21">
        <f>IFERROR(1/(I21-100),"n/a")</f>
        <v/>
      </c>
      <c r="C21" t="inlineStr">
        <is>
          <t>level</t>
        </is>
      </c>
      <c r="D21">
        <f>Inputs!$B$25</f>
        <v/>
      </c>
      <c r="E21">
        <f>(Inputs!$B$25+1)</f>
        <v/>
      </c>
      <c r="F21">
        <f>Summary!$B$3</f>
        <v/>
      </c>
      <c r="G21">
        <f>B850</f>
        <v/>
      </c>
      <c r="H21">
        <f>Summary!$B$3*(((1-Summary!$B$11)*IFERROR(B848/Summary!$B$24,1)+Summary!$B$11*IFERROR(B849/Summary!$B$25,1))-1)</f>
        <v/>
      </c>
      <c r="I21">
        <f>((1-Summary!$B$11)*IFERROR(B848/Summary!$B$24,1)+Summary!$B$11*IFERROR(B849/Summary!$B$25,1))*100</f>
        <v/>
      </c>
    </row>
    <row r="22">
      <c r="A22" t="inlineStr">
        <is>
          <t>Skill Level Bonus — 2nd Job</t>
        </is>
      </c>
      <c r="B22">
        <f>IFERROR(1/(I22-100),"n/a")</f>
        <v/>
      </c>
      <c r="C22" t="inlineStr">
        <is>
          <t>level</t>
        </is>
      </c>
      <c r="D22">
        <f>Inputs!$B$26</f>
        <v/>
      </c>
      <c r="E22">
        <f>(Inputs!$B$26+1)</f>
        <v/>
      </c>
      <c r="F22">
        <f>Summary!$B$3</f>
        <v/>
      </c>
      <c r="G22">
        <f>B896</f>
        <v/>
      </c>
      <c r="H22">
        <f>Summary!$B$3*(((1-Summary!$B$11)*IFERROR(B894/Summary!$B$24,1)+Summary!$B$11*IFERROR(B895/Summary!$B$25,1))-1)</f>
        <v/>
      </c>
      <c r="I22">
        <f>((1-Summary!$B$11)*IFERROR(B894/Summary!$B$24,1)+Summary!$B$11*IFERROR(B895/Summary!$B$25,1))*100</f>
        <v/>
      </c>
    </row>
    <row r="23">
      <c r="A23" t="inlineStr">
        <is>
          <t>Skill Level Bonus — 3rd Job</t>
        </is>
      </c>
      <c r="B23">
        <f>IFERROR(1/(I23-100),"n/a")</f>
        <v/>
      </c>
      <c r="C23" t="inlineStr">
        <is>
          <t>level</t>
        </is>
      </c>
      <c r="D23">
        <f>Inputs!$B$27</f>
        <v/>
      </c>
      <c r="E23">
        <f>(Inputs!$B$27+1)</f>
        <v/>
      </c>
      <c r="F23">
        <f>Summary!$B$3</f>
        <v/>
      </c>
      <c r="G23">
        <f>B942</f>
        <v/>
      </c>
      <c r="H23">
        <f>Summary!$B$3*(((1-Summary!$B$11)*IFERROR(B940/Summary!$B$24,1)+Summary!$B$11*IFERROR(B941/Summary!$B$25,1))-1)</f>
        <v/>
      </c>
      <c r="I23">
        <f>((1-Summary!$B$11)*IFERROR(B940/Summary!$B$24,1)+Summary!$B$11*IFERROR(B941/Summary!$B$25,1))*100</f>
        <v/>
      </c>
    </row>
    <row r="24">
      <c r="A24" t="inlineStr">
        <is>
          <t>Skill Level Bonus — 4th Job</t>
        </is>
      </c>
      <c r="B24">
        <f>IFERROR(1/(I24-100),"n/a")</f>
        <v/>
      </c>
      <c r="C24" t="inlineStr">
        <is>
          <t>level</t>
        </is>
      </c>
      <c r="D24">
        <f>Inputs!$B$28</f>
        <v/>
      </c>
      <c r="E24">
        <f>(Inputs!$B$28+1)</f>
        <v/>
      </c>
      <c r="F24">
        <f>Summary!$B$3</f>
        <v/>
      </c>
      <c r="G24">
        <f>B988</f>
        <v/>
      </c>
      <c r="H24">
        <f>Summary!$B$3*(((1-Summary!$B$11)*IFERROR(B986/Summary!$B$24,1)+Summary!$B$11*IFERROR(B987/Summary!$B$25,1))-1)</f>
        <v/>
      </c>
      <c r="I24">
        <f>((1-Summary!$B$11)*IFERROR(B986/Summary!$B$24,1)+Summary!$B$11*IFERROR(B987/Summary!$B$25,1))*100</f>
        <v/>
      </c>
    </row>
    <row r="25">
      <c r="A25" t="inlineStr">
        <is>
          <t>Skill Level Bonus — All Skills</t>
        </is>
      </c>
      <c r="B25">
        <f>IFERROR(1/(I25-100),"n/a")</f>
        <v/>
      </c>
      <c r="C25" t="inlineStr">
        <is>
          <t>level</t>
        </is>
      </c>
      <c r="D25">
        <f>Inputs!$B$29</f>
        <v/>
      </c>
      <c r="E25">
        <f>(Inputs!$B$29+1)</f>
        <v/>
      </c>
      <c r="F25">
        <f>Summary!$B$3</f>
        <v/>
      </c>
      <c r="G25">
        <f>B1034</f>
        <v/>
      </c>
      <c r="H25">
        <f>Summary!$B$3*(((1-Summary!$B$11)*IFERROR(B1032/Summary!$B$24,1)+Summary!$B$11*IFERROR(B1033/Summary!$B$25,1))-1)</f>
        <v/>
      </c>
      <c r="I25">
        <f>((1-Summary!$B$11)*IFERROR(B1032/Summary!$B$24,1)+Summary!$B$11*IFERROR(B1033/Summary!$B$25,1))*100</f>
        <v/>
      </c>
    </row>
    <row r="26">
      <c r="A26" t="inlineStr">
        <is>
          <t>Flat ATTACK</t>
        </is>
      </c>
      <c r="B26">
        <f>IFERROR(1/(I26-100),"n/a")</f>
        <v/>
      </c>
      <c r="C26" t="inlineStr">
        <is>
          <t>flat</t>
        </is>
      </c>
      <c r="D26">
        <f>Inputs!$B$6</f>
        <v/>
      </c>
      <c r="E26">
        <f>(Inputs!$B$6+1)</f>
        <v/>
      </c>
      <c r="F26">
        <f>Summary!$B$3</f>
        <v/>
      </c>
      <c r="G26">
        <f>B1080</f>
        <v/>
      </c>
      <c r="H26">
        <f>Summary!$B$3*(((1-Summary!$B$11)*IFERROR(B1078/Summary!$B$24,1)+Summary!$B$11*IFERROR(B1079/Summary!$B$25,1))-1)</f>
        <v/>
      </c>
      <c r="I26">
        <f>((1-Summary!$B$11)*IFERROR(B1078/Summary!$B$24,1)+Summary!$B$11*IFERROR(B1079/Summary!$B$25,1))*100</f>
        <v/>
      </c>
    </row>
    <row r="27">
      <c r="A27" t="inlineStr">
        <is>
          <t>ATTACK %</t>
        </is>
      </c>
      <c r="B27">
        <f>IFERROR(1/(I27-100),"n/a")</f>
        <v/>
      </c>
      <c r="C27" t="inlineStr">
        <is>
          <t>pct</t>
        </is>
      </c>
      <c r="D27">
        <f>Inputs!$B$7</f>
        <v/>
      </c>
      <c r="E27">
        <f>(Inputs!$B$7+1)</f>
        <v/>
      </c>
      <c r="F27">
        <f>Summary!$B$3</f>
        <v/>
      </c>
      <c r="G27">
        <f>B1126</f>
        <v/>
      </c>
      <c r="H27">
        <f>Summary!$B$3*(((1-Summary!$B$11)*IFERROR(B1124/Summary!$B$24,1)+Summary!$B$11*IFERROR(B1125/Summary!$B$25,1))-1)</f>
        <v/>
      </c>
      <c r="I27">
        <f>((1-Summary!$B$11)*IFERROR(B1124/Summary!$B$24,1)+Summary!$B$11*IFERROR(B1125/Summary!$B$25,1))*100</f>
        <v/>
      </c>
    </row>
    <row r="28">
      <c r="A28" t="inlineStr">
        <is>
          <t>Skill Cooldown Decrease (seconds)</t>
        </is>
      </c>
      <c r="B28">
        <f>IFERROR(1/(I28-100),"n/a")</f>
        <v/>
      </c>
      <c r="C28" t="inlineStr">
        <is>
          <t>flat</t>
        </is>
      </c>
      <c r="D28">
        <f>Inputs!$B$32</f>
        <v/>
      </c>
      <c r="E28">
        <f>(Inputs!$B$32+1)</f>
        <v/>
      </c>
      <c r="F28">
        <f>Summary!$B$3</f>
        <v/>
      </c>
      <c r="G28">
        <f>B1172</f>
        <v/>
      </c>
      <c r="H28">
        <f>Summary!$B$3*(((1-Summary!$B$11)*IFERROR(B1170/Summary!$B$24,1)+Summary!$B$11*IFERROR(B1171/Summary!$B$25,1))-1)</f>
        <v/>
      </c>
      <c r="I28">
        <f>((1-Summary!$B$11)*IFERROR(B1170/Summary!$B$24,1)+Summary!$B$11*IFERROR(B1171/Summary!$B$25,1))*100</f>
        <v/>
      </c>
    </row>
    <row r="29">
      <c r="A29" t="inlineStr">
        <is>
          <t>Basic Attack Target Increase (flat)</t>
        </is>
      </c>
      <c r="B29">
        <f>IFERROR(1/(I29-100),"n/a")</f>
        <v/>
      </c>
      <c r="C29" t="inlineStr">
        <is>
          <t>flat</t>
        </is>
      </c>
      <c r="D29">
        <f>Inputs!$B$33</f>
        <v/>
      </c>
      <c r="E29">
        <f>(Inputs!$B$33+1)</f>
        <v/>
      </c>
      <c r="F29">
        <f>Summary!$B$3</f>
        <v/>
      </c>
      <c r="G29">
        <f>B1218</f>
        <v/>
      </c>
      <c r="H29">
        <f>Summary!$B$3*(((1-Summary!$B$11)*IFERROR(B1216/Summary!$B$24,1)+Summary!$B$11*IFERROR(B1217/Summary!$B$25,1))-1)</f>
        <v/>
      </c>
      <c r="I29">
        <f>((1-Summary!$B$11)*IFERROR(B1216/Summary!$B$24,1)+Summary!$B$11*IFERROR(B1217/Summary!$B$25,1))*100</f>
        <v/>
      </c>
    </row>
    <row r="30">
      <c r="A30" t="inlineStr">
        <is>
          <t>Buff Duration Increase %</t>
        </is>
      </c>
      <c r="B30">
        <f>IFERROR(1/(I30-100),"n/a")</f>
        <v/>
      </c>
      <c r="C30" t="inlineStr">
        <is>
          <t>pct</t>
        </is>
      </c>
      <c r="D30">
        <f>Inputs!$B$34</f>
        <v/>
      </c>
      <c r="E30">
        <f>(Inputs!$B$34+1)</f>
        <v/>
      </c>
      <c r="F30">
        <f>Summary!$B$3</f>
        <v/>
      </c>
      <c r="G30">
        <f>B1264</f>
        <v/>
      </c>
      <c r="H30">
        <f>Summary!$B$3*(((1-Summary!$B$11)*IFERROR(B1262/Summary!$B$24,1)+Summary!$B$11*IFERROR(B1263/Summary!$B$25,1))-1)</f>
        <v/>
      </c>
      <c r="I30">
        <f>((1-Summary!$B$11)*IFERROR(B1262/Summary!$B$24,1)+Summary!$B$11*IFERROR(B1263/Summary!$B$25,1))*100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(IF(ArtifactsInput!$M$5,-1,1)*Summary!$B$3*(((1-Summary!$B$11)*IFERROR(B1308/Summary!$B$24,1)+Summary!$B$11*IFERROR(B1309/Summary!$B$25,1))-1)+ArtifactsInput!$L$5)</f>
        <v/>
      </c>
      <c r="AC33">
        <f>(Summary!$B$3+(IF(ArtifactsInput!$M$5,-1,1)*Summary!$B$3*(((1-Summary!$B$11)*IFERROR(B1308/Summary!$B$24,1)+Summary!$B$11*IFERROR(B1309/Summary!$B$25,1))-1)+ArtifactsInput!$L$5))/Summary!$B$3*100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(IF(ArtifactsInput!$M$6,-1,1)*Summary!$B$3*(((1-Summary!$B$11)*IFERROR(B1354/Summary!$B$24,1)+Summary!$B$11*IFERROR(B1355/Summary!$B$25,1))-1)+ArtifactsInput!$L$6)</f>
        <v/>
      </c>
      <c r="AC34">
        <f>(Summary!$B$3+(IF(ArtifactsInput!$M$6,-1,1)*Summary!$B$3*(((1-Summary!$B$11)*IFERROR(B1354/Summary!$B$24,1)+Summary!$B$11*IFERROR(B1355/Summary!$B$25,1))-1)+ArtifactsInput!$L$6))/Summary!$B$3*100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(IF(ArtifactsInput!$M$7,-1,1)*Summary!$B$3*(((1-Summary!$B$11)*IFERROR(B1400/Summary!$B$24,1)+Summary!$B$11*IFERROR(B1401/Summary!$B$25,1))-1)+ArtifactsInput!$L$7)</f>
        <v/>
      </c>
      <c r="AC35">
        <f>(Summary!$B$3+(IF(ArtifactsInput!$M$7,-1,1)*Summary!$B$3*(((1-Summary!$B$11)*IFERROR(B1400/Summary!$B$24,1)+Summary!$B$11*IFERROR(B1401/Summary!$B$25,1))-1)+ArtifactsInput!$L$7))/Summary!$B$3*100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(IF(ArtifactsInput!$M$8,-1,1)*Summary!$B$3*(((1-Summary!$B$11)*IFERROR(B1446/Summary!$B$24,1)+Summary!$B$11*IFERROR(B1447/Summary!$B$25,1))-1)+ArtifactsInput!$L$8)</f>
        <v/>
      </c>
      <c r="AC36">
        <f>(Summary!$B$3+(IF(ArtifactsInput!$M$8,-1,1)*Summary!$B$3*(((1-Summary!$B$11)*IFERROR(B1446/Summary!$B$24,1)+Summary!$B$11*IFERROR(B1447/Summary!$B$25,1))-1)+ArtifactsInput!$L$8))/Summary!$B$3*100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(IF(ArtifactsInput!$M$10,-1,1)*Summary!$B$3*(((1-Summary!$B$11)*IFERROR(B1492/Summary!$B$24,1)+Summary!$B$11*IFERROR(B1493/Summary!$B$25,1))-1)+ArtifactsInput!$L$10)</f>
        <v/>
      </c>
      <c r="AC37">
        <f>(Summary!$B$3+(IF(ArtifactsInput!$M$10,-1,1)*Summary!$B$3*(((1-Summary!$B$11)*IFERROR(B1492/Summary!$B$24,1)+Summary!$B$11*IFERROR(B1493/Summary!$B$25,1))-1)+ArtifactsInput!$L$10))/Summary!$B$3*100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(IF(ArtifactsInput!$M$11,-1,1)*Summary!$B$3*(((1-Summary!$B$11)*IFERROR(B1538/Summary!$B$24,1)+Summary!$B$11*IFERROR(B1539/Summary!$B$25,1))-1)+ArtifactsInput!$L$11)</f>
        <v/>
      </c>
      <c r="AC38">
        <f>(Summary!$B$3+(IF(ArtifactsInput!$M$11,-1,1)*Summary!$B$3*(((1-Summary!$B$11)*IFERROR(B1538/Summary!$B$24,1)+Summary!$B$11*IFERROR(B1539/Summary!$B$25,1))-1)+ArtifactsInput!$L$11))/Summary!$B$3*100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(IF(ArtifactsInput!$M$12,-1,1)*Summary!$B$3*(((1-Summary!$B$11)*IFERROR(B1584/Summary!$B$24,1)+Summary!$B$11*IFERROR(B1585/Summary!$B$25,1))-1)+ArtifactsInput!$L$12)</f>
        <v/>
      </c>
      <c r="AC39">
        <f>(Summary!$B$3+(IF(ArtifactsInput!$M$12,-1,1)*Summary!$B$3*(((1-Summary!$B$11)*IFERROR(B1584/Summary!$B$24,1)+Summary!$B$11*IFERROR(B1585/Summary!$B$25,1))-1)+ArtifactsInput!$L$12))/Summary!$B$3*100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(IF(ArtifactsInput!$M$13,-1,1)*Summary!$B$3*(((1-Summary!$B$11)*IFERROR(B1630/Summary!$B$24,1)+Summary!$B$11*IFERROR(B1631/Summary!$B$25,1))-1)+ArtifactsInput!$L$13)</f>
        <v/>
      </c>
      <c r="AC40">
        <f>(Summary!$B$3+(IF(ArtifactsInput!$M$13,-1,1)*Summary!$B$3*(((1-Summary!$B$11)*IFERROR(B1630/Summary!$B$24,1)+Summary!$B$11*IFERROR(B1631/Summary!$B$25,1))-1)+ArtifactsInput!$L$13))/Summary!$B$3*100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(IF(ArtifactsInput!$M$14,-1,1)*Summary!$B$3*(((1-Summary!$B$11)*IFERROR(B1676/Summary!$B$24,1)+Summary!$B$11*IFERROR(B1677/Summary!$B$25,1))-1)+ArtifactsInput!$L$14)</f>
        <v/>
      </c>
      <c r="AC41">
        <f>(Summary!$B$3+(IF(ArtifactsInput!$M$14,-1,1)*Summary!$B$3*(((1-Summary!$B$11)*IFERROR(B1676/Summary!$B$24,1)+Summary!$B$11*IFERROR(B1677/Summary!$B$25,1))-1)+ArtifactsInput!$L$14))/Summary!$B$3*100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(IF(ArtifactsInput!$M$15,-1,1)*Summary!$B$3*(((1-Summary!$B$11)*IFERROR(B1722/Summary!$B$24,1)+Summary!$B$11*IFERROR(B1723/Summary!$B$25,1))-1)+ArtifactsInput!$L$15)</f>
        <v/>
      </c>
      <c r="AC42">
        <f>(Summary!$B$3+(IF(ArtifactsInput!$M$15,-1,1)*Summary!$B$3*(((1-Summary!$B$11)*IFERROR(B1722/Summary!$B$24,1)+Summary!$B$11*IFERROR(B1723/Summary!$B$25,1))-1)+ArtifactsInput!$L$15))/Summary!$B$3*100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(IF(ArtifactsInput!$M$16,-1,1)*Summary!$B$3*(((1-Summary!$B$11)*IFERROR(B1768/Summary!$B$24,1)+Summary!$B$11*IFERROR(B1769/Summary!$B$25,1))-1)+ArtifactsInput!$L$16)</f>
        <v/>
      </c>
      <c r="AC43">
        <f>(Summary!$B$3+(IF(ArtifactsInput!$M$16,-1,1)*Summary!$B$3*(((1-Summary!$B$11)*IFERROR(B1768/Summary!$B$24,1)+Summary!$B$11*IFERROR(B1769/Summary!$B$25,1))-1)+ArtifactsInput!$L$16))/Summary!$B$3*100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(IF(ArtifactsInput!$M$17,-1,1)*Summary!$B$3*(((1-Summary!$B$11)*IFERROR(B1814/Summary!$B$24,1)+Summary!$B$11*IFERROR(B1815/Summary!$B$25,1))-1)+ArtifactsInput!$L$17)</f>
        <v/>
      </c>
      <c r="AC44">
        <f>(Summary!$B$3+(IF(ArtifactsInput!$M$17,-1,1)*Summary!$B$3*(((1-Summary!$B$11)*IFERROR(B1814/Summary!$B$24,1)+Summary!$B$11*IFERROR(B1815/Summary!$B$25,1))-1)+ArtifactsInput!$L$17))/Summary!$B$3*100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(IF(ArtifactsInput!$M$18,-1,1)*Summary!$B$3*(((1-Summary!$B$11)*IFERROR(B1860/Summary!$B$24,1)+Summary!$B$11*IFERROR(B1861/Summary!$B$25,1))-1)+ArtifactsInput!$L$18)</f>
        <v/>
      </c>
      <c r="AC45">
        <f>(Summary!$B$3+(IF(ArtifactsInput!$M$18,-1,1)*Summary!$B$3*(((1-Summary!$B$11)*IFERROR(B1860/Summary!$B$24,1)+Summary!$B$11*IFERROR(B1861/Summary!$B$25,1))-1)+ArtifactsInput!$L$18))/Summary!$B$3*100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(IF(ArtifactsInput!$M$20,-1,1)*Summary!$B$3*(((1-Summary!$B$11)*IFERROR(B1906/Summary!$B$24,1)+Summary!$B$11*IFERROR(B1907/Summary!$B$25,1))-1)+ArtifactsInput!$L$20)</f>
        <v/>
      </c>
      <c r="AC46">
        <f>(Summary!$B$3+(IF(ArtifactsInput!$M$20,-1,1)*Summary!$B$3*(((1-Summary!$B$11)*IFERROR(B1906/Summary!$B$24,1)+Summary!$B$11*IFERROR(B1907/Summary!$B$25,1))-1)+ArtifactsInput!$L$20))/Summary!$B$3*100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(IF(ArtifactsInput!$M$21,-1,1)*Summary!$B$3*(((1-Summary!$B$11)*IFERROR(B1952/Summary!$B$24,1)+Summary!$B$11*IFERROR(B1953/Summary!$B$25,1))-1)+ArtifactsInput!$L$21)</f>
        <v/>
      </c>
      <c r="AC47">
        <f>(Summary!$B$3+(IF(ArtifactsInput!$M$21,-1,1)*Summary!$B$3*(((1-Summary!$B$11)*IFERROR(B1952/Summary!$B$24,1)+Summary!$B$11*IFERROR(B1953/Summary!$B$25,1))-1)+ArtifactsInput!$L$21))/Summary!$B$3*100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(IF(ArtifactsInput!$M$22,-1,1)*Summary!$B$3*(((1-Summary!$B$11)*IFERROR(B1998/Summary!$B$24,1)+Summary!$B$11*IFERROR(B1999/Summary!$B$25,1))-1)+ArtifactsInput!$L$22)</f>
        <v/>
      </c>
      <c r="AC48">
        <f>(Summary!$B$3+(IF(ArtifactsInput!$M$22,-1,1)*Summary!$B$3*(((1-Summary!$B$11)*IFERROR(B1998/Summary!$B$24,1)+Summary!$B$11*IFERROR(B1999/Summary!$B$25,1))-1)+ArtifactsInput!$L$22))/Summary!$B$3*100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(IF(ArtifactsInput!$M$23,-1,1)*Summary!$B$3*(((1-Summary!$B$11)*IFERROR(B2044/Summary!$B$24,1)+Summary!$B$11*IFERROR(B2045/Summary!$B$25,1))-1)+ArtifactsInput!$L$23)</f>
        <v/>
      </c>
      <c r="AC49">
        <f>(Summary!$B$3+(IF(ArtifactsInput!$M$23,-1,1)*Summary!$B$3*(((1-Summary!$B$11)*IFERROR(B2044/Summary!$B$24,1)+Summary!$B$11*IFERROR(B2045/Summary!$B$25,1))-1)+ArtifactsInput!$L$23))/Summary!$B$3*100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(IF(ArtifactsInput!$M$24,-1,1)*Summary!$B$3*(((1-Summary!$B$11)*IFERROR(B2090/Summary!$B$24,1)+Summary!$B$11*IFERROR(B2091/Summary!$B$25,1))-1)+ArtifactsInput!$L$24)</f>
        <v/>
      </c>
      <c r="AC50">
        <f>(Summary!$B$3+(IF(ArtifactsInput!$M$24,-1,1)*Summary!$B$3*(((1-Summary!$B$11)*IFERROR(B2090/Summary!$B$24,1)+Summary!$B$11*IFERROR(B2091/Summary!$B$25,1))-1)+ArtifactsInput!$L$24))/Summary!$B$3*100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(IF(ArtifactsInput!$M$25,-1,1)*Summary!$B$3*(((1-Summary!$B$11)*IFERROR(B2136/Summary!$B$24,1)+Summary!$B$11*IFERROR(B2137/Summary!$B$25,1))-1)+ArtifactsInput!$L$25)</f>
        <v/>
      </c>
      <c r="AC51">
        <f>(Summary!$B$3+(IF(ArtifactsInput!$M$25,-1,1)*Summary!$B$3*(((1-Summary!$B$11)*IFERROR(B2136/Summary!$B$24,1)+Summary!$B$11*IFERROR(B2137/Summary!$B$25,1))-1)+ArtifactsInput!$L$25))/Summary!$B$3*100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(IF(ArtifactsInput!$M$26,-1,1)*Summary!$B$3*(((1-Summary!$B$11)*IFERROR(B2182/Summary!$B$24,1)+Summary!$B$11*IFERROR(B2183/Summary!$B$25,1))-1)+ArtifactsInput!$L$26)</f>
        <v/>
      </c>
      <c r="AC52">
        <f>(Summary!$B$3+(IF(ArtifactsInput!$M$26,-1,1)*Summary!$B$3*(((1-Summary!$B$11)*IFERROR(B2182/Summary!$B$24,1)+Summary!$B$11*IFERROR(B2183/Summary!$B$25,1))-1)+ArtifactsInput!$L$26))/Summary!$B$3*100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(IF(ArtifactsInput!$M$27,-1,1)*Summary!$B$3*(((1-Summary!$B$11)*IFERROR(B2228/Summary!$B$24,1)+Summary!$B$11*IFERROR(B2229/Summary!$B$25,1))-1)+ArtifactsInput!$L$27)</f>
        <v/>
      </c>
      <c r="AC53">
        <f>(Summary!$B$3+(IF(ArtifactsInput!$M$27,-1,1)*Summary!$B$3*(((1-Summary!$B$11)*IFERROR(B2228/Summary!$B$24,1)+Summary!$B$11*IFERROR(B2229/Summary!$B$25,1))-1)+ArtifactsInput!$L$27))/Summary!$B$3*100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(IF(ArtifactsInput!$M$28,-1,1)*Summary!$B$3*(((1-Summary!$B$11)*IFERROR(B2274/Summary!$B$24,1)+Summary!$B$11*IFERROR(B2275/Summary!$B$25,1))-1)+ArtifactsInput!$L$28)</f>
        <v/>
      </c>
      <c r="AC54">
        <f>(Summary!$B$3+(IF(ArtifactsInput!$M$28,-1,1)*Summary!$B$3*(((1-Summary!$B$11)*IFERROR(B2274/Summary!$B$24,1)+Summary!$B$11*IFERROR(B2275/Summary!$B$25,1))-1)+ArtifactsInput!$L$28))/Summary!$B$3*100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(IF(ArtifactsInput!$M$29,-1,1)*Summary!$B$3*(((1-Summary!$B$11)*IFERROR(B2320/Summary!$B$24,1)+Summary!$B$11*IFERROR(B2321/Summary!$B$25,1))-1)+ArtifactsInput!$L$29)</f>
        <v/>
      </c>
      <c r="AC55">
        <f>(Summary!$B$3+(IF(ArtifactsInput!$M$29,-1,1)*Summary!$B$3*(((1-Summary!$B$11)*IFERROR(B2320/Summary!$B$24,1)+Summary!$B$11*IFERROR(B2321/Summary!$B$25,1))-1)+ArtifactsInput!$L$29))/Summary!$B$3*100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(IF(ArtifactsInput!$M$30,-1,1)*Summary!$B$3*(((1-Summary!$B$11)*IFERROR(B2366/Summary!$B$24,1)+Summary!$B$11*IFERROR(B2367/Summary!$B$25,1))-1)+ArtifactsInput!$L$30)</f>
        <v/>
      </c>
      <c r="AC56">
        <f>(Summary!$B$3+(IF(ArtifactsInput!$M$30,-1,1)*Summary!$B$3*(((1-Summary!$B$11)*IFERROR(B2366/Summary!$B$24,1)+Summary!$B$11*IFERROR(B2367/Summary!$B$25,1))-1)+ArtifactsInput!$L$30))/Summary!$B$3*100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(IF(ArtifactsInput!$M$31,-1,1)*Summary!$B$3*(((1-Summary!$B$11)*IFERROR(B2412/Summary!$B$24,1)+Summary!$B$11*IFERROR(B2413/Summary!$B$25,1))-1)+ArtifactsInput!$L$31)</f>
        <v/>
      </c>
      <c r="AC57">
        <f>(Summary!$B$3+(IF(ArtifactsInput!$M$31,-1,1)*Summary!$B$3*(((1-Summary!$B$11)*IFERROR(B2412/Summary!$B$24,1)+Summary!$B$11*IFERROR(B2413/Summary!$B$25,1))-1)+ArtifactsInput!$L$31))/Summary!$B$3*100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(IF(ArtifactsInput!$M$32,-1,1)*Summary!$B$3*(((1-Summary!$B$11)*IFERROR(B2458/Summary!$B$24,1)+Summary!$B$11*IFERROR(B2459/Summary!$B$25,1))-1)+ArtifactsInput!$L$32)</f>
        <v/>
      </c>
      <c r="AC58">
        <f>(Summary!$B$3+(IF(ArtifactsInput!$M$32,-1,1)*Summary!$B$3*(((1-Summary!$B$11)*IFERROR(B2458/Summary!$B$24,1)+Summary!$B$11*IFERROR(B2459/Summary!$B$25,1))-1)+ArtifactsInput!$L$32))/Summary!$B$3*100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(IF(ArtifactsInput!$M$33,-1,1)*Summary!$B$3*(((1-Summary!$B$11)*IFERROR(B2504/Summary!$B$24,1)+Summary!$B$11*IFERROR(B2505/Summary!$B$25,1))-1)+ArtifactsInput!$L$33)</f>
        <v/>
      </c>
      <c r="AC59">
        <f>(Summary!$B$3+(IF(ArtifactsInput!$M$33,-1,1)*Summary!$B$3*(((1-Summary!$B$11)*IFERROR(B2504/Summary!$B$24,1)+Summary!$B$11*IFERROR(B2505/Summary!$B$25,1))-1)+ArtifactsInput!$L$33))/Summary!$B$3*100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(IF(ArtifactsInput!$M$34,-1,1)*Summary!$B$3*(((1-Summary!$B$11)*IFERROR(B2550/Summary!$B$24,1)+Summary!$B$11*IFERROR(B2551/Summary!$B$25,1))-1)+ArtifactsInput!$L$34)</f>
        <v/>
      </c>
      <c r="AC60">
        <f>(Summary!$B$3+(IF(ArtifactsInput!$M$34,-1,1)*Summary!$B$3*(((1-Summary!$B$11)*IFERROR(B2550/Summary!$B$24,1)+Summary!$B$11*IFERROR(B2551/Summary!$B$25,1))-1)+ArtifactsInput!$L$34))/Summary!$B$3*100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(IF(ArtifactsInput!$M$35,-1,1)*Summary!$B$3*(((1-Summary!$B$11)*IFERROR(B2596/Summary!$B$24,1)+Summary!$B$11*IFERROR(B2597/Summary!$B$25,1))-1)+ArtifactsInput!$L$35)</f>
        <v/>
      </c>
      <c r="AC61">
        <f>(Summary!$B$3+(IF(ArtifactsInput!$M$35,-1,1)*Summary!$B$3*(((1-Summary!$B$11)*IFERROR(B2596/Summary!$B$24,1)+Summary!$B$11*IFERROR(B2597/Summary!$B$25,1))-1)+ArtifactsInput!$L$35))/Summary!$B$3*100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(IF(ArtifactsInput!$M$36,-1,1)*Summary!$B$3*(((1-Summary!$B$11)*IFERROR(B2642/Summary!$B$24,1)+Summary!$B$11*IFERROR(B2643/Summary!$B$25,1))-1)+ArtifactsInput!$L$36)</f>
        <v/>
      </c>
      <c r="AC62">
        <f>(Summary!$B$3+(IF(ArtifactsInput!$M$36,-1,1)*Summary!$B$3*(((1-Summary!$B$11)*IFERROR(B2642/Summary!$B$24,1)+Summary!$B$11*IFERROR(B2643/Summary!$B$25,1))-1)+ArtifactsInput!$L$36))/Summary!$B$3*100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(IF(ArtifactsInput!$M$37,-1,1)*Summary!$B$3*(((1-Summary!$B$11)*IFERROR(B2688/Summary!$B$24,1)+Summary!$B$11*IFERROR(B2689/Summary!$B$25,1))-1)+ArtifactsInput!$L$37)</f>
        <v/>
      </c>
      <c r="AC63">
        <f>(Summary!$B$3+(IF(ArtifactsInput!$M$37,-1,1)*Summary!$B$3*(((1-Summary!$B$11)*IFERROR(B2688/Summary!$B$24,1)+Summary!$B$11*IFERROR(B2689/Summary!$B$25,1))-1)+ArtifactsInput!$L$37))/Summary!$B$3*100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(IF(ArtifactsInput!$M$38,-1,1)*Summary!$B$3*(((1-Summary!$B$11)*IFERROR(B2734/Summary!$B$24,1)+Summary!$B$11*IFERROR(B2735/Summary!$B$25,1))-1)+ArtifactsInput!$L$38)</f>
        <v/>
      </c>
      <c r="AC64">
        <f>(Summary!$B$3+(IF(ArtifactsInput!$M$38,-1,1)*Summary!$B$3*(((1-Summary!$B$11)*IFERROR(B2734/Summary!$B$24,1)+Summary!$B$11*IFERROR(B2735/Summary!$B$25,1))-1)+ArtifactsInput!$L$38))/Summary!$B$3*100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(IF(ArtifactsInput!$M$39,-1,1)*Summary!$B$3*(((1-Summary!$B$11)*IFERROR(B2780/Summary!$B$24,1)+Summary!$B$11*IFERROR(B2781/Summary!$B$25,1))-1)+ArtifactsInput!$L$39)</f>
        <v/>
      </c>
      <c r="AC65">
        <f>(Summary!$B$3+(IF(ArtifactsInput!$M$39,-1,1)*Summary!$B$3*(((1-Summary!$B$11)*IFERROR(B2780/Summary!$B$24,1)+Summary!$B$11*IFERROR(B2781/Summary!$B$25,1))-1)+ArtifactsInput!$L$39))/Summary!$B$3*100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(IF(ArtifactsInput!$M$40,-1,1)*Summary!$B$3*(((1-Summary!$B$11)*IFERROR(B2826/Summary!$B$24,1)+Summary!$B$11*IFERROR(B2827/Summary!$B$25,1))-1)+ArtifactsInput!$L$40)</f>
        <v/>
      </c>
      <c r="AC66">
        <f>(Summary!$B$3+(IF(ArtifactsInput!$M$40,-1,1)*Summary!$B$3*(((1-Summary!$B$11)*IFERROR(B2826/Summary!$B$24,1)+Summary!$B$11*IFERROR(B2827/Summary!$B$25,1))-1)+ArtifactsInput!$L$40))/Summary!$B$3*100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(IF(ArtifactsInput!$M$41,-1,1)*Summary!$B$3*(((1-Summary!$B$11)*IFERROR(B2872/Summary!$B$24,1)+Summary!$B$11*IFERROR(B2873/Summary!$B$25,1))-1)+ArtifactsInput!$L$41)</f>
        <v/>
      </c>
      <c r="AC67">
        <f>(Summary!$B$3+(IF(ArtifactsInput!$M$41,-1,1)*Summary!$B$3*(((1-Summary!$B$11)*IFERROR(B2872/Summary!$B$24,1)+Summary!$B$11*IFERROR(B2873/Summary!$B$25,1))-1)+ArtifactsInput!$L$41))/Summary!$B$3*100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(IF(ArtifactsInput!$M$42,-1,1)*Summary!$B$3*(((1-Summary!$B$11)*IFERROR(B2918/Summary!$B$24,1)+Summary!$B$11*IFERROR(B2919/Summary!$B$25,1))-1)+ArtifactsInput!$L$42)</f>
        <v/>
      </c>
      <c r="AC68">
        <f>(Summary!$B$3+(IF(ArtifactsInput!$M$42,-1,1)*Summary!$B$3*(((1-Summary!$B$11)*IFERROR(B2918/Summary!$B$24,1)+Summary!$B$11*IFERROR(B2919/Summary!$B$25,1))-1)+ArtifactsInput!$L$42))/Summary!$B$3*100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95=TRUE)*(F95-Calc!F24)),(Inputs!$B$23+((C100=TRUE)*(F100-Calc!F29))+(IF(ArtifactsInput!$M$15,CHOOSE(ArtifactsInput!$N$15+1,25,30,35,40,45,50)/100*(Inputs!$B$11-Inputs!$B$11),0))))/100+(Inputs!$B$23+((C100=TRUE)*(F100-Calc!F29))+(IF(ArtifactsInput!$M$15,CHOOSE(ArtifactsInput!$N$15+1,25,30,35,40,45,50)/100*(Inputs!$B$11-Inputs!$B$11),0)))/100)/2</f>
        <v/>
      </c>
      <c r="M73">
        <f>L73*(1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IF(B114=0,0,O73/B114)</f>
        <v/>
      </c>
      <c r="Q73" t="n">
        <v>0</v>
      </c>
      <c r="R73" t="n">
        <v>0</v>
      </c>
      <c r="S73">
        <f>IFERROR(O73/N73,0)</f>
        <v/>
      </c>
      <c r="T73">
        <f>IF(C73,(Skills!G2*N73*B108)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73*(1-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IF(C73,(Skills!G2*N73*B108)*IF(Inputs!$B$38="pvp",1,(1+(Inputs!$B$21+Skills!Q2+(IF(ArtifactsInput!$M$33,CHOOSE(ArtifactsInput!$N$33+1,30,36,42,48,54,60),0))+(IF(AND(ArtifactsInput!$M$35,Inputs!$B$4&lt;&gt;"Chapter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TRUE,F81,0)/100)*(1+(IF(Skills!A5="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95=TRUE)*(F95-Calc!F24)),(Inputs!$B$23+((C100=TRUE)*(F100-Calc!F29))+(IF(ArtifactsInput!$M$15,CHOOSE(ArtifactsInput!$N$15+1,25,30,35,40,45,50)/100*(Inputs!$B$11-Inputs!$B$11),0))))/100+(Inputs!$B$23+((C100=TRUE)*(F100-Calc!F29))+(IF(ArtifactsInput!$M$15,CHOOSE(ArtifactsInput!$N$15+1,25,30,35,40,45,50)/100*(Inputs!$B$11-Inputs!$B$11),0)))/100)/2</f>
        <v/>
      </c>
      <c r="M76">
        <f>L76*(1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IF(B114=0,0,O76/B114)</f>
        <v/>
      </c>
      <c r="Q76">
        <f>IFERROR(1/(IF(Inputs!$B$38="pvp",15,MAX(0.1,Skills!D5-IF(Skills!E5=TRUE,Inputs!$B$32,0)))*(1-IF(AND(ArtifactsInput!$M$27,Inputs!$B$4="Chapter Hunt"),CHOOSE(ArtifactsInput!$N$27+1,20,24,28,32,36,40),0)/100)),0)</f>
        <v/>
      </c>
      <c r="R76">
        <f>IF(AND(Inputs!$B$38&lt;&gt;"pvp",Inputs!$B$43&gt;0),IF(MAX(0,Inputs!$B$43-B111)&lt;=0,0,(INT(MAX(0,Inputs!$B$43-B111)/(IF(Inputs!$B$38="pvp",15,MAX(0.1,Skills!D5-IF(Skills!E5=TRUE,Inputs!$B$32,0)))*(1-IF(AND(ArtifactsInput!$M$27,Inputs!$B$4="Chapter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111)-((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76*(1-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111)-((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95=TRUE)*(F95-Calc!F24)),(Inputs!$B$23+((C100=TRUE)*(F100-Calc!F29))+(IF(ArtifactsInput!$M$15,CHOOSE(ArtifactsInput!$N$15+1,25,30,35,40,45,50)/100*(Inputs!$B$11-Inputs!$B$11),0))))/100+(Inputs!$B$23+((C100=TRUE)*(F100-Calc!F29))+(IF(ArtifactsInput!$M$15,CHOOSE(ArtifactsInput!$N$15+1,25,30,35,40,45,50)/100*(Inputs!$B$11-Inputs!$B$11),0)))/100)/2</f>
        <v/>
      </c>
      <c r="M77">
        <f>L77*(1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IF(B114=0,0,O77/B114)</f>
        <v/>
      </c>
      <c r="Q77">
        <f>IFERROR(1/(IF(Inputs!$B$38="pvp",15,MAX(0.1,Skills!D6-IF(Skills!E6=TRUE,Inputs!$B$32,0)))*(1-IF(AND(ArtifactsInput!$M$27,Inputs!$B$4="Chapter Hunt"),CHOOSE(ArtifactsInput!$N$27+1,20,24,28,32,36,40),0)/100)),0)</f>
        <v/>
      </c>
      <c r="R77">
        <f>IF(AND(Inputs!$B$38&lt;&gt;"pvp",Inputs!$B$43&gt;0),IF(MAX(0,Inputs!$B$43-B111)&lt;=0,0,(INT(MAX(0,Inputs!$B$43-B111)/(IF(Inputs!$B$38="pvp",15,MAX(0.1,Skills!D6-IF(Skills!E6=TRUE,Inputs!$B$32,0)))*(1-IF(AND(ArtifactsInput!$M$27,Inputs!$B$4="Chapter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111)-((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77*(1-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111)-((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81=TRUE,F81,0)/100)*(1+(IF(Skills!A8="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95=TRUE)*(F95-Calc!F24)),(Inputs!$B$23+((C100=TRUE)*(F100-Calc!F29))+(IF(ArtifactsInput!$M$15,CHOOSE(ArtifactsInput!$N$15+1,25,30,35,40,45,50)/100*(Inputs!$B$11-Inputs!$B$11),0))))/100+(Inputs!$B$23+((C100=TRUE)*(F100-Calc!F29))+(IF(ArtifactsInput!$M$15,CHOOSE(ArtifactsInput!$N$15+1,25,30,35,40,45,50)/100*(Inputs!$B$11-Inputs!$B$11),0)))/100)/2</f>
        <v/>
      </c>
      <c r="M79">
        <f>L79*(1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IF(B114=0,0,O79/B114)</f>
        <v/>
      </c>
      <c r="Q79">
        <f>IFERROR(1/(IF(Inputs!$B$38="pvp",15,MAX(0.1,Skills!D8-IF(Skills!E8=TRUE,Inputs!$B$32,0)))*(1-IF(AND(ArtifactsInput!$M$27,Inputs!$B$4="Chapter Hunt"),CHOOSE(ArtifactsInput!$N$27+1,20,24,28,32,36,40),0)/100)),0)</f>
        <v/>
      </c>
      <c r="R79">
        <f>IF(AND(Inputs!$B$38&lt;&gt;"pvp",Inputs!$B$43&gt;0),IF(MAX(0,Inputs!$B$43-B111)&lt;=0,0,(INT(MAX(0,Inputs!$B$43-B111)/(IF(Inputs!$B$38="pvp",15,MAX(0.1,Skills!D8-IF(Skills!E8=TRUE,Inputs!$B$32,0)))*(1-IF(AND(ArtifactsInput!$M$27,Inputs!$B$4="Chapter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111)-((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79*(1-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111)-((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TRUE,F81,0)/100)*(1+(IF(Skills!A9="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95=TRUE)*(F95-Calc!F24)),(Inputs!$B$23+((C100=TRUE)*(F100-Calc!F29))+(IF(ArtifactsInput!$M$15,CHOOSE(ArtifactsInput!$N$15+1,25,30,35,40,45,50)/100*(Inputs!$B$11-Inputs!$B$11),0))))/100+(Inputs!$B$23+((C100=TRUE)*(F100-Calc!F29))+(IF(ArtifactsInput!$M$15,CHOOSE(ArtifactsInput!$N$15+1,25,30,35,40,45,50)/100*(Inputs!$B$11-Inputs!$B$11),0)))/100)/2</f>
        <v/>
      </c>
      <c r="M80">
        <f>L80*(1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IF(B114=0,0,O80/B114)</f>
        <v/>
      </c>
      <c r="Q80">
        <f>IFERROR(1/(IF(Inputs!$B$38="pvp",15,MAX(0.1,Skills!D9-IF(Skills!E9=TRUE,Inputs!$B$32,0)))*(1-IF(AND(ArtifactsInput!$M$27,Inputs!$B$4="Chapter Hunt"),CHOOSE(ArtifactsInput!$N$27+1,20,24,28,32,36,40),0)/100)),0)</f>
        <v/>
      </c>
      <c r="R80">
        <f>IF(AND(Inputs!$B$38&lt;&gt;"pvp",Inputs!$B$43&gt;0),IF(MAX(0,Inputs!$B$43-B111)&lt;=0,0,(INT(MAX(0,Inputs!$B$43-B111)/(IF(Inputs!$B$38="pvp",15,MAX(0.1,Skills!D9-IF(Skills!E9=TRUE,Inputs!$B$32,0)))*(1-IF(AND(ArtifactsInput!$M$27,Inputs!$B$4="Chapter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111)-((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80*(1-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111)-((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Inputs!$B$3&gt;=100</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t="inlineStr"/>
      <c r="H81" t="inlineStr"/>
      <c r="I81" t="inlineStr">
        <is>
          <t>1</t>
        </is>
      </c>
      <c r="J81" t="inlineStr"/>
      <c r="K81" t="inlineStr"/>
      <c r="L81" t="inlineStr"/>
      <c r="M81" t="inlineStr"/>
      <c r="N81" t="inlineStr"/>
      <c r="O81" t="inlineStr"/>
      <c r="P81" t="inlineStr"/>
      <c r="Q81" t="inlineStr"/>
      <c r="R81" t="inlineStr"/>
      <c r="S81" t="inlineStr"/>
      <c r="T81" t="inlineStr"/>
      <c r="V81" t="inlineStr"/>
    </row>
    <row r="82">
      <c r="A82">
        <f>Skills!A11</f>
        <v/>
      </c>
      <c r="B82">
        <f>Skills!B11</f>
        <v/>
      </c>
      <c r="C82">
        <f>Inputs!$B$3&gt;=60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TRUE,F83,0)/100)*(1+(IF(Skills!A11="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95=TRUE)*(F95-Calc!F24)),(Inputs!$B$23+((C100=TRUE)*(F100-Calc!F29))+(IF(ArtifactsInput!$M$15,CHOOSE(ArtifactsInput!$N$15+1,25,30,35,40,45,50)/100*(Inputs!$B$11-Inputs!$B$11),0))))/100+(Inputs!$B$23+((C100=TRUE)*(F100-Calc!F29))+(IF(ArtifactsInput!$M$15,CHOOSE(ArtifactsInput!$N$15+1,25,30,35,40,45,50)/100*(Inputs!$B$11-Inputs!$B$11),0)))/100)/2</f>
        <v/>
      </c>
      <c r="M82">
        <f>L82*(1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IF(B114=0,0,O82/B114)</f>
        <v/>
      </c>
      <c r="Q82">
        <f>IFERROR(1/(IF(Inputs!$B$38="pvp",15,MAX(0.1,Skills!D11-IF(Skills!E11=TRUE,Inputs!$B$32,0)))*(1-IF(AND(ArtifactsInput!$M$27,Inputs!$B$4="Chapter Hunt"),CHOOSE(ArtifactsInput!$N$27+1,20,24,28,32,36,40),0)/100)),0)</f>
        <v/>
      </c>
      <c r="R82">
        <f>IF(AND(Inputs!$B$38&lt;&gt;"pvp",Inputs!$B$43&gt;0),IF(MAX(0,Inputs!$B$43-B111)&lt;=0,0,(INT(MAX(0,Inputs!$B$43-B111)/(IF(Inputs!$B$38="pvp",15,MAX(0.1,Skills!D11-IF(Skills!E11=TRUE,Inputs!$B$32,0)))*(1-IF(AND(ArtifactsInput!$M$27,Inputs!$B$4="Chapter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111)-((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82*(1-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111)-((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IF(B114=0,0,O84/B114)</f>
        <v/>
      </c>
      <c r="Q84" t="n">
        <v>0</v>
      </c>
      <c r="R84" t="n">
        <v>0</v>
      </c>
      <c r="S84">
        <f>IFERROR(O84/N84,0)</f>
        <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IF(B114=0,0,O85/B114)</f>
        <v/>
      </c>
      <c r="Q85" t="n">
        <v>0</v>
      </c>
      <c r="R85" t="n">
        <v>0</v>
      </c>
      <c r="S85">
        <f>IFERROR(O85/N85,0)</f>
        <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IF(B114=0,0,O86/B114)</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IF(B114=0,0,O87/B114)</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IF(B114=0,0,O88/B114)</f>
        <v/>
      </c>
      <c r="Q88" t="n">
        <v>0</v>
      </c>
      <c r="R88" t="n">
        <v>0</v>
      </c>
      <c r="S88">
        <f>IFERROR(O88/N88,0)</f>
        <v/>
      </c>
      <c r="T88" t="n">
        <v>0</v>
      </c>
      <c r="V88" t="n">
        <v>0</v>
      </c>
    </row>
    <row r="89">
      <c r="A89">
        <f>Skills!A18</f>
        <v/>
      </c>
      <c r="B89">
        <f>Skills!B18</f>
        <v/>
      </c>
      <c r="C89">
        <f>Inputs!$B$3&gt;=72</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IF(B114=0,0,O89/B114)</f>
        <v/>
      </c>
      <c r="Q89" t="n">
        <v>0</v>
      </c>
      <c r="R89" t="n">
        <v>0</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IF(B114=0,0,O90/B114)</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Inputs!$B$3&gt;=15</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IF(B114=0,0,O91/B114)</f>
        <v/>
      </c>
      <c r="Q91" t="n">
        <v>0</v>
      </c>
      <c r="R91" t="n">
        <v>0</v>
      </c>
      <c r="S91">
        <f>IFERROR(O91/N91,0)</f>
        <v/>
      </c>
      <c r="T91" t="n">
        <v>0</v>
      </c>
      <c r="V91" t="n">
        <v>0</v>
      </c>
    </row>
    <row r="92">
      <c r="A92">
        <f>Skills!A21</f>
        <v/>
      </c>
      <c r="B92">
        <f>Skills!B21</f>
        <v/>
      </c>
      <c r="C92">
        <f>Inputs!$B$3&gt;=10</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IF(B114=0,0,O92/B114)</f>
        <v/>
      </c>
      <c r="Q92" t="n">
        <v>0</v>
      </c>
      <c r="R92" t="n">
        <v>0</v>
      </c>
      <c r="S92">
        <f>IFERROR(O92/N92,0)</f>
        <v/>
      </c>
      <c r="T92" t="n">
        <v>0</v>
      </c>
      <c r="V92" t="n">
        <v>0</v>
      </c>
    </row>
    <row r="93">
      <c r="A93">
        <f>Skills!A22</f>
        <v/>
      </c>
      <c r="B93">
        <f>Skills!B22</f>
        <v/>
      </c>
      <c r="C93">
        <f>Inputs!$B$3&gt;=33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IF(B114=0,0,O93/B114)</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IF(B114=0,0,O94/B114)</f>
        <v/>
      </c>
      <c r="Q94" t="n">
        <v>0</v>
      </c>
      <c r="R94" t="n">
        <v>0</v>
      </c>
      <c r="S94">
        <f>IFERROR(O94/N94,0)</f>
        <v/>
      </c>
      <c r="T94" t="n">
        <v>0</v>
      </c>
      <c r="V94" t="n">
        <v>0</v>
      </c>
    </row>
    <row r="95">
      <c r="A95">
        <f>Skills!A24</f>
        <v/>
      </c>
      <c r="B95">
        <f>Skills!B24</f>
        <v/>
      </c>
      <c r="C95">
        <f>Inputs!$B$3&gt;=43</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IF(B114=0,0,O95/B114)</f>
        <v/>
      </c>
      <c r="Q95" t="n">
        <v>0</v>
      </c>
      <c r="R95" t="n">
        <v>0</v>
      </c>
      <c r="S95">
        <f>IFERROR(O95/N95,0)</f>
        <v/>
      </c>
      <c r="T95" t="n">
        <v>0</v>
      </c>
      <c r="V95" t="n">
        <v>0</v>
      </c>
    </row>
    <row r="96">
      <c r="A96">
        <f>Skills!A25</f>
        <v/>
      </c>
      <c r="B96">
        <f>Skills!B25</f>
        <v/>
      </c>
      <c r="C96">
        <f>Inputs!$B$3&gt;=75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IF(B114=0,0,O96/B114)</f>
        <v/>
      </c>
      <c r="Q96" t="n">
        <v>0</v>
      </c>
      <c r="R96" t="n">
        <v>0</v>
      </c>
      <c r="S96">
        <f>IFERROR(O96/N96,0)</f>
        <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IF(B114=0,0,O97/B114)</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IF(B114=0,0,O98/B114)</f>
        <v/>
      </c>
      <c r="Q98" t="n">
        <v>0</v>
      </c>
      <c r="R98" t="n">
        <v>0</v>
      </c>
      <c r="S98">
        <f>IFERROR(O98/N98,0)</f>
        <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IF(B114=0,0,O99/B114)</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IF(B114=0,0,O100/B114)</f>
        <v/>
      </c>
      <c r="Q100" t="n">
        <v>0</v>
      </c>
      <c r="R100" t="n">
        <v>0</v>
      </c>
      <c r="S100">
        <f>IFERROR(O100/N100,0)</f>
        <v/>
      </c>
      <c r="T100" t="n">
        <v>0</v>
      </c>
      <c r="V100" t="n">
        <v>0</v>
      </c>
    </row>
    <row r="101">
      <c r="A101">
        <f>Skills!A30</f>
        <v/>
      </c>
      <c r="B101">
        <f>Skills!B30</f>
        <v/>
      </c>
      <c r="C101">
        <f>Inputs!$B$3&gt;=45</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IF(B114=0,0,O101/B114)</f>
        <v/>
      </c>
      <c r="Q101" t="n">
        <v>0</v>
      </c>
      <c r="R101" t="n">
        <v>0</v>
      </c>
      <c r="S101">
        <f>IFERROR(O101/N101,0)</f>
        <v/>
      </c>
      <c r="T101" t="n">
        <v>0</v>
      </c>
      <c r="V101" t="n">
        <v>0</v>
      </c>
    </row>
    <row r="103">
      <c r="A103" t="inlineStr">
        <is>
          <t>Attack% Bucket Multiplier</t>
        </is>
      </c>
      <c r="B103">
        <f>(1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
      <c r="A104" t="inlineStr">
        <is>
          <t>Global Crit Rate Bonus %</t>
        </is>
      </c>
      <c r="B104">
        <f>(C87=TRUE)*20*IF(AND(Inputs!$B$38&lt;&gt;"pvp",Inputs!$B$43&gt;0),(((R87-1)*(Skills!T16*(1+Inputs!$B$34/100))+MIN((Skills!T16*(1+Inputs!$B$34/100)),MAX(0,Inputs!$B$43-((R87-1)*Skills!D16))))/Inputs!$B$43),IF(Inputs!$B$38="pvp",MIN((Skills!T16*(1+Inputs!$B$34/100)),15)/15,(Skills!T16*(1+Inputs!$B$34/100))/Skills!D16))</f>
        <v/>
      </c>
    </row>
    <row r="105">
      <c r="A105" t="inlineStr">
        <is>
          <t>Attack Speed Buff Bonus %</t>
        </is>
      </c>
      <c r="B105">
        <f>((C90=TRUE)*F90*IF(AND(Inputs!$B$38&lt;&gt;"pvp",Inputs!$B$43&gt;0),(((R90-1)*(Skills!T19*(1+Inputs!$B$34/100))+MIN((Skills!T19*(1+Inputs!$B$34/100)),MAX(0,Inputs!$B$43-((R90-1)*Skills!D19))))/Inputs!$B$43),IF(Inputs!$B$38="pvp",MIN((Skills!T19*(1+Inputs!$B$34/100)),15)/15,(Skills!T19*(1+Inputs!$B$34/100))/Skills!D19)))</f>
        <v/>
      </c>
    </row>
    <row r="106">
      <c r="A106" t="inlineStr">
        <is>
          <t>Actions Per Second</t>
        </is>
      </c>
      <c r="B106">
        <f>1+MIN(150,150*(1-(1-(Inputs!$B$11+((C92=TRUE)*(F92-Calc!F21))+((C93=TRUE)*(F93-Calc!F22)))/150)*(1-B105/150)))/100</f>
        <v/>
      </c>
    </row>
    <row r="107">
      <c r="A107" t="inlineStr">
        <is>
          <t>Skill + Buff Cast Rate</t>
        </is>
      </c>
      <c r="B107">
        <f>IF(AND(Inputs!$B$38&lt;&gt;"pvp",Inputs!$B$43&gt;0),SUMPRODUCT((Skills!E2:E30=TRUE)*(C73:C101=TRUE)*R73:R101*Skills!F2:F30)/Inputs!$B$43,SUMPRODUCT((Skills!E2:E30=TRUE)*(C73:C101=TRUE)*Q73:Q101*Skills!F2:F30))</f>
        <v/>
      </c>
    </row>
    <row r="108">
      <c r="A108" t="inlineStr">
        <is>
          <t>Arrow Stream Casts Per Second</t>
        </is>
      </c>
      <c r="B108">
        <f>MAX(0,B106-B107)</f>
        <v/>
      </c>
    </row>
    <row r="109">
      <c r="A109" t="inlineStr">
        <is>
          <t>Global Critical Damage Bonus % (Sharp Eyes + Concentration)</t>
        </is>
      </c>
      <c r="B109">
        <f>(C87=TRUE)*F87*IF(AND(Inputs!$B$38&lt;&gt;"pvp",Inputs!$B$43&gt;0),(((R87-1)*(Skills!T16*(1+Inputs!$B$34/100))+MIN((Skills!T16*(1+Inputs!$B$34/100)),MAX(0,Inputs!$B$43-((R87-1)*Skills!D16))))/Inputs!$B$43),IF(Inputs!$B$38="pvp",MIN((Skills!T16*(1+Inputs!$B$34/100)),15)/15,(Skills!T16*(1+Inputs!$B$34/100))/Skills!D16))+(C88=TRUE)*30</f>
        <v/>
      </c>
    </row>
    <row r="110">
      <c r="A110" t="inlineStr">
        <is>
          <t>Global Final Damage Bonus % (Mortal Blow)</t>
        </is>
      </c>
      <c r="B110">
        <f>(C89=TRUE)*F89</f>
        <v/>
      </c>
    </row>
    <row r="111">
      <c r="A111" t="inlineStr">
        <is>
          <t>Buff-Casting Startup Delay (s, fixed-duration only)</t>
        </is>
      </c>
      <c r="B111">
        <f>IF(AND(Inputs!$B$38&lt;&gt;"pvp",Inputs!$B$43&gt;0),SUMPRODUCT((Skills!T2:T30&gt;0)*(Skills!E2:E30=TRUE)*(C73:C101=TRUE))/B106,0)</f>
        <v/>
      </c>
    </row>
    <row r="112">
      <c r="A112" t="inlineStr">
        <is>
          <t>Boss-Only Total DPS (this block's swept value)</t>
        </is>
      </c>
      <c r="B112">
        <f>SUM(T73:T101)</f>
        <v/>
      </c>
    </row>
    <row r="113">
      <c r="A113" t="inlineStr">
        <is>
          <t>Normal-Only Total DPS (this block's swept value)</t>
        </is>
      </c>
      <c r="B113">
        <f>SUM(V73:V101)</f>
        <v/>
      </c>
    </row>
    <row r="114">
      <c r="A114" s="6" t="inlineStr">
        <is>
          <t>TOTAL DPS</t>
        </is>
      </c>
      <c r="B114" s="6">
        <f>SUM(O73:O101)</f>
        <v/>
      </c>
    </row>
    <row r="117">
      <c r="A117" s="6" t="inlineStr">
        <is>
          <t>Stat: DEX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Q118" s="5" t="inlineStr">
        <is>
          <t>InvCooldown</t>
        </is>
      </c>
      <c r="R118" s="5" t="inlineStr">
        <is>
          <t>CastsInFight</t>
        </is>
      </c>
      <c r="S118" s="5" t="inlineStr">
        <is>
          <t>HitRate(perSec)</t>
        </is>
      </c>
      <c r="U118" t="inlineStr">
        <is>
          <t>helpers</t>
        </is>
      </c>
    </row>
    <row r="119">
      <c r="A119">
        <f>Skills!A2</f>
        <v/>
      </c>
      <c r="B119">
        <f>Skills!B2</f>
        <v/>
      </c>
      <c r="C119">
        <f>Inputs!$B$3&gt;=100</f>
        <v/>
      </c>
      <c r="D119" t="inlineStr"/>
      <c r="E119" t="inlineStr"/>
      <c r="F119">
        <f>U121+Skills!O2</f>
        <v/>
      </c>
      <c r="G119">
        <f>Skills!G2*IF(Skills!H2&gt;0,Skills!I2/Skills!H2,1)</f>
        <v/>
      </c>
      <c r="H119">
        <f>1-(1-Skills!J2/100)^Skills!K2</f>
        <v/>
      </c>
      <c r="I119" t="inlineStr">
        <is>
          <t>1</t>
        </is>
      </c>
      <c r="J119">
        <f>((Inputs!$B$6*(1+Inputs!$B$7/100))+(((Inputs!$B$12*(1+(Inputs!$B$13+1)/100))-(Inputs!$B$12*(1+Inputs!$B$13/100)))+0.25*(Inputs!$B$14-Inputs!$B$14))*(1+Inputs!$B$7/100))*(F119/100)</f>
        <v/>
      </c>
      <c r="K119">
        <f>J119*(1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141=TRUE)*(F141-Calc!F24)),(Inputs!$B$23+((C146=TRUE)*(F146-Calc!F29))+(IF(ArtifactsInput!$M$15,CHOOSE(ArtifactsInput!$N$15+1,25,30,35,40,45,50)/100*(Inputs!$B$11-Inputs!$B$11),0))))/100+(Inputs!$B$23+((C146=TRUE)*(F146-Calc!F29))+(IF(ArtifactsInput!$M$15,CHOOSE(ArtifactsInput!$N$15+1,25,30,35,40,45,50)/100*(Inputs!$B$11-Inputs!$B$11),0)))/100)/2</f>
        <v/>
      </c>
      <c r="M119">
        <f>L119*(1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IF(B160=0,0,O119/B160)</f>
        <v/>
      </c>
      <c r="Q119" t="n">
        <v>0</v>
      </c>
      <c r="R119" t="n">
        <v>0</v>
      </c>
      <c r="S119">
        <f>IFERROR(O119/N119,0)</f>
        <v/>
      </c>
      <c r="T119">
        <f>IF(C119,(Skills!G2*N119*B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119*(1-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MAX(0,(Inputs!$B$3-100)*3)+Inputs!$B$28+Inputs!$B$29</f>
        <v/>
      </c>
      <c r="V119">
        <f>IF(C119,(Skills!G2*N119*B154)*IF(Inputs!$B$38="pvp",1,(1+(Inputs!$B$21+Skills!Q2+(IF(ArtifactsInput!$M$33,CHOOSE(ArtifactsInput!$N$33+1,30,36,42,48,54,60),0))+(IF(AND(ArtifactsInput!$M$35,Inputs!$B$4&lt;&gt;"Chapter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Skills!A3</f>
        <v/>
      </c>
      <c r="B120">
        <f>Skills!B3</f>
        <v/>
      </c>
      <c r="C120">
        <f>Inputs!$B$3&gt;=50</f>
        <v/>
      </c>
      <c r="D120">
        <f>IF(Skills!C3=1,60+Inputs!$B$25+Inputs!$B$29,IF(Skills!C3=2,90+Inputs!$B$26+Inputs!$B$29,IF(Skills!C3=3,120+Inputs!$B$27+Inputs!$B$29,MAX(0,(Inputs!$B$3-100)*3)+Inputs!$B$28+Inputs!$B$29)))</f>
        <v/>
      </c>
      <c r="E120">
        <f>INDEX(FactorTable!$B$2:$Y$301, MATCH(ROUND(MIN(300,MAX(1,D120)),0), FactorTable!$A$2:$A$301,0), Skills!M3+1)</f>
        <v/>
      </c>
      <c r="F120">
        <f>IF(Skills!N3=TRUE,(Skills!L3/10)*(E120/1000),Skills!L3/10)+Skills!O3</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INDEX(FactorTable!$B$2:$Y$301, MATCH(ROUND(MIN(300,MAX(1,U119)),0), FactorTable!$A$2:$A$301,0), 22)</f>
        <v/>
      </c>
      <c r="V120" t="inlineStr"/>
    </row>
    <row r="121">
      <c r="A121">
        <f>Skills!A4</f>
        <v/>
      </c>
      <c r="B121">
        <f>Skills!B4</f>
        <v/>
      </c>
      <c r="C121">
        <f>Inputs!$B$3&gt;=105</f>
        <v/>
      </c>
      <c r="D121">
        <f>IF(Skills!C4=1,60+Inputs!$B$25+Inputs!$B$29,IF(Skills!C4=2,90+Inputs!$B$26+Inputs!$B$29,IF(Skills!C4=3,120+Inputs!$B$27+Inputs!$B$29,MAX(0,(Inputs!$B$3-100)*3)+Inputs!$B$28+Inputs!$B$29)))</f>
        <v/>
      </c>
      <c r="E121">
        <f>INDEX(FactorTable!$B$2:$Y$301, MATCH(ROUND(MIN(300,MAX(1,D121)),0), FactorTable!$A$2:$A$301,0), Skills!M4+1)</f>
        <v/>
      </c>
      <c r="F121">
        <f>IF(Skills!N4=TRUE,(Skills!L4/10)*(E121/1000),Skills!L4/10)+Skills!O4</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U121">
        <f>290*U120/1000</f>
        <v/>
      </c>
      <c r="V121" t="inlineStr"/>
    </row>
    <row r="122">
      <c r="A122">
        <f>Skills!A5</f>
        <v/>
      </c>
      <c r="B122">
        <f>Skills!B5</f>
        <v/>
      </c>
      <c r="C122">
        <f>Inputs!$B$3&gt;=35</f>
        <v/>
      </c>
      <c r="D122">
        <f>IF(Skills!C5=1,60+Inputs!$B$25+Inputs!$B$29,IF(Skills!C5=2,90+Inputs!$B$26+Inputs!$B$29,IF(Skills!C5=3,120+Inputs!$B$27+Inputs!$B$29,MAX(0,(Inputs!$B$3-100)*3)+Inputs!$B$28+Inputs!$B$29)))</f>
        <v/>
      </c>
      <c r="E122">
        <f>INDEX(FactorTable!$B$2:$Y$301, MATCH(ROUND(MIN(300,MAX(1,D122)),0), FactorTable!$A$2:$A$301,0), Skills!M5+1)</f>
        <v/>
      </c>
      <c r="F122">
        <f>IF(Skills!N5=TRUE,(Skills!L5/10)*(E122/1000),Skills!L5/10)+Skills!O5</f>
        <v/>
      </c>
      <c r="G122">
        <f>Skills!G5*IF(Skills!H5&gt;0,Skills!I5/Skills!H5,1)</f>
        <v/>
      </c>
      <c r="H122">
        <f>1-(1-Skills!J5/100)^Skills!K5</f>
        <v/>
      </c>
      <c r="I122" t="inlineStr">
        <is>
          <t>1</t>
        </is>
      </c>
      <c r="J122">
        <f>((Inputs!$B$6*(1+Inputs!$B$7/100))+(((Inputs!$B$12*(1+(Inputs!$B$13+1)/100))-(Inputs!$B$12*(1+Inputs!$B$13/100)))+0.25*(Inputs!$B$14-Inputs!$B$14))*(1+Inputs!$B$7/100))*(F122/100)</f>
        <v/>
      </c>
      <c r="K122">
        <f>J122*(1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TRUE,F127,0)/100)*(1+(IF(Skills!A5="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141=TRUE)*(F141-Calc!F24)),(Inputs!$B$23+((C146=TRUE)*(F146-Calc!F29))+(IF(ArtifactsInput!$M$15,CHOOSE(ArtifactsInput!$N$15+1,25,30,35,40,45,50)/100*(Inputs!$B$11-Inputs!$B$11),0))))/100+(Inputs!$B$23+((C146=TRUE)*(F146-Calc!F29))+(IF(ArtifactsInput!$M$15,CHOOSE(ArtifactsInput!$N$15+1,25,30,35,40,45,50)/100*(Inputs!$B$11-Inputs!$B$11),0)))/100)/2</f>
        <v/>
      </c>
      <c r="M122">
        <f>L122*(1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IF(B160=0,0,O122/B160)</f>
        <v/>
      </c>
      <c r="Q122">
        <f>IFERROR(1/(IF(Inputs!$B$38="pvp",15,MAX(0.1,Skills!D5-IF(Skills!E5=TRUE,Inputs!$B$32,0)))*(1-IF(AND(ArtifactsInput!$M$27,Inputs!$B$4="Chapter Hunt"),CHOOSE(ArtifactsInput!$N$27+1,20,24,28,32,36,40),0)/100)),0)</f>
        <v/>
      </c>
      <c r="R122">
        <f>IF(AND(Inputs!$B$38&lt;&gt;"pvp",Inputs!$B$43&gt;0),IF(MAX(0,Inputs!$B$43-B157)&lt;=0,0,(INT(MAX(0,Inputs!$B$43-B157)/(IF(Inputs!$B$38="pvp",15,MAX(0.1,Skills!D5-IF(Skills!E5=TRUE,Inputs!$B$32,0)))*(1-IF(AND(ArtifactsInput!$M$27,Inputs!$B$4="Chapter Hunt"),CHOOSE(ArtifactsInput!$N$27+1,20,24,28,32,36,40),0)/100)))+1)),0)</f>
        <v/>
      </c>
      <c r="S122">
        <f>IFERROR(O122/N122,0)</f>
        <v/>
      </c>
      <c r="T122">
        <f>IF(C122,(H122*N122*IF(AND(Inputs!$B$38&lt;&gt;"pvp",Inputs!$B$43&gt;0),((Skills!G5*((R122-1)*IF(Skills!H5&gt;0,Skills!I5/Skills!H5,1)+IF(Skills!H5&gt;0,MIN(Skills!I5,MAX(0,MAX(0,Inputs!$B$43-B157)-((R122-1)*(IF(Inputs!$B$38="pvp",15,MAX(0.1,Skills!D5-IF(Skills!E5=TRUE,Inputs!$B$32,0)))*(1-IF(AND(ArtifactsInput!$M$27,Inputs!$B$4="Chapter Hunt"),CHOOSE(ArtifactsInput!$N$27+1,20,24,28,32,36,40),0)/100)))))/Skills!H5,1)))/Inputs!$B$43),G122*Q122)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122*(1-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5*((R122-1)*IF(Skills!H5&gt;0,Skills!I5/Skills!H5,1)+IF(Skills!H5&gt;0,MIN(Skills!I5,MAX(0,MAX(0,Inputs!$B$43-B157)-((R122-1)*(IF(Inputs!$B$38="pvp",15,MAX(0.1,Skills!D5-IF(Skills!E5=TRUE,Inputs!$B$32,0)))*(1-IF(AND(ArtifactsInput!$M$27,Inputs!$B$4="Chapter Hunt"),CHOOSE(ArtifactsInput!$N$27+1,20,24,28,32,36,40),0)/100)))))/Skills!H5,1)))/Inputs!$B$43),G122*Q122))*IF(Inputs!$B$38="pvp",1,(1+(Inputs!$B$21+Skills!Q5+(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Skills!A6</f>
        <v/>
      </c>
      <c r="B123">
        <f>Skills!B6</f>
        <v/>
      </c>
      <c r="C123">
        <f>Inputs!$B$3&gt;=40</f>
        <v/>
      </c>
      <c r="D123">
        <f>IF(Skills!C6=1,60+Inputs!$B$25+Inputs!$B$29,IF(Skills!C6=2,90+Inputs!$B$26+Inputs!$B$29,IF(Skills!C6=3,120+Inputs!$B$27+Inputs!$B$29,MAX(0,(Inputs!$B$3-100)*3)+Inputs!$B$28+Inputs!$B$29)))</f>
        <v/>
      </c>
      <c r="E123">
        <f>INDEX(FactorTable!$B$2:$Y$301, MATCH(ROUND(MIN(300,MAX(1,D123)),0), FactorTable!$A$2:$A$301,0), Skills!M6+1)</f>
        <v/>
      </c>
      <c r="F123">
        <f>IF(Skills!N6=TRUE,(Skills!L6/10)*(E123/1000),Skills!L6/10)+Skills!O6</f>
        <v/>
      </c>
      <c r="G123">
        <f>Skills!G6*IF(Skills!H6&gt;0,Skills!I6/Skills!H6,1)</f>
        <v/>
      </c>
      <c r="H123">
        <f>1-(1-Skills!J6/100)^Skills!K6</f>
        <v/>
      </c>
      <c r="I123" t="inlineStr">
        <is>
          <t>1</t>
        </is>
      </c>
      <c r="J123">
        <f>((Inputs!$B$6*(1+Inputs!$B$7/100))+(((Inputs!$B$12*(1+(Inputs!$B$13+1)/100))-(Inputs!$B$12*(1+Inputs!$B$13/100)))+0.25*(Inputs!$B$14-Inputs!$B$14))*(1+Inputs!$B$7/100))*(F123/100)</f>
        <v/>
      </c>
      <c r="K123">
        <f>J123*(1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Skills!A6="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141=TRUE)*(F141-Calc!F24)),(Inputs!$B$23+((C146=TRUE)*(F146-Calc!F29))+(IF(ArtifactsInput!$M$15,CHOOSE(ArtifactsInput!$N$15+1,25,30,35,40,45,50)/100*(Inputs!$B$11-Inputs!$B$11),0))))/100+(Inputs!$B$23+((C146=TRUE)*(F146-Calc!F29))+(IF(ArtifactsInput!$M$15,CHOOSE(ArtifactsInput!$N$15+1,25,30,35,40,45,50)/100*(Inputs!$B$11-Inputs!$B$11),0)))/100)/2</f>
        <v/>
      </c>
      <c r="M123">
        <f>L123*(1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IF(B160=0,0,O123/B160)</f>
        <v/>
      </c>
      <c r="Q123">
        <f>IFERROR(1/(IF(Inputs!$B$38="pvp",15,MAX(0.1,Skills!D6-IF(Skills!E6=TRUE,Inputs!$B$32,0)))*(1-IF(AND(ArtifactsInput!$M$27,Inputs!$B$4="Chapter Hunt"),CHOOSE(ArtifactsInput!$N$27+1,20,24,28,32,36,40),0)/100)),0)</f>
        <v/>
      </c>
      <c r="R123">
        <f>IF(AND(Inputs!$B$38&lt;&gt;"pvp",Inputs!$B$43&gt;0),IF(MAX(0,Inputs!$B$43-B157)&lt;=0,0,(INT(MAX(0,Inputs!$B$43-B157)/(IF(Inputs!$B$38="pvp",15,MAX(0.1,Skills!D6-IF(Skills!E6=TRUE,Inputs!$B$32,0)))*(1-IF(AND(ArtifactsInput!$M$27,Inputs!$B$4="Chapter Hunt"),CHOOSE(ArtifactsInput!$N$27+1,20,24,28,32,36,40),0)/100)))+1)),0)</f>
        <v/>
      </c>
      <c r="S123">
        <f>IFERROR(O123/N123,0)</f>
        <v/>
      </c>
      <c r="T123">
        <f>IF(C123,(H123*N123*IF(AND(Inputs!$B$38&lt;&gt;"pvp",Inputs!$B$43&gt;0),((Skills!G6*((R123-1)*IF(Skills!H6&gt;0,Skills!I6/Skills!H6,1)+IF(Skills!H6&gt;0,MIN(Skills!I6,MAX(0,MAX(0,Inputs!$B$43-B157)-((R123-1)*(IF(Inputs!$B$38="pvp",15,MAX(0.1,Skills!D6-IF(Skills!E6=TRUE,Inputs!$B$32,0)))*(1-IF(AND(ArtifactsInput!$M$27,Inputs!$B$4="Chapter Hunt"),CHOOSE(ArtifactsInput!$N$27+1,20,24,28,32,36,40),0)/100)))))/Skills!H6,1)))/Inputs!$B$43),G123*Q123)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123*(1-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6*((R123-1)*IF(Skills!H6&gt;0,Skills!I6/Skills!H6,1)+IF(Skills!H6&gt;0,MIN(Skills!I6,MAX(0,MAX(0,Inputs!$B$43-B157)-((R123-1)*(IF(Inputs!$B$38="pvp",15,MAX(0.1,Skills!D6-IF(Skills!E6=TRUE,Inputs!$B$32,0)))*(1-IF(AND(ArtifactsInput!$M$27,Inputs!$B$4="Chapter Hunt"),CHOOSE(ArtifactsInput!$N$27+1,20,24,28,32,36,40),0)/100)))))/Skills!H6,1)))/Inputs!$B$43),G123*Q123))*IF(Inputs!$B$38="pvp",1,(1+(Inputs!$B$21+Skills!Q6+(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Skills!A7</f>
        <v/>
      </c>
      <c r="B124">
        <f>Skills!B7</f>
        <v/>
      </c>
      <c r="C124">
        <f>Inputs!$B$3&gt;=107</f>
        <v/>
      </c>
      <c r="D124">
        <f>IF(Skills!C7=1,60+Inputs!$B$25+Inputs!$B$29,IF(Skills!C7=2,90+Inputs!$B$26+Inputs!$B$29,IF(Skills!C7=3,120+Inputs!$B$27+Inputs!$B$29,MAX(0,(Inputs!$B$3-100)*3)+Inputs!$B$28+Inputs!$B$29)))</f>
        <v/>
      </c>
      <c r="E124">
        <f>INDEX(FactorTable!$B$2:$Y$301, MATCH(ROUND(MIN(300,MAX(1,D124)),0), FactorTable!$A$2:$A$301,0), Skills!M7+1)</f>
        <v/>
      </c>
      <c r="F124">
        <f>IF(Skills!N7=TRUE,(Skills!L7/10)*(E124/1000),Skills!L7/10)+Skills!O7</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Skills!A8</f>
        <v/>
      </c>
      <c r="B125">
        <f>Skills!B8</f>
        <v/>
      </c>
      <c r="C125">
        <f>Inputs!$B$3&gt;=69</f>
        <v/>
      </c>
      <c r="D125">
        <f>IF(Skills!C8=1,60+Inputs!$B$25+Inputs!$B$29,IF(Skills!C8=2,90+Inputs!$B$26+Inputs!$B$29,IF(Skills!C8=3,120+Inputs!$B$27+Inputs!$B$29,MAX(0,(Inputs!$B$3-100)*3)+Inputs!$B$28+Inputs!$B$29)))</f>
        <v/>
      </c>
      <c r="E125">
        <f>INDEX(FactorTable!$B$2:$Y$301, MATCH(ROUND(MIN(300,MAX(1,D125)),0), FactorTable!$A$2:$A$301,0), Skills!M8+1)</f>
        <v/>
      </c>
      <c r="F125">
        <f>IF(Skills!N8=TRUE,(Skills!L8/10)*(E125/1000),Skills!L8/10)+Skills!O8</f>
        <v/>
      </c>
      <c r="G125">
        <f>Skills!G8*IF(Skills!H8&gt;0,Skills!I8/Skills!H8,1)</f>
        <v/>
      </c>
      <c r="H125">
        <f>1-(1-Skills!J8/100)^Skills!K8</f>
        <v/>
      </c>
      <c r="I125" t="inlineStr">
        <is>
          <t>1</t>
        </is>
      </c>
      <c r="J125">
        <f>((Inputs!$B$6*(1+Inputs!$B$7/100))+(((Inputs!$B$12*(1+(Inputs!$B$13+1)/100))-(Inputs!$B$12*(1+Inputs!$B$13/100)))+0.25*(Inputs!$B$14-Inputs!$B$14))*(1+Inputs!$B$7/100))*(F125/100)</f>
        <v/>
      </c>
      <c r="K125">
        <f>J125*(1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127=TRUE,F127,0)/100)*(1+(IF(Skills!A8="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141=TRUE)*(F141-Calc!F24)),(Inputs!$B$23+((C146=TRUE)*(F146-Calc!F29))+(IF(ArtifactsInput!$M$15,CHOOSE(ArtifactsInput!$N$15+1,25,30,35,40,45,50)/100*(Inputs!$B$11-Inputs!$B$11),0))))/100+(Inputs!$B$23+((C146=TRUE)*(F146-Calc!F29))+(IF(ArtifactsInput!$M$15,CHOOSE(ArtifactsInput!$N$15+1,25,30,35,40,45,50)/100*(Inputs!$B$11-Inputs!$B$11),0)))/100)/2</f>
        <v/>
      </c>
      <c r="M125">
        <f>L125*(1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IF(B160=0,0,O125/B160)</f>
        <v/>
      </c>
      <c r="Q125">
        <f>IFERROR(1/(IF(Inputs!$B$38="pvp",15,MAX(0.1,Skills!D8-IF(Skills!E8=TRUE,Inputs!$B$32,0)))*(1-IF(AND(ArtifactsInput!$M$27,Inputs!$B$4="Chapter Hunt"),CHOOSE(ArtifactsInput!$N$27+1,20,24,28,32,36,40),0)/100)),0)</f>
        <v/>
      </c>
      <c r="R125">
        <f>IF(AND(Inputs!$B$38&lt;&gt;"pvp",Inputs!$B$43&gt;0),IF(MAX(0,Inputs!$B$43-B157)&lt;=0,0,(INT(MAX(0,Inputs!$B$43-B157)/(IF(Inputs!$B$38="pvp",15,MAX(0.1,Skills!D8-IF(Skills!E8=TRUE,Inputs!$B$32,0)))*(1-IF(AND(ArtifactsInput!$M$27,Inputs!$B$4="Chapter Hunt"),CHOOSE(ArtifactsInput!$N$27+1,20,24,28,32,36,40),0)/100)))+1)),0)</f>
        <v/>
      </c>
      <c r="S125">
        <f>IFERROR(O125/N125,0)</f>
        <v/>
      </c>
      <c r="T125">
        <f>IF(C125,(H125*N125*IF(AND(Inputs!$B$38&lt;&gt;"pvp",Inputs!$B$43&gt;0),((Skills!G8*((R125-1)*IF(Skills!H8&gt;0,Skills!I8/Skills!H8,1)+IF(Skills!H8&gt;0,MIN(Skills!I8,MAX(0,MAX(0,Inputs!$B$43-B157)-((R125-1)*(IF(Inputs!$B$38="pvp",15,MAX(0.1,Skills!D8-IF(Skills!E8=TRUE,Inputs!$B$32,0)))*(1-IF(AND(ArtifactsInput!$M$27,Inputs!$B$4="Chapter Hunt"),CHOOSE(ArtifactsInput!$N$27+1,20,24,28,32,36,40),0)/100)))))/Skills!H8,1)))/Inputs!$B$43),G125*Q125)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125*(1-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8*((R125-1)*IF(Skills!H8&gt;0,Skills!I8/Skills!H8,1)+IF(Skills!H8&gt;0,MIN(Skills!I8,MAX(0,MAX(0,Inputs!$B$43-B157)-((R125-1)*(IF(Inputs!$B$38="pvp",15,MAX(0.1,Skills!D8-IF(Skills!E8=TRUE,Inputs!$B$32,0)))*(1-IF(AND(ArtifactsInput!$M$27,Inputs!$B$4="Chapter Hunt"),CHOOSE(ArtifactsInput!$N$27+1,20,24,28,32,36,40),0)/100)))))/Skills!H8,1)))/Inputs!$B$43),G125*Q125))*IF(Inputs!$B$38="pvp",1,(1+(Inputs!$B$21+Skills!Q8+(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Skills!A9</f>
        <v/>
      </c>
      <c r="B126">
        <f>Skills!B9</f>
        <v/>
      </c>
      <c r="C126">
        <f>Inputs!$B$3&gt;=63</f>
        <v/>
      </c>
      <c r="D126">
        <f>IF(Skills!C9=1,60+Inputs!$B$25+Inputs!$B$29,IF(Skills!C9=2,90+Inputs!$B$26+Inputs!$B$29,IF(Skills!C9=3,120+Inputs!$B$27+Inputs!$B$29,MAX(0,(Inputs!$B$3-100)*3)+Inputs!$B$28+Inputs!$B$29)))</f>
        <v/>
      </c>
      <c r="E126">
        <f>INDEX(FactorTable!$B$2:$Y$301, MATCH(ROUND(MIN(300,MAX(1,D126)),0), FactorTable!$A$2:$A$301,0), Skills!M9+1)</f>
        <v/>
      </c>
      <c r="F126">
        <f>IF(Skills!N9=TRUE,(Skills!L9/10)*(E126/1000),Skills!L9/10)+Skills!O9</f>
        <v/>
      </c>
      <c r="G126">
        <f>Skills!G9*IF(Skills!H9&gt;0,Skills!I9/Skills!H9,1)</f>
        <v/>
      </c>
      <c r="H126">
        <f>1-(1-Skills!J9/100)^Skills!K9</f>
        <v/>
      </c>
      <c r="I126" t="inlineStr">
        <is>
          <t>1</t>
        </is>
      </c>
      <c r="J126">
        <f>((Inputs!$B$6*(1+Inputs!$B$7/100))+(((Inputs!$B$12*(1+(Inputs!$B$13+1)/100))-(Inputs!$B$12*(1+Inputs!$B$13/100)))+0.25*(Inputs!$B$14-Inputs!$B$14))*(1+Inputs!$B$7/100))*(F126/100)</f>
        <v/>
      </c>
      <c r="K126">
        <f>J126*(1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TRUE,F127,0)/100)*(1+(IF(Skills!A9="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141=TRUE)*(F141-Calc!F24)),(Inputs!$B$23+((C146=TRUE)*(F146-Calc!F29))+(IF(ArtifactsInput!$M$15,CHOOSE(ArtifactsInput!$N$15+1,25,30,35,40,45,50)/100*(Inputs!$B$11-Inputs!$B$11),0))))/100+(Inputs!$B$23+((C146=TRUE)*(F146-Calc!F29))+(IF(ArtifactsInput!$M$15,CHOOSE(ArtifactsInput!$N$15+1,25,30,35,40,45,50)/100*(Inputs!$B$11-Inputs!$B$11),0)))/100)/2</f>
        <v/>
      </c>
      <c r="M126">
        <f>L126*(1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IF(B160=0,0,O126/B160)</f>
        <v/>
      </c>
      <c r="Q126">
        <f>IFERROR(1/(IF(Inputs!$B$38="pvp",15,MAX(0.1,Skills!D9-IF(Skills!E9=TRUE,Inputs!$B$32,0)))*(1-IF(AND(ArtifactsInput!$M$27,Inputs!$B$4="Chapter Hunt"),CHOOSE(ArtifactsInput!$N$27+1,20,24,28,32,36,40),0)/100)),0)</f>
        <v/>
      </c>
      <c r="R126">
        <f>IF(AND(Inputs!$B$38&lt;&gt;"pvp",Inputs!$B$43&gt;0),IF(MAX(0,Inputs!$B$43-B157)&lt;=0,0,(INT(MAX(0,Inputs!$B$43-B157)/(IF(Inputs!$B$38="pvp",15,MAX(0.1,Skills!D9-IF(Skills!E9=TRUE,Inputs!$B$32,0)))*(1-IF(AND(ArtifactsInput!$M$27,Inputs!$B$4="Chapter Hunt"),CHOOSE(ArtifactsInput!$N$27+1,20,24,28,32,36,40),0)/100)))+1)),0)</f>
        <v/>
      </c>
      <c r="S126">
        <f>IFERROR(O126/N126,0)</f>
        <v/>
      </c>
      <c r="T126">
        <f>IF(C126,(H126*N126*IF(AND(Inputs!$B$38&lt;&gt;"pvp",Inputs!$B$43&gt;0),((Skills!G9*((R126-1)*IF(Skills!H9&gt;0,Skills!I9/Skills!H9,1)+IF(Skills!H9&gt;0,MIN(Skills!I9,MAX(0,MAX(0,Inputs!$B$43-B157)-((R126-1)*(IF(Inputs!$B$38="pvp",15,MAX(0.1,Skills!D9-IF(Skills!E9=TRUE,Inputs!$B$32,0)))*(1-IF(AND(ArtifactsInput!$M$27,Inputs!$B$4="Chapter Hunt"),CHOOSE(ArtifactsInput!$N$27+1,20,24,28,32,36,40),0)/100)))))/Skills!H9,1)))/Inputs!$B$43),G126*Q126)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126*(1-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9*((R126-1)*IF(Skills!H9&gt;0,Skills!I9/Skills!H9,1)+IF(Skills!H9&gt;0,MIN(Skills!I9,MAX(0,MAX(0,Inputs!$B$43-B157)-((R126-1)*(IF(Inputs!$B$38="pvp",15,MAX(0.1,Skills!D9-IF(Skills!E9=TRUE,Inputs!$B$32,0)))*(1-IF(AND(ArtifactsInput!$M$27,Inputs!$B$4="Chapter Hunt"),CHOOSE(ArtifactsInput!$N$27+1,20,24,28,32,36,40),0)/100)))))/Skills!H9,1)))/Inputs!$B$43),G126*Q126))*IF(Inputs!$B$38="pvp",1,(1+(Inputs!$B$21+Skills!Q9+(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Skills!A10</f>
        <v/>
      </c>
      <c r="B127">
        <f>Skills!B10</f>
        <v/>
      </c>
      <c r="C127">
        <f>Inputs!$B$3&gt;=100</f>
        <v/>
      </c>
      <c r="D127">
        <f>IF(Skills!C10=1,60+Inputs!$B$25+Inputs!$B$29,IF(Skills!C10=2,90+Inputs!$B$26+Inputs!$B$29,IF(Skills!C10=3,120+Inputs!$B$27+Inputs!$B$29,MAX(0,(Inputs!$B$3-100)*3)+Inputs!$B$28+Inputs!$B$29)))</f>
        <v/>
      </c>
      <c r="E127">
        <f>INDEX(FactorTable!$B$2:$Y$301, MATCH(ROUND(MIN(300,MAX(1,D127)),0), FactorTable!$A$2:$A$301,0), Skills!M10+1)</f>
        <v/>
      </c>
      <c r="F127">
        <f>IF(Skills!N10=TRUE,(Skills!L10/10)*(E127/1000),Skills!L10/10)+Skills!O10</f>
        <v/>
      </c>
      <c r="G127" t="inlineStr"/>
      <c r="H127" t="inlineStr"/>
      <c r="I127" t="inlineStr">
        <is>
          <t>1</t>
        </is>
      </c>
      <c r="J127" t="inlineStr"/>
      <c r="K127" t="inlineStr"/>
      <c r="L127" t="inlineStr"/>
      <c r="M127" t="inlineStr"/>
      <c r="N127" t="inlineStr"/>
      <c r="O127" t="inlineStr"/>
      <c r="P127" t="inlineStr"/>
      <c r="Q127" t="inlineStr"/>
      <c r="R127" t="inlineStr"/>
      <c r="S127" t="inlineStr"/>
      <c r="T127" t="inlineStr"/>
      <c r="V127" t="inlineStr"/>
    </row>
    <row r="128">
      <c r="A128">
        <f>Skills!A11</f>
        <v/>
      </c>
      <c r="B128">
        <f>Skills!B11</f>
        <v/>
      </c>
      <c r="C128">
        <f>Inputs!$B$3&gt;=60</f>
        <v/>
      </c>
      <c r="D128">
        <f>IF(Skills!C11=1,60+Inputs!$B$25+Inputs!$B$29,IF(Skills!C11=2,90+Inputs!$B$26+Inputs!$B$29,IF(Skills!C11=3,120+Inputs!$B$27+Inputs!$B$29,MAX(0,(Inputs!$B$3-100)*3)+Inputs!$B$28+Inputs!$B$29)))</f>
        <v/>
      </c>
      <c r="E128">
        <f>INDEX(FactorTable!$B$2:$Y$301, MATCH(ROUND(MIN(300,MAX(1,D128)),0), FactorTable!$A$2:$A$301,0), Skills!M11+1)</f>
        <v/>
      </c>
      <c r="F128">
        <f>IF(Skills!N11=TRUE,(Skills!L11/10)*(E128/1000),Skills!L11/10)+Skills!O11</f>
        <v/>
      </c>
      <c r="G128">
        <f>Skills!G11*IF(Skills!H11&gt;0,Skills!I11/Skills!H11,1)</f>
        <v/>
      </c>
      <c r="H128">
        <f>1-(1-Skills!J11/100)^Skills!K11</f>
        <v/>
      </c>
      <c r="I128" t="inlineStr">
        <is>
          <t>1</t>
        </is>
      </c>
      <c r="J128">
        <f>((Inputs!$B$6*(1+Inputs!$B$7/100))+(((Inputs!$B$12*(1+(Inputs!$B$13+1)/100))-(Inputs!$B$12*(1+Inputs!$B$13/100)))+0.25*(Inputs!$B$14-Inputs!$B$14))*(1+Inputs!$B$7/100))*(F128/100)</f>
        <v/>
      </c>
      <c r="K128">
        <f>J128*(1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TRUE,F129,0)/100)*(1+(IF(Skills!A11="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141=TRUE)*(F141-Calc!F24)),(Inputs!$B$23+((C146=TRUE)*(F146-Calc!F29))+(IF(ArtifactsInput!$M$15,CHOOSE(ArtifactsInput!$N$15+1,25,30,35,40,45,50)/100*(Inputs!$B$11-Inputs!$B$11),0))))/100+(Inputs!$B$23+((C146=TRUE)*(F146-Calc!F29))+(IF(ArtifactsInput!$M$15,CHOOSE(ArtifactsInput!$N$15+1,25,30,35,40,45,50)/100*(Inputs!$B$11-Inputs!$B$11),0)))/100)/2</f>
        <v/>
      </c>
      <c r="M128">
        <f>L128*(1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IF(B160=0,0,O128/B160)</f>
        <v/>
      </c>
      <c r="Q128">
        <f>IFERROR(1/(IF(Inputs!$B$38="pvp",15,MAX(0.1,Skills!D11-IF(Skills!E11=TRUE,Inputs!$B$32,0)))*(1-IF(AND(ArtifactsInput!$M$27,Inputs!$B$4="Chapter Hunt"),CHOOSE(ArtifactsInput!$N$27+1,20,24,28,32,36,40),0)/100)),0)</f>
        <v/>
      </c>
      <c r="R128">
        <f>IF(AND(Inputs!$B$38&lt;&gt;"pvp",Inputs!$B$43&gt;0),IF(MAX(0,Inputs!$B$43-B157)&lt;=0,0,(INT(MAX(0,Inputs!$B$43-B157)/(IF(Inputs!$B$38="pvp",15,MAX(0.1,Skills!D11-IF(Skills!E11=TRUE,Inputs!$B$32,0)))*(1-IF(AND(ArtifactsInput!$M$27,Inputs!$B$4="Chapter Hunt"),CHOOSE(ArtifactsInput!$N$27+1,20,24,28,32,36,40),0)/100)))+1)),0)</f>
        <v/>
      </c>
      <c r="S128">
        <f>IFERROR(O128/N128,0)</f>
        <v/>
      </c>
      <c r="T128">
        <f>IF(C128,(H128*N128*IF(AND(Inputs!$B$38&lt;&gt;"pvp",Inputs!$B$43&gt;0),((Skills!G11*((R128-1)*IF(Skills!H11&gt;0,Skills!I11/Skills!H11,1)+IF(Skills!H11&gt;0,MIN(Skills!I11,MAX(0,MAX(0,Inputs!$B$43-B157)-((R128-1)*(IF(Inputs!$B$38="pvp",15,MAX(0.1,Skills!D11-IF(Skills!E11=TRUE,Inputs!$B$32,0)))*(1-IF(AND(ArtifactsInput!$M$27,Inputs!$B$4="Chapter Hunt"),CHOOSE(ArtifactsInput!$N$27+1,20,24,28,32,36,40),0)/100)))))/Skills!H11,1)))/Inputs!$B$43),G128*Q128)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128*(1-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11*((R128-1)*IF(Skills!H11&gt;0,Skills!I11/Skills!H11,1)+IF(Skills!H11&gt;0,MIN(Skills!I11,MAX(0,MAX(0,Inputs!$B$43-B157)-((R128-1)*(IF(Inputs!$B$38="pvp",15,MAX(0.1,Skills!D11-IF(Skills!E11=TRUE,Inputs!$B$32,0)))*(1-IF(AND(ArtifactsInput!$M$27,Inputs!$B$4="Chapter Hunt"),CHOOSE(ArtifactsInput!$N$27+1,20,24,28,32,36,40),0)/100)))))/Skills!H11,1)))/Inputs!$B$43),G128*Q128))*IF(Inputs!$B$38="pvp",1,(1+(Inputs!$B$21+Skills!Q11+(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Skills!A12</f>
        <v/>
      </c>
      <c r="B129">
        <f>Skills!B12</f>
        <v/>
      </c>
      <c r="C129">
        <f>Inputs!$B$3&gt;=110</f>
        <v/>
      </c>
      <c r="D129">
        <f>IF(Skills!C12=1,60+Inputs!$B$25+Inputs!$B$29,IF(Skills!C12=2,90+Inputs!$B$26+Inputs!$B$29,IF(Skills!C12=3,120+Inputs!$B$27+Inputs!$B$29,MAX(0,(Inputs!$B$3-100)*3)+Inputs!$B$28+Inputs!$B$29)))</f>
        <v/>
      </c>
      <c r="E129">
        <f>INDEX(FactorTable!$B$2:$Y$301, MATCH(ROUND(MIN(300,MAX(1,D129)),0), FactorTable!$A$2:$A$301,0), Skills!M12+1)</f>
        <v/>
      </c>
      <c r="F129">
        <f>IF(Skills!N12=TRUE,(Skills!L12/10)*(E129/1000),Skills!L12/10)+Skills!O12</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Skills!A13</f>
        <v/>
      </c>
      <c r="B130">
        <f>Skills!B13</f>
        <v/>
      </c>
      <c r="C130">
        <f>Inputs!$B$3&gt;=74</f>
        <v/>
      </c>
      <c r="D130">
        <f>IF(Skills!C13=1,60+Inputs!$B$25+Inputs!$B$29,IF(Skills!C13=2,90+Inputs!$B$26+Inputs!$B$29,IF(Skills!C13=3,120+Inputs!$B$27+Inputs!$B$29,MAX(0,(Inputs!$B$3-100)*3)+Inputs!$B$28+Inputs!$B$29)))</f>
        <v/>
      </c>
      <c r="E130">
        <f>INDEX(FactorTable!$B$2:$Y$301, MATCH(ROUND(MIN(300,MAX(1,D130)),0), FactorTable!$A$2:$A$301,0), Skills!M13+1)</f>
        <v/>
      </c>
      <c r="F130">
        <f>IF(Skills!N13=TRUE,(Skills!L13/10)*(E130/1000),Skills!L13/10)+Skills!O13</f>
        <v/>
      </c>
      <c r="G130">
        <f>Skills!G13*IF(Skills!H13&gt;0,Skills!I13/Skills!H13,1)</f>
        <v/>
      </c>
      <c r="H130">
        <f>1-(1-Skills!J13/100)^Skills!K13</f>
        <v/>
      </c>
      <c r="I130" t="inlineStr">
        <is>
          <t>1</t>
        </is>
      </c>
      <c r="J130" t="inlineStr"/>
      <c r="K130" t="inlineStr"/>
      <c r="L130" t="inlineStr"/>
      <c r="M130" t="inlineStr"/>
      <c r="N130" t="inlineStr"/>
      <c r="O130">
        <f>(1-Summary!$B$11)*T130+Summary!$B$11*V130</f>
        <v/>
      </c>
      <c r="P130">
        <f>IF(B160=0,0,O130/B160)</f>
        <v/>
      </c>
      <c r="Q130" t="n">
        <v>0</v>
      </c>
      <c r="R130" t="n">
        <v>0</v>
      </c>
      <c r="S130">
        <f>IFERROR(O130/N130,0)</f>
        <v/>
      </c>
      <c r="T130" t="n">
        <v>0</v>
      </c>
      <c r="V130" t="n">
        <v>0</v>
      </c>
    </row>
    <row r="131">
      <c r="A131">
        <f>Skills!A14</f>
        <v/>
      </c>
      <c r="B131">
        <f>Skills!B14</f>
        <v/>
      </c>
      <c r="C131">
        <f>Inputs!$B$3&gt;=74</f>
        <v/>
      </c>
      <c r="D131">
        <f>IF(Skills!C14=1,60+Inputs!$B$25+Inputs!$B$29,IF(Skills!C14=2,90+Inputs!$B$26+Inputs!$B$29,IF(Skills!C14=3,120+Inputs!$B$27+Inputs!$B$29,MAX(0,(Inputs!$B$3-100)*3)+Inputs!$B$28+Inputs!$B$29)))</f>
        <v/>
      </c>
      <c r="E131">
        <f>INDEX(FactorTable!$B$2:$Y$301, MATCH(ROUND(MIN(300,MAX(1,D131)),0), FactorTable!$A$2:$A$301,0), Skills!M14+1)</f>
        <v/>
      </c>
      <c r="F131">
        <f>IF(Skills!N14=TRUE,(Skills!L14/10)*(E131/1000),Skills!L14/10)+Skills!O14</f>
        <v/>
      </c>
      <c r="G131">
        <f>Skills!G14*IF(Skills!H14&gt;0,Skills!I14/Skills!H14,1)</f>
        <v/>
      </c>
      <c r="H131">
        <f>1-(1-Skills!J14/100)^Skills!K14</f>
        <v/>
      </c>
      <c r="I131" t="inlineStr">
        <is>
          <t>1</t>
        </is>
      </c>
      <c r="J131" t="inlineStr"/>
      <c r="K131" t="inlineStr"/>
      <c r="L131" t="inlineStr"/>
      <c r="M131" t="inlineStr"/>
      <c r="N131" t="inlineStr"/>
      <c r="O131">
        <f>(1-Summary!$B$11)*T131+Summary!$B$11*V131</f>
        <v/>
      </c>
      <c r="P131">
        <f>IF(B160=0,0,O131/B160)</f>
        <v/>
      </c>
      <c r="Q131" t="n">
        <v>0</v>
      </c>
      <c r="R131" t="n">
        <v>0</v>
      </c>
      <c r="S131">
        <f>IFERROR(O131/N131,0)</f>
        <v/>
      </c>
      <c r="T131" t="n">
        <v>0</v>
      </c>
      <c r="V131" t="n">
        <v>0</v>
      </c>
    </row>
    <row r="132">
      <c r="A132">
        <f>Skills!A15</f>
        <v/>
      </c>
      <c r="B132">
        <f>Skills!B15</f>
        <v/>
      </c>
      <c r="C132">
        <f>Inputs!$B$3&gt;=117</f>
        <v/>
      </c>
      <c r="D132">
        <f>IF(Skills!C15=1,60+Inputs!$B$25+Inputs!$B$29,IF(Skills!C15=2,90+Inputs!$B$26+Inputs!$B$29,IF(Skills!C15=3,120+Inputs!$B$27+Inputs!$B$29,MAX(0,(Inputs!$B$3-100)*3)+Inputs!$B$28+Inputs!$B$29)))</f>
        <v/>
      </c>
      <c r="E132">
        <f>INDEX(FactorTable!$B$2:$Y$301, MATCH(ROUND(MIN(300,MAX(1,D132)),0), FactorTable!$A$2:$A$301,0), Skills!M15+1)</f>
        <v/>
      </c>
      <c r="F132">
        <f>IF(Skills!N15=TRUE,(Skills!L15/10)*(E132/1000),Skills!L15/10)+Skills!O15</f>
        <v/>
      </c>
      <c r="G132">
        <f>Skills!G15*IF(Skills!H15&gt;0,Skills!I15/Skills!H15,1)</f>
        <v/>
      </c>
      <c r="H132">
        <f>1-(1-Skills!J15/100)^Skills!K15</f>
        <v/>
      </c>
      <c r="I132" t="inlineStr">
        <is>
          <t>1</t>
        </is>
      </c>
      <c r="J132" t="inlineStr"/>
      <c r="K132" t="inlineStr"/>
      <c r="L132" t="inlineStr"/>
      <c r="M132" t="inlineStr"/>
      <c r="N132" t="inlineStr"/>
      <c r="O132">
        <f>(1-Summary!$B$11)*T132+Summary!$B$11*V132</f>
        <v/>
      </c>
      <c r="P132">
        <f>IF(B160=0,0,O132/B160)</f>
        <v/>
      </c>
      <c r="Q132">
        <f>IFERROR(1/(IF(Inputs!$B$38="pvp",15,MAX(0.1,Skills!D15-IF(Skills!E15=TRUE,Inputs!$B$32,0)))*(1-IF(AND(ArtifactsInput!$M$27,Inputs!$B$4="Chapter Hunt"),CHOOSE(ArtifactsInput!$N$27+1,20,24,28,32,36,40),0)/100)),0)</f>
        <v/>
      </c>
      <c r="R132">
        <f>IF(AND(Inputs!$B$38&lt;&gt;"pvp",Inputs!$B$43&gt;0),IF(Inputs!$B$43&lt;=0,0,(INT(Inputs!$B$43/(IF(Inputs!$B$38="pvp",15,MAX(0.1,Skills!D15-IF(Skills!E15=TRUE,Inputs!$B$32,0)))*(1-IF(AND(ArtifactsInput!$M$27,Inputs!$B$4="Chapter Hunt"),CHOOSE(ArtifactsInput!$N$27+1,20,24,28,32,36,40),0)/100)))+1)),0)</f>
        <v/>
      </c>
      <c r="S132">
        <f>IFERROR(O132/N132,0)</f>
        <v/>
      </c>
      <c r="T132" t="n">
        <v>0</v>
      </c>
      <c r="V132" t="n">
        <v>0</v>
      </c>
    </row>
    <row r="133">
      <c r="A133">
        <f>Skills!A16</f>
        <v/>
      </c>
      <c r="B133">
        <f>Skills!B16</f>
        <v/>
      </c>
      <c r="C133">
        <f>Inputs!$B$3&gt;=115</f>
        <v/>
      </c>
      <c r="D133">
        <f>IF(Skills!C16=1,60+Inputs!$B$25+Inputs!$B$29,IF(Skills!C16=2,90+Inputs!$B$26+Inputs!$B$29,IF(Skills!C16=3,120+Inputs!$B$27+Inputs!$B$29,MAX(0,(Inputs!$B$3-100)*3)+Inputs!$B$28+Inputs!$B$29)))</f>
        <v/>
      </c>
      <c r="E133">
        <f>INDEX(FactorTable!$B$2:$Y$301, MATCH(ROUND(MIN(300,MAX(1,D133)),0), FactorTable!$A$2:$A$301,0), Skills!M16+1)</f>
        <v/>
      </c>
      <c r="F133">
        <f>IF(Skills!N16=TRUE,(Skills!L16/10)*(E133/1000),Skills!L16/10)+Skills!O16</f>
        <v/>
      </c>
      <c r="G133">
        <f>Skills!G16*IF(Skills!H16&gt;0,Skills!I16/Skills!H16,1)</f>
        <v/>
      </c>
      <c r="H133">
        <f>1-(1-Skills!J16/100)^Skills!K16</f>
        <v/>
      </c>
      <c r="I133" t="inlineStr">
        <is>
          <t>1</t>
        </is>
      </c>
      <c r="J133" t="inlineStr"/>
      <c r="K133" t="inlineStr"/>
      <c r="L133" t="inlineStr"/>
      <c r="M133" t="inlineStr"/>
      <c r="N133" t="inlineStr"/>
      <c r="O133">
        <f>(1-Summary!$B$11)*T133+Summary!$B$11*V133</f>
        <v/>
      </c>
      <c r="P133">
        <f>IF(B160=0,0,O133/B160)</f>
        <v/>
      </c>
      <c r="Q133">
        <f>IFERROR(1/(IF(Inputs!$B$38="pvp",15,MAX(0.1,Skills!D16-IF(Skills!E16=TRUE,Inputs!$B$32,0)))*(1-IF(AND(ArtifactsInput!$M$27,Inputs!$B$4="Chapter Hunt"),CHOOSE(ArtifactsInput!$N$27+1,20,24,28,32,36,40),0)/100)),0)</f>
        <v/>
      </c>
      <c r="R133">
        <f>IF(AND(Inputs!$B$38&lt;&gt;"pvp",Inputs!$B$43&gt;0),IF(Inputs!$B$43&lt;=0,0,(INT(Inputs!$B$43/(IF(Inputs!$B$38="pvp",15,MAX(0.1,Skills!D16-IF(Skills!E16=TRUE,Inputs!$B$32,0)))*(1-IF(AND(ArtifactsInput!$M$27,Inputs!$B$4="Chapter Hunt"),CHOOSE(ArtifactsInput!$N$27+1,20,24,28,32,36,40),0)/100)))+1)),0)</f>
        <v/>
      </c>
      <c r="S133">
        <f>IFERROR(O133/N133,0)</f>
        <v/>
      </c>
      <c r="T133" t="n">
        <v>0</v>
      </c>
      <c r="V133" t="n">
        <v>0</v>
      </c>
    </row>
    <row r="134">
      <c r="A134">
        <f>Skills!A17</f>
        <v/>
      </c>
      <c r="B134">
        <f>Skills!B17</f>
        <v/>
      </c>
      <c r="C134">
        <f>Inputs!$B$3&gt;=66</f>
        <v/>
      </c>
      <c r="D134">
        <f>IF(Skills!C17=1,60+Inputs!$B$25+Inputs!$B$29,IF(Skills!C17=2,90+Inputs!$B$26+Inputs!$B$29,IF(Skills!C17=3,120+Inputs!$B$27+Inputs!$B$29,MAX(0,(Inputs!$B$3-100)*3)+Inputs!$B$28+Inputs!$B$29)))</f>
        <v/>
      </c>
      <c r="E134">
        <f>INDEX(FactorTable!$B$2:$Y$301, MATCH(ROUND(MIN(300,MAX(1,D134)),0), FactorTable!$A$2:$A$301,0), Skills!M17+1)</f>
        <v/>
      </c>
      <c r="F134">
        <f>IF(Skills!N17=TRUE,(Skills!L17/10)*(E134/1000),Skills!L17/10)+Skills!O17</f>
        <v/>
      </c>
      <c r="G134">
        <f>Skills!G17*IF(Skills!H17&gt;0,Skills!I17/Skills!H17,1)</f>
        <v/>
      </c>
      <c r="H134">
        <f>1-(1-Skills!J17/100)^Skills!K17</f>
        <v/>
      </c>
      <c r="I134" t="inlineStr">
        <is>
          <t>1</t>
        </is>
      </c>
      <c r="J134" t="inlineStr"/>
      <c r="K134" t="inlineStr"/>
      <c r="L134" t="inlineStr"/>
      <c r="M134" t="inlineStr"/>
      <c r="N134" t="inlineStr"/>
      <c r="O134">
        <f>(1-Summary!$B$11)*T134+Summary!$B$11*V134</f>
        <v/>
      </c>
      <c r="P134">
        <f>IF(B160=0,0,O134/B160)</f>
        <v/>
      </c>
      <c r="Q134" t="n">
        <v>0</v>
      </c>
      <c r="R134" t="n">
        <v>0</v>
      </c>
      <c r="S134">
        <f>IFERROR(O134/N134,0)</f>
        <v/>
      </c>
      <c r="T134" t="n">
        <v>0</v>
      </c>
      <c r="V134" t="n">
        <v>0</v>
      </c>
    </row>
    <row r="135">
      <c r="A135">
        <f>Skills!A18</f>
        <v/>
      </c>
      <c r="B135">
        <f>Skills!B18</f>
        <v/>
      </c>
      <c r="C135">
        <f>Inputs!$B$3&gt;=72</f>
        <v/>
      </c>
      <c r="D135">
        <f>IF(Skills!C18=1,60+Inputs!$B$25+Inputs!$B$29,IF(Skills!C18=2,90+Inputs!$B$26+Inputs!$B$29,IF(Skills!C18=3,120+Inputs!$B$27+Inputs!$B$29,MAX(0,(Inputs!$B$3-100)*3)+Inputs!$B$28+Inputs!$B$29)))</f>
        <v/>
      </c>
      <c r="E135">
        <f>INDEX(FactorTable!$B$2:$Y$301, MATCH(ROUND(MIN(300,MAX(1,D135)),0), FactorTable!$A$2:$A$301,0), Skills!M18+1)</f>
        <v/>
      </c>
      <c r="F135">
        <f>IF(Skills!N18=TRUE,(Skills!L18/10)*(E135/1000),Skills!L18/10)+Skills!O18</f>
        <v/>
      </c>
      <c r="G135">
        <f>Skills!G18*IF(Skills!H18&gt;0,Skills!I18/Skills!H18,1)</f>
        <v/>
      </c>
      <c r="H135">
        <f>1-(1-Skills!J18/100)^Skills!K18</f>
        <v/>
      </c>
      <c r="I135" t="inlineStr">
        <is>
          <t>1</t>
        </is>
      </c>
      <c r="J135" t="inlineStr"/>
      <c r="K135" t="inlineStr"/>
      <c r="L135" t="inlineStr"/>
      <c r="M135" t="inlineStr"/>
      <c r="N135" t="inlineStr"/>
      <c r="O135">
        <f>(1-Summary!$B$11)*T135+Summary!$B$11*V135</f>
        <v/>
      </c>
      <c r="P135">
        <f>IF(B160=0,0,O135/B160)</f>
        <v/>
      </c>
      <c r="Q135" t="n">
        <v>0</v>
      </c>
      <c r="R135" t="n">
        <v>0</v>
      </c>
      <c r="S135">
        <f>IFERROR(O135/N135,0)</f>
        <v/>
      </c>
      <c r="T135" t="n">
        <v>0</v>
      </c>
      <c r="V135" t="n">
        <v>0</v>
      </c>
    </row>
    <row r="136">
      <c r="A136">
        <f>Skills!A19</f>
        <v/>
      </c>
      <c r="B136">
        <f>Skills!B19</f>
        <v/>
      </c>
      <c r="C136">
        <f>TRUE</f>
        <v/>
      </c>
      <c r="D136">
        <f>IF(Skills!C19=1,60+Inputs!$B$25+Inputs!$B$29,IF(Skills!C19=2,90+Inputs!$B$26+Inputs!$B$29,IF(Skills!C19=3,120+Inputs!$B$27+Inputs!$B$29,MAX(0,(Inputs!$B$3-100)*3)+Inputs!$B$28+Inputs!$B$29)))</f>
        <v/>
      </c>
      <c r="E136">
        <f>INDEX(FactorTable!$B$2:$Y$301, MATCH(ROUND(MIN(300,MAX(1,D136)),0), FactorTable!$A$2:$A$301,0), Skills!M19+1)</f>
        <v/>
      </c>
      <c r="F136">
        <f>IF(Skills!N19=TRUE,(Skills!L19/10)*(E136/1000),Skills!L19/10)+Skills!O19</f>
        <v/>
      </c>
      <c r="G136">
        <f>Skills!G19*IF(Skills!H19&gt;0,Skills!I19/Skills!H19,1)</f>
        <v/>
      </c>
      <c r="H136">
        <f>1-(1-Skills!J19/100)^Skills!K19</f>
        <v/>
      </c>
      <c r="I136" t="inlineStr">
        <is>
          <t>1</t>
        </is>
      </c>
      <c r="J136" t="inlineStr"/>
      <c r="K136" t="inlineStr"/>
      <c r="L136" t="inlineStr"/>
      <c r="M136" t="inlineStr"/>
      <c r="N136" t="inlineStr"/>
      <c r="O136">
        <f>(1-Summary!$B$11)*T136+Summary!$B$11*V136</f>
        <v/>
      </c>
      <c r="P136">
        <f>IF(B160=0,0,O136/B160)</f>
        <v/>
      </c>
      <c r="Q136">
        <f>IFERROR(1/(IF(Inputs!$B$38="pvp",15,MAX(0.1,Skills!D19-IF(Skills!E19=TRUE,Inputs!$B$32,0)))*(1-IF(AND(ArtifactsInput!$M$27,Inputs!$B$4="Chapter Hunt"),CHOOSE(ArtifactsInput!$N$27+1,20,24,28,32,36,40),0)/100)),0)</f>
        <v/>
      </c>
      <c r="R136">
        <f>IF(AND(Inputs!$B$38&lt;&gt;"pvp",Inputs!$B$43&gt;0),IF(Inputs!$B$43&lt;=0,0,(INT(Inputs!$B$43/(IF(Inputs!$B$38="pvp",15,MAX(0.1,Skills!D19-IF(Skills!E19=TRUE,Inputs!$B$32,0)))*(1-IF(AND(ArtifactsInput!$M$27,Inputs!$B$4="Chapter Hunt"),CHOOSE(ArtifactsInput!$N$27+1,20,24,28,32,36,40),0)/100)))+1)),0)</f>
        <v/>
      </c>
      <c r="S136">
        <f>IFERROR(O136/N136,0)</f>
        <v/>
      </c>
      <c r="T136" t="n">
        <v>0</v>
      </c>
      <c r="V136" t="n">
        <v>0</v>
      </c>
    </row>
    <row r="137">
      <c r="A137">
        <f>Skills!A20</f>
        <v/>
      </c>
      <c r="B137">
        <f>Skills!B20</f>
        <v/>
      </c>
      <c r="C137">
        <f>Inputs!$B$3&gt;=15</f>
        <v/>
      </c>
      <c r="D137">
        <f>IF(Skills!C20=1,60+Inputs!$B$25+Inputs!$B$29,IF(Skills!C20=2,90+Inputs!$B$26+Inputs!$B$29,IF(Skills!C20=3,120+Inputs!$B$27+Inputs!$B$29,MAX(0,(Inputs!$B$3-100)*3)+Inputs!$B$28+Inputs!$B$29)))</f>
        <v/>
      </c>
      <c r="E137">
        <f>INDEX(FactorTable!$B$2:$Y$301, MATCH(ROUND(MIN(300,MAX(1,D137)),0), FactorTable!$A$2:$A$301,0), Skills!M20+1)</f>
        <v/>
      </c>
      <c r="F137">
        <f>IF(Skills!N20=TRUE,(Skills!L20/10)*(E137/1000),Skills!L20/10)+Skills!O20</f>
        <v/>
      </c>
      <c r="G137">
        <f>Skills!G20*IF(Skills!H20&gt;0,Skills!I20/Skills!H20,1)</f>
        <v/>
      </c>
      <c r="H137">
        <f>1-(1-Skills!J20/100)^Skills!K20</f>
        <v/>
      </c>
      <c r="I137" t="inlineStr">
        <is>
          <t>1</t>
        </is>
      </c>
      <c r="J137" t="inlineStr"/>
      <c r="K137" t="inlineStr"/>
      <c r="L137" t="inlineStr"/>
      <c r="M137" t="inlineStr"/>
      <c r="N137" t="inlineStr"/>
      <c r="O137">
        <f>(1-Summary!$B$11)*T137+Summary!$B$11*V137</f>
        <v/>
      </c>
      <c r="P137">
        <f>IF(B160=0,0,O137/B160)</f>
        <v/>
      </c>
      <c r="Q137" t="n">
        <v>0</v>
      </c>
      <c r="R137" t="n">
        <v>0</v>
      </c>
      <c r="S137">
        <f>IFERROR(O137/N137,0)</f>
        <v/>
      </c>
      <c r="T137" t="n">
        <v>0</v>
      </c>
      <c r="V137" t="n">
        <v>0</v>
      </c>
    </row>
    <row r="138">
      <c r="A138">
        <f>Skills!A21</f>
        <v/>
      </c>
      <c r="B138">
        <f>Skills!B21</f>
        <v/>
      </c>
      <c r="C138">
        <f>Inputs!$B$3&gt;=10</f>
        <v/>
      </c>
      <c r="D138">
        <f>IF(Skills!C21=1,60+Inputs!$B$25+Inputs!$B$29,IF(Skills!C21=2,90+Inputs!$B$26+Inputs!$B$29,IF(Skills!C21=3,120+Inputs!$B$27+Inputs!$B$29,MAX(0,(Inputs!$B$3-100)*3)+Inputs!$B$28+Inputs!$B$29)))</f>
        <v/>
      </c>
      <c r="E138">
        <f>INDEX(FactorTable!$B$2:$Y$301, MATCH(ROUND(MIN(300,MAX(1,D138)),0), FactorTable!$A$2:$A$301,0), Skills!M21+1)</f>
        <v/>
      </c>
      <c r="F138">
        <f>IF(Skills!N21=TRUE,(Skills!L21/10)*(E138/1000),Skills!L21/10)+Skills!O21</f>
        <v/>
      </c>
      <c r="G138">
        <f>Skills!G21*IF(Skills!H21&gt;0,Skills!I21/Skills!H21,1)</f>
        <v/>
      </c>
      <c r="H138">
        <f>1-(1-Skills!J21/100)^Skills!K21</f>
        <v/>
      </c>
      <c r="I138" t="inlineStr">
        <is>
          <t>1</t>
        </is>
      </c>
      <c r="J138" t="inlineStr"/>
      <c r="K138" t="inlineStr"/>
      <c r="L138" t="inlineStr"/>
      <c r="M138" t="inlineStr"/>
      <c r="N138" t="inlineStr"/>
      <c r="O138">
        <f>(1-Summary!$B$11)*T138+Summary!$B$11*V138</f>
        <v/>
      </c>
      <c r="P138">
        <f>IF(B160=0,0,O138/B160)</f>
        <v/>
      </c>
      <c r="Q138" t="n">
        <v>0</v>
      </c>
      <c r="R138" t="n">
        <v>0</v>
      </c>
      <c r="S138">
        <f>IFERROR(O138/N138,0)</f>
        <v/>
      </c>
      <c r="T138" t="n">
        <v>0</v>
      </c>
      <c r="V138" t="n">
        <v>0</v>
      </c>
    </row>
    <row r="139">
      <c r="A139">
        <f>Skills!A22</f>
        <v/>
      </c>
      <c r="B139">
        <f>Skills!B22</f>
        <v/>
      </c>
      <c r="C139">
        <f>Inputs!$B$3&gt;=33</f>
        <v/>
      </c>
      <c r="D139">
        <f>IF(Skills!C22=1,60+Inputs!$B$25+Inputs!$B$29,IF(Skills!C22=2,90+Inputs!$B$26+Inputs!$B$29,IF(Skills!C22=3,120+Inputs!$B$27+Inputs!$B$29,MAX(0,(Inputs!$B$3-100)*3)+Inputs!$B$28+Inputs!$B$29)))</f>
        <v/>
      </c>
      <c r="E139">
        <f>INDEX(FactorTable!$B$2:$Y$301, MATCH(ROUND(MIN(300,MAX(1,D139)),0), FactorTable!$A$2:$A$301,0), Skills!M22+1)</f>
        <v/>
      </c>
      <c r="F139">
        <f>IF(Skills!N22=TRUE,(Skills!L22/10)*(E139/1000),Skills!L22/10)+Skills!O22</f>
        <v/>
      </c>
      <c r="G139">
        <f>Skills!G22*IF(Skills!H22&gt;0,Skills!I22/Skills!H22,1)</f>
        <v/>
      </c>
      <c r="H139">
        <f>1-(1-Skills!J22/100)^Skills!K22</f>
        <v/>
      </c>
      <c r="I139" t="inlineStr">
        <is>
          <t>1</t>
        </is>
      </c>
      <c r="J139" t="inlineStr"/>
      <c r="K139" t="inlineStr"/>
      <c r="L139" t="inlineStr"/>
      <c r="M139" t="inlineStr"/>
      <c r="N139" t="inlineStr"/>
      <c r="O139">
        <f>(1-Summary!$B$11)*T139+Summary!$B$11*V139</f>
        <v/>
      </c>
      <c r="P139">
        <f>IF(B160=0,0,O139/B160)</f>
        <v/>
      </c>
      <c r="Q139" t="n">
        <v>0</v>
      </c>
      <c r="R139" t="n">
        <v>0</v>
      </c>
      <c r="S139">
        <f>IFERROR(O139/N139,0)</f>
        <v/>
      </c>
      <c r="T139" t="n">
        <v>0</v>
      </c>
      <c r="V139" t="n">
        <v>0</v>
      </c>
    </row>
    <row r="140">
      <c r="A140">
        <f>Skills!A23</f>
        <v/>
      </c>
      <c r="B140">
        <f>Skills!B23</f>
        <v/>
      </c>
      <c r="C140">
        <f>Inputs!$B$3&gt;=38</f>
        <v/>
      </c>
      <c r="D140">
        <f>IF(Skills!C23=1,60+Inputs!$B$25+Inputs!$B$29,IF(Skills!C23=2,90+Inputs!$B$26+Inputs!$B$29,IF(Skills!C23=3,120+Inputs!$B$27+Inputs!$B$29,MAX(0,(Inputs!$B$3-100)*3)+Inputs!$B$28+Inputs!$B$29)))</f>
        <v/>
      </c>
      <c r="E140">
        <f>INDEX(FactorTable!$B$2:$Y$301, MATCH(ROUND(MIN(300,MAX(1,D140)),0), FactorTable!$A$2:$A$301,0), Skills!M23+1)</f>
        <v/>
      </c>
      <c r="F140">
        <f>IF(Skills!N23=TRUE,(Skills!L23/10)*(E140/1000),Skills!L23/10)+Skills!O23</f>
        <v/>
      </c>
      <c r="G140">
        <f>Skills!G23*IF(Skills!H23&gt;0,Skills!I23/Skills!H23,1)</f>
        <v/>
      </c>
      <c r="H140">
        <f>1-(1-Skills!J23/100)^Skills!K23</f>
        <v/>
      </c>
      <c r="I140" t="inlineStr">
        <is>
          <t>1</t>
        </is>
      </c>
      <c r="J140" t="inlineStr"/>
      <c r="K140" t="inlineStr"/>
      <c r="L140" t="inlineStr"/>
      <c r="M140" t="inlineStr"/>
      <c r="N140" t="inlineStr"/>
      <c r="O140">
        <f>(1-Summary!$B$11)*T140+Summary!$B$11*V140</f>
        <v/>
      </c>
      <c r="P140">
        <f>IF(B160=0,0,O140/B160)</f>
        <v/>
      </c>
      <c r="Q140" t="n">
        <v>0</v>
      </c>
      <c r="R140" t="n">
        <v>0</v>
      </c>
      <c r="S140">
        <f>IFERROR(O140/N140,0)</f>
        <v/>
      </c>
      <c r="T140" t="n">
        <v>0</v>
      </c>
      <c r="V140" t="n">
        <v>0</v>
      </c>
    </row>
    <row r="141">
      <c r="A141">
        <f>Skills!A24</f>
        <v/>
      </c>
      <c r="B141">
        <f>Skills!B24</f>
        <v/>
      </c>
      <c r="C141">
        <f>Inputs!$B$3&gt;=43</f>
        <v/>
      </c>
      <c r="D141">
        <f>IF(Skills!C24=1,60+Inputs!$B$25+Inputs!$B$29,IF(Skills!C24=2,90+Inputs!$B$26+Inputs!$B$29,IF(Skills!C24=3,120+Inputs!$B$27+Inputs!$B$29,MAX(0,(Inputs!$B$3-100)*3)+Inputs!$B$28+Inputs!$B$29)))</f>
        <v/>
      </c>
      <c r="E141">
        <f>INDEX(FactorTable!$B$2:$Y$301, MATCH(ROUND(MIN(300,MAX(1,D141)),0), FactorTable!$A$2:$A$301,0), Skills!M24+1)</f>
        <v/>
      </c>
      <c r="F141">
        <f>IF(Skills!N24=TRUE,(Skills!L24/10)*(E141/1000),Skills!L24/10)+Skills!O24</f>
        <v/>
      </c>
      <c r="G141">
        <f>Skills!G24*IF(Skills!H24&gt;0,Skills!I24/Skills!H24,1)</f>
        <v/>
      </c>
      <c r="H141">
        <f>1-(1-Skills!J24/100)^Skills!K24</f>
        <v/>
      </c>
      <c r="I141" t="inlineStr">
        <is>
          <t>1</t>
        </is>
      </c>
      <c r="J141" t="inlineStr"/>
      <c r="K141" t="inlineStr"/>
      <c r="L141" t="inlineStr"/>
      <c r="M141" t="inlineStr"/>
      <c r="N141" t="inlineStr"/>
      <c r="O141">
        <f>(1-Summary!$B$11)*T141+Summary!$B$11*V141</f>
        <v/>
      </c>
      <c r="P141">
        <f>IF(B160=0,0,O141/B160)</f>
        <v/>
      </c>
      <c r="Q141" t="n">
        <v>0</v>
      </c>
      <c r="R141" t="n">
        <v>0</v>
      </c>
      <c r="S141">
        <f>IFERROR(O141/N141,0)</f>
        <v/>
      </c>
      <c r="T141" t="n">
        <v>0</v>
      </c>
      <c r="V141" t="n">
        <v>0</v>
      </c>
    </row>
    <row r="142">
      <c r="A142">
        <f>Skills!A25</f>
        <v/>
      </c>
      <c r="B142">
        <f>Skills!B25</f>
        <v/>
      </c>
      <c r="C142">
        <f>Inputs!$B$3&gt;=75</f>
        <v/>
      </c>
      <c r="D142">
        <f>IF(Skills!C25=1,60+Inputs!$B$25+Inputs!$B$29,IF(Skills!C25=2,90+Inputs!$B$26+Inputs!$B$29,IF(Skills!C25=3,120+Inputs!$B$27+Inputs!$B$29,MAX(0,(Inputs!$B$3-100)*3)+Inputs!$B$28+Inputs!$B$29)))</f>
        <v/>
      </c>
      <c r="E142">
        <f>INDEX(FactorTable!$B$2:$Y$301, MATCH(ROUND(MIN(300,MAX(1,D142)),0), FactorTable!$A$2:$A$301,0), Skills!M25+1)</f>
        <v/>
      </c>
      <c r="F142">
        <f>IF(Skills!N25=TRUE,(Skills!L25/10)*(E142/1000),Skills!L25/10)+Skills!O25</f>
        <v/>
      </c>
      <c r="G142">
        <f>Skills!G25*IF(Skills!H25&gt;0,Skills!I25/Skills!H25,1)</f>
        <v/>
      </c>
      <c r="H142">
        <f>1-(1-Skills!J25/100)^Skills!K25</f>
        <v/>
      </c>
      <c r="I142" t="inlineStr">
        <is>
          <t>1</t>
        </is>
      </c>
      <c r="J142" t="inlineStr"/>
      <c r="K142" t="inlineStr"/>
      <c r="L142" t="inlineStr"/>
      <c r="M142" t="inlineStr"/>
      <c r="N142" t="inlineStr"/>
      <c r="O142">
        <f>(1-Summary!$B$11)*T142+Summary!$B$11*V142</f>
        <v/>
      </c>
      <c r="P142">
        <f>IF(B160=0,0,O142/B160)</f>
        <v/>
      </c>
      <c r="Q142" t="n">
        <v>0</v>
      </c>
      <c r="R142" t="n">
        <v>0</v>
      </c>
      <c r="S142">
        <f>IFERROR(O142/N142,0)</f>
        <v/>
      </c>
      <c r="T142" t="n">
        <v>0</v>
      </c>
      <c r="V142" t="n">
        <v>0</v>
      </c>
    </row>
    <row r="143">
      <c r="A143">
        <f>Skills!A26</f>
        <v/>
      </c>
      <c r="B143">
        <f>Skills!B26</f>
        <v/>
      </c>
      <c r="C143">
        <f>Inputs!$B$3&gt;=125</f>
        <v/>
      </c>
      <c r="D143">
        <f>IF(Skills!C26=1,60+Inputs!$B$25+Inputs!$B$29,IF(Skills!C26=2,90+Inputs!$B$26+Inputs!$B$29,IF(Skills!C26=3,120+Inputs!$B$27+Inputs!$B$29,MAX(0,(Inputs!$B$3-100)*3)+Inputs!$B$28+Inputs!$B$29)))</f>
        <v/>
      </c>
      <c r="E143">
        <f>INDEX(FactorTable!$B$2:$Y$301, MATCH(ROUND(MIN(300,MAX(1,D143)),0), FactorTable!$A$2:$A$301,0), Skills!M26+1)</f>
        <v/>
      </c>
      <c r="F143">
        <f>IF(Skills!N26=TRUE,(Skills!L26/10)*(E143/1000),Skills!L26/10)+Skills!O26</f>
        <v/>
      </c>
      <c r="G143">
        <f>Skills!G26*IF(Skills!H26&gt;0,Skills!I26/Skills!H26,1)</f>
        <v/>
      </c>
      <c r="H143">
        <f>1-(1-Skills!J26/100)^Skills!K26</f>
        <v/>
      </c>
      <c r="I143" t="inlineStr">
        <is>
          <t>1</t>
        </is>
      </c>
      <c r="J143" t="inlineStr"/>
      <c r="K143" t="inlineStr"/>
      <c r="L143" t="inlineStr"/>
      <c r="M143" t="inlineStr"/>
      <c r="N143" t="inlineStr"/>
      <c r="O143">
        <f>(1-Summary!$B$11)*T143+Summary!$B$11*V143</f>
        <v/>
      </c>
      <c r="P143">
        <f>IF(B160=0,0,O143/B160)</f>
        <v/>
      </c>
      <c r="Q143" t="n">
        <v>0</v>
      </c>
      <c r="R143" t="n">
        <v>0</v>
      </c>
      <c r="S143">
        <f>IFERROR(O143/N143,0)</f>
        <v/>
      </c>
      <c r="T143" t="n">
        <v>0</v>
      </c>
      <c r="V143" t="n">
        <v>0</v>
      </c>
    </row>
    <row r="144">
      <c r="A144">
        <f>Skills!A27</f>
        <v/>
      </c>
      <c r="B144">
        <f>Skills!B27</f>
        <v/>
      </c>
      <c r="C144">
        <f>Inputs!$B$3&gt;=125</f>
        <v/>
      </c>
      <c r="D144">
        <f>IF(Skills!C27=1,60+Inputs!$B$25+Inputs!$B$29,IF(Skills!C27=2,90+Inputs!$B$26+Inputs!$B$29,IF(Skills!C27=3,120+Inputs!$B$27+Inputs!$B$29,MAX(0,(Inputs!$B$3-100)*3)+Inputs!$B$28+Inputs!$B$29)))</f>
        <v/>
      </c>
      <c r="E144">
        <f>INDEX(FactorTable!$B$2:$Y$301, MATCH(ROUND(MIN(300,MAX(1,D144)),0), FactorTable!$A$2:$A$301,0), Skills!M27+1)</f>
        <v/>
      </c>
      <c r="F144">
        <f>IF(Skills!N27=TRUE,(Skills!L27/10)*(E144/1000),Skills!L27/10)+Skills!O27</f>
        <v/>
      </c>
      <c r="G144">
        <f>Skills!G27*IF(Skills!H27&gt;0,Skills!I27/Skills!H27,1)</f>
        <v/>
      </c>
      <c r="H144">
        <f>1-(1-Skills!J27/100)^Skills!K27</f>
        <v/>
      </c>
      <c r="I144" t="inlineStr">
        <is>
          <t>1</t>
        </is>
      </c>
      <c r="J144" t="inlineStr"/>
      <c r="K144" t="inlineStr"/>
      <c r="L144" t="inlineStr"/>
      <c r="M144" t="inlineStr"/>
      <c r="N144" t="inlineStr"/>
      <c r="O144">
        <f>(1-Summary!$B$11)*T144+Summary!$B$11*V144</f>
        <v/>
      </c>
      <c r="P144">
        <f>IF(B160=0,0,O144/B160)</f>
        <v/>
      </c>
      <c r="Q144" t="n">
        <v>0</v>
      </c>
      <c r="R144" t="n">
        <v>0</v>
      </c>
      <c r="S144">
        <f>IFERROR(O144/N144,0)</f>
        <v/>
      </c>
      <c r="T144" t="n">
        <v>0</v>
      </c>
      <c r="V144" t="n">
        <v>0</v>
      </c>
    </row>
    <row r="145">
      <c r="A145">
        <f>Skills!A28</f>
        <v/>
      </c>
      <c r="B145">
        <f>Skills!B28</f>
        <v/>
      </c>
      <c r="C145">
        <f>Inputs!$B$3&gt;=120</f>
        <v/>
      </c>
      <c r="D145">
        <f>IF(Skills!C28=1,60+Inputs!$B$25+Inputs!$B$29,IF(Skills!C28=2,90+Inputs!$B$26+Inputs!$B$29,IF(Skills!C28=3,120+Inputs!$B$27+Inputs!$B$29,MAX(0,(Inputs!$B$3-100)*3)+Inputs!$B$28+Inputs!$B$29)))</f>
        <v/>
      </c>
      <c r="E145">
        <f>INDEX(FactorTable!$B$2:$Y$301, MATCH(ROUND(MIN(300,MAX(1,D145)),0), FactorTable!$A$2:$A$301,0), Skills!M28+1)</f>
        <v/>
      </c>
      <c r="F145">
        <f>IF(Skills!N28=TRUE,(Skills!L28/10)*(E145/1000),Skills!L28/10)+Skills!O28</f>
        <v/>
      </c>
      <c r="G145">
        <f>Skills!G28*IF(Skills!H28&gt;0,Skills!I28/Skills!H28,1)</f>
        <v/>
      </c>
      <c r="H145">
        <f>1-(1-Skills!J28/100)^Skills!K28</f>
        <v/>
      </c>
      <c r="I145" t="inlineStr">
        <is>
          <t>1</t>
        </is>
      </c>
      <c r="J145" t="inlineStr"/>
      <c r="K145" t="inlineStr"/>
      <c r="L145" t="inlineStr"/>
      <c r="M145" t="inlineStr"/>
      <c r="N145" t="inlineStr"/>
      <c r="O145">
        <f>(1-Summary!$B$11)*T145+Summary!$B$11*V145</f>
        <v/>
      </c>
      <c r="P145">
        <f>IF(B160=0,0,O145/B160)</f>
        <v/>
      </c>
      <c r="Q145" t="n">
        <v>0</v>
      </c>
      <c r="R145" t="n">
        <v>0</v>
      </c>
      <c r="S145">
        <f>IFERROR(O145/N145,0)</f>
        <v/>
      </c>
      <c r="T145" t="n">
        <v>0</v>
      </c>
      <c r="V145" t="n">
        <v>0</v>
      </c>
    </row>
    <row r="146">
      <c r="A146">
        <f>Skills!A29</f>
        <v/>
      </c>
      <c r="B146">
        <f>Skills!B29</f>
        <v/>
      </c>
      <c r="C146">
        <f>Inputs!$B$3&gt;=120</f>
        <v/>
      </c>
      <c r="D146">
        <f>IF(Skills!C29=1,60+Inputs!$B$25+Inputs!$B$29,IF(Skills!C29=2,90+Inputs!$B$26+Inputs!$B$29,IF(Skills!C29=3,120+Inputs!$B$27+Inputs!$B$29,MAX(0,(Inputs!$B$3-100)*3)+Inputs!$B$28+Inputs!$B$29)))</f>
        <v/>
      </c>
      <c r="E146">
        <f>INDEX(FactorTable!$B$2:$Y$301, MATCH(ROUND(MIN(300,MAX(1,D146)),0), FactorTable!$A$2:$A$301,0), Skills!M29+1)</f>
        <v/>
      </c>
      <c r="F146">
        <f>IF(Skills!N29=TRUE,(Skills!L29/10)*(E146/1000),Skills!L29/10)+Skills!O29</f>
        <v/>
      </c>
      <c r="G146">
        <f>Skills!G29*IF(Skills!H29&gt;0,Skills!I29/Skills!H29,1)</f>
        <v/>
      </c>
      <c r="H146">
        <f>1-(1-Skills!J29/100)^Skills!K29</f>
        <v/>
      </c>
      <c r="I146" t="inlineStr">
        <is>
          <t>1</t>
        </is>
      </c>
      <c r="J146" t="inlineStr"/>
      <c r="K146" t="inlineStr"/>
      <c r="L146" t="inlineStr"/>
      <c r="M146" t="inlineStr"/>
      <c r="N146" t="inlineStr"/>
      <c r="O146">
        <f>(1-Summary!$B$11)*T146+Summary!$B$11*V146</f>
        <v/>
      </c>
      <c r="P146">
        <f>IF(B160=0,0,O146/B160)</f>
        <v/>
      </c>
      <c r="Q146" t="n">
        <v>0</v>
      </c>
      <c r="R146" t="n">
        <v>0</v>
      </c>
      <c r="S146">
        <f>IFERROR(O146/N146,0)</f>
        <v/>
      </c>
      <c r="T146" t="n">
        <v>0</v>
      </c>
      <c r="V146" t="n">
        <v>0</v>
      </c>
    </row>
    <row r="147">
      <c r="A147">
        <f>Skills!A30</f>
        <v/>
      </c>
      <c r="B147">
        <f>Skills!B30</f>
        <v/>
      </c>
      <c r="C147">
        <f>Inputs!$B$3&gt;=45</f>
        <v/>
      </c>
      <c r="D147">
        <f>IF(Skills!C30=1,60+Inputs!$B$25+Inputs!$B$29,IF(Skills!C30=2,90+Inputs!$B$26+Inputs!$B$29,IF(Skills!C30=3,120+Inputs!$B$27+Inputs!$B$29,MAX(0,(Inputs!$B$3-100)*3)+Inputs!$B$28+Inputs!$B$29)))</f>
        <v/>
      </c>
      <c r="E147">
        <f>INDEX(FactorTable!$B$2:$Y$301, MATCH(ROUND(MIN(300,MAX(1,D147)),0), FactorTable!$A$2:$A$301,0), Skills!M30+1)</f>
        <v/>
      </c>
      <c r="F147">
        <f>IF(Skills!N30=TRUE,(Skills!L30/10)*(E147/1000),Skills!L30/10)+Skills!O30</f>
        <v/>
      </c>
      <c r="G147">
        <f>Skills!G30*IF(Skills!H30&gt;0,Skills!I30/Skills!H30,1)</f>
        <v/>
      </c>
      <c r="H147">
        <f>1-(1-Skills!J30/100)^Skills!K30</f>
        <v/>
      </c>
      <c r="I147" t="inlineStr">
        <is>
          <t>1</t>
        </is>
      </c>
      <c r="J147" t="inlineStr"/>
      <c r="K147" t="inlineStr"/>
      <c r="L147" t="inlineStr"/>
      <c r="M147" t="inlineStr"/>
      <c r="N147" t="inlineStr"/>
      <c r="O147">
        <f>(1-Summary!$B$11)*T147+Summary!$B$11*V147</f>
        <v/>
      </c>
      <c r="P147">
        <f>IF(B160=0,0,O147/B160)</f>
        <v/>
      </c>
      <c r="Q147" t="n">
        <v>0</v>
      </c>
      <c r="R147" t="n">
        <v>0</v>
      </c>
      <c r="S147">
        <f>IFERROR(O147/N147,0)</f>
        <v/>
      </c>
      <c r="T147" t="n">
        <v>0</v>
      </c>
      <c r="V147" t="n">
        <v>0</v>
      </c>
    </row>
    <row r="149">
      <c r="A149" t="inlineStr">
        <is>
          <t>Attack% Bucket Multiplier</t>
        </is>
      </c>
      <c r="B149">
        <f>(1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
      <c r="A150" t="inlineStr">
        <is>
          <t>Global Crit Rate Bonus %</t>
        </is>
      </c>
      <c r="B150">
        <f>(C133=TRUE)*20*IF(AND(Inputs!$B$38&lt;&gt;"pvp",Inputs!$B$43&gt;0),(((R133-1)*(Skills!T16*(1+Inputs!$B$34/100))+MIN((Skills!T16*(1+Inputs!$B$34/100)),MAX(0,Inputs!$B$43-((R133-1)*Skills!D16))))/Inputs!$B$43),IF(Inputs!$B$38="pvp",MIN((Skills!T16*(1+Inputs!$B$34/100)),15)/15,(Skills!T16*(1+Inputs!$B$34/100))/Skills!D16))</f>
        <v/>
      </c>
    </row>
    <row r="151">
      <c r="A151" t="inlineStr">
        <is>
          <t>Attack Speed Buff Bonus %</t>
        </is>
      </c>
      <c r="B151">
        <f>((C136=TRUE)*F136*IF(AND(Inputs!$B$38&lt;&gt;"pvp",Inputs!$B$43&gt;0),(((R136-1)*(Skills!T19*(1+Inputs!$B$34/100))+MIN((Skills!T19*(1+Inputs!$B$34/100)),MAX(0,Inputs!$B$43-((R136-1)*Skills!D19))))/Inputs!$B$43),IF(Inputs!$B$38="pvp",MIN((Skills!T19*(1+Inputs!$B$34/100)),15)/15,(Skills!T19*(1+Inputs!$B$34/100))/Skills!D19)))</f>
        <v/>
      </c>
    </row>
    <row r="152">
      <c r="A152" t="inlineStr">
        <is>
          <t>Actions Per Second</t>
        </is>
      </c>
      <c r="B152">
        <f>1+MIN(150,150*(1-(1-(Inputs!$B$11+((C138=TRUE)*(F138-Calc!F21))+((C139=TRUE)*(F139-Calc!F22)))/150)*(1-B151/150)))/100</f>
        <v/>
      </c>
    </row>
    <row r="153">
      <c r="A153" t="inlineStr">
        <is>
          <t>Skill + Buff Cast Rate</t>
        </is>
      </c>
      <c r="B153">
        <f>IF(AND(Inputs!$B$38&lt;&gt;"pvp",Inputs!$B$43&gt;0),SUMPRODUCT((Skills!E2:E30=TRUE)*(C119:C147=TRUE)*R119:R147*Skills!F2:F30)/Inputs!$B$43,SUMPRODUCT((Skills!E2:E30=TRUE)*(C119:C147=TRUE)*Q119:Q147*Skills!F2:F30))</f>
        <v/>
      </c>
    </row>
    <row r="154">
      <c r="A154" t="inlineStr">
        <is>
          <t>Arrow Stream Casts Per Second</t>
        </is>
      </c>
      <c r="B154">
        <f>MAX(0,B152-B153)</f>
        <v/>
      </c>
    </row>
    <row r="155">
      <c r="A155" t="inlineStr">
        <is>
          <t>Global Critical Damage Bonus % (Sharp Eyes + Concentration)</t>
        </is>
      </c>
      <c r="B155">
        <f>(C133=TRUE)*F133*IF(AND(Inputs!$B$38&lt;&gt;"pvp",Inputs!$B$43&gt;0),(((R133-1)*(Skills!T16*(1+Inputs!$B$34/100))+MIN((Skills!T16*(1+Inputs!$B$34/100)),MAX(0,Inputs!$B$43-((R133-1)*Skills!D16))))/Inputs!$B$43),IF(Inputs!$B$38="pvp",MIN((Skills!T16*(1+Inputs!$B$34/100)),15)/15,(Skills!T16*(1+Inputs!$B$34/100))/Skills!D16))+(C134=TRUE)*30</f>
        <v/>
      </c>
    </row>
    <row r="156">
      <c r="A156" t="inlineStr">
        <is>
          <t>Global Final Damage Bonus % (Mortal Blow)</t>
        </is>
      </c>
      <c r="B156">
        <f>(C135=TRUE)*F135</f>
        <v/>
      </c>
    </row>
    <row r="157">
      <c r="A157" t="inlineStr">
        <is>
          <t>Buff-Casting Startup Delay (s, fixed-duration only)</t>
        </is>
      </c>
      <c r="B157">
        <f>IF(AND(Inputs!$B$38&lt;&gt;"pvp",Inputs!$B$43&gt;0),SUMPRODUCT((Skills!T2:T30&gt;0)*(Skills!E2:E30=TRUE)*(C119:C147=TRUE))/B152,0)</f>
        <v/>
      </c>
    </row>
    <row r="158">
      <c r="A158" t="inlineStr">
        <is>
          <t>Boss-Only Total DPS (this block's swept value)</t>
        </is>
      </c>
      <c r="B158">
        <f>SUM(T119:T147)</f>
        <v/>
      </c>
    </row>
    <row r="159">
      <c r="A159" t="inlineStr">
        <is>
          <t>Normal-Only Total DPS (this block's swept value)</t>
        </is>
      </c>
      <c r="B159">
        <f>SUM(V119:V147)</f>
        <v/>
      </c>
    </row>
    <row r="160">
      <c r="A160" s="6" t="inlineStr">
        <is>
          <t>TOTAL DPS</t>
        </is>
      </c>
      <c r="B160" s="6">
        <f>SUM(O119:O147)</f>
        <v/>
      </c>
    </row>
    <row r="163">
      <c r="A163" s="6" t="inlineStr">
        <is>
          <t>Stat: STR</t>
        </is>
      </c>
    </row>
    <row r="164">
      <c r="A164" s="5" t="inlineStr">
        <is>
          <t>Key</t>
        </is>
      </c>
      <c r="B164" s="5" t="inlineStr">
        <is>
          <t>Name</t>
        </is>
      </c>
      <c r="C164" s="5" t="inlineStr">
        <is>
          <t>Unlocked</t>
        </is>
      </c>
      <c r="D164" s="5" t="inlineStr">
        <is>
          <t>InputLevel</t>
        </is>
      </c>
      <c r="E164" s="5" t="inlineStr">
        <is>
          <t>Factor</t>
        </is>
      </c>
      <c r="F164" s="5" t="inlineStr">
        <is>
          <t>CoefficientPercent</t>
        </is>
      </c>
      <c r="G164" s="5" t="inlineStr">
        <is>
          <t>EffectiveHits</t>
        </is>
      </c>
      <c r="H164" s="5" t="inlineStr">
        <is>
          <t>ProcProbability</t>
        </is>
      </c>
      <c r="I164" s="5" t="inlineStr">
        <is>
          <t>MapleHeroMultiplier</t>
        </is>
      </c>
      <c r="J164" s="5" t="inlineStr">
        <is>
          <t>BaseDamage</t>
        </is>
      </c>
      <c r="K164" s="5" t="inlineStr">
        <is>
          <t>BaseHitDamage</t>
        </is>
      </c>
      <c r="L164" s="5" t="inlineStr">
        <is>
          <t>NonCritAvg</t>
        </is>
      </c>
      <c r="M164" s="5" t="inlineStr">
        <is>
          <t>CritAvg</t>
        </is>
      </c>
      <c r="N164" s="5" t="inlineStr">
        <is>
          <t>ExpectedDamage(perHit)</t>
        </is>
      </c>
      <c r="O164" s="5" t="inlineStr">
        <is>
          <t>DPS</t>
        </is>
      </c>
      <c r="P164" s="5" t="inlineStr">
        <is>
          <t>% of Total</t>
        </is>
      </c>
      <c r="Q164" s="5" t="inlineStr">
        <is>
          <t>InvCooldown</t>
        </is>
      </c>
      <c r="R164" s="5" t="inlineStr">
        <is>
          <t>CastsInFight</t>
        </is>
      </c>
      <c r="S164" s="5" t="inlineStr">
        <is>
          <t>HitRate(perSec)</t>
        </is>
      </c>
      <c r="U164" t="inlineStr">
        <is>
          <t>helpers</t>
        </is>
      </c>
    </row>
    <row r="165">
      <c r="A165">
        <f>Skills!A2</f>
        <v/>
      </c>
      <c r="B165">
        <f>Skills!B2</f>
        <v/>
      </c>
      <c r="C165">
        <f>Inputs!$B$3&gt;=100</f>
        <v/>
      </c>
      <c r="D165" t="inlineStr"/>
      <c r="E165" t="inlineStr"/>
      <c r="F165">
        <f>U167+Skills!O2</f>
        <v/>
      </c>
      <c r="G165">
        <f>Skills!G2*IF(Skills!H2&gt;0,Skills!I2/Skills!H2,1)</f>
        <v/>
      </c>
      <c r="H165">
        <f>1-(1-Skills!J2/100)^Skills!K2</f>
        <v/>
      </c>
      <c r="I165" t="inlineStr">
        <is>
          <t>1</t>
        </is>
      </c>
      <c r="J165">
        <f>((Inputs!$B$6*(1+Inputs!$B$7/100))+(((Inputs!$B$12*(1+Inputs!$B$13/100))-(Inputs!$B$12*(1+Inputs!$B$13/100)))+0.25*((Inputs!$B$14+1)-Inputs!$B$14))*(1+Inputs!$B$7/100))*(F165/100)</f>
        <v/>
      </c>
      <c r="K165">
        <f>J165*(1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187=TRUE)*(F187-Calc!F24)),(Inputs!$B$23+((C192=TRUE)*(F192-Calc!F29))+(IF(ArtifactsInput!$M$15,CHOOSE(ArtifactsInput!$N$15+1,25,30,35,40,45,50)/100*(Inputs!$B$11-Inputs!$B$11),0))))/100+(Inputs!$B$23+((C192=TRUE)*(F192-Calc!F29))+(IF(ArtifactsInput!$M$15,CHOOSE(ArtifactsInput!$N$15+1,25,30,35,40,45,50)/100*(Inputs!$B$11-Inputs!$B$11),0)))/100)/2</f>
        <v/>
      </c>
      <c r="M165">
        <f>L165*(1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IF(B206=0,0,O165/B206)</f>
        <v/>
      </c>
      <c r="Q165" t="n">
        <v>0</v>
      </c>
      <c r="R165" t="n">
        <v>0</v>
      </c>
      <c r="S165">
        <f>IFERROR(O165/N165,0)</f>
        <v/>
      </c>
      <c r="T165">
        <f>IF(C165,(Skills!G2*N165*B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165*(1-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MAX(0,(Inputs!$B$3-100)*3)+Inputs!$B$28+Inputs!$B$29</f>
        <v/>
      </c>
      <c r="V165">
        <f>IF(C165,(Skills!G2*N165*B200)*IF(Inputs!$B$38="pvp",1,(1+(Inputs!$B$21+Skills!Q2+(IF(ArtifactsInput!$M$33,CHOOSE(ArtifactsInput!$N$33+1,30,36,42,48,54,60),0))+(IF(AND(ArtifactsInput!$M$35,Inputs!$B$4&lt;&gt;"Chapter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Skills!A3</f>
        <v/>
      </c>
      <c r="B166">
        <f>Skills!B3</f>
        <v/>
      </c>
      <c r="C166">
        <f>Inputs!$B$3&gt;=50</f>
        <v/>
      </c>
      <c r="D166">
        <f>IF(Skills!C3=1,60+Inputs!$B$25+Inputs!$B$29,IF(Skills!C3=2,90+Inputs!$B$26+Inputs!$B$29,IF(Skills!C3=3,120+Inputs!$B$27+Inputs!$B$29,MAX(0,(Inputs!$B$3-100)*3)+Inputs!$B$28+Inputs!$B$29)))</f>
        <v/>
      </c>
      <c r="E166">
        <f>INDEX(FactorTable!$B$2:$Y$301, MATCH(ROUND(MIN(300,MAX(1,D166)),0), FactorTable!$A$2:$A$301,0), Skills!M3+1)</f>
        <v/>
      </c>
      <c r="F166">
        <f>IF(Skills!N3=TRUE,(Skills!L3/10)*(E166/1000),Skills!L3/10)+Skills!O3</f>
        <v/>
      </c>
      <c r="G166" t="inlineStr"/>
      <c r="H166" t="inlineStr"/>
      <c r="I166" t="inlineStr">
        <is>
          <t>1</t>
        </is>
      </c>
      <c r="J166" t="inlineStr"/>
      <c r="K166" t="inlineStr"/>
      <c r="L166" t="inlineStr"/>
      <c r="M166" t="inlineStr"/>
      <c r="N166" t="inlineStr"/>
      <c r="O166" t="inlineStr"/>
      <c r="P166" t="inlineStr"/>
      <c r="Q166" t="inlineStr"/>
      <c r="R166" t="inlineStr"/>
      <c r="S166" t="inlineStr"/>
      <c r="T166" t="inlineStr"/>
      <c r="U166">
        <f>INDEX(FactorTable!$B$2:$Y$301, MATCH(ROUND(MIN(300,MAX(1,U165)),0), FactorTable!$A$2:$A$301,0), 22)</f>
        <v/>
      </c>
      <c r="V166" t="inlineStr"/>
    </row>
    <row r="167">
      <c r="A167">
        <f>Skills!A4</f>
        <v/>
      </c>
      <c r="B167">
        <f>Skills!B4</f>
        <v/>
      </c>
      <c r="C167">
        <f>Inputs!$B$3&gt;=105</f>
        <v/>
      </c>
      <c r="D167">
        <f>IF(Skills!C4=1,60+Inputs!$B$25+Inputs!$B$29,IF(Skills!C4=2,90+Inputs!$B$26+Inputs!$B$29,IF(Skills!C4=3,120+Inputs!$B$27+Inputs!$B$29,MAX(0,(Inputs!$B$3-100)*3)+Inputs!$B$28+Inputs!$B$29)))</f>
        <v/>
      </c>
      <c r="E167">
        <f>INDEX(FactorTable!$B$2:$Y$301, MATCH(ROUND(MIN(300,MAX(1,D167)),0), FactorTable!$A$2:$A$301,0), Skills!M4+1)</f>
        <v/>
      </c>
      <c r="F167">
        <f>IF(Skills!N4=TRUE,(Skills!L4/10)*(E167/1000),Skills!L4/10)+Skills!O4</f>
        <v/>
      </c>
      <c r="G167" t="inlineStr"/>
      <c r="H167" t="inlineStr"/>
      <c r="I167" t="inlineStr">
        <is>
          <t>1</t>
        </is>
      </c>
      <c r="J167" t="inlineStr"/>
      <c r="K167" t="inlineStr"/>
      <c r="L167" t="inlineStr"/>
      <c r="M167" t="inlineStr"/>
      <c r="N167" t="inlineStr"/>
      <c r="O167" t="inlineStr"/>
      <c r="P167" t="inlineStr"/>
      <c r="Q167" t="inlineStr"/>
      <c r="R167" t="inlineStr"/>
      <c r="S167" t="inlineStr"/>
      <c r="T167" t="inlineStr"/>
      <c r="U167">
        <f>290*U166/1000</f>
        <v/>
      </c>
      <c r="V167" t="inlineStr"/>
    </row>
    <row r="168">
      <c r="A168">
        <f>Skills!A5</f>
        <v/>
      </c>
      <c r="B168">
        <f>Skills!B5</f>
        <v/>
      </c>
      <c r="C168">
        <f>Inputs!$B$3&gt;=35</f>
        <v/>
      </c>
      <c r="D168">
        <f>IF(Skills!C5=1,60+Inputs!$B$25+Inputs!$B$29,IF(Skills!C5=2,90+Inputs!$B$26+Inputs!$B$29,IF(Skills!C5=3,120+Inputs!$B$27+Inputs!$B$29,MAX(0,(Inputs!$B$3-100)*3)+Inputs!$B$28+Inputs!$B$29)))</f>
        <v/>
      </c>
      <c r="E168">
        <f>INDEX(FactorTable!$B$2:$Y$301, MATCH(ROUND(MIN(300,MAX(1,D168)),0), FactorTable!$A$2:$A$301,0), Skills!M5+1)</f>
        <v/>
      </c>
      <c r="F168">
        <f>IF(Skills!N5=TRUE,(Skills!L5/10)*(E168/1000),Skills!L5/10)+Skills!O5</f>
        <v/>
      </c>
      <c r="G168">
        <f>Skills!G5*IF(Skills!H5&gt;0,Skills!I5/Skills!H5,1)</f>
        <v/>
      </c>
      <c r="H168">
        <f>1-(1-Skills!J5/100)^Skills!K5</f>
        <v/>
      </c>
      <c r="I168" t="inlineStr">
        <is>
          <t>1</t>
        </is>
      </c>
      <c r="J168">
        <f>((Inputs!$B$6*(1+Inputs!$B$7/100))+(((Inputs!$B$12*(1+Inputs!$B$13/100))-(Inputs!$B$12*(1+Inputs!$B$13/100)))+0.25*((Inputs!$B$14+1)-Inputs!$B$14))*(1+Inputs!$B$7/100))*(F168/100)</f>
        <v/>
      </c>
      <c r="K168">
        <f>J168*(1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173=TRUE,F173,0)/100)*(1+(IF(Skills!A5="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187=TRUE)*(F187-Calc!F24)),(Inputs!$B$23+((C192=TRUE)*(F192-Calc!F29))+(IF(ArtifactsInput!$M$15,CHOOSE(ArtifactsInput!$N$15+1,25,30,35,40,45,50)/100*(Inputs!$B$11-Inputs!$B$11),0))))/100+(Inputs!$B$23+((C192=TRUE)*(F192-Calc!F29))+(IF(ArtifactsInput!$M$15,CHOOSE(ArtifactsInput!$N$15+1,25,30,35,40,45,50)/100*(Inputs!$B$11-Inputs!$B$11),0)))/100)/2</f>
        <v/>
      </c>
      <c r="M168">
        <f>L168*(1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IF(B206=0,0,O168/B206)</f>
        <v/>
      </c>
      <c r="Q168">
        <f>IFERROR(1/(IF(Inputs!$B$38="pvp",15,MAX(0.1,Skills!D5-IF(Skills!E5=TRUE,Inputs!$B$32,0)))*(1-IF(AND(ArtifactsInput!$M$27,Inputs!$B$4="Chapter Hunt"),CHOOSE(ArtifactsInput!$N$27+1,20,24,28,32,36,40),0)/100)),0)</f>
        <v/>
      </c>
      <c r="R168">
        <f>IF(AND(Inputs!$B$38&lt;&gt;"pvp",Inputs!$B$43&gt;0),IF(MAX(0,Inputs!$B$43-B203)&lt;=0,0,(INT(MAX(0,Inputs!$B$43-B203)/(IF(Inputs!$B$38="pvp",15,MAX(0.1,Skills!D5-IF(Skills!E5=TRUE,Inputs!$B$32,0)))*(1-IF(AND(ArtifactsInput!$M$27,Inputs!$B$4="Chapter Hunt"),CHOOSE(ArtifactsInput!$N$27+1,20,24,28,32,36,40),0)/100)))+1)),0)</f>
        <v/>
      </c>
      <c r="S168">
        <f>IFERROR(O168/N168,0)</f>
        <v/>
      </c>
      <c r="T168">
        <f>IF(C168,(H168*N168*IF(AND(Inputs!$B$38&lt;&gt;"pvp",Inputs!$B$43&gt;0),((Skills!G5*((R168-1)*IF(Skills!H5&gt;0,Skills!I5/Skills!H5,1)+IF(Skills!H5&gt;0,MIN(Skills!I5,MAX(0,MAX(0,Inputs!$B$43-B203)-((R168-1)*(IF(Inputs!$B$38="pvp",15,MAX(0.1,Skills!D5-IF(Skills!E5=TRUE,Inputs!$B$32,0)))*(1-IF(AND(ArtifactsInput!$M$27,Inputs!$B$4="Chapter Hunt"),CHOOSE(ArtifactsInput!$N$27+1,20,24,28,32,36,40),0)/100)))))/Skills!H5,1)))/Inputs!$B$43),G168*Q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168*(1-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5*((R168-1)*IF(Skills!H5&gt;0,Skills!I5/Skills!H5,1)+IF(Skills!H5&gt;0,MIN(Skills!I5,MAX(0,MAX(0,Inputs!$B$43-B203)-((R168-1)*(IF(Inputs!$B$38="pvp",15,MAX(0.1,Skills!D5-IF(Skills!E5=TRUE,Inputs!$B$32,0)))*(1-IF(AND(ArtifactsInput!$M$27,Inputs!$B$4="Chapter Hunt"),CHOOSE(ArtifactsInput!$N$27+1,20,24,28,32,36,40),0)/100)))))/Skills!H5,1)))/Inputs!$B$43),G168*Q168))*IF(Inputs!$B$38="pvp",1,(1+(Inputs!$B$21+Skills!Q5+(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Skills!A6</f>
        <v/>
      </c>
      <c r="B169">
        <f>Skills!B6</f>
        <v/>
      </c>
      <c r="C169">
        <f>Inputs!$B$3&gt;=40</f>
        <v/>
      </c>
      <c r="D169">
        <f>IF(Skills!C6=1,60+Inputs!$B$25+Inputs!$B$29,IF(Skills!C6=2,90+Inputs!$B$26+Inputs!$B$29,IF(Skills!C6=3,120+Inputs!$B$27+Inputs!$B$29,MAX(0,(Inputs!$B$3-100)*3)+Inputs!$B$28+Inputs!$B$29)))</f>
        <v/>
      </c>
      <c r="E169">
        <f>INDEX(FactorTable!$B$2:$Y$301, MATCH(ROUND(MIN(300,MAX(1,D169)),0), FactorTable!$A$2:$A$301,0), Skills!M6+1)</f>
        <v/>
      </c>
      <c r="F169">
        <f>IF(Skills!N6=TRUE,(Skills!L6/10)*(E169/1000),Skills!L6/10)+Skills!O6</f>
        <v/>
      </c>
      <c r="G169">
        <f>Skills!G6*IF(Skills!H6&gt;0,Skills!I6/Skills!H6,1)</f>
        <v/>
      </c>
      <c r="H169">
        <f>1-(1-Skills!J6/100)^Skills!K6</f>
        <v/>
      </c>
      <c r="I169" t="inlineStr">
        <is>
          <t>1</t>
        </is>
      </c>
      <c r="J169">
        <f>((Inputs!$B$6*(1+Inputs!$B$7/100))+(((Inputs!$B$12*(1+Inputs!$B$13/100))-(Inputs!$B$12*(1+Inputs!$B$13/100)))+0.25*((Inputs!$B$14+1)-Inputs!$B$14))*(1+Inputs!$B$7/100))*(F169/100)</f>
        <v/>
      </c>
      <c r="K169">
        <f>J169*(1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170=TRUE,F170,0)/100)*(1+(IF(Skills!A6="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187=TRUE)*(F187-Calc!F24)),(Inputs!$B$23+((C192=TRUE)*(F192-Calc!F29))+(IF(ArtifactsInput!$M$15,CHOOSE(ArtifactsInput!$N$15+1,25,30,35,40,45,50)/100*(Inputs!$B$11-Inputs!$B$11),0))))/100+(Inputs!$B$23+((C192=TRUE)*(F192-Calc!F29))+(IF(ArtifactsInput!$M$15,CHOOSE(ArtifactsInput!$N$15+1,25,30,35,40,45,50)/100*(Inputs!$B$11-Inputs!$B$11),0)))/100)/2</f>
        <v/>
      </c>
      <c r="M169">
        <f>L169*(1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IF(B206=0,0,O169/B206)</f>
        <v/>
      </c>
      <c r="Q169">
        <f>IFERROR(1/(IF(Inputs!$B$38="pvp",15,MAX(0.1,Skills!D6-IF(Skills!E6=TRUE,Inputs!$B$32,0)))*(1-IF(AND(ArtifactsInput!$M$27,Inputs!$B$4="Chapter Hunt"),CHOOSE(ArtifactsInput!$N$27+1,20,24,28,32,36,40),0)/100)),0)</f>
        <v/>
      </c>
      <c r="R169">
        <f>IF(AND(Inputs!$B$38&lt;&gt;"pvp",Inputs!$B$43&gt;0),IF(MAX(0,Inputs!$B$43-B203)&lt;=0,0,(INT(MAX(0,Inputs!$B$43-B203)/(IF(Inputs!$B$38="pvp",15,MAX(0.1,Skills!D6-IF(Skills!E6=TRUE,Inputs!$B$32,0)))*(1-IF(AND(ArtifactsInput!$M$27,Inputs!$B$4="Chapter Hunt"),CHOOSE(ArtifactsInput!$N$27+1,20,24,28,32,36,40),0)/100)))+1)),0)</f>
        <v/>
      </c>
      <c r="S169">
        <f>IFERROR(O169/N169,0)</f>
        <v/>
      </c>
      <c r="T169">
        <f>IF(C169,(H169*N169*IF(AND(Inputs!$B$38&lt;&gt;"pvp",Inputs!$B$43&gt;0),((Skills!G6*((R169-1)*IF(Skills!H6&gt;0,Skills!I6/Skills!H6,1)+IF(Skills!H6&gt;0,MIN(Skills!I6,MAX(0,MAX(0,Inputs!$B$43-B203)-((R169-1)*(IF(Inputs!$B$38="pvp",15,MAX(0.1,Skills!D6-IF(Skills!E6=TRUE,Inputs!$B$32,0)))*(1-IF(AND(ArtifactsInput!$M$27,Inputs!$B$4="Chapter Hunt"),CHOOSE(ArtifactsInput!$N$27+1,20,24,28,32,36,40),0)/100)))))/Skills!H6,1)))/Inputs!$B$43),G169*Q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169*(1-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6*((R169-1)*IF(Skills!H6&gt;0,Skills!I6/Skills!H6,1)+IF(Skills!H6&gt;0,MIN(Skills!I6,MAX(0,MAX(0,Inputs!$B$43-B203)-((R169-1)*(IF(Inputs!$B$38="pvp",15,MAX(0.1,Skills!D6-IF(Skills!E6=TRUE,Inputs!$B$32,0)))*(1-IF(AND(ArtifactsInput!$M$27,Inputs!$B$4="Chapter Hunt"),CHOOSE(ArtifactsInput!$N$27+1,20,24,28,32,36,40),0)/100)))))/Skills!H6,1)))/Inputs!$B$43),G169*Q169))*IF(Inputs!$B$38="pvp",1,(1+(Inputs!$B$21+Skills!Q6+(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Skills!A7</f>
        <v/>
      </c>
      <c r="B170">
        <f>Skills!B7</f>
        <v/>
      </c>
      <c r="C170">
        <f>Inputs!$B$3&gt;=107</f>
        <v/>
      </c>
      <c r="D170">
        <f>IF(Skills!C7=1,60+Inputs!$B$25+Inputs!$B$29,IF(Skills!C7=2,90+Inputs!$B$26+Inputs!$B$29,IF(Skills!C7=3,120+Inputs!$B$27+Inputs!$B$29,MAX(0,(Inputs!$B$3-100)*3)+Inputs!$B$28+Inputs!$B$29)))</f>
        <v/>
      </c>
      <c r="E170">
        <f>INDEX(FactorTable!$B$2:$Y$301, MATCH(ROUND(MIN(300,MAX(1,D170)),0), FactorTable!$A$2:$A$301,0), Skills!M7+1)</f>
        <v/>
      </c>
      <c r="F170">
        <f>IF(Skills!N7=TRUE,(Skills!L7/10)*(E170/1000),Skills!L7/10)+Skills!O7</f>
        <v/>
      </c>
      <c r="G170" t="inlineStr"/>
      <c r="H170" t="inlineStr"/>
      <c r="I170" t="inlineStr">
        <is>
          <t>1</t>
        </is>
      </c>
      <c r="J170" t="inlineStr"/>
      <c r="K170" t="inlineStr"/>
      <c r="L170" t="inlineStr"/>
      <c r="M170" t="inlineStr"/>
      <c r="N170" t="inlineStr"/>
      <c r="O170" t="inlineStr"/>
      <c r="P170" t="inlineStr"/>
      <c r="Q170" t="inlineStr"/>
      <c r="R170" t="inlineStr"/>
      <c r="S170" t="inlineStr"/>
      <c r="T170" t="inlineStr"/>
      <c r="V170" t="inlineStr"/>
    </row>
    <row r="171">
      <c r="A171">
        <f>Skills!A8</f>
        <v/>
      </c>
      <c r="B171">
        <f>Skills!B8</f>
        <v/>
      </c>
      <c r="C171">
        <f>Inputs!$B$3&gt;=69</f>
        <v/>
      </c>
      <c r="D171">
        <f>IF(Skills!C8=1,60+Inputs!$B$25+Inputs!$B$29,IF(Skills!C8=2,90+Inputs!$B$26+Inputs!$B$29,IF(Skills!C8=3,120+Inputs!$B$27+Inputs!$B$29,MAX(0,(Inputs!$B$3-100)*3)+Inputs!$B$28+Inputs!$B$29)))</f>
        <v/>
      </c>
      <c r="E171">
        <f>INDEX(FactorTable!$B$2:$Y$301, MATCH(ROUND(MIN(300,MAX(1,D171)),0), FactorTable!$A$2:$A$301,0), Skills!M8+1)</f>
        <v/>
      </c>
      <c r="F171">
        <f>IF(Skills!N8=TRUE,(Skills!L8/10)*(E171/1000),Skills!L8/10)+Skills!O8</f>
        <v/>
      </c>
      <c r="G171">
        <f>Skills!G8*IF(Skills!H8&gt;0,Skills!I8/Skills!H8,1)</f>
        <v/>
      </c>
      <c r="H171">
        <f>1-(1-Skills!J8/100)^Skills!K8</f>
        <v/>
      </c>
      <c r="I171" t="inlineStr">
        <is>
          <t>1</t>
        </is>
      </c>
      <c r="J171">
        <f>((Inputs!$B$6*(1+Inputs!$B$7/100))+(((Inputs!$B$12*(1+Inputs!$B$13/100))-(Inputs!$B$12*(1+Inputs!$B$13/100)))+0.25*((Inputs!$B$14+1)-Inputs!$B$14))*(1+Inputs!$B$7/100))*(F171/100)</f>
        <v/>
      </c>
      <c r="K171">
        <f>J171*(1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173=TRUE,F173,0)/100)*(1+(IF(Skills!A8="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187=TRUE)*(F187-Calc!F24)),(Inputs!$B$23+((C192=TRUE)*(F192-Calc!F29))+(IF(ArtifactsInput!$M$15,CHOOSE(ArtifactsInput!$N$15+1,25,30,35,40,45,50)/100*(Inputs!$B$11-Inputs!$B$11),0))))/100+(Inputs!$B$23+((C192=TRUE)*(F192-Calc!F29))+(IF(ArtifactsInput!$M$15,CHOOSE(ArtifactsInput!$N$15+1,25,30,35,40,45,50)/100*(Inputs!$B$11-Inputs!$B$11),0)))/100)/2</f>
        <v/>
      </c>
      <c r="M171">
        <f>L171*(1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IF(B206=0,0,O171/B206)</f>
        <v/>
      </c>
      <c r="Q171">
        <f>IFERROR(1/(IF(Inputs!$B$38="pvp",15,MAX(0.1,Skills!D8-IF(Skills!E8=TRUE,Inputs!$B$32,0)))*(1-IF(AND(ArtifactsInput!$M$27,Inputs!$B$4="Chapter Hunt"),CHOOSE(ArtifactsInput!$N$27+1,20,24,28,32,36,40),0)/100)),0)</f>
        <v/>
      </c>
      <c r="R171">
        <f>IF(AND(Inputs!$B$38&lt;&gt;"pvp",Inputs!$B$43&gt;0),IF(MAX(0,Inputs!$B$43-B203)&lt;=0,0,(INT(MAX(0,Inputs!$B$43-B203)/(IF(Inputs!$B$38="pvp",15,MAX(0.1,Skills!D8-IF(Skills!E8=TRUE,Inputs!$B$32,0)))*(1-IF(AND(ArtifactsInput!$M$27,Inputs!$B$4="Chapter Hunt"),CHOOSE(ArtifactsInput!$N$27+1,20,24,28,32,36,40),0)/100)))+1)),0)</f>
        <v/>
      </c>
      <c r="S171">
        <f>IFERROR(O171/N171,0)</f>
        <v/>
      </c>
      <c r="T171">
        <f>IF(C171,(H171*N171*IF(AND(Inputs!$B$38&lt;&gt;"pvp",Inputs!$B$43&gt;0),((Skills!G8*((R171-1)*IF(Skills!H8&gt;0,Skills!I8/Skills!H8,1)+IF(Skills!H8&gt;0,MIN(Skills!I8,MAX(0,MAX(0,Inputs!$B$43-B203)-((R171-1)*(IF(Inputs!$B$38="pvp",15,MAX(0.1,Skills!D8-IF(Skills!E8=TRUE,Inputs!$B$32,0)))*(1-IF(AND(ArtifactsInput!$M$27,Inputs!$B$4="Chapter Hunt"),CHOOSE(ArtifactsInput!$N$27+1,20,24,28,32,36,40),0)/100)))))/Skills!H8,1)))/Inputs!$B$43),G171*Q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171*(1-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8*((R171-1)*IF(Skills!H8&gt;0,Skills!I8/Skills!H8,1)+IF(Skills!H8&gt;0,MIN(Skills!I8,MAX(0,MAX(0,Inputs!$B$43-B203)-((R171-1)*(IF(Inputs!$B$38="pvp",15,MAX(0.1,Skills!D8-IF(Skills!E8=TRUE,Inputs!$B$32,0)))*(1-IF(AND(ArtifactsInput!$M$27,Inputs!$B$4="Chapter Hunt"),CHOOSE(ArtifactsInput!$N$27+1,20,24,28,32,36,40),0)/100)))))/Skills!H8,1)))/Inputs!$B$43),G171*Q171))*IF(Inputs!$B$38="pvp",1,(1+(Inputs!$B$21+Skills!Q8+(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Skills!A9</f>
        <v/>
      </c>
      <c r="B172">
        <f>Skills!B9</f>
        <v/>
      </c>
      <c r="C172">
        <f>Inputs!$B$3&gt;=63</f>
        <v/>
      </c>
      <c r="D172">
        <f>IF(Skills!C9=1,60+Inputs!$B$25+Inputs!$B$29,IF(Skills!C9=2,90+Inputs!$B$26+Inputs!$B$29,IF(Skills!C9=3,120+Inputs!$B$27+Inputs!$B$29,MAX(0,(Inputs!$B$3-100)*3)+Inputs!$B$28+Inputs!$B$29)))</f>
        <v/>
      </c>
      <c r="E172">
        <f>INDEX(FactorTable!$B$2:$Y$301, MATCH(ROUND(MIN(300,MAX(1,D172)),0), FactorTable!$A$2:$A$301,0), Skills!M9+1)</f>
        <v/>
      </c>
      <c r="F172">
        <f>IF(Skills!N9=TRUE,(Skills!L9/10)*(E172/1000),Skills!L9/10)+Skills!O9</f>
        <v/>
      </c>
      <c r="G172">
        <f>Skills!G9*IF(Skills!H9&gt;0,Skills!I9/Skills!H9,1)</f>
        <v/>
      </c>
      <c r="H172">
        <f>1-(1-Skills!J9/100)^Skills!K9</f>
        <v/>
      </c>
      <c r="I172" t="inlineStr">
        <is>
          <t>1</t>
        </is>
      </c>
      <c r="J172">
        <f>((Inputs!$B$6*(1+Inputs!$B$7/100))+(((Inputs!$B$12*(1+Inputs!$B$13/100))-(Inputs!$B$12*(1+Inputs!$B$13/100)))+0.25*((Inputs!$B$14+1)-Inputs!$B$14))*(1+Inputs!$B$7/100))*(F172/100)</f>
        <v/>
      </c>
      <c r="K172">
        <f>J172*(1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9="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187=TRUE)*(F187-Calc!F24)),(Inputs!$B$23+((C192=TRUE)*(F192-Calc!F29))+(IF(ArtifactsInput!$M$15,CHOOSE(ArtifactsInput!$N$15+1,25,30,35,40,45,50)/100*(Inputs!$B$11-Inputs!$B$11),0))))/100+(Inputs!$B$23+((C192=TRUE)*(F192-Calc!F29))+(IF(ArtifactsInput!$M$15,CHOOSE(ArtifactsInput!$N$15+1,25,30,35,40,45,50)/100*(Inputs!$B$11-Inputs!$B$11),0)))/100)/2</f>
        <v/>
      </c>
      <c r="M172">
        <f>L172*(1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IF(B206=0,0,O172/B206)</f>
        <v/>
      </c>
      <c r="Q172">
        <f>IFERROR(1/(IF(Inputs!$B$38="pvp",15,MAX(0.1,Skills!D9-IF(Skills!E9=TRUE,Inputs!$B$32,0)))*(1-IF(AND(ArtifactsInput!$M$27,Inputs!$B$4="Chapter Hunt"),CHOOSE(ArtifactsInput!$N$27+1,20,24,28,32,36,40),0)/100)),0)</f>
        <v/>
      </c>
      <c r="R172">
        <f>IF(AND(Inputs!$B$38&lt;&gt;"pvp",Inputs!$B$43&gt;0),IF(MAX(0,Inputs!$B$43-B203)&lt;=0,0,(INT(MAX(0,Inputs!$B$43-B203)/(IF(Inputs!$B$38="pvp",15,MAX(0.1,Skills!D9-IF(Skills!E9=TRUE,Inputs!$B$32,0)))*(1-IF(AND(ArtifactsInput!$M$27,Inputs!$B$4="Chapter Hunt"),CHOOSE(ArtifactsInput!$N$27+1,20,24,28,32,36,40),0)/100)))+1)),0)</f>
        <v/>
      </c>
      <c r="S172">
        <f>IFERROR(O172/N172,0)</f>
        <v/>
      </c>
      <c r="T172">
        <f>IF(C172,(H172*N172*IF(AND(Inputs!$B$38&lt;&gt;"pvp",Inputs!$B$43&gt;0),((Skills!G9*((R172-1)*IF(Skills!H9&gt;0,Skills!I9/Skills!H9,1)+IF(Skills!H9&gt;0,MIN(Skills!I9,MAX(0,MAX(0,Inputs!$B$43-B203)-((R172-1)*(IF(Inputs!$B$38="pvp",15,MAX(0.1,Skills!D9-IF(Skills!E9=TRUE,Inputs!$B$32,0)))*(1-IF(AND(ArtifactsInput!$M$27,Inputs!$B$4="Chapter Hunt"),CHOOSE(ArtifactsInput!$N$27+1,20,24,28,32,36,40),0)/100)))))/Skills!H9,1)))/Inputs!$B$43),G172*Q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172*(1-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9*((R172-1)*IF(Skills!H9&gt;0,Skills!I9/Skills!H9,1)+IF(Skills!H9&gt;0,MIN(Skills!I9,MAX(0,MAX(0,Inputs!$B$43-B203)-((R172-1)*(IF(Inputs!$B$38="pvp",15,MAX(0.1,Skills!D9-IF(Skills!E9=TRUE,Inputs!$B$32,0)))*(1-IF(AND(ArtifactsInput!$M$27,Inputs!$B$4="Chapter Hunt"),CHOOSE(ArtifactsInput!$N$27+1,20,24,28,32,36,40),0)/100)))))/Skills!H9,1)))/Inputs!$B$43),G172*Q172))*IF(Inputs!$B$38="pvp",1,(1+(Inputs!$B$21+Skills!Q9+(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Skills!A10</f>
        <v/>
      </c>
      <c r="B173">
        <f>Skills!B10</f>
        <v/>
      </c>
      <c r="C173">
        <f>Inputs!$B$3&gt;=100</f>
        <v/>
      </c>
      <c r="D173">
        <f>IF(Skills!C10=1,60+Inputs!$B$25+Inputs!$B$29,IF(Skills!C10=2,90+Inputs!$B$26+Inputs!$B$29,IF(Skills!C10=3,120+Inputs!$B$27+Inputs!$B$29,MAX(0,(Inputs!$B$3-100)*3)+Inputs!$B$28+Inputs!$B$29)))</f>
        <v/>
      </c>
      <c r="E173">
        <f>INDEX(FactorTable!$B$2:$Y$301, MATCH(ROUND(MIN(300,MAX(1,D173)),0), FactorTable!$A$2:$A$301,0), Skills!M10+1)</f>
        <v/>
      </c>
      <c r="F173">
        <f>IF(Skills!N10=TRUE,(Skills!L10/10)*(E173/1000),Skills!L10/10)+Skills!O10</f>
        <v/>
      </c>
      <c r="G173" t="inlineStr"/>
      <c r="H173" t="inlineStr"/>
      <c r="I173" t="inlineStr">
        <is>
          <t>1</t>
        </is>
      </c>
      <c r="J173" t="inlineStr"/>
      <c r="K173" t="inlineStr"/>
      <c r="L173" t="inlineStr"/>
      <c r="M173" t="inlineStr"/>
      <c r="N173" t="inlineStr"/>
      <c r="O173" t="inlineStr"/>
      <c r="P173" t="inlineStr"/>
      <c r="Q173" t="inlineStr"/>
      <c r="R173" t="inlineStr"/>
      <c r="S173" t="inlineStr"/>
      <c r="T173" t="inlineStr"/>
      <c r="V173" t="inlineStr"/>
    </row>
    <row r="174">
      <c r="A174">
        <f>Skills!A11</f>
        <v/>
      </c>
      <c r="B174">
        <f>Skills!B11</f>
        <v/>
      </c>
      <c r="C174">
        <f>Inputs!$B$3&gt;=60</f>
        <v/>
      </c>
      <c r="D174">
        <f>IF(Skills!C11=1,60+Inputs!$B$25+Inputs!$B$29,IF(Skills!C11=2,90+Inputs!$B$26+Inputs!$B$29,IF(Skills!C11=3,120+Inputs!$B$27+Inputs!$B$29,MAX(0,(Inputs!$B$3-100)*3)+Inputs!$B$28+Inputs!$B$29)))</f>
        <v/>
      </c>
      <c r="E174">
        <f>INDEX(FactorTable!$B$2:$Y$301, MATCH(ROUND(MIN(300,MAX(1,D174)),0), FactorTable!$A$2:$A$301,0), Skills!M11+1)</f>
        <v/>
      </c>
      <c r="F174">
        <f>IF(Skills!N11=TRUE,(Skills!L11/10)*(E174/1000),Skills!L11/10)+Skills!O11</f>
        <v/>
      </c>
      <c r="G174">
        <f>Skills!G11*IF(Skills!H11&gt;0,Skills!I11/Skills!H11,1)</f>
        <v/>
      </c>
      <c r="H174">
        <f>1-(1-Skills!J11/100)^Skills!K11</f>
        <v/>
      </c>
      <c r="I174" t="inlineStr">
        <is>
          <t>1</t>
        </is>
      </c>
      <c r="J174">
        <f>((Inputs!$B$6*(1+Inputs!$B$7/100))+(((Inputs!$B$12*(1+Inputs!$B$13/100))-(Inputs!$B$12*(1+Inputs!$B$13/100)))+0.25*((Inputs!$B$14+1)-Inputs!$B$14))*(1+Inputs!$B$7/100))*(F174/100)</f>
        <v/>
      </c>
      <c r="K174">
        <f>J174*(1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TRUE,F175,0)/100)*(1+(IF(Skills!A11="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187=TRUE)*(F187-Calc!F24)),(Inputs!$B$23+((C192=TRUE)*(F192-Calc!F29))+(IF(ArtifactsInput!$M$15,CHOOSE(ArtifactsInput!$N$15+1,25,30,35,40,45,50)/100*(Inputs!$B$11-Inputs!$B$11),0))))/100+(Inputs!$B$23+((C192=TRUE)*(F192-Calc!F29))+(IF(ArtifactsInput!$M$15,CHOOSE(ArtifactsInput!$N$15+1,25,30,35,40,45,50)/100*(Inputs!$B$11-Inputs!$B$11),0)))/100)/2</f>
        <v/>
      </c>
      <c r="M174">
        <f>L174*(1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IF(B206=0,0,O174/B206)</f>
        <v/>
      </c>
      <c r="Q174">
        <f>IFERROR(1/(IF(Inputs!$B$38="pvp",15,MAX(0.1,Skills!D11-IF(Skills!E11=TRUE,Inputs!$B$32,0)))*(1-IF(AND(ArtifactsInput!$M$27,Inputs!$B$4="Chapter Hunt"),CHOOSE(ArtifactsInput!$N$27+1,20,24,28,32,36,40),0)/100)),0)</f>
        <v/>
      </c>
      <c r="R174">
        <f>IF(AND(Inputs!$B$38&lt;&gt;"pvp",Inputs!$B$43&gt;0),IF(MAX(0,Inputs!$B$43-B203)&lt;=0,0,(INT(MAX(0,Inputs!$B$43-B203)/(IF(Inputs!$B$38="pvp",15,MAX(0.1,Skills!D11-IF(Skills!E11=TRUE,Inputs!$B$32,0)))*(1-IF(AND(ArtifactsInput!$M$27,Inputs!$B$4="Chapter Hunt"),CHOOSE(ArtifactsInput!$N$27+1,20,24,28,32,36,40),0)/100)))+1)),0)</f>
        <v/>
      </c>
      <c r="S174">
        <f>IFERROR(O174/N174,0)</f>
        <v/>
      </c>
      <c r="T174">
        <f>IF(C174,(H174*N174*IF(AND(Inputs!$B$38&lt;&gt;"pvp",Inputs!$B$43&gt;0),((Skills!G11*((R174-1)*IF(Skills!H11&gt;0,Skills!I11/Skills!H11,1)+IF(Skills!H11&gt;0,MIN(Skills!I11,MAX(0,MAX(0,Inputs!$B$43-B203)-((R174-1)*(IF(Inputs!$B$38="pvp",15,MAX(0.1,Skills!D11-IF(Skills!E11=TRUE,Inputs!$B$32,0)))*(1-IF(AND(ArtifactsInput!$M$27,Inputs!$B$4="Chapter Hunt"),CHOOSE(ArtifactsInput!$N$27+1,20,24,28,32,36,40),0)/100)))))/Skills!H11,1)))/Inputs!$B$43),G174*Q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174*(1-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11*((R174-1)*IF(Skills!H11&gt;0,Skills!I11/Skills!H11,1)+IF(Skills!H11&gt;0,MIN(Skills!I11,MAX(0,MAX(0,Inputs!$B$43-B203)-((R174-1)*(IF(Inputs!$B$38="pvp",15,MAX(0.1,Skills!D11-IF(Skills!E11=TRUE,Inputs!$B$32,0)))*(1-IF(AND(ArtifactsInput!$M$27,Inputs!$B$4="Chapter Hunt"),CHOOSE(ArtifactsInput!$N$27+1,20,24,28,32,36,40),0)/100)))))/Skills!H11,1)))/Inputs!$B$43),G174*Q174))*IF(Inputs!$B$38="pvp",1,(1+(Inputs!$B$21+Skills!Q11+(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Skills!A12</f>
        <v/>
      </c>
      <c r="B175">
        <f>Skills!B12</f>
        <v/>
      </c>
      <c r="C175">
        <f>Inputs!$B$3&gt;=110</f>
        <v/>
      </c>
      <c r="D175">
        <f>IF(Skills!C12=1,60+Inputs!$B$25+Inputs!$B$29,IF(Skills!C12=2,90+Inputs!$B$26+Inputs!$B$29,IF(Skills!C12=3,120+Inputs!$B$27+Inputs!$B$29,MAX(0,(Inputs!$B$3-100)*3)+Inputs!$B$28+Inputs!$B$29)))</f>
        <v/>
      </c>
      <c r="E175">
        <f>INDEX(FactorTable!$B$2:$Y$301, MATCH(ROUND(MIN(300,MAX(1,D175)),0), FactorTable!$A$2:$A$301,0), Skills!M12+1)</f>
        <v/>
      </c>
      <c r="F175">
        <f>IF(Skills!N12=TRUE,(Skills!L12/10)*(E175/1000),Skills!L12/10)+Skills!O12</f>
        <v/>
      </c>
      <c r="G175" t="inlineStr"/>
      <c r="H175" t="inlineStr"/>
      <c r="I175" t="inlineStr">
        <is>
          <t>1</t>
        </is>
      </c>
      <c r="J175" t="inlineStr"/>
      <c r="K175" t="inlineStr"/>
      <c r="L175" t="inlineStr"/>
      <c r="M175" t="inlineStr"/>
      <c r="N175" t="inlineStr"/>
      <c r="O175" t="inlineStr"/>
      <c r="P175" t="inlineStr"/>
      <c r="Q175" t="inlineStr"/>
      <c r="R175" t="inlineStr"/>
      <c r="S175" t="inlineStr"/>
      <c r="T175" t="inlineStr"/>
      <c r="V175" t="inlineStr"/>
    </row>
    <row r="176">
      <c r="A176">
        <f>Skills!A13</f>
        <v/>
      </c>
      <c r="B176">
        <f>Skills!B13</f>
        <v/>
      </c>
      <c r="C176">
        <f>Inputs!$B$3&gt;=74</f>
        <v/>
      </c>
      <c r="D176">
        <f>IF(Skills!C13=1,60+Inputs!$B$25+Inputs!$B$29,IF(Skills!C13=2,90+Inputs!$B$26+Inputs!$B$29,IF(Skills!C13=3,120+Inputs!$B$27+Inputs!$B$29,MAX(0,(Inputs!$B$3-100)*3)+Inputs!$B$28+Inputs!$B$29)))</f>
        <v/>
      </c>
      <c r="E176">
        <f>INDEX(FactorTable!$B$2:$Y$301, MATCH(ROUND(MIN(300,MAX(1,D176)),0), FactorTable!$A$2:$A$301,0), Skills!M13+1)</f>
        <v/>
      </c>
      <c r="F176">
        <f>IF(Skills!N13=TRUE,(Skills!L13/10)*(E176/1000),Skills!L13/10)+Skills!O13</f>
        <v/>
      </c>
      <c r="G176">
        <f>Skills!G13*IF(Skills!H13&gt;0,Skills!I13/Skills!H13,1)</f>
        <v/>
      </c>
      <c r="H176">
        <f>1-(1-Skills!J13/100)^Skills!K13</f>
        <v/>
      </c>
      <c r="I176" t="inlineStr">
        <is>
          <t>1</t>
        </is>
      </c>
      <c r="J176" t="inlineStr"/>
      <c r="K176" t="inlineStr"/>
      <c r="L176" t="inlineStr"/>
      <c r="M176" t="inlineStr"/>
      <c r="N176" t="inlineStr"/>
      <c r="O176">
        <f>(1-Summary!$B$11)*T176+Summary!$B$11*V176</f>
        <v/>
      </c>
      <c r="P176">
        <f>IF(B206=0,0,O176/B206)</f>
        <v/>
      </c>
      <c r="Q176" t="n">
        <v>0</v>
      </c>
      <c r="R176" t="n">
        <v>0</v>
      </c>
      <c r="S176">
        <f>IFERROR(O176/N176,0)</f>
        <v/>
      </c>
      <c r="T176" t="n">
        <v>0</v>
      </c>
      <c r="V176" t="n">
        <v>0</v>
      </c>
    </row>
    <row r="177">
      <c r="A177">
        <f>Skills!A14</f>
        <v/>
      </c>
      <c r="B177">
        <f>Skills!B14</f>
        <v/>
      </c>
      <c r="C177">
        <f>Inputs!$B$3&gt;=74</f>
        <v/>
      </c>
      <c r="D177">
        <f>IF(Skills!C14=1,60+Inputs!$B$25+Inputs!$B$29,IF(Skills!C14=2,90+Inputs!$B$26+Inputs!$B$29,IF(Skills!C14=3,120+Inputs!$B$27+Inputs!$B$29,MAX(0,(Inputs!$B$3-100)*3)+Inputs!$B$28+Inputs!$B$29)))</f>
        <v/>
      </c>
      <c r="E177">
        <f>INDEX(FactorTable!$B$2:$Y$301, MATCH(ROUND(MIN(300,MAX(1,D177)),0), FactorTable!$A$2:$A$301,0), Skills!M14+1)</f>
        <v/>
      </c>
      <c r="F177">
        <f>IF(Skills!N14=TRUE,(Skills!L14/10)*(E177/1000),Skills!L14/10)+Skills!O14</f>
        <v/>
      </c>
      <c r="G177">
        <f>Skills!G14*IF(Skills!H14&gt;0,Skills!I14/Skills!H14,1)</f>
        <v/>
      </c>
      <c r="H177">
        <f>1-(1-Skills!J14/100)^Skills!K14</f>
        <v/>
      </c>
      <c r="I177" t="inlineStr">
        <is>
          <t>1</t>
        </is>
      </c>
      <c r="J177" t="inlineStr"/>
      <c r="K177" t="inlineStr"/>
      <c r="L177" t="inlineStr"/>
      <c r="M177" t="inlineStr"/>
      <c r="N177" t="inlineStr"/>
      <c r="O177">
        <f>(1-Summary!$B$11)*T177+Summary!$B$11*V177</f>
        <v/>
      </c>
      <c r="P177">
        <f>IF(B206=0,0,O177/B206)</f>
        <v/>
      </c>
      <c r="Q177" t="n">
        <v>0</v>
      </c>
      <c r="R177" t="n">
        <v>0</v>
      </c>
      <c r="S177">
        <f>IFERROR(O177/N177,0)</f>
        <v/>
      </c>
      <c r="T177" t="n">
        <v>0</v>
      </c>
      <c r="V177" t="n">
        <v>0</v>
      </c>
    </row>
    <row r="178">
      <c r="A178">
        <f>Skills!A15</f>
        <v/>
      </c>
      <c r="B178">
        <f>Skills!B15</f>
        <v/>
      </c>
      <c r="C178">
        <f>Inputs!$B$3&gt;=117</f>
        <v/>
      </c>
      <c r="D178">
        <f>IF(Skills!C15=1,60+Inputs!$B$25+Inputs!$B$29,IF(Skills!C15=2,90+Inputs!$B$26+Inputs!$B$29,IF(Skills!C15=3,120+Inputs!$B$27+Inputs!$B$29,MAX(0,(Inputs!$B$3-100)*3)+Inputs!$B$28+Inputs!$B$29)))</f>
        <v/>
      </c>
      <c r="E178">
        <f>INDEX(FactorTable!$B$2:$Y$301, MATCH(ROUND(MIN(300,MAX(1,D178)),0), FactorTable!$A$2:$A$301,0), Skills!M15+1)</f>
        <v/>
      </c>
      <c r="F178">
        <f>IF(Skills!N15=TRUE,(Skills!L15/10)*(E178/1000),Skills!L15/10)+Skills!O15</f>
        <v/>
      </c>
      <c r="G178">
        <f>Skills!G15*IF(Skills!H15&gt;0,Skills!I15/Skills!H15,1)</f>
        <v/>
      </c>
      <c r="H178">
        <f>1-(1-Skills!J15/100)^Skills!K15</f>
        <v/>
      </c>
      <c r="I178" t="inlineStr">
        <is>
          <t>1</t>
        </is>
      </c>
      <c r="J178" t="inlineStr"/>
      <c r="K178" t="inlineStr"/>
      <c r="L178" t="inlineStr"/>
      <c r="M178" t="inlineStr"/>
      <c r="N178" t="inlineStr"/>
      <c r="O178">
        <f>(1-Summary!$B$11)*T178+Summary!$B$11*V178</f>
        <v/>
      </c>
      <c r="P178">
        <f>IF(B206=0,0,O178/B206)</f>
        <v/>
      </c>
      <c r="Q178">
        <f>IFERROR(1/(IF(Inputs!$B$38="pvp",15,MAX(0.1,Skills!D15-IF(Skills!E15=TRUE,Inputs!$B$32,0)))*(1-IF(AND(ArtifactsInput!$M$27,Inputs!$B$4="Chapter Hunt"),CHOOSE(ArtifactsInput!$N$27+1,20,24,28,32,36,40),0)/100)),0)</f>
        <v/>
      </c>
      <c r="R178">
        <f>IF(AND(Inputs!$B$38&lt;&gt;"pvp",Inputs!$B$43&gt;0),IF(Inputs!$B$43&lt;=0,0,(INT(Inputs!$B$43/(IF(Inputs!$B$38="pvp",15,MAX(0.1,Skills!D15-IF(Skills!E15=TRUE,Inputs!$B$32,0)))*(1-IF(AND(ArtifactsInput!$M$27,Inputs!$B$4="Chapter Hunt"),CHOOSE(ArtifactsInput!$N$27+1,20,24,28,32,36,40),0)/100)))+1)),0)</f>
        <v/>
      </c>
      <c r="S178">
        <f>IFERROR(O178/N178,0)</f>
        <v/>
      </c>
      <c r="T178" t="n">
        <v>0</v>
      </c>
      <c r="V178" t="n">
        <v>0</v>
      </c>
    </row>
    <row r="179">
      <c r="A179">
        <f>Skills!A16</f>
        <v/>
      </c>
      <c r="B179">
        <f>Skills!B16</f>
        <v/>
      </c>
      <c r="C179">
        <f>Inputs!$B$3&gt;=115</f>
        <v/>
      </c>
      <c r="D179">
        <f>IF(Skills!C16=1,60+Inputs!$B$25+Inputs!$B$29,IF(Skills!C16=2,90+Inputs!$B$26+Inputs!$B$29,IF(Skills!C16=3,120+Inputs!$B$27+Inputs!$B$29,MAX(0,(Inputs!$B$3-100)*3)+Inputs!$B$28+Inputs!$B$29)))</f>
        <v/>
      </c>
      <c r="E179">
        <f>INDEX(FactorTable!$B$2:$Y$301, MATCH(ROUND(MIN(300,MAX(1,D179)),0), FactorTable!$A$2:$A$301,0), Skills!M16+1)</f>
        <v/>
      </c>
      <c r="F179">
        <f>IF(Skills!N16=TRUE,(Skills!L16/10)*(E179/1000),Skills!L16/10)+Skills!O16</f>
        <v/>
      </c>
      <c r="G179">
        <f>Skills!G16*IF(Skills!H16&gt;0,Skills!I16/Skills!H16,1)</f>
        <v/>
      </c>
      <c r="H179">
        <f>1-(1-Skills!J16/100)^Skills!K16</f>
        <v/>
      </c>
      <c r="I179" t="inlineStr">
        <is>
          <t>1</t>
        </is>
      </c>
      <c r="J179" t="inlineStr"/>
      <c r="K179" t="inlineStr"/>
      <c r="L179" t="inlineStr"/>
      <c r="M179" t="inlineStr"/>
      <c r="N179" t="inlineStr"/>
      <c r="O179">
        <f>(1-Summary!$B$11)*T179+Summary!$B$11*V179</f>
        <v/>
      </c>
      <c r="P179">
        <f>IF(B206=0,0,O179/B206)</f>
        <v/>
      </c>
      <c r="Q179">
        <f>IFERROR(1/(IF(Inputs!$B$38="pvp",15,MAX(0.1,Skills!D16-IF(Skills!E16=TRUE,Inputs!$B$32,0)))*(1-IF(AND(ArtifactsInput!$M$27,Inputs!$B$4="Chapter Hunt"),CHOOSE(ArtifactsInput!$N$27+1,20,24,28,32,36,40),0)/100)),0)</f>
        <v/>
      </c>
      <c r="R179">
        <f>IF(AND(Inputs!$B$38&lt;&gt;"pvp",Inputs!$B$43&gt;0),IF(Inputs!$B$43&lt;=0,0,(INT(Inputs!$B$43/(IF(Inputs!$B$38="pvp",15,MAX(0.1,Skills!D16-IF(Skills!E16=TRUE,Inputs!$B$32,0)))*(1-IF(AND(ArtifactsInput!$M$27,Inputs!$B$4="Chapter Hunt"),CHOOSE(ArtifactsInput!$N$27+1,20,24,28,32,36,40),0)/100)))+1)),0)</f>
        <v/>
      </c>
      <c r="S179">
        <f>IFERROR(O179/N179,0)</f>
        <v/>
      </c>
      <c r="T179" t="n">
        <v>0</v>
      </c>
      <c r="V179" t="n">
        <v>0</v>
      </c>
    </row>
    <row r="180">
      <c r="A180">
        <f>Skills!A17</f>
        <v/>
      </c>
      <c r="B180">
        <f>Skills!B17</f>
        <v/>
      </c>
      <c r="C180">
        <f>Inputs!$B$3&gt;=66</f>
        <v/>
      </c>
      <c r="D180">
        <f>IF(Skills!C17=1,60+Inputs!$B$25+Inputs!$B$29,IF(Skills!C17=2,90+Inputs!$B$26+Inputs!$B$29,IF(Skills!C17=3,120+Inputs!$B$27+Inputs!$B$29,MAX(0,(Inputs!$B$3-100)*3)+Inputs!$B$28+Inputs!$B$29)))</f>
        <v/>
      </c>
      <c r="E180">
        <f>INDEX(FactorTable!$B$2:$Y$301, MATCH(ROUND(MIN(300,MAX(1,D180)),0), FactorTable!$A$2:$A$301,0), Skills!M17+1)</f>
        <v/>
      </c>
      <c r="F180">
        <f>IF(Skills!N17=TRUE,(Skills!L17/10)*(E180/1000),Skills!L17/10)+Skills!O17</f>
        <v/>
      </c>
      <c r="G180">
        <f>Skills!G17*IF(Skills!H17&gt;0,Skills!I17/Skills!H17,1)</f>
        <v/>
      </c>
      <c r="H180">
        <f>1-(1-Skills!J17/100)^Skills!K17</f>
        <v/>
      </c>
      <c r="I180" t="inlineStr">
        <is>
          <t>1</t>
        </is>
      </c>
      <c r="J180" t="inlineStr"/>
      <c r="K180" t="inlineStr"/>
      <c r="L180" t="inlineStr"/>
      <c r="M180" t="inlineStr"/>
      <c r="N180" t="inlineStr"/>
      <c r="O180">
        <f>(1-Summary!$B$11)*T180+Summary!$B$11*V180</f>
        <v/>
      </c>
      <c r="P180">
        <f>IF(B206=0,0,O180/B206)</f>
        <v/>
      </c>
      <c r="Q180" t="n">
        <v>0</v>
      </c>
      <c r="R180" t="n">
        <v>0</v>
      </c>
      <c r="S180">
        <f>IFERROR(O180/N180,0)</f>
        <v/>
      </c>
      <c r="T180" t="n">
        <v>0</v>
      </c>
      <c r="V180" t="n">
        <v>0</v>
      </c>
    </row>
    <row r="181">
      <c r="A181">
        <f>Skills!A18</f>
        <v/>
      </c>
      <c r="B181">
        <f>Skills!B18</f>
        <v/>
      </c>
      <c r="C181">
        <f>Inputs!$B$3&gt;=72</f>
        <v/>
      </c>
      <c r="D181">
        <f>IF(Skills!C18=1,60+Inputs!$B$25+Inputs!$B$29,IF(Skills!C18=2,90+Inputs!$B$26+Inputs!$B$29,IF(Skills!C18=3,120+Inputs!$B$27+Inputs!$B$29,MAX(0,(Inputs!$B$3-100)*3)+Inputs!$B$28+Inputs!$B$29)))</f>
        <v/>
      </c>
      <c r="E181">
        <f>INDEX(FactorTable!$B$2:$Y$301, MATCH(ROUND(MIN(300,MAX(1,D181)),0), FactorTable!$A$2:$A$301,0), Skills!M18+1)</f>
        <v/>
      </c>
      <c r="F181">
        <f>IF(Skills!N18=TRUE,(Skills!L18/10)*(E181/1000),Skills!L18/10)+Skills!O18</f>
        <v/>
      </c>
      <c r="G181">
        <f>Skills!G18*IF(Skills!H18&gt;0,Skills!I18/Skills!H18,1)</f>
        <v/>
      </c>
      <c r="H181">
        <f>1-(1-Skills!J18/100)^Skills!K18</f>
        <v/>
      </c>
      <c r="I181" t="inlineStr">
        <is>
          <t>1</t>
        </is>
      </c>
      <c r="J181" t="inlineStr"/>
      <c r="K181" t="inlineStr"/>
      <c r="L181" t="inlineStr"/>
      <c r="M181" t="inlineStr"/>
      <c r="N181" t="inlineStr"/>
      <c r="O181">
        <f>(1-Summary!$B$11)*T181+Summary!$B$11*V181</f>
        <v/>
      </c>
      <c r="P181">
        <f>IF(B206=0,0,O181/B206)</f>
        <v/>
      </c>
      <c r="Q181" t="n">
        <v>0</v>
      </c>
      <c r="R181" t="n">
        <v>0</v>
      </c>
      <c r="S181">
        <f>IFERROR(O181/N181,0)</f>
        <v/>
      </c>
      <c r="T181" t="n">
        <v>0</v>
      </c>
      <c r="V181" t="n">
        <v>0</v>
      </c>
    </row>
    <row r="182">
      <c r="A182">
        <f>Skills!A19</f>
        <v/>
      </c>
      <c r="B182">
        <f>Skills!B19</f>
        <v/>
      </c>
      <c r="C182">
        <f>TRUE</f>
        <v/>
      </c>
      <c r="D182">
        <f>IF(Skills!C19=1,60+Inputs!$B$25+Inputs!$B$29,IF(Skills!C19=2,90+Inputs!$B$26+Inputs!$B$29,IF(Skills!C19=3,120+Inputs!$B$27+Inputs!$B$29,MAX(0,(Inputs!$B$3-100)*3)+Inputs!$B$28+Inputs!$B$29)))</f>
        <v/>
      </c>
      <c r="E182">
        <f>INDEX(FactorTable!$B$2:$Y$301, MATCH(ROUND(MIN(300,MAX(1,D182)),0), FactorTable!$A$2:$A$301,0), Skills!M19+1)</f>
        <v/>
      </c>
      <c r="F182">
        <f>IF(Skills!N19=TRUE,(Skills!L19/10)*(E182/1000),Skills!L19/10)+Skills!O19</f>
        <v/>
      </c>
      <c r="G182">
        <f>Skills!G19*IF(Skills!H19&gt;0,Skills!I19/Skills!H19,1)</f>
        <v/>
      </c>
      <c r="H182">
        <f>1-(1-Skills!J19/100)^Skills!K19</f>
        <v/>
      </c>
      <c r="I182" t="inlineStr">
        <is>
          <t>1</t>
        </is>
      </c>
      <c r="J182" t="inlineStr"/>
      <c r="K182" t="inlineStr"/>
      <c r="L182" t="inlineStr"/>
      <c r="M182" t="inlineStr"/>
      <c r="N182" t="inlineStr"/>
      <c r="O182">
        <f>(1-Summary!$B$11)*T182+Summary!$B$11*V182</f>
        <v/>
      </c>
      <c r="P182">
        <f>IF(B206=0,0,O182/B206)</f>
        <v/>
      </c>
      <c r="Q182">
        <f>IFERROR(1/(IF(Inputs!$B$38="pvp",15,MAX(0.1,Skills!D19-IF(Skills!E19=TRUE,Inputs!$B$32,0)))*(1-IF(AND(ArtifactsInput!$M$27,Inputs!$B$4="Chapter Hunt"),CHOOSE(ArtifactsInput!$N$27+1,20,24,28,32,36,40),0)/100)),0)</f>
        <v/>
      </c>
      <c r="R182">
        <f>IF(AND(Inputs!$B$38&lt;&gt;"pvp",Inputs!$B$43&gt;0),IF(Inputs!$B$43&lt;=0,0,(INT(Inputs!$B$43/(IF(Inputs!$B$38="pvp",15,MAX(0.1,Skills!D19-IF(Skills!E19=TRUE,Inputs!$B$32,0)))*(1-IF(AND(ArtifactsInput!$M$27,Inputs!$B$4="Chapter Hunt"),CHOOSE(ArtifactsInput!$N$27+1,20,24,28,32,36,40),0)/100)))+1)),0)</f>
        <v/>
      </c>
      <c r="S182">
        <f>IFERROR(O182/N182,0)</f>
        <v/>
      </c>
      <c r="T182" t="n">
        <v>0</v>
      </c>
      <c r="V182" t="n">
        <v>0</v>
      </c>
    </row>
    <row r="183">
      <c r="A183">
        <f>Skills!A20</f>
        <v/>
      </c>
      <c r="B183">
        <f>Skills!B20</f>
        <v/>
      </c>
      <c r="C183">
        <f>Inputs!$B$3&gt;=15</f>
        <v/>
      </c>
      <c r="D183">
        <f>IF(Skills!C20=1,60+Inputs!$B$25+Inputs!$B$29,IF(Skills!C20=2,90+Inputs!$B$26+Inputs!$B$29,IF(Skills!C20=3,120+Inputs!$B$27+Inputs!$B$29,MAX(0,(Inputs!$B$3-100)*3)+Inputs!$B$28+Inputs!$B$29)))</f>
        <v/>
      </c>
      <c r="E183">
        <f>INDEX(FactorTable!$B$2:$Y$301, MATCH(ROUND(MIN(300,MAX(1,D183)),0), FactorTable!$A$2:$A$301,0), Skills!M20+1)</f>
        <v/>
      </c>
      <c r="F183">
        <f>IF(Skills!N20=TRUE,(Skills!L20/10)*(E183/1000),Skills!L20/10)+Skills!O20</f>
        <v/>
      </c>
      <c r="G183">
        <f>Skills!G20*IF(Skills!H20&gt;0,Skills!I20/Skills!H20,1)</f>
        <v/>
      </c>
      <c r="H183">
        <f>1-(1-Skills!J20/100)^Skills!K20</f>
        <v/>
      </c>
      <c r="I183" t="inlineStr">
        <is>
          <t>1</t>
        </is>
      </c>
      <c r="J183" t="inlineStr"/>
      <c r="K183" t="inlineStr"/>
      <c r="L183" t="inlineStr"/>
      <c r="M183" t="inlineStr"/>
      <c r="N183" t="inlineStr"/>
      <c r="O183">
        <f>(1-Summary!$B$11)*T183+Summary!$B$11*V183</f>
        <v/>
      </c>
      <c r="P183">
        <f>IF(B206=0,0,O183/B206)</f>
        <v/>
      </c>
      <c r="Q183" t="n">
        <v>0</v>
      </c>
      <c r="R183" t="n">
        <v>0</v>
      </c>
      <c r="S183">
        <f>IFERROR(O183/N183,0)</f>
        <v/>
      </c>
      <c r="T183" t="n">
        <v>0</v>
      </c>
      <c r="V183" t="n">
        <v>0</v>
      </c>
    </row>
    <row r="184">
      <c r="A184">
        <f>Skills!A21</f>
        <v/>
      </c>
      <c r="B184">
        <f>Skills!B21</f>
        <v/>
      </c>
      <c r="C184">
        <f>Inputs!$B$3&gt;=10</f>
        <v/>
      </c>
      <c r="D184">
        <f>IF(Skills!C21=1,60+Inputs!$B$25+Inputs!$B$29,IF(Skills!C21=2,90+Inputs!$B$26+Inputs!$B$29,IF(Skills!C21=3,120+Inputs!$B$27+Inputs!$B$29,MAX(0,(Inputs!$B$3-100)*3)+Inputs!$B$28+Inputs!$B$29)))</f>
        <v/>
      </c>
      <c r="E184">
        <f>INDEX(FactorTable!$B$2:$Y$301, MATCH(ROUND(MIN(300,MAX(1,D184)),0), FactorTable!$A$2:$A$301,0), Skills!M21+1)</f>
        <v/>
      </c>
      <c r="F184">
        <f>IF(Skills!N21=TRUE,(Skills!L21/10)*(E184/1000),Skills!L21/10)+Skills!O21</f>
        <v/>
      </c>
      <c r="G184">
        <f>Skills!G21*IF(Skills!H21&gt;0,Skills!I21/Skills!H21,1)</f>
        <v/>
      </c>
      <c r="H184">
        <f>1-(1-Skills!J21/100)^Skills!K21</f>
        <v/>
      </c>
      <c r="I184" t="inlineStr">
        <is>
          <t>1</t>
        </is>
      </c>
      <c r="J184" t="inlineStr"/>
      <c r="K184" t="inlineStr"/>
      <c r="L184" t="inlineStr"/>
      <c r="M184" t="inlineStr"/>
      <c r="N184" t="inlineStr"/>
      <c r="O184">
        <f>(1-Summary!$B$11)*T184+Summary!$B$11*V184</f>
        <v/>
      </c>
      <c r="P184">
        <f>IF(B206=0,0,O184/B206)</f>
        <v/>
      </c>
      <c r="Q184" t="n">
        <v>0</v>
      </c>
      <c r="R184" t="n">
        <v>0</v>
      </c>
      <c r="S184">
        <f>IFERROR(O184/N184,0)</f>
        <v/>
      </c>
      <c r="T184" t="n">
        <v>0</v>
      </c>
      <c r="V184" t="n">
        <v>0</v>
      </c>
    </row>
    <row r="185">
      <c r="A185">
        <f>Skills!A22</f>
        <v/>
      </c>
      <c r="B185">
        <f>Skills!B22</f>
        <v/>
      </c>
      <c r="C185">
        <f>Inputs!$B$3&gt;=33</f>
        <v/>
      </c>
      <c r="D185">
        <f>IF(Skills!C22=1,60+Inputs!$B$25+Inputs!$B$29,IF(Skills!C22=2,90+Inputs!$B$26+Inputs!$B$29,IF(Skills!C22=3,120+Inputs!$B$27+Inputs!$B$29,MAX(0,(Inputs!$B$3-100)*3)+Inputs!$B$28+Inputs!$B$29)))</f>
        <v/>
      </c>
      <c r="E185">
        <f>INDEX(FactorTable!$B$2:$Y$301, MATCH(ROUND(MIN(300,MAX(1,D185)),0), FactorTable!$A$2:$A$301,0), Skills!M22+1)</f>
        <v/>
      </c>
      <c r="F185">
        <f>IF(Skills!N22=TRUE,(Skills!L22/10)*(E185/1000),Skills!L22/10)+Skills!O22</f>
        <v/>
      </c>
      <c r="G185">
        <f>Skills!G22*IF(Skills!H22&gt;0,Skills!I22/Skills!H22,1)</f>
        <v/>
      </c>
      <c r="H185">
        <f>1-(1-Skills!J22/100)^Skills!K22</f>
        <v/>
      </c>
      <c r="I185" t="inlineStr">
        <is>
          <t>1</t>
        </is>
      </c>
      <c r="J185" t="inlineStr"/>
      <c r="K185" t="inlineStr"/>
      <c r="L185" t="inlineStr"/>
      <c r="M185" t="inlineStr"/>
      <c r="N185" t="inlineStr"/>
      <c r="O185">
        <f>(1-Summary!$B$11)*T185+Summary!$B$11*V185</f>
        <v/>
      </c>
      <c r="P185">
        <f>IF(B206=0,0,O185/B206)</f>
        <v/>
      </c>
      <c r="Q185" t="n">
        <v>0</v>
      </c>
      <c r="R185" t="n">
        <v>0</v>
      </c>
      <c r="S185">
        <f>IFERROR(O185/N185,0)</f>
        <v/>
      </c>
      <c r="T185" t="n">
        <v>0</v>
      </c>
      <c r="V185" t="n">
        <v>0</v>
      </c>
    </row>
    <row r="186">
      <c r="A186">
        <f>Skills!A23</f>
        <v/>
      </c>
      <c r="B186">
        <f>Skills!B23</f>
        <v/>
      </c>
      <c r="C186">
        <f>Inputs!$B$3&gt;=38</f>
        <v/>
      </c>
      <c r="D186">
        <f>IF(Skills!C23=1,60+Inputs!$B$25+Inputs!$B$29,IF(Skills!C23=2,90+Inputs!$B$26+Inputs!$B$29,IF(Skills!C23=3,120+Inputs!$B$27+Inputs!$B$29,MAX(0,(Inputs!$B$3-100)*3)+Inputs!$B$28+Inputs!$B$29)))</f>
        <v/>
      </c>
      <c r="E186">
        <f>INDEX(FactorTable!$B$2:$Y$301, MATCH(ROUND(MIN(300,MAX(1,D186)),0), FactorTable!$A$2:$A$301,0), Skills!M23+1)</f>
        <v/>
      </c>
      <c r="F186">
        <f>IF(Skills!N23=TRUE,(Skills!L23/10)*(E186/1000),Skills!L23/10)+Skills!O23</f>
        <v/>
      </c>
      <c r="G186">
        <f>Skills!G23*IF(Skills!H23&gt;0,Skills!I23/Skills!H23,1)</f>
        <v/>
      </c>
      <c r="H186">
        <f>1-(1-Skills!J23/100)^Skills!K23</f>
        <v/>
      </c>
      <c r="I186" t="inlineStr">
        <is>
          <t>1</t>
        </is>
      </c>
      <c r="J186" t="inlineStr"/>
      <c r="K186" t="inlineStr"/>
      <c r="L186" t="inlineStr"/>
      <c r="M186" t="inlineStr"/>
      <c r="N186" t="inlineStr"/>
      <c r="O186">
        <f>(1-Summary!$B$11)*T186+Summary!$B$11*V186</f>
        <v/>
      </c>
      <c r="P186">
        <f>IF(B206=0,0,O186/B206)</f>
        <v/>
      </c>
      <c r="Q186" t="n">
        <v>0</v>
      </c>
      <c r="R186" t="n">
        <v>0</v>
      </c>
      <c r="S186">
        <f>IFERROR(O186/N186,0)</f>
        <v/>
      </c>
      <c r="T186" t="n">
        <v>0</v>
      </c>
      <c r="V186" t="n">
        <v>0</v>
      </c>
    </row>
    <row r="187">
      <c r="A187">
        <f>Skills!A24</f>
        <v/>
      </c>
      <c r="B187">
        <f>Skills!B24</f>
        <v/>
      </c>
      <c r="C187">
        <f>Inputs!$B$3&gt;=43</f>
        <v/>
      </c>
      <c r="D187">
        <f>IF(Skills!C24=1,60+Inputs!$B$25+Inputs!$B$29,IF(Skills!C24=2,90+Inputs!$B$26+Inputs!$B$29,IF(Skills!C24=3,120+Inputs!$B$27+Inputs!$B$29,MAX(0,(Inputs!$B$3-100)*3)+Inputs!$B$28+Inputs!$B$29)))</f>
        <v/>
      </c>
      <c r="E187">
        <f>INDEX(FactorTable!$B$2:$Y$301, MATCH(ROUND(MIN(300,MAX(1,D187)),0), FactorTable!$A$2:$A$301,0), Skills!M24+1)</f>
        <v/>
      </c>
      <c r="F187">
        <f>IF(Skills!N24=TRUE,(Skills!L24/10)*(E187/1000),Skills!L24/10)+Skills!O24</f>
        <v/>
      </c>
      <c r="G187">
        <f>Skills!G24*IF(Skills!H24&gt;0,Skills!I24/Skills!H24,1)</f>
        <v/>
      </c>
      <c r="H187">
        <f>1-(1-Skills!J24/100)^Skills!K24</f>
        <v/>
      </c>
      <c r="I187" t="inlineStr">
        <is>
          <t>1</t>
        </is>
      </c>
      <c r="J187" t="inlineStr"/>
      <c r="K187" t="inlineStr"/>
      <c r="L187" t="inlineStr"/>
      <c r="M187" t="inlineStr"/>
      <c r="N187" t="inlineStr"/>
      <c r="O187">
        <f>(1-Summary!$B$11)*T187+Summary!$B$11*V187</f>
        <v/>
      </c>
      <c r="P187">
        <f>IF(B206=0,0,O187/B206)</f>
        <v/>
      </c>
      <c r="Q187" t="n">
        <v>0</v>
      </c>
      <c r="R187" t="n">
        <v>0</v>
      </c>
      <c r="S187">
        <f>IFERROR(O187/N187,0)</f>
        <v/>
      </c>
      <c r="T187" t="n">
        <v>0</v>
      </c>
      <c r="V187" t="n">
        <v>0</v>
      </c>
    </row>
    <row r="188">
      <c r="A188">
        <f>Skills!A25</f>
        <v/>
      </c>
      <c r="B188">
        <f>Skills!B25</f>
        <v/>
      </c>
      <c r="C188">
        <f>Inputs!$B$3&gt;=75</f>
        <v/>
      </c>
      <c r="D188">
        <f>IF(Skills!C25=1,60+Inputs!$B$25+Inputs!$B$29,IF(Skills!C25=2,90+Inputs!$B$26+Inputs!$B$29,IF(Skills!C25=3,120+Inputs!$B$27+Inputs!$B$29,MAX(0,(Inputs!$B$3-100)*3)+Inputs!$B$28+Inputs!$B$29)))</f>
        <v/>
      </c>
      <c r="E188">
        <f>INDEX(FactorTable!$B$2:$Y$301, MATCH(ROUND(MIN(300,MAX(1,D188)),0), FactorTable!$A$2:$A$301,0), Skills!M25+1)</f>
        <v/>
      </c>
      <c r="F188">
        <f>IF(Skills!N25=TRUE,(Skills!L25/10)*(E188/1000),Skills!L25/10)+Skills!O25</f>
        <v/>
      </c>
      <c r="G188">
        <f>Skills!G25*IF(Skills!H25&gt;0,Skills!I25/Skills!H25,1)</f>
        <v/>
      </c>
      <c r="H188">
        <f>1-(1-Skills!J25/100)^Skills!K25</f>
        <v/>
      </c>
      <c r="I188" t="inlineStr">
        <is>
          <t>1</t>
        </is>
      </c>
      <c r="J188" t="inlineStr"/>
      <c r="K188" t="inlineStr"/>
      <c r="L188" t="inlineStr"/>
      <c r="M188" t="inlineStr"/>
      <c r="N188" t="inlineStr"/>
      <c r="O188">
        <f>(1-Summary!$B$11)*T188+Summary!$B$11*V188</f>
        <v/>
      </c>
      <c r="P188">
        <f>IF(B206=0,0,O188/B206)</f>
        <v/>
      </c>
      <c r="Q188" t="n">
        <v>0</v>
      </c>
      <c r="R188" t="n">
        <v>0</v>
      </c>
      <c r="S188">
        <f>IFERROR(O188/N188,0)</f>
        <v/>
      </c>
      <c r="T188" t="n">
        <v>0</v>
      </c>
      <c r="V188" t="n">
        <v>0</v>
      </c>
    </row>
    <row r="189">
      <c r="A189">
        <f>Skills!A26</f>
        <v/>
      </c>
      <c r="B189">
        <f>Skills!B26</f>
        <v/>
      </c>
      <c r="C189">
        <f>Inputs!$B$3&gt;=125</f>
        <v/>
      </c>
      <c r="D189">
        <f>IF(Skills!C26=1,60+Inputs!$B$25+Inputs!$B$29,IF(Skills!C26=2,90+Inputs!$B$26+Inputs!$B$29,IF(Skills!C26=3,120+Inputs!$B$27+Inputs!$B$29,MAX(0,(Inputs!$B$3-100)*3)+Inputs!$B$28+Inputs!$B$29)))</f>
        <v/>
      </c>
      <c r="E189">
        <f>INDEX(FactorTable!$B$2:$Y$301, MATCH(ROUND(MIN(300,MAX(1,D189)),0), FactorTable!$A$2:$A$301,0), Skills!M26+1)</f>
        <v/>
      </c>
      <c r="F189">
        <f>IF(Skills!N26=TRUE,(Skills!L26/10)*(E189/1000),Skills!L26/10)+Skills!O26</f>
        <v/>
      </c>
      <c r="G189">
        <f>Skills!G26*IF(Skills!H26&gt;0,Skills!I26/Skills!H26,1)</f>
        <v/>
      </c>
      <c r="H189">
        <f>1-(1-Skills!J26/100)^Skills!K26</f>
        <v/>
      </c>
      <c r="I189" t="inlineStr">
        <is>
          <t>1</t>
        </is>
      </c>
      <c r="J189" t="inlineStr"/>
      <c r="K189" t="inlineStr"/>
      <c r="L189" t="inlineStr"/>
      <c r="M189" t="inlineStr"/>
      <c r="N189" t="inlineStr"/>
      <c r="O189">
        <f>(1-Summary!$B$11)*T189+Summary!$B$11*V189</f>
        <v/>
      </c>
      <c r="P189">
        <f>IF(B206=0,0,O189/B206)</f>
        <v/>
      </c>
      <c r="Q189" t="n">
        <v>0</v>
      </c>
      <c r="R189" t="n">
        <v>0</v>
      </c>
      <c r="S189">
        <f>IFERROR(O189/N189,0)</f>
        <v/>
      </c>
      <c r="T189" t="n">
        <v>0</v>
      </c>
      <c r="V189" t="n">
        <v>0</v>
      </c>
    </row>
    <row r="190">
      <c r="A190">
        <f>Skills!A27</f>
        <v/>
      </c>
      <c r="B190">
        <f>Skills!B27</f>
        <v/>
      </c>
      <c r="C190">
        <f>Inputs!$B$3&gt;=125</f>
        <v/>
      </c>
      <c r="D190">
        <f>IF(Skills!C27=1,60+Inputs!$B$25+Inputs!$B$29,IF(Skills!C27=2,90+Inputs!$B$26+Inputs!$B$29,IF(Skills!C27=3,120+Inputs!$B$27+Inputs!$B$29,MAX(0,(Inputs!$B$3-100)*3)+Inputs!$B$28+Inputs!$B$29)))</f>
        <v/>
      </c>
      <c r="E190">
        <f>INDEX(FactorTable!$B$2:$Y$301, MATCH(ROUND(MIN(300,MAX(1,D190)),0), FactorTable!$A$2:$A$301,0), Skills!M27+1)</f>
        <v/>
      </c>
      <c r="F190">
        <f>IF(Skills!N27=TRUE,(Skills!L27/10)*(E190/1000),Skills!L27/10)+Skills!O27</f>
        <v/>
      </c>
      <c r="G190">
        <f>Skills!G27*IF(Skills!H27&gt;0,Skills!I27/Skills!H27,1)</f>
        <v/>
      </c>
      <c r="H190">
        <f>1-(1-Skills!J27/100)^Skills!K27</f>
        <v/>
      </c>
      <c r="I190" t="inlineStr">
        <is>
          <t>1</t>
        </is>
      </c>
      <c r="J190" t="inlineStr"/>
      <c r="K190" t="inlineStr"/>
      <c r="L190" t="inlineStr"/>
      <c r="M190" t="inlineStr"/>
      <c r="N190" t="inlineStr"/>
      <c r="O190">
        <f>(1-Summary!$B$11)*T190+Summary!$B$11*V190</f>
        <v/>
      </c>
      <c r="P190">
        <f>IF(B206=0,0,O190/B206)</f>
        <v/>
      </c>
      <c r="Q190" t="n">
        <v>0</v>
      </c>
      <c r="R190" t="n">
        <v>0</v>
      </c>
      <c r="S190">
        <f>IFERROR(O190/N190,0)</f>
        <v/>
      </c>
      <c r="T190" t="n">
        <v>0</v>
      </c>
      <c r="V190" t="n">
        <v>0</v>
      </c>
    </row>
    <row r="191">
      <c r="A191">
        <f>Skills!A28</f>
        <v/>
      </c>
      <c r="B191">
        <f>Skills!B28</f>
        <v/>
      </c>
      <c r="C191">
        <f>Inputs!$B$3&gt;=120</f>
        <v/>
      </c>
      <c r="D191">
        <f>IF(Skills!C28=1,60+Inputs!$B$25+Inputs!$B$29,IF(Skills!C28=2,90+Inputs!$B$26+Inputs!$B$29,IF(Skills!C28=3,120+Inputs!$B$27+Inputs!$B$29,MAX(0,(Inputs!$B$3-100)*3)+Inputs!$B$28+Inputs!$B$29)))</f>
        <v/>
      </c>
      <c r="E191">
        <f>INDEX(FactorTable!$B$2:$Y$301, MATCH(ROUND(MIN(300,MAX(1,D191)),0), FactorTable!$A$2:$A$301,0), Skills!M28+1)</f>
        <v/>
      </c>
      <c r="F191">
        <f>IF(Skills!N28=TRUE,(Skills!L28/10)*(E191/1000),Skills!L28/10)+Skills!O28</f>
        <v/>
      </c>
      <c r="G191">
        <f>Skills!G28*IF(Skills!H28&gt;0,Skills!I28/Skills!H28,1)</f>
        <v/>
      </c>
      <c r="H191">
        <f>1-(1-Skills!J28/100)^Skills!K28</f>
        <v/>
      </c>
      <c r="I191" t="inlineStr">
        <is>
          <t>1</t>
        </is>
      </c>
      <c r="J191" t="inlineStr"/>
      <c r="K191" t="inlineStr"/>
      <c r="L191" t="inlineStr"/>
      <c r="M191" t="inlineStr"/>
      <c r="N191" t="inlineStr"/>
      <c r="O191">
        <f>(1-Summary!$B$11)*T191+Summary!$B$11*V191</f>
        <v/>
      </c>
      <c r="P191">
        <f>IF(B206=0,0,O191/B206)</f>
        <v/>
      </c>
      <c r="Q191" t="n">
        <v>0</v>
      </c>
      <c r="R191" t="n">
        <v>0</v>
      </c>
      <c r="S191">
        <f>IFERROR(O191/N191,0)</f>
        <v/>
      </c>
      <c r="T191" t="n">
        <v>0</v>
      </c>
      <c r="V191" t="n">
        <v>0</v>
      </c>
    </row>
    <row r="192">
      <c r="A192">
        <f>Skills!A29</f>
        <v/>
      </c>
      <c r="B192">
        <f>Skills!B29</f>
        <v/>
      </c>
      <c r="C192">
        <f>Inputs!$B$3&gt;=120</f>
        <v/>
      </c>
      <c r="D192">
        <f>IF(Skills!C29=1,60+Inputs!$B$25+Inputs!$B$29,IF(Skills!C29=2,90+Inputs!$B$26+Inputs!$B$29,IF(Skills!C29=3,120+Inputs!$B$27+Inputs!$B$29,MAX(0,(Inputs!$B$3-100)*3)+Inputs!$B$28+Inputs!$B$29)))</f>
        <v/>
      </c>
      <c r="E192">
        <f>INDEX(FactorTable!$B$2:$Y$301, MATCH(ROUND(MIN(300,MAX(1,D192)),0), FactorTable!$A$2:$A$301,0), Skills!M29+1)</f>
        <v/>
      </c>
      <c r="F192">
        <f>IF(Skills!N29=TRUE,(Skills!L29/10)*(E192/1000),Skills!L29/10)+Skills!O29</f>
        <v/>
      </c>
      <c r="G192">
        <f>Skills!G29*IF(Skills!H29&gt;0,Skills!I29/Skills!H29,1)</f>
        <v/>
      </c>
      <c r="H192">
        <f>1-(1-Skills!J29/100)^Skills!K29</f>
        <v/>
      </c>
      <c r="I192" t="inlineStr">
        <is>
          <t>1</t>
        </is>
      </c>
      <c r="J192" t="inlineStr"/>
      <c r="K192" t="inlineStr"/>
      <c r="L192" t="inlineStr"/>
      <c r="M192" t="inlineStr"/>
      <c r="N192" t="inlineStr"/>
      <c r="O192">
        <f>(1-Summary!$B$11)*T192+Summary!$B$11*V192</f>
        <v/>
      </c>
      <c r="P192">
        <f>IF(B206=0,0,O192/B206)</f>
        <v/>
      </c>
      <c r="Q192" t="n">
        <v>0</v>
      </c>
      <c r="R192" t="n">
        <v>0</v>
      </c>
      <c r="S192">
        <f>IFERROR(O192/N192,0)</f>
        <v/>
      </c>
      <c r="T192" t="n">
        <v>0</v>
      </c>
      <c r="V192" t="n">
        <v>0</v>
      </c>
    </row>
    <row r="193">
      <c r="A193">
        <f>Skills!A30</f>
        <v/>
      </c>
      <c r="B193">
        <f>Skills!B30</f>
        <v/>
      </c>
      <c r="C193">
        <f>Inputs!$B$3&gt;=45</f>
        <v/>
      </c>
      <c r="D193">
        <f>IF(Skills!C30=1,60+Inputs!$B$25+Inputs!$B$29,IF(Skills!C30=2,90+Inputs!$B$26+Inputs!$B$29,IF(Skills!C30=3,120+Inputs!$B$27+Inputs!$B$29,MAX(0,(Inputs!$B$3-100)*3)+Inputs!$B$28+Inputs!$B$29)))</f>
        <v/>
      </c>
      <c r="E193">
        <f>INDEX(FactorTable!$B$2:$Y$301, MATCH(ROUND(MIN(300,MAX(1,D193)),0), FactorTable!$A$2:$A$301,0), Skills!M30+1)</f>
        <v/>
      </c>
      <c r="F193">
        <f>IF(Skills!N30=TRUE,(Skills!L30/10)*(E193/1000),Skills!L30/10)+Skills!O30</f>
        <v/>
      </c>
      <c r="G193">
        <f>Skills!G30*IF(Skills!H30&gt;0,Skills!I30/Skills!H30,1)</f>
        <v/>
      </c>
      <c r="H193">
        <f>1-(1-Skills!J30/100)^Skills!K30</f>
        <v/>
      </c>
      <c r="I193" t="inlineStr">
        <is>
          <t>1</t>
        </is>
      </c>
      <c r="J193" t="inlineStr"/>
      <c r="K193" t="inlineStr"/>
      <c r="L193" t="inlineStr"/>
      <c r="M193" t="inlineStr"/>
      <c r="N193" t="inlineStr"/>
      <c r="O193">
        <f>(1-Summary!$B$11)*T193+Summary!$B$11*V193</f>
        <v/>
      </c>
      <c r="P193">
        <f>IF(B206=0,0,O193/B206)</f>
        <v/>
      </c>
      <c r="Q193" t="n">
        <v>0</v>
      </c>
      <c r="R193" t="n">
        <v>0</v>
      </c>
      <c r="S193">
        <f>IFERROR(O193/N193,0)</f>
        <v/>
      </c>
      <c r="T193" t="n">
        <v>0</v>
      </c>
      <c r="V193" t="n">
        <v>0</v>
      </c>
    </row>
    <row r="195">
      <c r="A195" t="inlineStr">
        <is>
          <t>Attack% Bucket Multiplier</t>
        </is>
      </c>
      <c r="B195">
        <f>(1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
      <c r="A196" t="inlineStr">
        <is>
          <t>Global Crit Rate Bonus %</t>
        </is>
      </c>
      <c r="B196">
        <f>(C179=TRUE)*20*IF(AND(Inputs!$B$38&lt;&gt;"pvp",Inputs!$B$43&gt;0),(((R179-1)*(Skills!T16*(1+Inputs!$B$34/100))+MIN((Skills!T16*(1+Inputs!$B$34/100)),MAX(0,Inputs!$B$43-((R179-1)*Skills!D16))))/Inputs!$B$43),IF(Inputs!$B$38="pvp",MIN((Skills!T16*(1+Inputs!$B$34/100)),15)/15,(Skills!T16*(1+Inputs!$B$34/100))/Skills!D16))</f>
        <v/>
      </c>
    </row>
    <row r="197">
      <c r="A197" t="inlineStr">
        <is>
          <t>Attack Speed Buff Bonus %</t>
        </is>
      </c>
      <c r="B197">
        <f>((C182=TRUE)*F182*IF(AND(Inputs!$B$38&lt;&gt;"pvp",Inputs!$B$43&gt;0),(((R182-1)*(Skills!T19*(1+Inputs!$B$34/100))+MIN((Skills!T19*(1+Inputs!$B$34/100)),MAX(0,Inputs!$B$43-((R182-1)*Skills!D19))))/Inputs!$B$43),IF(Inputs!$B$38="pvp",MIN((Skills!T19*(1+Inputs!$B$34/100)),15)/15,(Skills!T19*(1+Inputs!$B$34/100))/Skills!D19)))</f>
        <v/>
      </c>
    </row>
    <row r="198">
      <c r="A198" t="inlineStr">
        <is>
          <t>Actions Per Second</t>
        </is>
      </c>
      <c r="B198">
        <f>1+MIN(150,150*(1-(1-(Inputs!$B$11+((C184=TRUE)*(F184-Calc!F21))+((C185=TRUE)*(F185-Calc!F22)))/150)*(1-B197/150)))/100</f>
        <v/>
      </c>
    </row>
    <row r="199">
      <c r="A199" t="inlineStr">
        <is>
          <t>Skill + Buff Cast Rate</t>
        </is>
      </c>
      <c r="B199">
        <f>IF(AND(Inputs!$B$38&lt;&gt;"pvp",Inputs!$B$43&gt;0),SUMPRODUCT((Skills!E2:E30=TRUE)*(C165:C193=TRUE)*R165:R193*Skills!F2:F30)/Inputs!$B$43,SUMPRODUCT((Skills!E2:E30=TRUE)*(C165:C193=TRUE)*Q165:Q193*Skills!F2:F30))</f>
        <v/>
      </c>
    </row>
    <row r="200">
      <c r="A200" t="inlineStr">
        <is>
          <t>Arrow Stream Casts Per Second</t>
        </is>
      </c>
      <c r="B200">
        <f>MAX(0,B198-B199)</f>
        <v/>
      </c>
    </row>
    <row r="201">
      <c r="A201" t="inlineStr">
        <is>
          <t>Global Critical Damage Bonus % (Sharp Eyes + Concentration)</t>
        </is>
      </c>
      <c r="B201">
        <f>(C179=TRUE)*F179*IF(AND(Inputs!$B$38&lt;&gt;"pvp",Inputs!$B$43&gt;0),(((R179-1)*(Skills!T16*(1+Inputs!$B$34/100))+MIN((Skills!T16*(1+Inputs!$B$34/100)),MAX(0,Inputs!$B$43-((R179-1)*Skills!D16))))/Inputs!$B$43),IF(Inputs!$B$38="pvp",MIN((Skills!T16*(1+Inputs!$B$34/100)),15)/15,(Skills!T16*(1+Inputs!$B$34/100))/Skills!D16))+(C180=TRUE)*30</f>
        <v/>
      </c>
    </row>
    <row r="202">
      <c r="A202" t="inlineStr">
        <is>
          <t>Global Final Damage Bonus % (Mortal Blow)</t>
        </is>
      </c>
      <c r="B202">
        <f>(C181=TRUE)*F181</f>
        <v/>
      </c>
    </row>
    <row r="203">
      <c r="A203" t="inlineStr">
        <is>
          <t>Buff-Casting Startup Delay (s, fixed-duration only)</t>
        </is>
      </c>
      <c r="B203">
        <f>IF(AND(Inputs!$B$38&lt;&gt;"pvp",Inputs!$B$43&gt;0),SUMPRODUCT((Skills!T2:T30&gt;0)*(Skills!E2:E30=TRUE)*(C165:C193=TRUE))/B198,0)</f>
        <v/>
      </c>
    </row>
    <row r="204">
      <c r="A204" t="inlineStr">
        <is>
          <t>Boss-Only Total DPS (this block's swept value)</t>
        </is>
      </c>
      <c r="B204">
        <f>SUM(T165:T193)</f>
        <v/>
      </c>
    </row>
    <row r="205">
      <c r="A205" t="inlineStr">
        <is>
          <t>Normal-Only Total DPS (this block's swept value)</t>
        </is>
      </c>
      <c r="B205">
        <f>SUM(V165:V193)</f>
        <v/>
      </c>
    </row>
    <row r="206">
      <c r="A206" s="6" t="inlineStr">
        <is>
          <t>TOTAL DPS</t>
        </is>
      </c>
      <c r="B206" s="6">
        <f>SUM(O165:O193)</f>
        <v/>
      </c>
    </row>
    <row r="209">
      <c r="A209" s="6" t="inlineStr">
        <is>
          <t>Stat: DAMAGE %</t>
        </is>
      </c>
    </row>
    <row r="210">
      <c r="A210" s="5" t="inlineStr">
        <is>
          <t>Key</t>
        </is>
      </c>
      <c r="B210" s="5" t="inlineStr">
        <is>
          <t>Name</t>
        </is>
      </c>
      <c r="C210" s="5" t="inlineStr">
        <is>
          <t>Unlocked</t>
        </is>
      </c>
      <c r="D210" s="5" t="inlineStr">
        <is>
          <t>InputLevel</t>
        </is>
      </c>
      <c r="E210" s="5" t="inlineStr">
        <is>
          <t>Factor</t>
        </is>
      </c>
      <c r="F210" s="5" t="inlineStr">
        <is>
          <t>CoefficientPercent</t>
        </is>
      </c>
      <c r="G210" s="5" t="inlineStr">
        <is>
          <t>EffectiveHits</t>
        </is>
      </c>
      <c r="H210" s="5" t="inlineStr">
        <is>
          <t>ProcProbability</t>
        </is>
      </c>
      <c r="I210" s="5" t="inlineStr">
        <is>
          <t>MapleHeroMultiplier</t>
        </is>
      </c>
      <c r="J210" s="5" t="inlineStr">
        <is>
          <t>BaseDamage</t>
        </is>
      </c>
      <c r="K210" s="5" t="inlineStr">
        <is>
          <t>BaseHitDamage</t>
        </is>
      </c>
      <c r="L210" s="5" t="inlineStr">
        <is>
          <t>NonCritAvg</t>
        </is>
      </c>
      <c r="M210" s="5" t="inlineStr">
        <is>
          <t>CritAvg</t>
        </is>
      </c>
      <c r="N210" s="5" t="inlineStr">
        <is>
          <t>ExpectedDamage(perHit)</t>
        </is>
      </c>
      <c r="O210" s="5" t="inlineStr">
        <is>
          <t>DPS</t>
        </is>
      </c>
      <c r="P210" s="5" t="inlineStr">
        <is>
          <t>% of Total</t>
        </is>
      </c>
      <c r="Q210" s="5" t="inlineStr">
        <is>
          <t>InvCooldown</t>
        </is>
      </c>
      <c r="R210" s="5" t="inlineStr">
        <is>
          <t>CastsInFight</t>
        </is>
      </c>
      <c r="S210" s="5"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((Inputs!$B$6*(1+Inputs!$B$7/100))+(((Inputs!$B$12*(1+Inputs!$B$13/100))-(Inputs!$B$12*(1+Inputs!$B$13/100)))+0.25*(Inputs!$B$14-Inputs!$B$14))*(1+Inputs!$B$7/100))*(F211/100)</f>
        <v/>
      </c>
      <c r="K211">
        <f>J211*(1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233=TRUE)*(F233-Calc!F24)),(Inputs!$B$23+((C238=TRUE)*(F238-Calc!F29))+(IF(ArtifactsInput!$M$15,CHOOSE(ArtifactsInput!$N$15+1,25,30,35,40,45,50)/100*(Inputs!$B$11-Inputs!$B$11),0))))/100+(Inputs!$B$23+((C238=TRUE)*(F238-Calc!F29))+(IF(ArtifactsInput!$M$15,CHOOSE(ArtifactsInput!$N$15+1,25,30,35,40,45,50)/100*(Inputs!$B$11-Inputs!$B$11),0)))/100)/2</f>
        <v/>
      </c>
      <c r="M211">
        <f>L211*(1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IF(B252=0,0,O211/B252)</f>
        <v/>
      </c>
      <c r="Q211" t="n">
        <v>0</v>
      </c>
      <c r="R211" t="n">
        <v>0</v>
      </c>
      <c r="S211">
        <f>IFERROR(O211/N211,0)</f>
        <v/>
      </c>
      <c r="T211">
        <f>IF(C211,(Skills!G2*N211*B246)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MAX(0,(Inputs!$B$3-100)*3)+Inputs!$B$28+Inputs!$B$29</f>
        <v/>
      </c>
      <c r="V211">
        <f>IF(C211,(Skills!G2*N211*B246)*IF(Inputs!$B$38="pvp",1,(1+(Inputs!$B$21+Skills!Q2+(IF(ArtifactsInput!$M$33,CHOOSE(ArtifactsInput!$N$33+1,30,36,42,48,54,60),0))+(IF(AND(ArtifactsInput!$M$35,Inputs!$B$4&lt;&gt;"Chapter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Skills!A3</f>
        <v/>
      </c>
      <c r="B212">
        <f>Skills!B3</f>
        <v/>
      </c>
      <c r="C212">
        <f>Inputs!$B$3&gt;=50</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T212" t="inlineStr"/>
      <c r="U212">
        <f>INDEX(FactorTable!$B$2:$Y$301, MATCH(ROUND(MIN(300,MAX(1,U211)),0), FactorTable!$A$2:$A$301,0), 22)</f>
        <v/>
      </c>
      <c r="V212" t="inlineStr"/>
    </row>
    <row r="213">
      <c r="A213">
        <f>Skills!A4</f>
        <v/>
      </c>
      <c r="B213">
        <f>Skills!B4</f>
        <v/>
      </c>
      <c r="C213">
        <f>Inputs!$B$3&gt;=105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T213" t="inlineStr"/>
      <c r="U213">
        <f>290*U212/1000</f>
        <v/>
      </c>
      <c r="V213" t="inlineStr"/>
    </row>
    <row r="214">
      <c r="A214">
        <f>Skills!A5</f>
        <v/>
      </c>
      <c r="B214">
        <f>Skills!B5</f>
        <v/>
      </c>
      <c r="C214">
        <f>Inputs!$B$3&gt;=35</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((Inputs!$B$6*(1+Inputs!$B$7/100))+(((Inputs!$B$12*(1+Inputs!$B$13/100))-(Inputs!$B$12*(1+Inputs!$B$13/100)))+0.25*(Inputs!$B$14-Inputs!$B$14))*(1+Inputs!$B$7/100))*(F214/100)</f>
        <v/>
      </c>
      <c r="K214">
        <f>J214*(1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TRUE,F219,0)/100)*(1+(IF(Skills!A5="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233=TRUE)*(F233-Calc!F24)),(Inputs!$B$23+((C238=TRUE)*(F238-Calc!F29))+(IF(ArtifactsInput!$M$15,CHOOSE(ArtifactsInput!$N$15+1,25,30,35,40,45,50)/100*(Inputs!$B$11-Inputs!$B$11),0))))/100+(Inputs!$B$23+((C238=TRUE)*(F238-Calc!F29))+(IF(ArtifactsInput!$M$15,CHOOSE(ArtifactsInput!$N$15+1,25,30,35,40,45,50)/100*(Inputs!$B$11-Inputs!$B$11),0)))/100)/2</f>
        <v/>
      </c>
      <c r="M214">
        <f>L214*(1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IF(B252=0,0,O214/B252)</f>
        <v/>
      </c>
      <c r="Q214">
        <f>IFERROR(1/(IF(Inputs!$B$38="pvp",15,MAX(0.1,Skills!D5-IF(Skills!E5=TRUE,Inputs!$B$32,0)))*(1-IF(AND(ArtifactsInput!$M$27,Inputs!$B$4="Chapter Hunt"),CHOOSE(ArtifactsInput!$N$27+1,20,24,28,32,36,40),0)/100)),0)</f>
        <v/>
      </c>
      <c r="R214">
        <f>IF(AND(Inputs!$B$38&lt;&gt;"pvp",Inputs!$B$43&gt;0),IF(MAX(0,Inputs!$B$43-B249)&lt;=0,0,(INT(MAX(0,Inputs!$B$43-B249)/(IF(Inputs!$B$38="pvp",15,MAX(0.1,Skills!D5-IF(Skills!E5=TRUE,Inputs!$B$32,0)))*(1-IF(AND(ArtifactsInput!$M$27,Inputs!$B$4="Chapter Hunt"),CHOOSE(ArtifactsInput!$N$27+1,20,24,28,32,36,40),0)/100)))+1)),0)</f>
        <v/>
      </c>
      <c r="S214">
        <f>IFERROR(O214/N214,0)</f>
        <v/>
      </c>
      <c r="T214">
        <f>IF(C214,(H214*N214*IF(AND(Inputs!$B$38&lt;&gt;"pvp",Inputs!$B$43&gt;0),((Skills!G5*((R214-1)*IF(Skills!H5&gt;0,Skills!I5/Skills!H5,1)+IF(Skills!H5&gt;0,MIN(Skills!I5,MAX(0,MAX(0,Inputs!$B$43-B249)-((R214-1)*(IF(Inputs!$B$38="pvp",15,MAX(0.1,Skills!D5-IF(Skills!E5=TRUE,Inputs!$B$32,0)))*(1-IF(AND(ArtifactsInput!$M$27,Inputs!$B$4="Chapter Hunt"),CHOOSE(ArtifactsInput!$N$27+1,20,24,28,32,36,40),0)/100)))))/Skills!H5,1)))/Inputs!$B$43),G214*Q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214*(1-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5*((R214-1)*IF(Skills!H5&gt;0,Skills!I5/Skills!H5,1)+IF(Skills!H5&gt;0,MIN(Skills!I5,MAX(0,MAX(0,Inputs!$B$43-B249)-((R214-1)*(IF(Inputs!$B$38="pvp",15,MAX(0.1,Skills!D5-IF(Skills!E5=TRUE,Inputs!$B$32,0)))*(1-IF(AND(ArtifactsInput!$M$27,Inputs!$B$4="Chapter Hunt"),CHOOSE(ArtifactsInput!$N$27+1,20,24,28,32,36,40),0)/100)))))/Skills!H5,1)))/Inputs!$B$43),G214*Q214))*IF(Inputs!$B$38="pvp",1,(1+(Inputs!$B$21+Skills!Q5+(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Skills!A6</f>
        <v/>
      </c>
      <c r="B215">
        <f>Skills!B6</f>
        <v/>
      </c>
      <c r="C215">
        <f>Inputs!$B$3&gt;=40</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((Inputs!$B$6*(1+Inputs!$B$7/100))+(((Inputs!$B$12*(1+Inputs!$B$13/100))-(Inputs!$B$12*(1+Inputs!$B$13/100)))+0.25*(Inputs!$B$14-Inputs!$B$14))*(1+Inputs!$B$7/100))*(F215/100)</f>
        <v/>
      </c>
      <c r="K215">
        <f>J215*(1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6="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233=TRUE)*(F233-Calc!F24)),(Inputs!$B$23+((C238=TRUE)*(F238-Calc!F29))+(IF(ArtifactsInput!$M$15,CHOOSE(ArtifactsInput!$N$15+1,25,30,35,40,45,50)/100*(Inputs!$B$11-Inputs!$B$11),0))))/100+(Inputs!$B$23+((C238=TRUE)*(F238-Calc!F29))+(IF(ArtifactsInput!$M$15,CHOOSE(ArtifactsInput!$N$15+1,25,30,35,40,45,50)/100*(Inputs!$B$11-Inputs!$B$11),0)))/100)/2</f>
        <v/>
      </c>
      <c r="M215">
        <f>L215*(1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IF(B252=0,0,O215/B252)</f>
        <v/>
      </c>
      <c r="Q215">
        <f>IFERROR(1/(IF(Inputs!$B$38="pvp",15,MAX(0.1,Skills!D6-IF(Skills!E6=TRUE,Inputs!$B$32,0)))*(1-IF(AND(ArtifactsInput!$M$27,Inputs!$B$4="Chapter Hunt"),CHOOSE(ArtifactsInput!$N$27+1,20,24,28,32,36,40),0)/100)),0)</f>
        <v/>
      </c>
      <c r="R215">
        <f>IF(AND(Inputs!$B$38&lt;&gt;"pvp",Inputs!$B$43&gt;0),IF(MAX(0,Inputs!$B$43-B249)&lt;=0,0,(INT(MAX(0,Inputs!$B$43-B249)/(IF(Inputs!$B$38="pvp",15,MAX(0.1,Skills!D6-IF(Skills!E6=TRUE,Inputs!$B$32,0)))*(1-IF(AND(ArtifactsInput!$M$27,Inputs!$B$4="Chapter Hunt"),CHOOSE(ArtifactsInput!$N$27+1,20,24,28,32,36,40),0)/100)))+1)),0)</f>
        <v/>
      </c>
      <c r="S215">
        <f>IFERROR(O215/N215,0)</f>
        <v/>
      </c>
      <c r="T215">
        <f>IF(C215,(H215*N215*IF(AND(Inputs!$B$38&lt;&gt;"pvp",Inputs!$B$43&gt;0),((Skills!G6*((R215-1)*IF(Skills!H6&gt;0,Skills!I6/Skills!H6,1)+IF(Skills!H6&gt;0,MIN(Skills!I6,MAX(0,MAX(0,Inputs!$B$43-B249)-((R215-1)*(IF(Inputs!$B$38="pvp",15,MAX(0.1,Skills!D6-IF(Skills!E6=TRUE,Inputs!$B$32,0)))*(1-IF(AND(ArtifactsInput!$M$27,Inputs!$B$4="Chapter Hunt"),CHOOSE(ArtifactsInput!$N$27+1,20,24,28,32,36,40),0)/100)))))/Skills!H6,1)))/Inputs!$B$43),G215*Q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215*(1-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6*((R215-1)*IF(Skills!H6&gt;0,Skills!I6/Skills!H6,1)+IF(Skills!H6&gt;0,MIN(Skills!I6,MAX(0,MAX(0,Inputs!$B$43-B249)-((R215-1)*(IF(Inputs!$B$38="pvp",15,MAX(0.1,Skills!D6-IF(Skills!E6=TRUE,Inputs!$B$32,0)))*(1-IF(AND(ArtifactsInput!$M$27,Inputs!$B$4="Chapter Hunt"),CHOOSE(ArtifactsInput!$N$27+1,20,24,28,32,36,40),0)/100)))))/Skills!H6,1)))/Inputs!$B$43),G215*Q215))*IF(Inputs!$B$38="pvp",1,(1+(Inputs!$B$21+Skills!Q6+(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Skills!A7</f>
        <v/>
      </c>
      <c r="B216">
        <f>Skills!B7</f>
        <v/>
      </c>
      <c r="C216">
        <f>Inputs!$B$3&gt;=107</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V216" t="inlineStr"/>
    </row>
    <row r="217">
      <c r="A217">
        <f>Skills!A8</f>
        <v/>
      </c>
      <c r="B217">
        <f>Skills!B8</f>
        <v/>
      </c>
      <c r="C217">
        <f>Inputs!$B$3&gt;=69</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((Inputs!$B$6*(1+Inputs!$B$7/100))+(((Inputs!$B$12*(1+Inputs!$B$13/100))-(Inputs!$B$12*(1+Inputs!$B$13/100)))+0.25*(Inputs!$B$14-Inputs!$B$14))*(1+Inputs!$B$7/100))*(F217/100)</f>
        <v/>
      </c>
      <c r="K217">
        <f>J217*(1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TRUE,F219,0)/100)*(1+(IF(Skills!A8="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233=TRUE)*(F233-Calc!F24)),(Inputs!$B$23+((C238=TRUE)*(F238-Calc!F29))+(IF(ArtifactsInput!$M$15,CHOOSE(ArtifactsInput!$N$15+1,25,30,35,40,45,50)/100*(Inputs!$B$11-Inputs!$B$11),0))))/100+(Inputs!$B$23+((C238=TRUE)*(F238-Calc!F29))+(IF(ArtifactsInput!$M$15,CHOOSE(ArtifactsInput!$N$15+1,25,30,35,40,45,50)/100*(Inputs!$B$11-Inputs!$B$11),0)))/100)/2</f>
        <v/>
      </c>
      <c r="M217">
        <f>L217*(1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IF(B252=0,0,O217/B252)</f>
        <v/>
      </c>
      <c r="Q217">
        <f>IFERROR(1/(IF(Inputs!$B$38="pvp",15,MAX(0.1,Skills!D8-IF(Skills!E8=TRUE,Inputs!$B$32,0)))*(1-IF(AND(ArtifactsInput!$M$27,Inputs!$B$4="Chapter Hunt"),CHOOSE(ArtifactsInput!$N$27+1,20,24,28,32,36,40),0)/100)),0)</f>
        <v/>
      </c>
      <c r="R217">
        <f>IF(AND(Inputs!$B$38&lt;&gt;"pvp",Inputs!$B$43&gt;0),IF(MAX(0,Inputs!$B$43-B249)&lt;=0,0,(INT(MAX(0,Inputs!$B$43-B249)/(IF(Inputs!$B$38="pvp",15,MAX(0.1,Skills!D8-IF(Skills!E8=TRUE,Inputs!$B$32,0)))*(1-IF(AND(ArtifactsInput!$M$27,Inputs!$B$4="Chapter Hunt"),CHOOSE(ArtifactsInput!$N$27+1,20,24,28,32,36,40),0)/100)))+1)),0)</f>
        <v/>
      </c>
      <c r="S217">
        <f>IFERROR(O217/N217,0)</f>
        <v/>
      </c>
      <c r="T217">
        <f>IF(C217,(H217*N217*IF(AND(Inputs!$B$38&lt;&gt;"pvp",Inputs!$B$43&gt;0),((Skills!G8*((R217-1)*IF(Skills!H8&gt;0,Skills!I8/Skills!H8,1)+IF(Skills!H8&gt;0,MIN(Skills!I8,MAX(0,MAX(0,Inputs!$B$43-B249)-((R217-1)*(IF(Inputs!$B$38="pvp",15,MAX(0.1,Skills!D8-IF(Skills!E8=TRUE,Inputs!$B$32,0)))*(1-IF(AND(ArtifactsInput!$M$27,Inputs!$B$4="Chapter Hunt"),CHOOSE(ArtifactsInput!$N$27+1,20,24,28,32,36,40),0)/100)))))/Skills!H8,1)))/Inputs!$B$43),G217*Q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217*(1-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8*((R217-1)*IF(Skills!H8&gt;0,Skills!I8/Skills!H8,1)+IF(Skills!H8&gt;0,MIN(Skills!I8,MAX(0,MAX(0,Inputs!$B$43-B249)-((R217-1)*(IF(Inputs!$B$38="pvp",15,MAX(0.1,Skills!D8-IF(Skills!E8=TRUE,Inputs!$B$32,0)))*(1-IF(AND(ArtifactsInput!$M$27,Inputs!$B$4="Chapter Hunt"),CHOOSE(ArtifactsInput!$N$27+1,20,24,28,32,36,40),0)/100)))))/Skills!H8,1)))/Inputs!$B$43),G217*Q217))*IF(Inputs!$B$38="pvp",1,(1+(Inputs!$B$21+Skills!Q8+(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Skills!A9</f>
        <v/>
      </c>
      <c r="B218">
        <f>Skills!B9</f>
        <v/>
      </c>
      <c r="C218">
        <f>Inputs!$B$3&gt;=63</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((Inputs!$B$6*(1+Inputs!$B$7/100))+(((Inputs!$B$12*(1+Inputs!$B$13/100))-(Inputs!$B$12*(1+Inputs!$B$13/100)))+0.25*(Inputs!$B$14-Inputs!$B$14))*(1+Inputs!$B$7/100))*(F218/100)</f>
        <v/>
      </c>
      <c r="K218">
        <f>J218*(1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9="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233=TRUE)*(F233-Calc!F24)),(Inputs!$B$23+((C238=TRUE)*(F238-Calc!F29))+(IF(ArtifactsInput!$M$15,CHOOSE(ArtifactsInput!$N$15+1,25,30,35,40,45,50)/100*(Inputs!$B$11-Inputs!$B$11),0))))/100+(Inputs!$B$23+((C238=TRUE)*(F238-Calc!F29))+(IF(ArtifactsInput!$M$15,CHOOSE(ArtifactsInput!$N$15+1,25,30,35,40,45,50)/100*(Inputs!$B$11-Inputs!$B$11),0)))/100)/2</f>
        <v/>
      </c>
      <c r="M218">
        <f>L218*(1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IF(B252=0,0,O218/B252)</f>
        <v/>
      </c>
      <c r="Q218">
        <f>IFERROR(1/(IF(Inputs!$B$38="pvp",15,MAX(0.1,Skills!D9-IF(Skills!E9=TRUE,Inputs!$B$32,0)))*(1-IF(AND(ArtifactsInput!$M$27,Inputs!$B$4="Chapter Hunt"),CHOOSE(ArtifactsInput!$N$27+1,20,24,28,32,36,40),0)/100)),0)</f>
        <v/>
      </c>
      <c r="R218">
        <f>IF(AND(Inputs!$B$38&lt;&gt;"pvp",Inputs!$B$43&gt;0),IF(MAX(0,Inputs!$B$43-B249)&lt;=0,0,(INT(MAX(0,Inputs!$B$43-B249)/(IF(Inputs!$B$38="pvp",15,MAX(0.1,Skills!D9-IF(Skills!E9=TRUE,Inputs!$B$32,0)))*(1-IF(AND(ArtifactsInput!$M$27,Inputs!$B$4="Chapter Hunt"),CHOOSE(ArtifactsInput!$N$27+1,20,24,28,32,36,40),0)/100)))+1)),0)</f>
        <v/>
      </c>
      <c r="S218">
        <f>IFERROR(O218/N218,0)</f>
        <v/>
      </c>
      <c r="T218">
        <f>IF(C218,(H218*N218*IF(AND(Inputs!$B$38&lt;&gt;"pvp",Inputs!$B$43&gt;0),((Skills!G9*((R218-1)*IF(Skills!H9&gt;0,Skills!I9/Skills!H9,1)+IF(Skills!H9&gt;0,MIN(Skills!I9,MAX(0,MAX(0,Inputs!$B$43-B249)-((R218-1)*(IF(Inputs!$B$38="pvp",15,MAX(0.1,Skills!D9-IF(Skills!E9=TRUE,Inputs!$B$32,0)))*(1-IF(AND(ArtifactsInput!$M$27,Inputs!$B$4="Chapter Hunt"),CHOOSE(ArtifactsInput!$N$27+1,20,24,28,32,36,40),0)/100)))))/Skills!H9,1)))/Inputs!$B$43),G218*Q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218*(1-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9*((R218-1)*IF(Skills!H9&gt;0,Skills!I9/Skills!H9,1)+IF(Skills!H9&gt;0,MIN(Skills!I9,MAX(0,MAX(0,Inputs!$B$43-B249)-((R218-1)*(IF(Inputs!$B$38="pvp",15,MAX(0.1,Skills!D9-IF(Skills!E9=TRUE,Inputs!$B$32,0)))*(1-IF(AND(ArtifactsInput!$M$27,Inputs!$B$4="Chapter Hunt"),CHOOSE(ArtifactsInput!$N$27+1,20,24,28,32,36,40),0)/100)))))/Skills!H9,1)))/Inputs!$B$43),G218*Q218))*IF(Inputs!$B$38="pvp",1,(1+(Inputs!$B$21+Skills!Q9+(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Skills!A10</f>
        <v/>
      </c>
      <c r="B219">
        <f>Skills!B10</f>
        <v/>
      </c>
      <c r="C219">
        <f>Inputs!$B$3&gt;=100</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Skills!A11</f>
        <v/>
      </c>
      <c r="B220">
        <f>Skills!B11</f>
        <v/>
      </c>
      <c r="C220">
        <f>Inputs!$B$3&gt;=60</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221=TRUE,F221,0)/100)*(1+(IF(Skills!A11="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233=TRUE)*(F233-Calc!F24)),(Inputs!$B$23+((C238=TRUE)*(F238-Calc!F29))+(IF(ArtifactsInput!$M$15,CHOOSE(ArtifactsInput!$N$15+1,25,30,35,40,45,50)/100*(Inputs!$B$11-Inputs!$B$11),0))))/100+(Inputs!$B$23+((C238=TRUE)*(F238-Calc!F29))+(IF(ArtifactsInput!$M$15,CHOOSE(ArtifactsInput!$N$15+1,25,30,35,40,45,50)/100*(Inputs!$B$11-Inputs!$B$11),0)))/100)/2</f>
        <v/>
      </c>
      <c r="M220">
        <f>L220*(1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IF(B252=0,0,O220/B252)</f>
        <v/>
      </c>
      <c r="Q220">
        <f>IFERROR(1/(IF(Inputs!$B$38="pvp",15,MAX(0.1,Skills!D11-IF(Skills!E11=TRUE,Inputs!$B$32,0)))*(1-IF(AND(ArtifactsInput!$M$27,Inputs!$B$4="Chapter Hunt"),CHOOSE(ArtifactsInput!$N$27+1,20,24,28,32,36,40),0)/100)),0)</f>
        <v/>
      </c>
      <c r="R220">
        <f>IF(AND(Inputs!$B$38&lt;&gt;"pvp",Inputs!$B$43&gt;0),IF(MAX(0,Inputs!$B$43-B249)&lt;=0,0,(INT(MAX(0,Inputs!$B$43-B249)/(IF(Inputs!$B$38="pvp",15,MAX(0.1,Skills!D11-IF(Skills!E11=TRUE,Inputs!$B$32,0)))*(1-IF(AND(ArtifactsInput!$M$27,Inputs!$B$4="Chapter Hunt"),CHOOSE(ArtifactsInput!$N$27+1,20,24,28,32,36,40),0)/100)))+1)),0)</f>
        <v/>
      </c>
      <c r="S220">
        <f>IFERROR(O220/N220,0)</f>
        <v/>
      </c>
      <c r="T220">
        <f>IF(C220,(H220*N220*IF(AND(Inputs!$B$38&lt;&gt;"pvp",Inputs!$B$43&gt;0),((Skills!G11*((R220-1)*IF(Skills!H11&gt;0,Skills!I11/Skills!H11,1)+IF(Skills!H11&gt;0,MIN(Skills!I11,MAX(0,MAX(0,Inputs!$B$43-B249)-((R220-1)*(IF(Inputs!$B$38="pvp",15,MAX(0.1,Skills!D11-IF(Skills!E11=TRUE,Inputs!$B$32,0)))*(1-IF(AND(ArtifactsInput!$M$27,Inputs!$B$4="Chapter Hunt"),CHOOSE(ArtifactsInput!$N$27+1,20,24,28,32,36,40),0)/100)))))/Skills!H11,1)))/Inputs!$B$43),G220*Q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220*(1-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11*((R220-1)*IF(Skills!H11&gt;0,Skills!I11/Skills!H11,1)+IF(Skills!H11&gt;0,MIN(Skills!I11,MAX(0,MAX(0,Inputs!$B$43-B249)-((R220-1)*(IF(Inputs!$B$38="pvp",15,MAX(0.1,Skills!D11-IF(Skills!E11=TRUE,Inputs!$B$32,0)))*(1-IF(AND(ArtifactsInput!$M$27,Inputs!$B$4="Chapter Hunt"),CHOOSE(ArtifactsInput!$N$27+1,20,24,28,32,36,40),0)/100)))))/Skills!H11,1)))/Inputs!$B$43),G220*Q220))*IF(Inputs!$B$38="pvp",1,(1+(Inputs!$B$21+Skills!Q11+(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c r="T221" t="inlineStr"/>
      <c r="V221" t="inlineStr"/>
    </row>
    <row r="222">
      <c r="A222">
        <f>Skills!A13</f>
        <v/>
      </c>
      <c r="B222">
        <f>Skills!B13</f>
        <v/>
      </c>
      <c r="C222">
        <f>Inputs!$B$3&gt;=74</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f>(1-Summary!$B$11)*T222+Summary!$B$11*V222</f>
        <v/>
      </c>
      <c r="P222">
        <f>IF(B252=0,0,O222/B252)</f>
        <v/>
      </c>
      <c r="Q222" t="n">
        <v>0</v>
      </c>
      <c r="R222" t="n">
        <v>0</v>
      </c>
      <c r="S222">
        <f>IFERROR(O222/N222,0)</f>
        <v/>
      </c>
      <c r="T222" t="n">
        <v>0</v>
      </c>
      <c r="V222" t="n">
        <v>0</v>
      </c>
    </row>
    <row r="223">
      <c r="A223">
        <f>Skills!A14</f>
        <v/>
      </c>
      <c r="B223">
        <f>Skills!B14</f>
        <v/>
      </c>
      <c r="C223">
        <f>Inputs!$B$3&gt;=74</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f>(1-Summary!$B$11)*T223+Summary!$B$11*V223</f>
        <v/>
      </c>
      <c r="P223">
        <f>IF(B252=0,0,O223/B252)</f>
        <v/>
      </c>
      <c r="Q223" t="n">
        <v>0</v>
      </c>
      <c r="R223" t="n">
        <v>0</v>
      </c>
      <c r="S223">
        <f>IFERROR(O223/N223,0)</f>
        <v/>
      </c>
      <c r="T223" t="n">
        <v>0</v>
      </c>
      <c r="V223" t="n">
        <v>0</v>
      </c>
    </row>
    <row r="224">
      <c r="A224">
        <f>Skills!A15</f>
        <v/>
      </c>
      <c r="B224">
        <f>Skills!B15</f>
        <v/>
      </c>
      <c r="C224">
        <f>Inputs!$B$3&gt;=117</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f>(1-Summary!$B$11)*T224+Summary!$B$11*V224</f>
        <v/>
      </c>
      <c r="P224">
        <f>IF(B252=0,0,O224/B252)</f>
        <v/>
      </c>
      <c r="Q224">
        <f>IFERROR(1/(IF(Inputs!$B$38="pvp",15,MAX(0.1,Skills!D15-IF(Skills!E15=TRUE,Inputs!$B$32,0)))*(1-IF(AND(ArtifactsInput!$M$27,Inputs!$B$4="Chapter Hunt"),CHOOSE(ArtifactsInput!$N$27+1,20,24,28,32,36,40),0)/100)),0)</f>
        <v/>
      </c>
      <c r="R224">
        <f>IF(AND(Inputs!$B$38&lt;&gt;"pvp",Inputs!$B$43&gt;0),IF(Inputs!$B$43&lt;=0,0,(INT(Inputs!$B$43/(IF(Inputs!$B$38="pvp",15,MAX(0.1,Skills!D15-IF(Skills!E15=TRUE,Inputs!$B$32,0)))*(1-IF(AND(ArtifactsInput!$M$27,Inputs!$B$4="Chapter Hunt"),CHOOSE(ArtifactsInput!$N$27+1,20,24,28,32,36,40),0)/100)))+1)),0)</f>
        <v/>
      </c>
      <c r="S224">
        <f>IFERROR(O224/N224,0)</f>
        <v/>
      </c>
      <c r="T224" t="n">
        <v>0</v>
      </c>
      <c r="V224" t="n">
        <v>0</v>
      </c>
    </row>
    <row r="225">
      <c r="A225">
        <f>Skills!A16</f>
        <v/>
      </c>
      <c r="B225">
        <f>Skills!B16</f>
        <v/>
      </c>
      <c r="C225">
        <f>Inputs!$B$3&gt;=115</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f>(1-Summary!$B$11)*T225+Summary!$B$11*V225</f>
        <v/>
      </c>
      <c r="P225">
        <f>IF(B252=0,0,O225/B252)</f>
        <v/>
      </c>
      <c r="Q225">
        <f>IFERROR(1/(IF(Inputs!$B$38="pvp",15,MAX(0.1,Skills!D16-IF(Skills!E16=TRUE,Inputs!$B$32,0)))*(1-IF(AND(ArtifactsInput!$M$27,Inputs!$B$4="Chapter Hunt"),CHOOSE(ArtifactsInput!$N$27+1,20,24,28,32,36,40),0)/100)),0)</f>
        <v/>
      </c>
      <c r="R225">
        <f>IF(AND(Inputs!$B$38&lt;&gt;"pvp",Inputs!$B$43&gt;0),IF(Inputs!$B$43&lt;=0,0,(INT(Inputs!$B$43/(IF(Inputs!$B$38="pvp",15,MAX(0.1,Skills!D16-IF(Skills!E16=TRUE,Inputs!$B$32,0)))*(1-IF(AND(ArtifactsInput!$M$27,Inputs!$B$4="Chapter Hunt"),CHOOSE(ArtifactsInput!$N$27+1,20,24,28,32,36,40),0)/100)))+1)),0)</f>
        <v/>
      </c>
      <c r="S225">
        <f>IFERROR(O225/N225,0)</f>
        <v/>
      </c>
      <c r="T225" t="n">
        <v>0</v>
      </c>
      <c r="V225" t="n">
        <v>0</v>
      </c>
    </row>
    <row r="226">
      <c r="A226">
        <f>Skills!A17</f>
        <v/>
      </c>
      <c r="B226">
        <f>Skills!B17</f>
        <v/>
      </c>
      <c r="C226">
        <f>Inputs!$B$3&gt;=66</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f>(1-Summary!$B$11)*T226+Summary!$B$11*V226</f>
        <v/>
      </c>
      <c r="P226">
        <f>IF(B252=0,0,O226/B252)</f>
        <v/>
      </c>
      <c r="Q226" t="n">
        <v>0</v>
      </c>
      <c r="R226" t="n">
        <v>0</v>
      </c>
      <c r="S226">
        <f>IFERROR(O226/N226,0)</f>
        <v/>
      </c>
      <c r="T226" t="n">
        <v>0</v>
      </c>
      <c r="V226" t="n">
        <v>0</v>
      </c>
    </row>
    <row r="227">
      <c r="A227">
        <f>Skills!A18</f>
        <v/>
      </c>
      <c r="B227">
        <f>Skills!B18</f>
        <v/>
      </c>
      <c r="C227">
        <f>Inputs!$B$3&gt;=72</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f>(1-Summary!$B$11)*T227+Summary!$B$11*V227</f>
        <v/>
      </c>
      <c r="P227">
        <f>IF(B252=0,0,O227/B252)</f>
        <v/>
      </c>
      <c r="Q227" t="n">
        <v>0</v>
      </c>
      <c r="R227" t="n">
        <v>0</v>
      </c>
      <c r="S227">
        <f>IFERROR(O227/N227,0)</f>
        <v/>
      </c>
      <c r="T227" t="n">
        <v>0</v>
      </c>
      <c r="V227" t="n">
        <v>0</v>
      </c>
    </row>
    <row r="228">
      <c r="A228">
        <f>Skills!A19</f>
        <v/>
      </c>
      <c r="B228">
        <f>Skills!B19</f>
        <v/>
      </c>
      <c r="C228">
        <f>TRUE</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f>(1-Summary!$B$11)*T228+Summary!$B$11*V228</f>
        <v/>
      </c>
      <c r="P228">
        <f>IF(B252=0,0,O228/B252)</f>
        <v/>
      </c>
      <c r="Q228">
        <f>IFERROR(1/(IF(Inputs!$B$38="pvp",15,MAX(0.1,Skills!D19-IF(Skills!E19=TRUE,Inputs!$B$32,0)))*(1-IF(AND(ArtifactsInput!$M$27,Inputs!$B$4="Chapter Hunt"),CHOOSE(ArtifactsInput!$N$27+1,20,24,28,32,36,40),0)/100)),0)</f>
        <v/>
      </c>
      <c r="R228">
        <f>IF(AND(Inputs!$B$38&lt;&gt;"pvp",Inputs!$B$43&gt;0),IF(Inputs!$B$43&lt;=0,0,(INT(Inputs!$B$43/(IF(Inputs!$B$38="pvp",15,MAX(0.1,Skills!D19-IF(Skills!E19=TRUE,Inputs!$B$32,0)))*(1-IF(AND(ArtifactsInput!$M$27,Inputs!$B$4="Chapter Hunt"),CHOOSE(ArtifactsInput!$N$27+1,20,24,28,32,36,40),0)/100)))+1)),0)</f>
        <v/>
      </c>
      <c r="S228">
        <f>IFERROR(O228/N228,0)</f>
        <v/>
      </c>
      <c r="T228" t="n">
        <v>0</v>
      </c>
      <c r="V228" t="n">
        <v>0</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f>(1-Summary!$B$11)*T229+Summary!$B$11*V229</f>
        <v/>
      </c>
      <c r="P229">
        <f>IF(B252=0,0,O229/B252)</f>
        <v/>
      </c>
      <c r="Q229" t="n">
        <v>0</v>
      </c>
      <c r="R229" t="n">
        <v>0</v>
      </c>
      <c r="S229">
        <f>IFERROR(O229/N229,0)</f>
        <v/>
      </c>
      <c r="T229" t="n">
        <v>0</v>
      </c>
      <c r="V229" t="n">
        <v>0</v>
      </c>
    </row>
    <row r="230">
      <c r="A230">
        <f>Skills!A21</f>
        <v/>
      </c>
      <c r="B230">
        <f>Skills!B21</f>
        <v/>
      </c>
      <c r="C230">
        <f>Inputs!$B$3&gt;=10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f>(1-Summary!$B$11)*T230+Summary!$B$11*V230</f>
        <v/>
      </c>
      <c r="P230">
        <f>IF(B252=0,0,O230/B252)</f>
        <v/>
      </c>
      <c r="Q230" t="n">
        <v>0</v>
      </c>
      <c r="R230" t="n">
        <v>0</v>
      </c>
      <c r="S230">
        <f>IFERROR(O230/N230,0)</f>
        <v/>
      </c>
      <c r="T230" t="n">
        <v>0</v>
      </c>
      <c r="V230" t="n">
        <v>0</v>
      </c>
    </row>
    <row r="231">
      <c r="A231">
        <f>Skills!A22</f>
        <v/>
      </c>
      <c r="B231">
        <f>Skills!B22</f>
        <v/>
      </c>
      <c r="C231">
        <f>Inputs!$B$3&gt;=33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f>(1-Summary!$B$11)*T231+Summary!$B$11*V231</f>
        <v/>
      </c>
      <c r="P231">
        <f>IF(B252=0,0,O231/B252)</f>
        <v/>
      </c>
      <c r="Q231" t="n">
        <v>0</v>
      </c>
      <c r="R231" t="n">
        <v>0</v>
      </c>
      <c r="S231">
        <f>IFERROR(O231/N231,0)</f>
        <v/>
      </c>
      <c r="T231" t="n">
        <v>0</v>
      </c>
      <c r="V231" t="n">
        <v>0</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f>(1-Summary!$B$11)*T232+Summary!$B$11*V232</f>
        <v/>
      </c>
      <c r="P232">
        <f>IF(B252=0,0,O232/B252)</f>
        <v/>
      </c>
      <c r="Q232" t="n">
        <v>0</v>
      </c>
      <c r="R232" t="n">
        <v>0</v>
      </c>
      <c r="S232">
        <f>IFERROR(O232/N232,0)</f>
        <v/>
      </c>
      <c r="T232" t="n">
        <v>0</v>
      </c>
      <c r="V232" t="n">
        <v>0</v>
      </c>
    </row>
    <row r="233">
      <c r="A233">
        <f>Skills!A24</f>
        <v/>
      </c>
      <c r="B233">
        <f>Skills!B24</f>
        <v/>
      </c>
      <c r="C233">
        <f>Inputs!$B$3&gt;=43</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f>(1-Summary!$B$11)*T233+Summary!$B$11*V233</f>
        <v/>
      </c>
      <c r="P233">
        <f>IF(B252=0,0,O233/B252)</f>
        <v/>
      </c>
      <c r="Q233" t="n">
        <v>0</v>
      </c>
      <c r="R233" t="n">
        <v>0</v>
      </c>
      <c r="S233">
        <f>IFERROR(O233/N233,0)</f>
        <v/>
      </c>
      <c r="T233" t="n">
        <v>0</v>
      </c>
      <c r="V233" t="n">
        <v>0</v>
      </c>
    </row>
    <row r="234">
      <c r="A234">
        <f>Skills!A25</f>
        <v/>
      </c>
      <c r="B234">
        <f>Skills!B25</f>
        <v/>
      </c>
      <c r="C234">
        <f>Inputs!$B$3&gt;=75</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f>(1-Summary!$B$11)*T234+Summary!$B$11*V234</f>
        <v/>
      </c>
      <c r="P234">
        <f>IF(B252=0,0,O234/B252)</f>
        <v/>
      </c>
      <c r="Q234" t="n">
        <v>0</v>
      </c>
      <c r="R234" t="n">
        <v>0</v>
      </c>
      <c r="S234">
        <f>IFERROR(O234/N234,0)</f>
        <v/>
      </c>
      <c r="T234" t="n">
        <v>0</v>
      </c>
      <c r="V234" t="n">
        <v>0</v>
      </c>
    </row>
    <row r="235">
      <c r="A235">
        <f>Skills!A26</f>
        <v/>
      </c>
      <c r="B235">
        <f>Skills!B26</f>
        <v/>
      </c>
      <c r="C235">
        <f>Inputs!$B$3&gt;=125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f>(1-Summary!$B$11)*T235+Summary!$B$11*V235</f>
        <v/>
      </c>
      <c r="P235">
        <f>IF(B252=0,0,O235/B252)</f>
        <v/>
      </c>
      <c r="Q235" t="n">
        <v>0</v>
      </c>
      <c r="R235" t="n">
        <v>0</v>
      </c>
      <c r="S235">
        <f>IFERROR(O235/N235,0)</f>
        <v/>
      </c>
      <c r="T235" t="n">
        <v>0</v>
      </c>
      <c r="V235" t="n">
        <v>0</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f>(1-Summary!$B$11)*T236+Summary!$B$11*V236</f>
        <v/>
      </c>
      <c r="P236">
        <f>IF(B252=0,0,O236/B252)</f>
        <v/>
      </c>
      <c r="Q236" t="n">
        <v>0</v>
      </c>
      <c r="R236" t="n">
        <v>0</v>
      </c>
      <c r="S236">
        <f>IFERROR(O236/N236,0)</f>
        <v/>
      </c>
      <c r="T236" t="n">
        <v>0</v>
      </c>
      <c r="V236" t="n">
        <v>0</v>
      </c>
    </row>
    <row r="237">
      <c r="A237">
        <f>Skills!A28</f>
        <v/>
      </c>
      <c r="B237">
        <f>Skills!B28</f>
        <v/>
      </c>
      <c r="C237">
        <f>Inputs!$B$3&gt;=120</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f>(1-Summary!$B$11)*T237+Summary!$B$11*V237</f>
        <v/>
      </c>
      <c r="P237">
        <f>IF(B252=0,0,O237/B252)</f>
        <v/>
      </c>
      <c r="Q237" t="n">
        <v>0</v>
      </c>
      <c r="R237" t="n">
        <v>0</v>
      </c>
      <c r="S237">
        <f>IFERROR(O237/N237,0)</f>
        <v/>
      </c>
      <c r="T237" t="n">
        <v>0</v>
      </c>
      <c r="V237" t="n">
        <v>0</v>
      </c>
    </row>
    <row r="238">
      <c r="A238">
        <f>Skills!A29</f>
        <v/>
      </c>
      <c r="B238">
        <f>Skills!B29</f>
        <v/>
      </c>
      <c r="C238">
        <f>Inputs!$B$3&gt;=120</f>
        <v/>
      </c>
      <c r="D238">
        <f>IF(Skills!C29=1,60+Inputs!$B$25+Inputs!$B$29,IF(Skills!C29=2,90+Inputs!$B$26+Inputs!$B$29,IF(Skills!C29=3,120+Inputs!$B$27+Inputs!$B$29,MAX(0,(Inputs!$B$3-100)*3)+Inputs!$B$28+Inputs!$B$29)))</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f>(1-Summary!$B$11)*T238+Summary!$B$11*V238</f>
        <v/>
      </c>
      <c r="P238">
        <f>IF(B252=0,0,O238/B252)</f>
        <v/>
      </c>
      <c r="Q238" t="n">
        <v>0</v>
      </c>
      <c r="R238" t="n">
        <v>0</v>
      </c>
      <c r="S238">
        <f>IFERROR(O238/N238,0)</f>
        <v/>
      </c>
      <c r="T238" t="n">
        <v>0</v>
      </c>
      <c r="V238" t="n">
        <v>0</v>
      </c>
    </row>
    <row r="239">
      <c r="A239">
        <f>Skills!A30</f>
        <v/>
      </c>
      <c r="B239">
        <f>Skills!B30</f>
        <v/>
      </c>
      <c r="C239">
        <f>Inputs!$B$3&gt;=45</f>
        <v/>
      </c>
      <c r="D239">
        <f>IF(Skills!C30=1,60+Inputs!$B$25+Inputs!$B$29,IF(Skills!C30=2,90+Inputs!$B$26+Inputs!$B$29,IF(Skills!C30=3,120+Inputs!$B$27+Inputs!$B$29,MAX(0,(Inputs!$B$3-100)*3)+Inputs!$B$28+Inputs!$B$29)))</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f>(1-Summary!$B$11)*T239+Summary!$B$11*V239</f>
        <v/>
      </c>
      <c r="P239">
        <f>IF(B252=0,0,O239/B252)</f>
        <v/>
      </c>
      <c r="Q239" t="n">
        <v>0</v>
      </c>
      <c r="R239" t="n">
        <v>0</v>
      </c>
      <c r="S239">
        <f>IFERROR(O239/N239,0)</f>
        <v/>
      </c>
      <c r="T239" t="n">
        <v>0</v>
      </c>
      <c r="V239" t="n">
        <v>0</v>
      </c>
    </row>
    <row r="241">
      <c r="A241" t="inlineStr">
        <is>
          <t>Attack% Bucket Multiplier</t>
        </is>
      </c>
      <c r="B241">
        <f>(1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2">
      <c r="A242" t="inlineStr">
        <is>
          <t>Global Crit Rate Bonus %</t>
        </is>
      </c>
      <c r="B242">
        <f>(C225=TRUE)*20*IF(AND(Inputs!$B$38&lt;&gt;"pvp",Inputs!$B$43&gt;0),(((R225-1)*(Skills!T16*(1+Inputs!$B$34/100))+MIN((Skills!T16*(1+Inputs!$B$34/100)),MAX(0,Inputs!$B$43-((R225-1)*Skills!D16))))/Inputs!$B$43),IF(Inputs!$B$38="pvp",MIN((Skills!T16*(1+Inputs!$B$34/100)),15)/15,(Skills!T16*(1+Inputs!$B$34/100))/Skills!D16))</f>
        <v/>
      </c>
    </row>
    <row r="243">
      <c r="A243" t="inlineStr">
        <is>
          <t>Attack Speed Buff Bonus %</t>
        </is>
      </c>
      <c r="B243">
        <f>((C228=TRUE)*F228*IF(AND(Inputs!$B$38&lt;&gt;"pvp",Inputs!$B$43&gt;0),(((R228-1)*(Skills!T19*(1+Inputs!$B$34/100))+MIN((Skills!T19*(1+Inputs!$B$34/100)),MAX(0,Inputs!$B$43-((R228-1)*Skills!D19))))/Inputs!$B$43),IF(Inputs!$B$38="pvp",MIN((Skills!T19*(1+Inputs!$B$34/100)),15)/15,(Skills!T19*(1+Inputs!$B$34/100))/Skills!D19)))</f>
        <v/>
      </c>
    </row>
    <row r="244">
      <c r="A244" t="inlineStr">
        <is>
          <t>Actions Per Second</t>
        </is>
      </c>
      <c r="B244">
        <f>1+MIN(150,150*(1-(1-(Inputs!$B$11+((C230=TRUE)*(F230-Calc!F21))+((C231=TRUE)*(F231-Calc!F22)))/150)*(1-B243/150)))/100</f>
        <v/>
      </c>
    </row>
    <row r="245">
      <c r="A245" t="inlineStr">
        <is>
          <t>Skill + Buff Cast Rate</t>
        </is>
      </c>
      <c r="B245">
        <f>IF(AND(Inputs!$B$38&lt;&gt;"pvp",Inputs!$B$43&gt;0),SUMPRODUCT((Skills!E2:E30=TRUE)*(C211:C239=TRUE)*R211:R239*Skills!F2:F30)/Inputs!$B$43,SUMPRODUCT((Skills!E2:E30=TRUE)*(C211:C239=TRUE)*Q211:Q239*Skills!F2:F30))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$38&lt;&gt;"pvp",Inputs!$B$43&gt;0),(((R225-1)*(Skills!T16*(1+Inputs!$B$34/100))+MIN((Skills!T16*(1+Inputs!$B$34/100)),MAX(0,Inputs!$B$43-((R225-1)*Skills!D16))))/Inputs!$B$43),IF(Inputs!$B$38="pvp",MIN((Skills!T16*(1+Inputs!$B$34/100)),15)/15,(Skills!T16*(1+Inputs!$B$34/100))/Skills!D16))+(C226=TRUE)*30</f>
        <v/>
      </c>
    </row>
    <row r="248">
      <c r="A248" t="inlineStr">
        <is>
          <t>Global Final Damage Bonus % (Mortal Blow)</t>
        </is>
      </c>
      <c r="B248">
        <f>(C227=TRUE)*F227</f>
        <v/>
      </c>
    </row>
    <row r="249">
      <c r="A249" t="inlineStr">
        <is>
          <t>Buff-Casting Startup Delay (s, fixed-duration only)</t>
        </is>
      </c>
      <c r="B249">
        <f>IF(AND(Inputs!$B$38&lt;&gt;"pvp",Inputs!$B$43&gt;0),SUMPRODUCT((Skills!T2:T30&gt;0)*(Skills!E2:E30=TRUE)*(C211:C239=TRUE))/B244,0)</f>
        <v/>
      </c>
    </row>
    <row r="250">
      <c r="A250" t="inlineStr">
        <is>
          <t>Boss-Only Total DPS (this block's swept value)</t>
        </is>
      </c>
      <c r="B250">
        <f>SUM(T211:T239)</f>
        <v/>
      </c>
    </row>
    <row r="251">
      <c r="A251" t="inlineStr">
        <is>
          <t>Normal-Only Total DPS (this block's swept value)</t>
        </is>
      </c>
      <c r="B251">
        <f>SUM(V211:V239)</f>
        <v/>
      </c>
    </row>
    <row r="252">
      <c r="A252" s="6" t="inlineStr">
        <is>
          <t>TOTAL DPS</t>
        </is>
      </c>
      <c r="B252" s="6">
        <f>SUM(O211:O239)</f>
        <v/>
      </c>
    </row>
    <row r="255">
      <c r="A255" s="6" t="inlineStr">
        <is>
          <t>Stat: DAMAGE_AMP %</t>
        </is>
      </c>
    </row>
    <row r="256">
      <c r="A256" s="5" t="inlineStr">
        <is>
          <t>Key</t>
        </is>
      </c>
      <c r="B256" s="5" t="inlineStr">
        <is>
          <t>Name</t>
        </is>
      </c>
      <c r="C256" s="5" t="inlineStr">
        <is>
          <t>Unlocked</t>
        </is>
      </c>
      <c r="D256" s="5" t="inlineStr">
        <is>
          <t>InputLevel</t>
        </is>
      </c>
      <c r="E256" s="5" t="inlineStr">
        <is>
          <t>Factor</t>
        </is>
      </c>
      <c r="F256" s="5" t="inlineStr">
        <is>
          <t>CoefficientPercent</t>
        </is>
      </c>
      <c r="G256" s="5" t="inlineStr">
        <is>
          <t>EffectiveHits</t>
        </is>
      </c>
      <c r="H256" s="5" t="inlineStr">
        <is>
          <t>ProcProbability</t>
        </is>
      </c>
      <c r="I256" s="5" t="inlineStr">
        <is>
          <t>MapleHeroMultiplier</t>
        </is>
      </c>
      <c r="J256" s="5" t="inlineStr">
        <is>
          <t>BaseDamage</t>
        </is>
      </c>
      <c r="K256" s="5" t="inlineStr">
        <is>
          <t>BaseHitDamage</t>
        </is>
      </c>
      <c r="L256" s="5" t="inlineStr">
        <is>
          <t>NonCritAvg</t>
        </is>
      </c>
      <c r="M256" s="5" t="inlineStr">
        <is>
          <t>CritAvg</t>
        </is>
      </c>
      <c r="N256" s="5" t="inlineStr">
        <is>
          <t>ExpectedDamage(perHit)</t>
        </is>
      </c>
      <c r="O256" s="5" t="inlineStr">
        <is>
          <t>DPS</t>
        </is>
      </c>
      <c r="P256" s="5" t="inlineStr">
        <is>
          <t>% of Total</t>
        </is>
      </c>
      <c r="Q256" s="5" t="inlineStr">
        <is>
          <t>InvCooldown</t>
        </is>
      </c>
      <c r="R256" s="5" t="inlineStr">
        <is>
          <t>CastsInFight</t>
        </is>
      </c>
      <c r="S256" s="5" t="inlineStr">
        <is>
          <t>HitRate(perSec)</t>
        </is>
      </c>
      <c r="U256" t="inlineStr">
        <is>
          <t>helpers</t>
        </is>
      </c>
    </row>
    <row r="257">
      <c r="A257">
        <f>Skills!A2</f>
        <v/>
      </c>
      <c r="B257">
        <f>Skills!B2</f>
        <v/>
      </c>
      <c r="C257">
        <f>Inputs!$B$3&gt;=100</f>
        <v/>
      </c>
      <c r="D257" t="inlineStr"/>
      <c r="E257" t="inlineStr"/>
      <c r="F257">
        <f>U259+Skills!O2</f>
        <v/>
      </c>
      <c r="G257">
        <f>Skills!G2*IF(Skills!H2&gt;0,Skills!I2/Skills!H2,1)</f>
        <v/>
      </c>
      <c r="H257">
        <f>1-(1-Skills!J2/100)^Skills!K2</f>
        <v/>
      </c>
      <c r="I257" t="inlineStr">
        <is>
          <t>1</t>
        </is>
      </c>
      <c r="J257">
        <f>((Inputs!$B$6*(1+Inputs!$B$7/100))+(((Inputs!$B$12*(1+Inputs!$B$13/100))-(Inputs!$B$12*(1+Inputs!$B$13/100)))+0.25*(Inputs!$B$14-Inputs!$B$14))*(1+Inputs!$B$7/100))*(F257/100)</f>
        <v/>
      </c>
      <c r="K257">
        <f>J257*(1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279=TRUE)*(F279-Calc!F24)),(Inputs!$B$23+((C284=TRUE)*(F284-Calc!F29))+(IF(ArtifactsInput!$M$15,CHOOSE(ArtifactsInput!$N$15+1,25,30,35,40,45,50)/100*(Inputs!$B$11-Inputs!$B$11),0))))/100+(Inputs!$B$23+((C284=TRUE)*(F284-Calc!F29))+(IF(ArtifactsInput!$M$15,CHOOSE(ArtifactsInput!$N$15+1,25,30,35,40,45,50)/100*(Inputs!$B$11-Inputs!$B$11),0)))/100)/2</f>
        <v/>
      </c>
      <c r="M257">
        <f>L257*(1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IF(B298=0,0,O257/B298)</f>
        <v/>
      </c>
      <c r="Q257" t="n">
        <v>0</v>
      </c>
      <c r="R257" t="n">
        <v>0</v>
      </c>
      <c r="S257">
        <f>IFERROR(O257/N257,0)</f>
        <v/>
      </c>
      <c r="T257">
        <f>IF(C257,(Skills!G2*N257*B292)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257*(1-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
        <f>MAX(0,(Inputs!$B$3-100)*3)+Inputs!$B$28+Inputs!$B$29</f>
        <v/>
      </c>
      <c r="V257">
        <f>IF(C257,(Skills!G2*N257*B292)*IF(Inputs!$B$38="pvp",1,(1+(Inputs!$B$21+Skills!Q2+(IF(ArtifactsInput!$M$33,CHOOSE(ArtifactsInput!$N$33+1,30,36,42,48,54,60),0))+(IF(AND(ArtifactsInput!$M$35,Inputs!$B$4&lt;&gt;"Chapter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Skills!A3</f>
        <v/>
      </c>
      <c r="B258">
        <f>Skills!B3</f>
        <v/>
      </c>
      <c r="C258">
        <f>Inputs!$B$3&gt;=50</f>
        <v/>
      </c>
      <c r="D258">
        <f>IF(Skills!C3=1,60+Inputs!$B$25+Inputs!$B$29,IF(Skills!C3=2,90+Inputs!$B$26+Inputs!$B$29,IF(Skills!C3=3,120+Inputs!$B$27+Inputs!$B$29,MAX(0,(Inputs!$B$3-100)*3)+Inputs!$B$28+Inputs!$B$29)))</f>
        <v/>
      </c>
      <c r="E258">
        <f>INDEX(FactorTable!$B$2:$Y$301, MATCH(ROUND(MIN(300,MAX(1,D258)),0), FactorTable!$A$2:$A$301,0), Skills!M3+1)</f>
        <v/>
      </c>
      <c r="F258">
        <f>IF(Skills!N3=TRUE,(Skills!L3/10)*(E258/1000),Skills!L3/10)+Skills!O3</f>
        <v/>
      </c>
      <c r="G258" t="inlineStr"/>
      <c r="H258" t="inlineStr"/>
      <c r="I258" t="inlineStr">
        <is>
          <t>1</t>
        </is>
      </c>
      <c r="J258" t="inlineStr"/>
      <c r="K258" t="inlineStr"/>
      <c r="L258" t="inlineStr"/>
      <c r="M258" t="inlineStr"/>
      <c r="N258" t="inlineStr"/>
      <c r="O258" t="inlineStr"/>
      <c r="P258" t="inlineStr"/>
      <c r="Q258" t="inlineStr"/>
      <c r="R258" t="inlineStr"/>
      <c r="S258" t="inlineStr"/>
      <c r="T258" t="inlineStr"/>
      <c r="U258">
        <f>INDEX(FactorTable!$B$2:$Y$301, MATCH(ROUND(MIN(300,MAX(1,U257)),0), FactorTable!$A$2:$A$301,0), 22)</f>
        <v/>
      </c>
      <c r="V258" t="inlineStr"/>
    </row>
    <row r="259">
      <c r="A259">
        <f>Skills!A4</f>
        <v/>
      </c>
      <c r="B259">
        <f>Skills!B4</f>
        <v/>
      </c>
      <c r="C259">
        <f>Inputs!$B$3&gt;=105</f>
        <v/>
      </c>
      <c r="D259">
        <f>IF(Skills!C4=1,60+Inputs!$B$25+Inputs!$B$29,IF(Skills!C4=2,90+Inputs!$B$26+Inputs!$B$29,IF(Skills!C4=3,120+Inputs!$B$27+Inputs!$B$29,MAX(0,(Inputs!$B$3-100)*3)+Inputs!$B$28+Inputs!$B$29)))</f>
        <v/>
      </c>
      <c r="E259">
        <f>INDEX(FactorTable!$B$2:$Y$301, MATCH(ROUND(MIN(300,MAX(1,D259)),0), FactorTable!$A$2:$A$301,0), Skills!M4+1)</f>
        <v/>
      </c>
      <c r="F259">
        <f>IF(Skills!N4=TRUE,(Skills!L4/10)*(E259/1000),Skills!L4/10)+Skills!O4</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U259">
        <f>290*U258/1000</f>
        <v/>
      </c>
      <c r="V259" t="inlineStr"/>
    </row>
    <row r="260">
      <c r="A260">
        <f>Skills!A5</f>
        <v/>
      </c>
      <c r="B260">
        <f>Skills!B5</f>
        <v/>
      </c>
      <c r="C260">
        <f>Inputs!$B$3&gt;=35</f>
        <v/>
      </c>
      <c r="D260">
        <f>IF(Skills!C5=1,60+Inputs!$B$25+Inputs!$B$29,IF(Skills!C5=2,90+Inputs!$B$26+Inputs!$B$29,IF(Skills!C5=3,120+Inputs!$B$27+Inputs!$B$29,MAX(0,(Inputs!$B$3-100)*3)+Inputs!$B$28+Inputs!$B$29)))</f>
        <v/>
      </c>
      <c r="E260">
        <f>INDEX(FactorTable!$B$2:$Y$301, MATCH(ROUND(MIN(300,MAX(1,D260)),0), FactorTable!$A$2:$A$301,0), Skills!M5+1)</f>
        <v/>
      </c>
      <c r="F260">
        <f>IF(Skills!N5=TRUE,(Skills!L5/10)*(E260/1000),Skills!L5/10)+Skills!O5</f>
        <v/>
      </c>
      <c r="G260">
        <f>Skills!G5*IF(Skills!H5&gt;0,Skills!I5/Skills!H5,1)</f>
        <v/>
      </c>
      <c r="H260">
        <f>1-(1-Skills!J5/100)^Skills!K5</f>
        <v/>
      </c>
      <c r="I260" t="inlineStr">
        <is>
          <t>1</t>
        </is>
      </c>
      <c r="J260">
        <f>((Inputs!$B$6*(1+Inputs!$B$7/100))+(((Inputs!$B$12*(1+Inputs!$B$13/100))-(Inputs!$B$12*(1+Inputs!$B$13/100)))+0.25*(Inputs!$B$14-Inputs!$B$14))*(1+Inputs!$B$7/100))*(F260/100)</f>
        <v/>
      </c>
      <c r="K260">
        <f>J260*(1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TRUE,F265,0)/100)*(1+(IF(Skills!A5="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279=TRUE)*(F279-Calc!F24)),(Inputs!$B$23+((C284=TRUE)*(F284-Calc!F29))+(IF(ArtifactsInput!$M$15,CHOOSE(ArtifactsInput!$N$15+1,25,30,35,40,45,50)/100*(Inputs!$B$11-Inputs!$B$11),0))))/100+(Inputs!$B$23+((C284=TRUE)*(F284-Calc!F29))+(IF(ArtifactsInput!$M$15,CHOOSE(ArtifactsInput!$N$15+1,25,30,35,40,45,50)/100*(Inputs!$B$11-Inputs!$B$11),0)))/100)/2</f>
        <v/>
      </c>
      <c r="M260">
        <f>L260*(1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IF(B298=0,0,O260/B298)</f>
        <v/>
      </c>
      <c r="Q260">
        <f>IFERROR(1/(IF(Inputs!$B$38="pvp",15,MAX(0.1,Skills!D5-IF(Skills!E5=TRUE,Inputs!$B$32,0)))*(1-IF(AND(ArtifactsInput!$M$27,Inputs!$B$4="Chapter Hunt"),CHOOSE(ArtifactsInput!$N$27+1,20,24,28,32,36,40),0)/100)),0)</f>
        <v/>
      </c>
      <c r="R260">
        <f>IF(AND(Inputs!$B$38&lt;&gt;"pvp",Inputs!$B$43&gt;0),IF(MAX(0,Inputs!$B$43-B295)&lt;=0,0,(INT(MAX(0,Inputs!$B$43-B295)/(IF(Inputs!$B$38="pvp",15,MAX(0.1,Skills!D5-IF(Skills!E5=TRUE,Inputs!$B$32,0)))*(1-IF(AND(ArtifactsInput!$M$27,Inputs!$B$4="Chapter Hunt"),CHOOSE(ArtifactsInput!$N$27+1,20,24,28,32,36,40),0)/100)))+1)),0)</f>
        <v/>
      </c>
      <c r="S260">
        <f>IFERROR(O260/N260,0)</f>
        <v/>
      </c>
      <c r="T260">
        <f>IF(C260,(H260*N260*IF(AND(Inputs!$B$38&lt;&gt;"pvp",Inputs!$B$43&gt;0),((Skills!G5*((R260-1)*IF(Skills!H5&gt;0,Skills!I5/Skills!H5,1)+IF(Skills!H5&gt;0,MIN(Skills!I5,MAX(0,MAX(0,Inputs!$B$43-B295)-((R260-1)*(IF(Inputs!$B$38="pvp",15,MAX(0.1,Skills!D5-IF(Skills!E5=TRUE,Inputs!$B$32,0)))*(1-IF(AND(ArtifactsInput!$M$27,Inputs!$B$4="Chapter Hunt"),CHOOSE(ArtifactsInput!$N$27+1,20,24,28,32,36,40),0)/100)))))/Skills!H5,1)))/Inputs!$B$43),G260*Q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260*(1-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5*((R260-1)*IF(Skills!H5&gt;0,Skills!I5/Skills!H5,1)+IF(Skills!H5&gt;0,MIN(Skills!I5,MAX(0,MAX(0,Inputs!$B$43-B295)-((R260-1)*(IF(Inputs!$B$38="pvp",15,MAX(0.1,Skills!D5-IF(Skills!E5=TRUE,Inputs!$B$32,0)))*(1-IF(AND(ArtifactsInput!$M$27,Inputs!$B$4="Chapter Hunt"),CHOOSE(ArtifactsInput!$N$27+1,20,24,28,32,36,40),0)/100)))))/Skills!H5,1)))/Inputs!$B$43),G260*Q260))*IF(Inputs!$B$38="pvp",1,(1+(Inputs!$B$21+Skills!Q5+(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Skills!A6</f>
        <v/>
      </c>
      <c r="B261">
        <f>Skills!B6</f>
        <v/>
      </c>
      <c r="C261">
        <f>Inputs!$B$3&gt;=40</f>
        <v/>
      </c>
      <c r="D261">
        <f>IF(Skills!C6=1,60+Inputs!$B$25+Inputs!$B$29,IF(Skills!C6=2,90+Inputs!$B$26+Inputs!$B$29,IF(Skills!C6=3,120+Inputs!$B$27+Inputs!$B$29,MAX(0,(Inputs!$B$3-100)*3)+Inputs!$B$28+Inputs!$B$29)))</f>
        <v/>
      </c>
      <c r="E261">
        <f>INDEX(FactorTable!$B$2:$Y$301, MATCH(ROUND(MIN(300,MAX(1,D261)),0), FactorTable!$A$2:$A$301,0), Skills!M6+1)</f>
        <v/>
      </c>
      <c r="F261">
        <f>IF(Skills!N6=TRUE,(Skills!L6/10)*(E261/1000),Skills!L6/10)+Skills!O6</f>
        <v/>
      </c>
      <c r="G261">
        <f>Skills!G6*IF(Skills!H6&gt;0,Skills!I6/Skills!H6,1)</f>
        <v/>
      </c>
      <c r="H261">
        <f>1-(1-Skills!J6/100)^Skills!K6</f>
        <v/>
      </c>
      <c r="I261" t="inlineStr">
        <is>
          <t>1</t>
        </is>
      </c>
      <c r="J261">
        <f>((Inputs!$B$6*(1+Inputs!$B$7/100))+(((Inputs!$B$12*(1+Inputs!$B$13/100))-(Inputs!$B$12*(1+Inputs!$B$13/100)))+0.25*(Inputs!$B$14-Inputs!$B$14))*(1+Inputs!$B$7/100))*(F261/100)</f>
        <v/>
      </c>
      <c r="K261">
        <f>J261*(1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TRUE,F262,0)/100)*(1+(IF(Skills!A6="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279=TRUE)*(F279-Calc!F24)),(Inputs!$B$23+((C284=TRUE)*(F284-Calc!F29))+(IF(ArtifactsInput!$M$15,CHOOSE(ArtifactsInput!$N$15+1,25,30,35,40,45,50)/100*(Inputs!$B$11-Inputs!$B$11),0))))/100+(Inputs!$B$23+((C284=TRUE)*(F284-Calc!F29))+(IF(ArtifactsInput!$M$15,CHOOSE(ArtifactsInput!$N$15+1,25,30,35,40,45,50)/100*(Inputs!$B$11-Inputs!$B$11),0)))/100)/2</f>
        <v/>
      </c>
      <c r="M261">
        <f>L261*(1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IF(B298=0,0,O261/B298)</f>
        <v/>
      </c>
      <c r="Q261">
        <f>IFERROR(1/(IF(Inputs!$B$38="pvp",15,MAX(0.1,Skills!D6-IF(Skills!E6=TRUE,Inputs!$B$32,0)))*(1-IF(AND(ArtifactsInput!$M$27,Inputs!$B$4="Chapter Hunt"),CHOOSE(ArtifactsInput!$N$27+1,20,24,28,32,36,40),0)/100)),0)</f>
        <v/>
      </c>
      <c r="R261">
        <f>IF(AND(Inputs!$B$38&lt;&gt;"pvp",Inputs!$B$43&gt;0),IF(MAX(0,Inputs!$B$43-B295)&lt;=0,0,(INT(MAX(0,Inputs!$B$43-B295)/(IF(Inputs!$B$38="pvp",15,MAX(0.1,Skills!D6-IF(Skills!E6=TRUE,Inputs!$B$32,0)))*(1-IF(AND(ArtifactsInput!$M$27,Inputs!$B$4="Chapter Hunt"),CHOOSE(ArtifactsInput!$N$27+1,20,24,28,32,36,40),0)/100)))+1)),0)</f>
        <v/>
      </c>
      <c r="S261">
        <f>IFERROR(O261/N261,0)</f>
        <v/>
      </c>
      <c r="T261">
        <f>IF(C261,(H261*N261*IF(AND(Inputs!$B$38&lt;&gt;"pvp",Inputs!$B$43&gt;0),((Skills!G6*((R261-1)*IF(Skills!H6&gt;0,Skills!I6/Skills!H6,1)+IF(Skills!H6&gt;0,MIN(Skills!I6,MAX(0,MAX(0,Inputs!$B$43-B295)-((R261-1)*(IF(Inputs!$B$38="pvp",15,MAX(0.1,Skills!D6-IF(Skills!E6=TRUE,Inputs!$B$32,0)))*(1-IF(AND(ArtifactsInput!$M$27,Inputs!$B$4="Chapter Hunt"),CHOOSE(ArtifactsInput!$N$27+1,20,24,28,32,36,40),0)/100)))))/Skills!H6,1)))/Inputs!$B$43),G261*Q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261*(1-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6*((R261-1)*IF(Skills!H6&gt;0,Skills!I6/Skills!H6,1)+IF(Skills!H6&gt;0,MIN(Skills!I6,MAX(0,MAX(0,Inputs!$B$43-B295)-((R261-1)*(IF(Inputs!$B$38="pvp",15,MAX(0.1,Skills!D6-IF(Skills!E6=TRUE,Inputs!$B$32,0)))*(1-IF(AND(ArtifactsInput!$M$27,Inputs!$B$4="Chapter Hunt"),CHOOSE(ArtifactsInput!$N$27+1,20,24,28,32,36,40),0)/100)))))/Skills!H6,1)))/Inputs!$B$43),G261*Q261))*IF(Inputs!$B$38="pvp",1,(1+(Inputs!$B$21+Skills!Q6+(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Skills!A7</f>
        <v/>
      </c>
      <c r="B262">
        <f>Skills!B7</f>
        <v/>
      </c>
      <c r="C262">
        <f>Inputs!$B$3&gt;=107</f>
        <v/>
      </c>
      <c r="D262">
        <f>IF(Skills!C7=1,60+Inputs!$B$25+Inputs!$B$29,IF(Skills!C7=2,90+Inputs!$B$26+Inputs!$B$29,IF(Skills!C7=3,120+Inputs!$B$27+Inputs!$B$29,MAX(0,(Inputs!$B$3-100)*3)+Inputs!$B$28+Inputs!$B$29)))</f>
        <v/>
      </c>
      <c r="E262">
        <f>INDEX(FactorTable!$B$2:$Y$301, MATCH(ROUND(MIN(300,MAX(1,D262)),0), FactorTable!$A$2:$A$301,0), Skills!M7+1)</f>
        <v/>
      </c>
      <c r="F262">
        <f>IF(Skills!N7=TRUE,(Skills!L7/10)*(E262/1000),Skills!L7/10)+Skills!O7</f>
        <v/>
      </c>
      <c r="G262" t="inlineStr"/>
      <c r="H262" t="inlineStr"/>
      <c r="I262" t="inlineStr">
        <is>
          <t>1</t>
        </is>
      </c>
      <c r="J262" t="inlineStr"/>
      <c r="K262" t="inlineStr"/>
      <c r="L262" t="inlineStr"/>
      <c r="M262" t="inlineStr"/>
      <c r="N262" t="inlineStr"/>
      <c r="O262" t="inlineStr"/>
      <c r="P262" t="inlineStr"/>
      <c r="Q262" t="inlineStr"/>
      <c r="R262" t="inlineStr"/>
      <c r="S262" t="inlineStr"/>
      <c r="T262" t="inlineStr"/>
      <c r="V262" t="inlineStr"/>
    </row>
    <row r="263">
      <c r="A263">
        <f>Skills!A8</f>
        <v/>
      </c>
      <c r="B263">
        <f>Skills!B8</f>
        <v/>
      </c>
      <c r="C263">
        <f>Inputs!$B$3&gt;=69</f>
        <v/>
      </c>
      <c r="D263">
        <f>IF(Skills!C8=1,60+Inputs!$B$25+Inputs!$B$29,IF(Skills!C8=2,90+Inputs!$B$26+Inputs!$B$29,IF(Skills!C8=3,120+Inputs!$B$27+Inputs!$B$29,MAX(0,(Inputs!$B$3-100)*3)+Inputs!$B$28+Inputs!$B$29)))</f>
        <v/>
      </c>
      <c r="E263">
        <f>INDEX(FactorTable!$B$2:$Y$301, MATCH(ROUND(MIN(300,MAX(1,D263)),0), FactorTable!$A$2:$A$301,0), Skills!M8+1)</f>
        <v/>
      </c>
      <c r="F263">
        <f>IF(Skills!N8=TRUE,(Skills!L8/10)*(E263/1000),Skills!L8/10)+Skills!O8</f>
        <v/>
      </c>
      <c r="G263">
        <f>Skills!G8*IF(Skills!H8&gt;0,Skills!I8/Skills!H8,1)</f>
        <v/>
      </c>
      <c r="H263">
        <f>1-(1-Skills!J8/100)^Skills!K8</f>
        <v/>
      </c>
      <c r="I263" t="inlineStr">
        <is>
          <t>1</t>
        </is>
      </c>
      <c r="J263">
        <f>((Inputs!$B$6*(1+Inputs!$B$7/100))+(((Inputs!$B$12*(1+Inputs!$B$13/100))-(Inputs!$B$12*(1+Inputs!$B$13/100)))+0.25*(Inputs!$B$14-Inputs!$B$14))*(1+Inputs!$B$7/100))*(F263/100)</f>
        <v/>
      </c>
      <c r="K263">
        <f>J263*(1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265=TRUE,F265,0)/100)*(1+(IF(Skills!A8="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279=TRUE)*(F279-Calc!F24)),(Inputs!$B$23+((C284=TRUE)*(F284-Calc!F29))+(IF(ArtifactsInput!$M$15,CHOOSE(ArtifactsInput!$N$15+1,25,30,35,40,45,50)/100*(Inputs!$B$11-Inputs!$B$11),0))))/100+(Inputs!$B$23+((C284=TRUE)*(F284-Calc!F29))+(IF(ArtifactsInput!$M$15,CHOOSE(ArtifactsInput!$N$15+1,25,30,35,40,45,50)/100*(Inputs!$B$11-Inputs!$B$11),0)))/100)/2</f>
        <v/>
      </c>
      <c r="M263">
        <f>L263*(1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IF(B298=0,0,O263/B298)</f>
        <v/>
      </c>
      <c r="Q263">
        <f>IFERROR(1/(IF(Inputs!$B$38="pvp",15,MAX(0.1,Skills!D8-IF(Skills!E8=TRUE,Inputs!$B$32,0)))*(1-IF(AND(ArtifactsInput!$M$27,Inputs!$B$4="Chapter Hunt"),CHOOSE(ArtifactsInput!$N$27+1,20,24,28,32,36,40),0)/100)),0)</f>
        <v/>
      </c>
      <c r="R263">
        <f>IF(AND(Inputs!$B$38&lt;&gt;"pvp",Inputs!$B$43&gt;0),IF(MAX(0,Inputs!$B$43-B295)&lt;=0,0,(INT(MAX(0,Inputs!$B$43-B295)/(IF(Inputs!$B$38="pvp",15,MAX(0.1,Skills!D8-IF(Skills!E8=TRUE,Inputs!$B$32,0)))*(1-IF(AND(ArtifactsInput!$M$27,Inputs!$B$4="Chapter Hunt"),CHOOSE(ArtifactsInput!$N$27+1,20,24,28,32,36,40),0)/100)))+1)),0)</f>
        <v/>
      </c>
      <c r="S263">
        <f>IFERROR(O263/N263,0)</f>
        <v/>
      </c>
      <c r="T263">
        <f>IF(C263,(H263*N263*IF(AND(Inputs!$B$38&lt;&gt;"pvp",Inputs!$B$43&gt;0),((Skills!G8*((R263-1)*IF(Skills!H8&gt;0,Skills!I8/Skills!H8,1)+IF(Skills!H8&gt;0,MIN(Skills!I8,MAX(0,MAX(0,Inputs!$B$43-B295)-((R263-1)*(IF(Inputs!$B$38="pvp",15,MAX(0.1,Skills!D8-IF(Skills!E8=TRUE,Inputs!$B$32,0)))*(1-IF(AND(ArtifactsInput!$M$27,Inputs!$B$4="Chapter Hunt"),CHOOSE(ArtifactsInput!$N$27+1,20,24,28,32,36,40),0)/100)))))/Skills!H8,1)))/Inputs!$B$43),G263*Q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263*(1-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
        <f>IF(C263,(H263*N263*IF(AND(Inputs!$B$38&lt;&gt;"pvp",Inputs!$B$43&gt;0),((Skills!G8*((R263-1)*IF(Skills!H8&gt;0,Skills!I8/Skills!H8,1)+IF(Skills!H8&gt;0,MIN(Skills!I8,MAX(0,MAX(0,Inputs!$B$43-B295)-((R263-1)*(IF(Inputs!$B$38="pvp",15,MAX(0.1,Skills!D8-IF(Skills!E8=TRUE,Inputs!$B$32,0)))*(1-IF(AND(ArtifactsInput!$M$27,Inputs!$B$4="Chapter Hunt"),CHOOSE(ArtifactsInput!$N$27+1,20,24,28,32,36,40),0)/100)))))/Skills!H8,1)))/Inputs!$B$43),G263*Q263))*IF(Inputs!$B$38="pvp",1,(1+(Inputs!$B$21+Skills!Q8+(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Skills!A9</f>
        <v/>
      </c>
      <c r="B264">
        <f>Skills!B9</f>
        <v/>
      </c>
      <c r="C264">
        <f>Inputs!$B$3&gt;=63</f>
        <v/>
      </c>
      <c r="D264">
        <f>IF(Skills!C9=1,60+Inputs!$B$25+Inputs!$B$29,IF(Skills!C9=2,90+Inputs!$B$26+Inputs!$B$29,IF(Skills!C9=3,120+Inputs!$B$27+Inputs!$B$29,MAX(0,(Inputs!$B$3-100)*3)+Inputs!$B$28+Inputs!$B$29)))</f>
        <v/>
      </c>
      <c r="E264">
        <f>INDEX(FactorTable!$B$2:$Y$301, MATCH(ROUND(MIN(300,MAX(1,D264)),0), FactorTable!$A$2:$A$301,0), Skills!M9+1)</f>
        <v/>
      </c>
      <c r="F264">
        <f>IF(Skills!N9=TRUE,(Skills!L9/10)*(E264/1000),Skills!L9/10)+Skills!O9</f>
        <v/>
      </c>
      <c r="G264">
        <f>Skills!G9*IF(Skills!H9&gt;0,Skills!I9/Skills!H9,1)</f>
        <v/>
      </c>
      <c r="H264">
        <f>1-(1-Skills!J9/100)^Skills!K9</f>
        <v/>
      </c>
      <c r="I264" t="inlineStr">
        <is>
          <t>1</t>
        </is>
      </c>
      <c r="J264">
        <f>((Inputs!$B$6*(1+Inputs!$B$7/100))+(((Inputs!$B$12*(1+Inputs!$B$13/100))-(Inputs!$B$12*(1+Inputs!$B$13/100)))+0.25*(Inputs!$B$14-Inputs!$B$14))*(1+Inputs!$B$7/100))*(F264/100)</f>
        <v/>
      </c>
      <c r="K264">
        <f>J264*(1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TRUE,F265,0)/100)*(1+(IF(Skills!A9="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279=TRUE)*(F279-Calc!F24)),(Inputs!$B$23+((C284=TRUE)*(F284-Calc!F29))+(IF(ArtifactsInput!$M$15,CHOOSE(ArtifactsInput!$N$15+1,25,30,35,40,45,50)/100*(Inputs!$B$11-Inputs!$B$11),0))))/100+(Inputs!$B$23+((C284=TRUE)*(F284-Calc!F29))+(IF(ArtifactsInput!$M$15,CHOOSE(ArtifactsInput!$N$15+1,25,30,35,40,45,50)/100*(Inputs!$B$11-Inputs!$B$11),0)))/100)/2</f>
        <v/>
      </c>
      <c r="M264">
        <f>L264*(1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IF(B298=0,0,O264/B298)</f>
        <v/>
      </c>
      <c r="Q264">
        <f>IFERROR(1/(IF(Inputs!$B$38="pvp",15,MAX(0.1,Skills!D9-IF(Skills!E9=TRUE,Inputs!$B$32,0)))*(1-IF(AND(ArtifactsInput!$M$27,Inputs!$B$4="Chapter Hunt"),CHOOSE(ArtifactsInput!$N$27+1,20,24,28,32,36,40),0)/100)),0)</f>
        <v/>
      </c>
      <c r="R264">
        <f>IF(AND(Inputs!$B$38&lt;&gt;"pvp",Inputs!$B$43&gt;0),IF(MAX(0,Inputs!$B$43-B295)&lt;=0,0,(INT(MAX(0,Inputs!$B$43-B295)/(IF(Inputs!$B$38="pvp",15,MAX(0.1,Skills!D9-IF(Skills!E9=TRUE,Inputs!$B$32,0)))*(1-IF(AND(ArtifactsInput!$M$27,Inputs!$B$4="Chapter Hunt"),CHOOSE(ArtifactsInput!$N$27+1,20,24,28,32,36,40),0)/100)))+1)),0)</f>
        <v/>
      </c>
      <c r="S264">
        <f>IFERROR(O264/N264,0)</f>
        <v/>
      </c>
      <c r="T264">
        <f>IF(C264,(H264*N264*IF(AND(Inputs!$B$38&lt;&gt;"pvp",Inputs!$B$43&gt;0),((Skills!G9*((R264-1)*IF(Skills!H9&gt;0,Skills!I9/Skills!H9,1)+IF(Skills!H9&gt;0,MIN(Skills!I9,MAX(0,MAX(0,Inputs!$B$43-B295)-((R264-1)*(IF(Inputs!$B$38="pvp",15,MAX(0.1,Skills!D9-IF(Skills!E9=TRUE,Inputs!$B$32,0)))*(1-IF(AND(ArtifactsInput!$M$27,Inputs!$B$4="Chapter Hunt"),CHOOSE(ArtifactsInput!$N$27+1,20,24,28,32,36,40),0)/100)))))/Skills!H9,1)))/Inputs!$B$43),G264*Q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264*(1-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9*((R264-1)*IF(Skills!H9&gt;0,Skills!I9/Skills!H9,1)+IF(Skills!H9&gt;0,MIN(Skills!I9,MAX(0,MAX(0,Inputs!$B$43-B295)-((R264-1)*(IF(Inputs!$B$38="pvp",15,MAX(0.1,Skills!D9-IF(Skills!E9=TRUE,Inputs!$B$32,0)))*(1-IF(AND(ArtifactsInput!$M$27,Inputs!$B$4="Chapter Hunt"),CHOOSE(ArtifactsInput!$N$27+1,20,24,28,32,36,40),0)/100)))))/Skills!H9,1)))/Inputs!$B$43),G264*Q264))*IF(Inputs!$B$38="pvp",1,(1+(Inputs!$B$21+Skills!Q9+(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Skills!A10</f>
        <v/>
      </c>
      <c r="B265">
        <f>Skills!B10</f>
        <v/>
      </c>
      <c r="C265">
        <f>Inputs!$B$3&gt;=100</f>
        <v/>
      </c>
      <c r="D265">
        <f>IF(Skills!C10=1,60+Inputs!$B$25+Inputs!$B$29,IF(Skills!C10=2,90+Inputs!$B$26+Inputs!$B$29,IF(Skills!C10=3,120+Inputs!$B$27+Inputs!$B$29,MAX(0,(Inputs!$B$3-100)*3)+Inputs!$B$28+Inputs!$B$29)))</f>
        <v/>
      </c>
      <c r="E265">
        <f>INDEX(FactorTable!$B$2:$Y$301, MATCH(ROUND(MIN(300,MAX(1,D265)),0), FactorTable!$A$2:$A$301,0), Skills!M10+1)</f>
        <v/>
      </c>
      <c r="F265">
        <f>IF(Skills!N10=TRUE,(Skills!L10/10)*(E265/1000),Skills!L10/10)+Skills!O10</f>
        <v/>
      </c>
      <c r="G265" t="inlineStr"/>
      <c r="H265" t="inlineStr"/>
      <c r="I265" t="inlineStr">
        <is>
          <t>1</t>
        </is>
      </c>
      <c r="J265" t="inlineStr"/>
      <c r="K265" t="inlineStr"/>
      <c r="L265" t="inlineStr"/>
      <c r="M265" t="inlineStr"/>
      <c r="N265" t="inlineStr"/>
      <c r="O265" t="inlineStr"/>
      <c r="P265" t="inlineStr"/>
      <c r="Q265" t="inlineStr"/>
      <c r="R265" t="inlineStr"/>
      <c r="S265" t="inlineStr"/>
      <c r="T265" t="inlineStr"/>
      <c r="V265" t="inlineStr"/>
    </row>
    <row r="266">
      <c r="A266">
        <f>Skills!A11</f>
        <v/>
      </c>
      <c r="B266">
        <f>Skills!B11</f>
        <v/>
      </c>
      <c r="C266">
        <f>Inputs!$B$3&gt;=60</f>
        <v/>
      </c>
      <c r="D266">
        <f>IF(Skills!C11=1,60+Inputs!$B$25+Inputs!$B$29,IF(Skills!C11=2,90+Inputs!$B$26+Inputs!$B$29,IF(Skills!C11=3,120+Inputs!$B$27+Inputs!$B$29,MAX(0,(Inputs!$B$3-100)*3)+Inputs!$B$28+Inputs!$B$29)))</f>
        <v/>
      </c>
      <c r="E266">
        <f>INDEX(FactorTable!$B$2:$Y$301, MATCH(ROUND(MIN(300,MAX(1,D266)),0), FactorTable!$A$2:$A$301,0), Skills!M11+1)</f>
        <v/>
      </c>
      <c r="F266">
        <f>IF(Skills!N11=TRUE,(Skills!L11/10)*(E266/1000),Skills!L11/10)+Skills!O11</f>
        <v/>
      </c>
      <c r="G266">
        <f>Skills!G11*IF(Skills!H11&gt;0,Skills!I11/Skills!H11,1)</f>
        <v/>
      </c>
      <c r="H266">
        <f>1-(1-Skills!J11/100)^Skills!K11</f>
        <v/>
      </c>
      <c r="I266" t="inlineStr">
        <is>
          <t>1</t>
        </is>
      </c>
      <c r="J266">
        <f>((Inputs!$B$6*(1+Inputs!$B$7/100))+(((Inputs!$B$12*(1+Inputs!$B$13/100))-(Inputs!$B$12*(1+Inputs!$B$13/100)))+0.25*(Inputs!$B$14-Inputs!$B$14))*(1+Inputs!$B$7/100))*(F266/100)</f>
        <v/>
      </c>
      <c r="K266">
        <f>J266*(1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TRUE,F267,0)/100)*(1+(IF(Skills!A11="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279=TRUE)*(F279-Calc!F24)),(Inputs!$B$23+((C284=TRUE)*(F284-Calc!F29))+(IF(ArtifactsInput!$M$15,CHOOSE(ArtifactsInput!$N$15+1,25,30,35,40,45,50)/100*(Inputs!$B$11-Inputs!$B$11),0))))/100+(Inputs!$B$23+((C284=TRUE)*(F284-Calc!F29))+(IF(ArtifactsInput!$M$15,CHOOSE(ArtifactsInput!$N$15+1,25,30,35,40,45,50)/100*(Inputs!$B$11-Inputs!$B$11),0)))/100)/2</f>
        <v/>
      </c>
      <c r="M266">
        <f>L266*(1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IF(B298=0,0,O266/B298)</f>
        <v/>
      </c>
      <c r="Q266">
        <f>IFERROR(1/(IF(Inputs!$B$38="pvp",15,MAX(0.1,Skills!D11-IF(Skills!E11=TRUE,Inputs!$B$32,0)))*(1-IF(AND(ArtifactsInput!$M$27,Inputs!$B$4="Chapter Hunt"),CHOOSE(ArtifactsInput!$N$27+1,20,24,28,32,36,40),0)/100)),0)</f>
        <v/>
      </c>
      <c r="R266">
        <f>IF(AND(Inputs!$B$38&lt;&gt;"pvp",Inputs!$B$43&gt;0),IF(MAX(0,Inputs!$B$43-B295)&lt;=0,0,(INT(MAX(0,Inputs!$B$43-B295)/(IF(Inputs!$B$38="pvp",15,MAX(0.1,Skills!D11-IF(Skills!E11=TRUE,Inputs!$B$32,0)))*(1-IF(AND(ArtifactsInput!$M$27,Inputs!$B$4="Chapter Hunt"),CHOOSE(ArtifactsInput!$N$27+1,20,24,28,32,36,40),0)/100)))+1)),0)</f>
        <v/>
      </c>
      <c r="S266">
        <f>IFERROR(O266/N266,0)</f>
        <v/>
      </c>
      <c r="T266">
        <f>IF(C266,(H266*N266*IF(AND(Inputs!$B$38&lt;&gt;"pvp",Inputs!$B$43&gt;0),((Skills!G11*((R266-1)*IF(Skills!H11&gt;0,Skills!I11/Skills!H11,1)+IF(Skills!H11&gt;0,MIN(Skills!I11,MAX(0,MAX(0,Inputs!$B$43-B295)-((R266-1)*(IF(Inputs!$B$38="pvp",15,MAX(0.1,Skills!D11-IF(Skills!E11=TRUE,Inputs!$B$32,0)))*(1-IF(AND(ArtifactsInput!$M$27,Inputs!$B$4="Chapter Hunt"),CHOOSE(ArtifactsInput!$N$27+1,20,24,28,32,36,40),0)/100)))))/Skills!H11,1)))/Inputs!$B$43),G266*Q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
        <f>IF(C266,(H266*N266*IF(AND(Inputs!$B$38&lt;&gt;"pvp",Inputs!$B$43&gt;0),((Skills!G11*((R266-1)*IF(Skills!H11&gt;0,Skills!I11/Skills!H11,1)+IF(Skills!H11&gt;0,MIN(Skills!I11,MAX(0,MAX(0,Inputs!$B$43-B295)-((R266-1)*(IF(Inputs!$B$38="pvp",15,MAX(0.1,Skills!D11-IF(Skills!E11=TRUE,Inputs!$B$32,0)))*(1-IF(AND(ArtifactsInput!$M$27,Inputs!$B$4="Chapter Hunt"),CHOOSE(ArtifactsInput!$N$27+1,20,24,28,32,36,40),0)/100)))))/Skills!H11,1)))/Inputs!$B$43),G266*Q266))*IF(Inputs!$B$38="pvp",1,(1+(Inputs!$B$21+Skills!Q11+(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Skills!A12</f>
        <v/>
      </c>
      <c r="B267">
        <f>Skills!B12</f>
        <v/>
      </c>
      <c r="C267">
        <f>Inputs!$B$3&gt;=110</f>
        <v/>
      </c>
      <c r="D267">
        <f>IF(Skills!C12=1,60+Inputs!$B$25+Inputs!$B$29,IF(Skills!C12=2,90+Inputs!$B$26+Inputs!$B$29,IF(Skills!C12=3,120+Inputs!$B$27+Inputs!$B$29,MAX(0,(Inputs!$B$3-100)*3)+Inputs!$B$28+Inputs!$B$29)))</f>
        <v/>
      </c>
      <c r="E267">
        <f>INDEX(FactorTable!$B$2:$Y$301, MATCH(ROUND(MIN(300,MAX(1,D267)),0), FactorTable!$A$2:$A$301,0), Skills!M12+1)</f>
        <v/>
      </c>
      <c r="F267">
        <f>IF(Skills!N12=TRUE,(Skills!L12/10)*(E267/1000),Skills!L12/10)+Skills!O12</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V267" t="inlineStr"/>
    </row>
    <row r="268">
      <c r="A268">
        <f>Skills!A13</f>
        <v/>
      </c>
      <c r="B268">
        <f>Skills!B13</f>
        <v/>
      </c>
      <c r="C268">
        <f>Inputs!$B$3&gt;=74</f>
        <v/>
      </c>
      <c r="D268">
        <f>IF(Skills!C13=1,60+Inputs!$B$25+Inputs!$B$29,IF(Skills!C13=2,90+Inputs!$B$26+Inputs!$B$29,IF(Skills!C13=3,120+Inputs!$B$27+Inputs!$B$29,MAX(0,(Inputs!$B$3-100)*3)+Inputs!$B$28+Inputs!$B$29)))</f>
        <v/>
      </c>
      <c r="E268">
        <f>INDEX(FactorTable!$B$2:$Y$301, MATCH(ROUND(MIN(300,MAX(1,D268)),0), FactorTable!$A$2:$A$301,0), Skills!M13+1)</f>
        <v/>
      </c>
      <c r="F268">
        <f>IF(Skills!N13=TRUE,(Skills!L13/10)*(E268/1000),Skills!L13/10)+Skills!O13</f>
        <v/>
      </c>
      <c r="G268">
        <f>Skills!G13*IF(Skills!H13&gt;0,Skills!I13/Skills!H13,1)</f>
        <v/>
      </c>
      <c r="H268">
        <f>1-(1-Skills!J13/100)^Skills!K13</f>
        <v/>
      </c>
      <c r="I268" t="inlineStr">
        <is>
          <t>1</t>
        </is>
      </c>
      <c r="J268" t="inlineStr"/>
      <c r="K268" t="inlineStr"/>
      <c r="L268" t="inlineStr"/>
      <c r="M268" t="inlineStr"/>
      <c r="N268" t="inlineStr"/>
      <c r="O268">
        <f>(1-Summary!$B$11)*T268+Summary!$B$11*V268</f>
        <v/>
      </c>
      <c r="P268">
        <f>IF(B298=0,0,O268/B298)</f>
        <v/>
      </c>
      <c r="Q268" t="n">
        <v>0</v>
      </c>
      <c r="R268" t="n">
        <v>0</v>
      </c>
      <c r="S268">
        <f>IFERROR(O268/N268,0)</f>
        <v/>
      </c>
      <c r="T268" t="n">
        <v>0</v>
      </c>
      <c r="V268" t="n">
        <v>0</v>
      </c>
    </row>
    <row r="269">
      <c r="A269">
        <f>Skills!A14</f>
        <v/>
      </c>
      <c r="B269">
        <f>Skills!B14</f>
        <v/>
      </c>
      <c r="C269">
        <f>Inputs!$B$3&gt;=74</f>
        <v/>
      </c>
      <c r="D269">
        <f>IF(Skills!C14=1,60+Inputs!$B$25+Inputs!$B$29,IF(Skills!C14=2,90+Inputs!$B$26+Inputs!$B$29,IF(Skills!C14=3,120+Inputs!$B$27+Inputs!$B$29,MAX(0,(Inputs!$B$3-100)*3)+Inputs!$B$28+Inputs!$B$29)))</f>
        <v/>
      </c>
      <c r="E269">
        <f>INDEX(FactorTable!$B$2:$Y$301, MATCH(ROUND(MIN(300,MAX(1,D269)),0), FactorTable!$A$2:$A$301,0), Skills!M14+1)</f>
        <v/>
      </c>
      <c r="F269">
        <f>IF(Skills!N14=TRUE,(Skills!L14/10)*(E269/1000),Skills!L14/10)+Skills!O14</f>
        <v/>
      </c>
      <c r="G269">
        <f>Skills!G14*IF(Skills!H14&gt;0,Skills!I14/Skills!H14,1)</f>
        <v/>
      </c>
      <c r="H269">
        <f>1-(1-Skills!J14/100)^Skills!K14</f>
        <v/>
      </c>
      <c r="I269" t="inlineStr">
        <is>
          <t>1</t>
        </is>
      </c>
      <c r="J269" t="inlineStr"/>
      <c r="K269" t="inlineStr"/>
      <c r="L269" t="inlineStr"/>
      <c r="M269" t="inlineStr"/>
      <c r="N269" t="inlineStr"/>
      <c r="O269">
        <f>(1-Summary!$B$11)*T269+Summary!$B$11*V269</f>
        <v/>
      </c>
      <c r="P269">
        <f>IF(B298=0,0,O269/B298)</f>
        <v/>
      </c>
      <c r="Q269" t="n">
        <v>0</v>
      </c>
      <c r="R269" t="n">
        <v>0</v>
      </c>
      <c r="S269">
        <f>IFERROR(O269/N269,0)</f>
        <v/>
      </c>
      <c r="T269" t="n">
        <v>0</v>
      </c>
      <c r="V269" t="n">
        <v>0</v>
      </c>
    </row>
    <row r="270">
      <c r="A270">
        <f>Skills!A15</f>
        <v/>
      </c>
      <c r="B270">
        <f>Skills!B15</f>
        <v/>
      </c>
      <c r="C270">
        <f>Inputs!$B$3&gt;=117</f>
        <v/>
      </c>
      <c r="D270">
        <f>IF(Skills!C15=1,60+Inputs!$B$25+Inputs!$B$29,IF(Skills!C15=2,90+Inputs!$B$26+Inputs!$B$29,IF(Skills!C15=3,120+Inputs!$B$27+Inputs!$B$29,MAX(0,(Inputs!$B$3-100)*3)+Inputs!$B$28+Inputs!$B$29)))</f>
        <v/>
      </c>
      <c r="E270">
        <f>INDEX(FactorTable!$B$2:$Y$301, MATCH(ROUND(MIN(300,MAX(1,D270)),0), FactorTable!$A$2:$A$301,0), Skills!M15+1)</f>
        <v/>
      </c>
      <c r="F270">
        <f>IF(Skills!N15=TRUE,(Skills!L15/10)*(E270/1000),Skills!L15/10)+Skills!O15</f>
        <v/>
      </c>
      <c r="G270">
        <f>Skills!G15*IF(Skills!H15&gt;0,Skills!I15/Skills!H15,1)</f>
        <v/>
      </c>
      <c r="H270">
        <f>1-(1-Skills!J15/100)^Skills!K15</f>
        <v/>
      </c>
      <c r="I270" t="inlineStr">
        <is>
          <t>1</t>
        </is>
      </c>
      <c r="J270" t="inlineStr"/>
      <c r="K270" t="inlineStr"/>
      <c r="L270" t="inlineStr"/>
      <c r="M270" t="inlineStr"/>
      <c r="N270" t="inlineStr"/>
      <c r="O270">
        <f>(1-Summary!$B$11)*T270+Summary!$B$11*V270</f>
        <v/>
      </c>
      <c r="P270">
        <f>IF(B298=0,0,O270/B298)</f>
        <v/>
      </c>
      <c r="Q270">
        <f>IFERROR(1/(IF(Inputs!$B$38="pvp",15,MAX(0.1,Skills!D15-IF(Skills!E15=TRUE,Inputs!$B$32,0)))*(1-IF(AND(ArtifactsInput!$M$27,Inputs!$B$4="Chapter Hunt"),CHOOSE(ArtifactsInput!$N$27+1,20,24,28,32,36,40),0)/100)),0)</f>
        <v/>
      </c>
      <c r="R270">
        <f>IF(AND(Inputs!$B$38&lt;&gt;"pvp",Inputs!$B$43&gt;0),IF(Inputs!$B$43&lt;=0,0,(INT(Inputs!$B$43/(IF(Inputs!$B$38="pvp",15,MAX(0.1,Skills!D15-IF(Skills!E15=TRUE,Inputs!$B$32,0)))*(1-IF(AND(ArtifactsInput!$M$27,Inputs!$B$4="Chapter Hunt"),CHOOSE(ArtifactsInput!$N$27+1,20,24,28,32,36,40),0)/100)))+1)),0)</f>
        <v/>
      </c>
      <c r="S270">
        <f>IFERROR(O270/N270,0)</f>
        <v/>
      </c>
      <c r="T270" t="n">
        <v>0</v>
      </c>
      <c r="V270" t="n">
        <v>0</v>
      </c>
    </row>
    <row r="271">
      <c r="A271">
        <f>Skills!A16</f>
        <v/>
      </c>
      <c r="B271">
        <f>Skills!B16</f>
        <v/>
      </c>
      <c r="C271">
        <f>Inputs!$B$3&gt;=115</f>
        <v/>
      </c>
      <c r="D271">
        <f>IF(Skills!C16=1,60+Inputs!$B$25+Inputs!$B$29,IF(Skills!C16=2,90+Inputs!$B$26+Inputs!$B$29,IF(Skills!C16=3,120+Inputs!$B$27+Inputs!$B$29,MAX(0,(Inputs!$B$3-100)*3)+Inputs!$B$28+Inputs!$B$29)))</f>
        <v/>
      </c>
      <c r="E271">
        <f>INDEX(FactorTable!$B$2:$Y$301, MATCH(ROUND(MIN(300,MAX(1,D271)),0), FactorTable!$A$2:$A$301,0), Skills!M16+1)</f>
        <v/>
      </c>
      <c r="F271">
        <f>IF(Skills!N16=TRUE,(Skills!L16/10)*(E271/1000),Skills!L16/10)+Skills!O16</f>
        <v/>
      </c>
      <c r="G271">
        <f>Skills!G16*IF(Skills!H16&gt;0,Skills!I16/Skills!H16,1)</f>
        <v/>
      </c>
      <c r="H271">
        <f>1-(1-Skills!J16/100)^Skills!K16</f>
        <v/>
      </c>
      <c r="I271" t="inlineStr">
        <is>
          <t>1</t>
        </is>
      </c>
      <c r="J271" t="inlineStr"/>
      <c r="K271" t="inlineStr"/>
      <c r="L271" t="inlineStr"/>
      <c r="M271" t="inlineStr"/>
      <c r="N271" t="inlineStr"/>
      <c r="O271">
        <f>(1-Summary!$B$11)*T271+Summary!$B$11*V271</f>
        <v/>
      </c>
      <c r="P271">
        <f>IF(B298=0,0,O271/B298)</f>
        <v/>
      </c>
      <c r="Q271">
        <f>IFERROR(1/(IF(Inputs!$B$38="pvp",15,MAX(0.1,Skills!D16-IF(Skills!E16=TRUE,Inputs!$B$32,0)))*(1-IF(AND(ArtifactsInput!$M$27,Inputs!$B$4="Chapter Hunt"),CHOOSE(ArtifactsInput!$N$27+1,20,24,28,32,36,40),0)/100)),0)</f>
        <v/>
      </c>
      <c r="R271">
        <f>IF(AND(Inputs!$B$38&lt;&gt;"pvp",Inputs!$B$43&gt;0),IF(Inputs!$B$43&lt;=0,0,(INT(Inputs!$B$43/(IF(Inputs!$B$38="pvp",15,MAX(0.1,Skills!D16-IF(Skills!E16=TRUE,Inputs!$B$32,0)))*(1-IF(AND(ArtifactsInput!$M$27,Inputs!$B$4="Chapter Hunt"),CHOOSE(ArtifactsInput!$N$27+1,20,24,28,32,36,40),0)/100)))+1)),0)</f>
        <v/>
      </c>
      <c r="S271">
        <f>IFERROR(O271/N271,0)</f>
        <v/>
      </c>
      <c r="T271" t="n">
        <v>0</v>
      </c>
      <c r="V271" t="n">
        <v>0</v>
      </c>
    </row>
    <row r="272">
      <c r="A272">
        <f>Skills!A17</f>
        <v/>
      </c>
      <c r="B272">
        <f>Skills!B17</f>
        <v/>
      </c>
      <c r="C272">
        <f>Inputs!$B$3&gt;=66</f>
        <v/>
      </c>
      <c r="D272">
        <f>IF(Skills!C17=1,60+Inputs!$B$25+Inputs!$B$29,IF(Skills!C17=2,90+Inputs!$B$26+Inputs!$B$29,IF(Skills!C17=3,120+Inputs!$B$27+Inputs!$B$29,MAX(0,(Inputs!$B$3-100)*3)+Inputs!$B$28+Inputs!$B$29)))</f>
        <v/>
      </c>
      <c r="E272">
        <f>INDEX(FactorTable!$B$2:$Y$301, MATCH(ROUND(MIN(300,MAX(1,D272)),0), FactorTable!$A$2:$A$301,0), Skills!M17+1)</f>
        <v/>
      </c>
      <c r="F272">
        <f>IF(Skills!N17=TRUE,(Skills!L17/10)*(E272/1000),Skills!L17/10)+Skills!O17</f>
        <v/>
      </c>
      <c r="G272">
        <f>Skills!G17*IF(Skills!H17&gt;0,Skills!I17/Skills!H17,1)</f>
        <v/>
      </c>
      <c r="H272">
        <f>1-(1-Skills!J17/100)^Skills!K17</f>
        <v/>
      </c>
      <c r="I272" t="inlineStr">
        <is>
          <t>1</t>
        </is>
      </c>
      <c r="J272" t="inlineStr"/>
      <c r="K272" t="inlineStr"/>
      <c r="L272" t="inlineStr"/>
      <c r="M272" t="inlineStr"/>
      <c r="N272" t="inlineStr"/>
      <c r="O272">
        <f>(1-Summary!$B$11)*T272+Summary!$B$11*V272</f>
        <v/>
      </c>
      <c r="P272">
        <f>IF(B298=0,0,O272/B298)</f>
        <v/>
      </c>
      <c r="Q272" t="n">
        <v>0</v>
      </c>
      <c r="R272" t="n">
        <v>0</v>
      </c>
      <c r="S272">
        <f>IFERROR(O272/N272,0)</f>
        <v/>
      </c>
      <c r="T272" t="n">
        <v>0</v>
      </c>
      <c r="V272" t="n">
        <v>0</v>
      </c>
    </row>
    <row r="273">
      <c r="A273">
        <f>Skills!A18</f>
        <v/>
      </c>
      <c r="B273">
        <f>Skills!B18</f>
        <v/>
      </c>
      <c r="C273">
        <f>Inputs!$B$3&gt;=72</f>
        <v/>
      </c>
      <c r="D273">
        <f>IF(Skills!C18=1,60+Inputs!$B$25+Inputs!$B$29,IF(Skills!C18=2,90+Inputs!$B$26+Inputs!$B$29,IF(Skills!C18=3,120+Inputs!$B$27+Inputs!$B$29,MAX(0,(Inputs!$B$3-100)*3)+Inputs!$B$28+Inputs!$B$29)))</f>
        <v/>
      </c>
      <c r="E273">
        <f>INDEX(FactorTable!$B$2:$Y$301, MATCH(ROUND(MIN(300,MAX(1,D273)),0), FactorTable!$A$2:$A$301,0), Skills!M18+1)</f>
        <v/>
      </c>
      <c r="F273">
        <f>IF(Skills!N18=TRUE,(Skills!L18/10)*(E273/1000),Skills!L18/10)+Skills!O18</f>
        <v/>
      </c>
      <c r="G273">
        <f>Skills!G18*IF(Skills!H18&gt;0,Skills!I18/Skills!H18,1)</f>
        <v/>
      </c>
      <c r="H273">
        <f>1-(1-Skills!J18/100)^Skills!K18</f>
        <v/>
      </c>
      <c r="I273" t="inlineStr">
        <is>
          <t>1</t>
        </is>
      </c>
      <c r="J273" t="inlineStr"/>
      <c r="K273" t="inlineStr"/>
      <c r="L273" t="inlineStr"/>
      <c r="M273" t="inlineStr"/>
      <c r="N273" t="inlineStr"/>
      <c r="O273">
        <f>(1-Summary!$B$11)*T273+Summary!$B$11*V273</f>
        <v/>
      </c>
      <c r="P273">
        <f>IF(B298=0,0,O273/B298)</f>
        <v/>
      </c>
      <c r="Q273" t="n">
        <v>0</v>
      </c>
      <c r="R273" t="n">
        <v>0</v>
      </c>
      <c r="S273">
        <f>IFERROR(O273/N273,0)</f>
        <v/>
      </c>
      <c r="T273" t="n">
        <v>0</v>
      </c>
      <c r="V273" t="n">
        <v>0</v>
      </c>
    </row>
    <row r="274">
      <c r="A274">
        <f>Skills!A19</f>
        <v/>
      </c>
      <c r="B274">
        <f>Skills!B19</f>
        <v/>
      </c>
      <c r="C274">
        <f>TRUE</f>
        <v/>
      </c>
      <c r="D274">
        <f>IF(Skills!C19=1,60+Inputs!$B$25+Inputs!$B$29,IF(Skills!C19=2,90+Inputs!$B$26+Inputs!$B$29,IF(Skills!C19=3,120+Inputs!$B$27+Inputs!$B$29,MAX(0,(Inputs!$B$3-100)*3)+Inputs!$B$28+Inputs!$B$29)))</f>
        <v/>
      </c>
      <c r="E274">
        <f>INDEX(FactorTable!$B$2:$Y$301, MATCH(ROUND(MIN(300,MAX(1,D274)),0), FactorTable!$A$2:$A$301,0), Skills!M19+1)</f>
        <v/>
      </c>
      <c r="F274">
        <f>IF(Skills!N19=TRUE,(Skills!L19/10)*(E274/1000),Skills!L19/10)+Skills!O19</f>
        <v/>
      </c>
      <c r="G274">
        <f>Skills!G19*IF(Skills!H19&gt;0,Skills!I19/Skills!H19,1)</f>
        <v/>
      </c>
      <c r="H274">
        <f>1-(1-Skills!J19/100)^Skills!K19</f>
        <v/>
      </c>
      <c r="I274" t="inlineStr">
        <is>
          <t>1</t>
        </is>
      </c>
      <c r="J274" t="inlineStr"/>
      <c r="K274" t="inlineStr"/>
      <c r="L274" t="inlineStr"/>
      <c r="M274" t="inlineStr"/>
      <c r="N274" t="inlineStr"/>
      <c r="O274">
        <f>(1-Summary!$B$11)*T274+Summary!$B$11*V274</f>
        <v/>
      </c>
      <c r="P274">
        <f>IF(B298=0,0,O274/B298)</f>
        <v/>
      </c>
      <c r="Q274">
        <f>IFERROR(1/(IF(Inputs!$B$38="pvp",15,MAX(0.1,Skills!D19-IF(Skills!E19=TRUE,Inputs!$B$32,0)))*(1-IF(AND(ArtifactsInput!$M$27,Inputs!$B$4="Chapter Hunt"),CHOOSE(ArtifactsInput!$N$27+1,20,24,28,32,36,40),0)/100)),0)</f>
        <v/>
      </c>
      <c r="R274">
        <f>IF(AND(Inputs!$B$38&lt;&gt;"pvp",Inputs!$B$43&gt;0),IF(Inputs!$B$43&lt;=0,0,(INT(Inputs!$B$43/(IF(Inputs!$B$38="pvp",15,MAX(0.1,Skills!D19-IF(Skills!E19=TRUE,Inputs!$B$32,0)))*(1-IF(AND(ArtifactsInput!$M$27,Inputs!$B$4="Chapter Hunt"),CHOOSE(ArtifactsInput!$N$27+1,20,24,28,32,36,40),0)/100)))+1)),0)</f>
        <v/>
      </c>
      <c r="S274">
        <f>IFERROR(O274/N274,0)</f>
        <v/>
      </c>
      <c r="T274" t="n">
        <v>0</v>
      </c>
      <c r="V274" t="n">
        <v>0</v>
      </c>
    </row>
    <row r="275">
      <c r="A275">
        <f>Skills!A20</f>
        <v/>
      </c>
      <c r="B275">
        <f>Skills!B20</f>
        <v/>
      </c>
      <c r="C275">
        <f>Inputs!$B$3&gt;=15</f>
        <v/>
      </c>
      <c r="D275">
        <f>IF(Skills!C20=1,60+Inputs!$B$25+Inputs!$B$29,IF(Skills!C20=2,90+Inputs!$B$26+Inputs!$B$29,IF(Skills!C20=3,120+Inputs!$B$27+Inputs!$B$29,MAX(0,(Inputs!$B$3-100)*3)+Inputs!$B$28+Inputs!$B$29)))</f>
        <v/>
      </c>
      <c r="E275">
        <f>INDEX(FactorTable!$B$2:$Y$301, MATCH(ROUND(MIN(300,MAX(1,D275)),0), FactorTable!$A$2:$A$301,0), Skills!M20+1)</f>
        <v/>
      </c>
      <c r="F275">
        <f>IF(Skills!N20=TRUE,(Skills!L20/10)*(E275/1000),Skills!L20/10)+Skills!O20</f>
        <v/>
      </c>
      <c r="G275">
        <f>Skills!G20*IF(Skills!H20&gt;0,Skills!I20/Skills!H20,1)</f>
        <v/>
      </c>
      <c r="H275">
        <f>1-(1-Skills!J20/100)^Skills!K20</f>
        <v/>
      </c>
      <c r="I275" t="inlineStr">
        <is>
          <t>1</t>
        </is>
      </c>
      <c r="J275" t="inlineStr"/>
      <c r="K275" t="inlineStr"/>
      <c r="L275" t="inlineStr"/>
      <c r="M275" t="inlineStr"/>
      <c r="N275" t="inlineStr"/>
      <c r="O275">
        <f>(1-Summary!$B$11)*T275+Summary!$B$11*V275</f>
        <v/>
      </c>
      <c r="P275">
        <f>IF(B298=0,0,O275/B298)</f>
        <v/>
      </c>
      <c r="Q275" t="n">
        <v>0</v>
      </c>
      <c r="R275" t="n">
        <v>0</v>
      </c>
      <c r="S275">
        <f>IFERROR(O275/N275,0)</f>
        <v/>
      </c>
      <c r="T275" t="n">
        <v>0</v>
      </c>
      <c r="V275" t="n">
        <v>0</v>
      </c>
    </row>
    <row r="276">
      <c r="A276">
        <f>Skills!A21</f>
        <v/>
      </c>
      <c r="B276">
        <f>Skills!B21</f>
        <v/>
      </c>
      <c r="C276">
        <f>Inputs!$B$3&gt;=10</f>
        <v/>
      </c>
      <c r="D276">
        <f>IF(Skills!C21=1,60+Inputs!$B$25+Inputs!$B$29,IF(Skills!C21=2,90+Inputs!$B$26+Inputs!$B$29,IF(Skills!C21=3,120+Inputs!$B$27+Inputs!$B$29,MAX(0,(Inputs!$B$3-100)*3)+Inputs!$B$28+Inputs!$B$29)))</f>
        <v/>
      </c>
      <c r="E276">
        <f>INDEX(FactorTable!$B$2:$Y$301, MATCH(ROUND(MIN(300,MAX(1,D276)),0), FactorTable!$A$2:$A$301,0), Skills!M21+1)</f>
        <v/>
      </c>
      <c r="F276">
        <f>IF(Skills!N21=TRUE,(Skills!L21/10)*(E276/1000),Skills!L21/10)+Skills!O21</f>
        <v/>
      </c>
      <c r="G276">
        <f>Skills!G21*IF(Skills!H21&gt;0,Skills!I21/Skills!H21,1)</f>
        <v/>
      </c>
      <c r="H276">
        <f>1-(1-Skills!J21/100)^Skills!K21</f>
        <v/>
      </c>
      <c r="I276" t="inlineStr">
        <is>
          <t>1</t>
        </is>
      </c>
      <c r="J276" t="inlineStr"/>
      <c r="K276" t="inlineStr"/>
      <c r="L276" t="inlineStr"/>
      <c r="M276" t="inlineStr"/>
      <c r="N276" t="inlineStr"/>
      <c r="O276">
        <f>(1-Summary!$B$11)*T276+Summary!$B$11*V276</f>
        <v/>
      </c>
      <c r="P276">
        <f>IF(B298=0,0,O276/B298)</f>
        <v/>
      </c>
      <c r="Q276" t="n">
        <v>0</v>
      </c>
      <c r="R276" t="n">
        <v>0</v>
      </c>
      <c r="S276">
        <f>IFERROR(O276/N276,0)</f>
        <v/>
      </c>
      <c r="T276" t="n">
        <v>0</v>
      </c>
      <c r="V276" t="n">
        <v>0</v>
      </c>
    </row>
    <row r="277">
      <c r="A277">
        <f>Skills!A22</f>
        <v/>
      </c>
      <c r="B277">
        <f>Skills!B22</f>
        <v/>
      </c>
      <c r="C277">
        <f>Inputs!$B$3&gt;=33</f>
        <v/>
      </c>
      <c r="D277">
        <f>IF(Skills!C22=1,60+Inputs!$B$25+Inputs!$B$29,IF(Skills!C22=2,90+Inputs!$B$26+Inputs!$B$29,IF(Skills!C22=3,120+Inputs!$B$27+Inputs!$B$29,MAX(0,(Inputs!$B$3-100)*3)+Inputs!$B$28+Inputs!$B$29)))</f>
        <v/>
      </c>
      <c r="E277">
        <f>INDEX(FactorTable!$B$2:$Y$301, MATCH(ROUND(MIN(300,MAX(1,D277)),0), FactorTable!$A$2:$A$301,0), Skills!M22+1)</f>
        <v/>
      </c>
      <c r="F277">
        <f>IF(Skills!N22=TRUE,(Skills!L22/10)*(E277/1000),Skills!L22/10)+Skills!O22</f>
        <v/>
      </c>
      <c r="G277">
        <f>Skills!G22*IF(Skills!H22&gt;0,Skills!I22/Skills!H22,1)</f>
        <v/>
      </c>
      <c r="H277">
        <f>1-(1-Skills!J22/100)^Skills!K22</f>
        <v/>
      </c>
      <c r="I277" t="inlineStr">
        <is>
          <t>1</t>
        </is>
      </c>
      <c r="J277" t="inlineStr"/>
      <c r="K277" t="inlineStr"/>
      <c r="L277" t="inlineStr"/>
      <c r="M277" t="inlineStr"/>
      <c r="N277" t="inlineStr"/>
      <c r="O277">
        <f>(1-Summary!$B$11)*T277+Summary!$B$11*V277</f>
        <v/>
      </c>
      <c r="P277">
        <f>IF(B298=0,0,O277/B298)</f>
        <v/>
      </c>
      <c r="Q277" t="n">
        <v>0</v>
      </c>
      <c r="R277" t="n">
        <v>0</v>
      </c>
      <c r="S277">
        <f>IFERROR(O277/N277,0)</f>
        <v/>
      </c>
      <c r="T277" t="n">
        <v>0</v>
      </c>
      <c r="V277" t="n">
        <v>0</v>
      </c>
    </row>
    <row r="278">
      <c r="A278">
        <f>Skills!A23</f>
        <v/>
      </c>
      <c r="B278">
        <f>Skills!B23</f>
        <v/>
      </c>
      <c r="C278">
        <f>Inputs!$B$3&gt;=38</f>
        <v/>
      </c>
      <c r="D278">
        <f>IF(Skills!C23=1,60+Inputs!$B$25+Inputs!$B$29,IF(Skills!C23=2,90+Inputs!$B$26+Inputs!$B$29,IF(Skills!C23=3,120+Inputs!$B$27+Inputs!$B$29,MAX(0,(Inputs!$B$3-100)*3)+Inputs!$B$28+Inputs!$B$29)))</f>
        <v/>
      </c>
      <c r="E278">
        <f>INDEX(FactorTable!$B$2:$Y$301, MATCH(ROUND(MIN(300,MAX(1,D278)),0), FactorTable!$A$2:$A$301,0), Skills!M23+1)</f>
        <v/>
      </c>
      <c r="F278">
        <f>IF(Skills!N23=TRUE,(Skills!L23/10)*(E278/1000),Skills!L23/10)+Skills!O23</f>
        <v/>
      </c>
      <c r="G278">
        <f>Skills!G23*IF(Skills!H23&gt;0,Skills!I23/Skills!H23,1)</f>
        <v/>
      </c>
      <c r="H278">
        <f>1-(1-Skills!J23/100)^Skills!K23</f>
        <v/>
      </c>
      <c r="I278" t="inlineStr">
        <is>
          <t>1</t>
        </is>
      </c>
      <c r="J278" t="inlineStr"/>
      <c r="K278" t="inlineStr"/>
      <c r="L278" t="inlineStr"/>
      <c r="M278" t="inlineStr"/>
      <c r="N278" t="inlineStr"/>
      <c r="O278">
        <f>(1-Summary!$B$11)*T278+Summary!$B$11*V278</f>
        <v/>
      </c>
      <c r="P278">
        <f>IF(B298=0,0,O278/B298)</f>
        <v/>
      </c>
      <c r="Q278" t="n">
        <v>0</v>
      </c>
      <c r="R278" t="n">
        <v>0</v>
      </c>
      <c r="S278">
        <f>IFERROR(O278/N278,0)</f>
        <v/>
      </c>
      <c r="T278" t="n">
        <v>0</v>
      </c>
      <c r="V278" t="n">
        <v>0</v>
      </c>
    </row>
    <row r="279">
      <c r="A279">
        <f>Skills!A24</f>
        <v/>
      </c>
      <c r="B279">
        <f>Skills!B24</f>
        <v/>
      </c>
      <c r="C279">
        <f>Inputs!$B$3&gt;=43</f>
        <v/>
      </c>
      <c r="D279">
        <f>IF(Skills!C24=1,60+Inputs!$B$25+Inputs!$B$29,IF(Skills!C24=2,90+Inputs!$B$26+Inputs!$B$29,IF(Skills!C24=3,120+Inputs!$B$27+Inputs!$B$29,MAX(0,(Inputs!$B$3-100)*3)+Inputs!$B$28+Inputs!$B$29)))</f>
        <v/>
      </c>
      <c r="E279">
        <f>INDEX(FactorTable!$B$2:$Y$301, MATCH(ROUND(MIN(300,MAX(1,D279)),0), FactorTable!$A$2:$A$301,0), Skills!M24+1)</f>
        <v/>
      </c>
      <c r="F279">
        <f>IF(Skills!N24=TRUE,(Skills!L24/10)*(E279/1000),Skills!L24/10)+Skills!O24</f>
        <v/>
      </c>
      <c r="G279">
        <f>Skills!G24*IF(Skills!H24&gt;0,Skills!I24/Skills!H24,1)</f>
        <v/>
      </c>
      <c r="H279">
        <f>1-(1-Skills!J24/100)^Skills!K24</f>
        <v/>
      </c>
      <c r="I279" t="inlineStr">
        <is>
          <t>1</t>
        </is>
      </c>
      <c r="J279" t="inlineStr"/>
      <c r="K279" t="inlineStr"/>
      <c r="L279" t="inlineStr"/>
      <c r="M279" t="inlineStr"/>
      <c r="N279" t="inlineStr"/>
      <c r="O279">
        <f>(1-Summary!$B$11)*T279+Summary!$B$11*V279</f>
        <v/>
      </c>
      <c r="P279">
        <f>IF(B298=0,0,O279/B298)</f>
        <v/>
      </c>
      <c r="Q279" t="n">
        <v>0</v>
      </c>
      <c r="R279" t="n">
        <v>0</v>
      </c>
      <c r="S279">
        <f>IFERROR(O279/N279,0)</f>
        <v/>
      </c>
      <c r="T279" t="n">
        <v>0</v>
      </c>
      <c r="V279" t="n">
        <v>0</v>
      </c>
    </row>
    <row r="280">
      <c r="A280">
        <f>Skills!A25</f>
        <v/>
      </c>
      <c r="B280">
        <f>Skills!B25</f>
        <v/>
      </c>
      <c r="C280">
        <f>Inputs!$B$3&gt;=75</f>
        <v/>
      </c>
      <c r="D280">
        <f>IF(Skills!C25=1,60+Inputs!$B$25+Inputs!$B$29,IF(Skills!C25=2,90+Inputs!$B$26+Inputs!$B$29,IF(Skills!C25=3,120+Inputs!$B$27+Inputs!$B$29,MAX(0,(Inputs!$B$3-100)*3)+Inputs!$B$28+Inputs!$B$29)))</f>
        <v/>
      </c>
      <c r="E280">
        <f>INDEX(FactorTable!$B$2:$Y$301, MATCH(ROUND(MIN(300,MAX(1,D280)),0), FactorTable!$A$2:$A$301,0), Skills!M25+1)</f>
        <v/>
      </c>
      <c r="F280">
        <f>IF(Skills!N25=TRUE,(Skills!L25/10)*(E280/1000),Skills!L25/10)+Skills!O25</f>
        <v/>
      </c>
      <c r="G280">
        <f>Skills!G25*IF(Skills!H25&gt;0,Skills!I25/Skills!H25,1)</f>
        <v/>
      </c>
      <c r="H280">
        <f>1-(1-Skills!J25/100)^Skills!K25</f>
        <v/>
      </c>
      <c r="I280" t="inlineStr">
        <is>
          <t>1</t>
        </is>
      </c>
      <c r="J280" t="inlineStr"/>
      <c r="K280" t="inlineStr"/>
      <c r="L280" t="inlineStr"/>
      <c r="M280" t="inlineStr"/>
      <c r="N280" t="inlineStr"/>
      <c r="O280">
        <f>(1-Summary!$B$11)*T280+Summary!$B$11*V280</f>
        <v/>
      </c>
      <c r="P280">
        <f>IF(B298=0,0,O280/B298)</f>
        <v/>
      </c>
      <c r="Q280" t="n">
        <v>0</v>
      </c>
      <c r="R280" t="n">
        <v>0</v>
      </c>
      <c r="S280">
        <f>IFERROR(O280/N280,0)</f>
        <v/>
      </c>
      <c r="T280" t="n">
        <v>0</v>
      </c>
      <c r="V280" t="n">
        <v>0</v>
      </c>
    </row>
    <row r="281">
      <c r="A281">
        <f>Skills!A26</f>
        <v/>
      </c>
      <c r="B281">
        <f>Skills!B26</f>
        <v/>
      </c>
      <c r="C281">
        <f>Inputs!$B$3&gt;=125</f>
        <v/>
      </c>
      <c r="D281">
        <f>IF(Skills!C26=1,60+Inputs!$B$25+Inputs!$B$29,IF(Skills!C26=2,90+Inputs!$B$26+Inputs!$B$29,IF(Skills!C26=3,120+Inputs!$B$27+Inputs!$B$29,MAX(0,(Inputs!$B$3-100)*3)+Inputs!$B$28+Inputs!$B$29)))</f>
        <v/>
      </c>
      <c r="E281">
        <f>INDEX(FactorTable!$B$2:$Y$301, MATCH(ROUND(MIN(300,MAX(1,D281)),0), FactorTable!$A$2:$A$301,0), Skills!M26+1)</f>
        <v/>
      </c>
      <c r="F281">
        <f>IF(Skills!N26=TRUE,(Skills!L26/10)*(E281/1000),Skills!L26/10)+Skills!O26</f>
        <v/>
      </c>
      <c r="G281">
        <f>Skills!G26*IF(Skills!H26&gt;0,Skills!I26/Skills!H26,1)</f>
        <v/>
      </c>
      <c r="H281">
        <f>1-(1-Skills!J26/100)^Skills!K26</f>
        <v/>
      </c>
      <c r="I281" t="inlineStr">
        <is>
          <t>1</t>
        </is>
      </c>
      <c r="J281" t="inlineStr"/>
      <c r="K281" t="inlineStr"/>
      <c r="L281" t="inlineStr"/>
      <c r="M281" t="inlineStr"/>
      <c r="N281" t="inlineStr"/>
      <c r="O281">
        <f>(1-Summary!$B$11)*T281+Summary!$B$11*V281</f>
        <v/>
      </c>
      <c r="P281">
        <f>IF(B298=0,0,O281/B298)</f>
        <v/>
      </c>
      <c r="Q281" t="n">
        <v>0</v>
      </c>
      <c r="R281" t="n">
        <v>0</v>
      </c>
      <c r="S281">
        <f>IFERROR(O281/N281,0)</f>
        <v/>
      </c>
      <c r="T281" t="n">
        <v>0</v>
      </c>
      <c r="V281" t="n">
        <v>0</v>
      </c>
    </row>
    <row r="282">
      <c r="A282">
        <f>Skills!A27</f>
        <v/>
      </c>
      <c r="B282">
        <f>Skills!B27</f>
        <v/>
      </c>
      <c r="C282">
        <f>Inputs!$B$3&gt;=125</f>
        <v/>
      </c>
      <c r="D282">
        <f>IF(Skills!C27=1,60+Inputs!$B$25+Inputs!$B$29,IF(Skills!C27=2,90+Inputs!$B$26+Inputs!$B$29,IF(Skills!C27=3,120+Inputs!$B$27+Inputs!$B$29,MAX(0,(Inputs!$B$3-100)*3)+Inputs!$B$28+Inputs!$B$29)))</f>
        <v/>
      </c>
      <c r="E282">
        <f>INDEX(FactorTable!$B$2:$Y$301, MATCH(ROUND(MIN(300,MAX(1,D282)),0), FactorTable!$A$2:$A$301,0), Skills!M27+1)</f>
        <v/>
      </c>
      <c r="F282">
        <f>IF(Skills!N27=TRUE,(Skills!L27/10)*(E282/1000),Skills!L27/10)+Skills!O27</f>
        <v/>
      </c>
      <c r="G282">
        <f>Skills!G27*IF(Skills!H27&gt;0,Skills!I27/Skills!H27,1)</f>
        <v/>
      </c>
      <c r="H282">
        <f>1-(1-Skills!J27/100)^Skills!K27</f>
        <v/>
      </c>
      <c r="I282" t="inlineStr">
        <is>
          <t>1</t>
        </is>
      </c>
      <c r="J282" t="inlineStr"/>
      <c r="K282" t="inlineStr"/>
      <c r="L282" t="inlineStr"/>
      <c r="M282" t="inlineStr"/>
      <c r="N282" t="inlineStr"/>
      <c r="O282">
        <f>(1-Summary!$B$11)*T282+Summary!$B$11*V282</f>
        <v/>
      </c>
      <c r="P282">
        <f>IF(B298=0,0,O282/B298)</f>
        <v/>
      </c>
      <c r="Q282" t="n">
        <v>0</v>
      </c>
      <c r="R282" t="n">
        <v>0</v>
      </c>
      <c r="S282">
        <f>IFERROR(O282/N282,0)</f>
        <v/>
      </c>
      <c r="T282" t="n">
        <v>0</v>
      </c>
      <c r="V282" t="n">
        <v>0</v>
      </c>
    </row>
    <row r="283">
      <c r="A283">
        <f>Skills!A28</f>
        <v/>
      </c>
      <c r="B283">
        <f>Skills!B28</f>
        <v/>
      </c>
      <c r="C283">
        <f>Inputs!$B$3&gt;=120</f>
        <v/>
      </c>
      <c r="D283">
        <f>IF(Skills!C28=1,60+Inputs!$B$25+Inputs!$B$29,IF(Skills!C28=2,90+Inputs!$B$26+Inputs!$B$29,IF(Skills!C28=3,120+Inputs!$B$27+Inputs!$B$29,MAX(0,(Inputs!$B$3-100)*3)+Inputs!$B$28+Inputs!$B$29)))</f>
        <v/>
      </c>
      <c r="E283">
        <f>INDEX(FactorTable!$B$2:$Y$301, MATCH(ROUND(MIN(300,MAX(1,D283)),0), FactorTable!$A$2:$A$301,0), Skills!M28+1)</f>
        <v/>
      </c>
      <c r="F283">
        <f>IF(Skills!N28=TRUE,(Skills!L28/10)*(E283/1000),Skills!L28/10)+Skills!O28</f>
        <v/>
      </c>
      <c r="G283">
        <f>Skills!G28*IF(Skills!H28&gt;0,Skills!I28/Skills!H28,1)</f>
        <v/>
      </c>
      <c r="H283">
        <f>1-(1-Skills!J28/100)^Skills!K28</f>
        <v/>
      </c>
      <c r="I283" t="inlineStr">
        <is>
          <t>1</t>
        </is>
      </c>
      <c r="J283" t="inlineStr"/>
      <c r="K283" t="inlineStr"/>
      <c r="L283" t="inlineStr"/>
      <c r="M283" t="inlineStr"/>
      <c r="N283" t="inlineStr"/>
      <c r="O283">
        <f>(1-Summary!$B$11)*T283+Summary!$B$11*V283</f>
        <v/>
      </c>
      <c r="P283">
        <f>IF(B298=0,0,O283/B298)</f>
        <v/>
      </c>
      <c r="Q283" t="n">
        <v>0</v>
      </c>
      <c r="R283" t="n">
        <v>0</v>
      </c>
      <c r="S283">
        <f>IFERROR(O283/N283,0)</f>
        <v/>
      </c>
      <c r="T283" t="n">
        <v>0</v>
      </c>
      <c r="V283" t="n">
        <v>0</v>
      </c>
    </row>
    <row r="284">
      <c r="A284">
        <f>Skills!A29</f>
        <v/>
      </c>
      <c r="B284">
        <f>Skills!B29</f>
        <v/>
      </c>
      <c r="C284">
        <f>Inputs!$B$3&gt;=120</f>
        <v/>
      </c>
      <c r="D284">
        <f>IF(Skills!C29=1,60+Inputs!$B$25+Inputs!$B$29,IF(Skills!C29=2,90+Inputs!$B$26+Inputs!$B$29,IF(Skills!C29=3,120+Inputs!$B$27+Inputs!$B$29,MAX(0,(Inputs!$B$3-100)*3)+Inputs!$B$28+Inputs!$B$29)))</f>
        <v/>
      </c>
      <c r="E284">
        <f>INDEX(FactorTable!$B$2:$Y$301, MATCH(ROUND(MIN(300,MAX(1,D284)),0), FactorTable!$A$2:$A$301,0), Skills!M29+1)</f>
        <v/>
      </c>
      <c r="F284">
        <f>IF(Skills!N29=TRUE,(Skills!L29/10)*(E284/1000),Skills!L29/10)+Skills!O29</f>
        <v/>
      </c>
      <c r="G284">
        <f>Skills!G29*IF(Skills!H29&gt;0,Skills!I29/Skills!H29,1)</f>
        <v/>
      </c>
      <c r="H284">
        <f>1-(1-Skills!J29/100)^Skills!K29</f>
        <v/>
      </c>
      <c r="I284" t="inlineStr">
        <is>
          <t>1</t>
        </is>
      </c>
      <c r="J284" t="inlineStr"/>
      <c r="K284" t="inlineStr"/>
      <c r="L284" t="inlineStr"/>
      <c r="M284" t="inlineStr"/>
      <c r="N284" t="inlineStr"/>
      <c r="O284">
        <f>(1-Summary!$B$11)*T284+Summary!$B$11*V284</f>
        <v/>
      </c>
      <c r="P284">
        <f>IF(B298=0,0,O284/B298)</f>
        <v/>
      </c>
      <c r="Q284" t="n">
        <v>0</v>
      </c>
      <c r="R284" t="n">
        <v>0</v>
      </c>
      <c r="S284">
        <f>IFERROR(O284/N284,0)</f>
        <v/>
      </c>
      <c r="T284" t="n">
        <v>0</v>
      </c>
      <c r="V284" t="n">
        <v>0</v>
      </c>
    </row>
    <row r="285">
      <c r="A285">
        <f>Skills!A30</f>
        <v/>
      </c>
      <c r="B285">
        <f>Skills!B30</f>
        <v/>
      </c>
      <c r="C285">
        <f>Inputs!$B$3&gt;=45</f>
        <v/>
      </c>
      <c r="D285">
        <f>IF(Skills!C30=1,60+Inputs!$B$25+Inputs!$B$29,IF(Skills!C30=2,90+Inputs!$B$26+Inputs!$B$29,IF(Skills!C30=3,120+Inputs!$B$27+Inputs!$B$29,MAX(0,(Inputs!$B$3-100)*3)+Inputs!$B$28+Inputs!$B$29)))</f>
        <v/>
      </c>
      <c r="E285">
        <f>INDEX(FactorTable!$B$2:$Y$301, MATCH(ROUND(MIN(300,MAX(1,D285)),0), FactorTable!$A$2:$A$301,0), Skills!M30+1)</f>
        <v/>
      </c>
      <c r="F285">
        <f>IF(Skills!N30=TRUE,(Skills!L30/10)*(E285/1000),Skills!L30/10)+Skills!O30</f>
        <v/>
      </c>
      <c r="G285">
        <f>Skills!G30*IF(Skills!H30&gt;0,Skills!I30/Skills!H30,1)</f>
        <v/>
      </c>
      <c r="H285">
        <f>1-(1-Skills!J30/100)^Skills!K30</f>
        <v/>
      </c>
      <c r="I285" t="inlineStr">
        <is>
          <t>1</t>
        </is>
      </c>
      <c r="J285" t="inlineStr"/>
      <c r="K285" t="inlineStr"/>
      <c r="L285" t="inlineStr"/>
      <c r="M285" t="inlineStr"/>
      <c r="N285" t="inlineStr"/>
      <c r="O285">
        <f>(1-Summary!$B$11)*T285+Summary!$B$11*V285</f>
        <v/>
      </c>
      <c r="P285">
        <f>IF(B298=0,0,O285/B298)</f>
        <v/>
      </c>
      <c r="Q285" t="n">
        <v>0</v>
      </c>
      <c r="R285" t="n">
        <v>0</v>
      </c>
      <c r="S285">
        <f>IFERROR(O285/N285,0)</f>
        <v/>
      </c>
      <c r="T285" t="n">
        <v>0</v>
      </c>
      <c r="V285" t="n">
        <v>0</v>
      </c>
    </row>
    <row r="287">
      <c r="A287" t="inlineStr">
        <is>
          <t>Attack% Bucket Multiplier</t>
        </is>
      </c>
      <c r="B287">
        <f>(1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
      <c r="A288" t="inlineStr">
        <is>
          <t>Global Crit Rate Bonus %</t>
        </is>
      </c>
      <c r="B288">
        <f>(C271=TRUE)*20*IF(AND(Inputs!$B$38&lt;&gt;"pvp",Inputs!$B$43&gt;0),(((R271-1)*(Skills!T16*(1+Inputs!$B$34/100))+MIN((Skills!T16*(1+Inputs!$B$34/100)),MAX(0,Inputs!$B$43-((R271-1)*Skills!D16))))/Inputs!$B$43),IF(Inputs!$B$38="pvp",MIN((Skills!T16*(1+Inputs!$B$34/100)),15)/15,(Skills!T16*(1+Inputs!$B$34/100))/Skills!D16))</f>
        <v/>
      </c>
    </row>
    <row r="289">
      <c r="A289" t="inlineStr">
        <is>
          <t>Attack Speed Buff Bonus %</t>
        </is>
      </c>
      <c r="B289">
        <f>((C274=TRUE)*F274*IF(AND(Inputs!$B$38&lt;&gt;"pvp",Inputs!$B$43&gt;0),(((R274-1)*(Skills!T19*(1+Inputs!$B$34/100))+MIN((Skills!T19*(1+Inputs!$B$34/100)),MAX(0,Inputs!$B$43-((R274-1)*Skills!D19))))/Inputs!$B$43),IF(Inputs!$B$38="pvp",MIN((Skills!T19*(1+Inputs!$B$34/100)),15)/15,(Skills!T19*(1+Inputs!$B$34/100))/Skills!D19)))</f>
        <v/>
      </c>
    </row>
    <row r="290">
      <c r="A290" t="inlineStr">
        <is>
          <t>Actions Per Second</t>
        </is>
      </c>
      <c r="B290">
        <f>1+MIN(150,150*(1-(1-(Inputs!$B$11+((C276=TRUE)*(F276-Calc!F21))+((C277=TRUE)*(F277-Calc!F22)))/150)*(1-B289/150)))/100</f>
        <v/>
      </c>
    </row>
    <row r="291">
      <c r="A291" t="inlineStr">
        <is>
          <t>Skill + Buff Cast Rate</t>
        </is>
      </c>
      <c r="B291">
        <f>IF(AND(Inputs!$B$38&lt;&gt;"pvp",Inputs!$B$43&gt;0),SUMPRODUCT((Skills!E2:E30=TRUE)*(C257:C285=TRUE)*R257:R285*Skills!F2:F30)/Inputs!$B$43,SUMPRODUCT((Skills!E2:E30=TRUE)*(C257:C285=TRUE)*Q257:Q285*Skills!F2:F30))</f>
        <v/>
      </c>
    </row>
    <row r="292">
      <c r="A292" t="inlineStr">
        <is>
          <t>Arrow Stream Casts Per Second</t>
        </is>
      </c>
      <c r="B292">
        <f>MAX(0,B290-B291)</f>
        <v/>
      </c>
    </row>
    <row r="293">
      <c r="A293" t="inlineStr">
        <is>
          <t>Global Critical Damage Bonus % (Sharp Eyes + Concentration)</t>
        </is>
      </c>
      <c r="B293">
        <f>(C271=TRUE)*F271*IF(AND(Inputs!$B$38&lt;&gt;"pvp",Inputs!$B$43&gt;0),(((R271-1)*(Skills!T16*(1+Inputs!$B$34/100))+MIN((Skills!T16*(1+Inputs!$B$34/100)),MAX(0,Inputs!$B$43-((R271-1)*Skills!D16))))/Inputs!$B$43),IF(Inputs!$B$38="pvp",MIN((Skills!T16*(1+Inputs!$B$34/100)),15)/15,(Skills!T16*(1+Inputs!$B$34/100))/Skills!D16))+(C272=TRUE)*30</f>
        <v/>
      </c>
    </row>
    <row r="294">
      <c r="A294" t="inlineStr">
        <is>
          <t>Global Final Damage Bonus % (Mortal Blow)</t>
        </is>
      </c>
      <c r="B294">
        <f>(C273=TRUE)*F273</f>
        <v/>
      </c>
    </row>
    <row r="295">
      <c r="A295" t="inlineStr">
        <is>
          <t>Buff-Casting Startup Delay (s, fixed-duration only)</t>
        </is>
      </c>
      <c r="B295">
        <f>IF(AND(Inputs!$B$38&lt;&gt;"pvp",Inputs!$B$43&gt;0),SUMPRODUCT((Skills!T2:T30&gt;0)*(Skills!E2:E30=TRUE)*(C257:C285=TRUE))/B290,0)</f>
        <v/>
      </c>
    </row>
    <row r="296">
      <c r="A296" t="inlineStr">
        <is>
          <t>Boss-Only Total DPS (this block's swept value)</t>
        </is>
      </c>
      <c r="B296">
        <f>SUM(T257:T285)</f>
        <v/>
      </c>
    </row>
    <row r="297">
      <c r="A297" t="inlineStr">
        <is>
          <t>Normal-Only Total DPS (this block's swept value)</t>
        </is>
      </c>
      <c r="B297">
        <f>SUM(V257:V285)</f>
        <v/>
      </c>
    </row>
    <row r="298">
      <c r="A298" s="6" t="inlineStr">
        <is>
          <t>TOTAL DPS</t>
        </is>
      </c>
      <c r="B298" s="6">
        <f>SUM(O257:O285)</f>
        <v/>
      </c>
    </row>
    <row r="301">
      <c r="A301" s="6" t="inlineStr">
        <is>
          <t>Stat: BOSS_DAMAGE %</t>
        </is>
      </c>
    </row>
    <row r="302">
      <c r="A302" s="5" t="inlineStr">
        <is>
          <t>Key</t>
        </is>
      </c>
      <c r="B302" s="5" t="inlineStr">
        <is>
          <t>Name</t>
        </is>
      </c>
      <c r="C302" s="5" t="inlineStr">
        <is>
          <t>Unlocked</t>
        </is>
      </c>
      <c r="D302" s="5" t="inlineStr">
        <is>
          <t>InputLevel</t>
        </is>
      </c>
      <c r="E302" s="5" t="inlineStr">
        <is>
          <t>Factor</t>
        </is>
      </c>
      <c r="F302" s="5" t="inlineStr">
        <is>
          <t>CoefficientPercent</t>
        </is>
      </c>
      <c r="G302" s="5" t="inlineStr">
        <is>
          <t>EffectiveHits</t>
        </is>
      </c>
      <c r="H302" s="5" t="inlineStr">
        <is>
          <t>ProcProbability</t>
        </is>
      </c>
      <c r="I302" s="5" t="inlineStr">
        <is>
          <t>MapleHeroMultiplier</t>
        </is>
      </c>
      <c r="J302" s="5" t="inlineStr">
        <is>
          <t>BaseDamage</t>
        </is>
      </c>
      <c r="K302" s="5" t="inlineStr">
        <is>
          <t>BaseHitDamage</t>
        </is>
      </c>
      <c r="L302" s="5" t="inlineStr">
        <is>
          <t>NonCritAvg</t>
        </is>
      </c>
      <c r="M302" s="5" t="inlineStr">
        <is>
          <t>CritAvg</t>
        </is>
      </c>
      <c r="N302" s="5" t="inlineStr">
        <is>
          <t>ExpectedDamage(perHit)</t>
        </is>
      </c>
      <c r="O302" s="5" t="inlineStr">
        <is>
          <t>DPS</t>
        </is>
      </c>
      <c r="P302" s="5" t="inlineStr">
        <is>
          <t>% of Total</t>
        </is>
      </c>
      <c r="Q302" s="5" t="inlineStr">
        <is>
          <t>InvCooldown</t>
        </is>
      </c>
      <c r="R302" s="5" t="inlineStr">
        <is>
          <t>CastsInFight</t>
        </is>
      </c>
      <c r="S302" s="5" t="inlineStr">
        <is>
          <t>HitRate(perSec)</t>
        </is>
      </c>
      <c r="U302" t="inlineStr">
        <is>
          <t>helpers</t>
        </is>
      </c>
    </row>
    <row r="303">
      <c r="A303">
        <f>Skills!A2</f>
        <v/>
      </c>
      <c r="B303">
        <f>Skills!B2</f>
        <v/>
      </c>
      <c r="C303">
        <f>Inputs!$B$3&gt;=100</f>
        <v/>
      </c>
      <c r="D303" t="inlineStr"/>
      <c r="E303" t="inlineStr"/>
      <c r="F303">
        <f>U305+Skills!O2</f>
        <v/>
      </c>
      <c r="G303">
        <f>Skills!G2*IF(Skills!H2&gt;0,Skills!I2/Skills!H2,1)</f>
        <v/>
      </c>
      <c r="H303">
        <f>1-(1-Skills!J2/100)^Skills!K2</f>
        <v/>
      </c>
      <c r="I303" t="inlineStr">
        <is>
          <t>1</t>
        </is>
      </c>
      <c r="J303">
        <f>((Inputs!$B$6*(1+Inputs!$B$7/100))+(((Inputs!$B$12*(1+Inputs!$B$13/100))-(Inputs!$B$12*(1+Inputs!$B$13/100)))+0.25*(Inputs!$B$14-Inputs!$B$14))*(1+Inputs!$B$7/100))*(F303/100)</f>
        <v/>
      </c>
      <c r="K303">
        <f>J303*(1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325=TRUE)*(F325-Calc!F24)),(Inputs!$B$23+((C330=TRUE)*(F330-Calc!F29))+(IF(ArtifactsInput!$M$15,CHOOSE(ArtifactsInput!$N$15+1,25,30,35,40,45,50)/100*(Inputs!$B$11-Inputs!$B$11),0))))/100+(Inputs!$B$23+((C330=TRUE)*(F330-Calc!F29))+(IF(ArtifactsInput!$M$15,CHOOSE(ArtifactsInput!$N$15+1,25,30,35,40,45,50)/100*(Inputs!$B$11-Inputs!$B$11),0)))/100)/2</f>
        <v/>
      </c>
      <c r="M303">
        <f>L303*(1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IF(B344=0,0,O303/B344)</f>
        <v/>
      </c>
      <c r="Q303" t="n">
        <v>0</v>
      </c>
      <c r="R303" t="n">
        <v>0</v>
      </c>
      <c r="S303">
        <f>IFERROR(O303/N303,0)</f>
        <v/>
      </c>
      <c r="T303">
        <f>IF(C303,(Skills!G2*N303*B338)*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303*(1-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MAX(0,(Inputs!$B$3-100)*3)+Inputs!$B$28+Inputs!$B$29</f>
        <v/>
      </c>
      <c r="V303">
        <f>IF(C303,(Skills!G2*N303*B338)*IF(Inputs!$B$38="pvp",1,(1+(Inputs!$B$21+Skills!Q2+(IF(ArtifactsInput!$M$33,CHOOSE(ArtifactsInput!$N$33+1,30,36,42,48,54,60),0))+(IF(AND(ArtifactsInput!$M$35,Inputs!$B$4&lt;&gt;"Chapter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Skills!A3</f>
        <v/>
      </c>
      <c r="B304">
        <f>Skills!B3</f>
        <v/>
      </c>
      <c r="C304">
        <f>Inputs!$B$3&gt;=50</f>
        <v/>
      </c>
      <c r="D304">
        <f>IF(Skills!C3=1,60+Inputs!$B$25+Inputs!$B$29,IF(Skills!C3=2,90+Inputs!$B$26+Inputs!$B$29,IF(Skills!C3=3,120+Inputs!$B$27+Inputs!$B$29,MAX(0,(Inputs!$B$3-100)*3)+Inputs!$B$28+Inputs!$B$29)))</f>
        <v/>
      </c>
      <c r="E304">
        <f>INDEX(FactorTable!$B$2:$Y$301, MATCH(ROUND(MIN(300,MAX(1,D304)),0), FactorTable!$A$2:$A$301,0), Skills!M3+1)</f>
        <v/>
      </c>
      <c r="F304">
        <f>IF(Skills!N3=TRUE,(Skills!L3/10)*(E304/1000),Skills!L3/10)+Skills!O3</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U304">
        <f>INDEX(FactorTable!$B$2:$Y$301, MATCH(ROUND(MIN(300,MAX(1,U303)),0), FactorTable!$A$2:$A$301,0), 22)</f>
        <v/>
      </c>
      <c r="V304" t="inlineStr"/>
    </row>
    <row r="305">
      <c r="A305">
        <f>Skills!A4</f>
        <v/>
      </c>
      <c r="B305">
        <f>Skills!B4</f>
        <v/>
      </c>
      <c r="C305">
        <f>Inputs!$B$3&gt;=105</f>
        <v/>
      </c>
      <c r="D305">
        <f>IF(Skills!C4=1,60+Inputs!$B$25+Inputs!$B$29,IF(Skills!C4=2,90+Inputs!$B$26+Inputs!$B$29,IF(Skills!C4=3,120+Inputs!$B$27+Inputs!$B$29,MAX(0,(Inputs!$B$3-100)*3)+Inputs!$B$28+Inputs!$B$29)))</f>
        <v/>
      </c>
      <c r="E305">
        <f>INDEX(FactorTable!$B$2:$Y$301, MATCH(ROUND(MIN(300,MAX(1,D305)),0), FactorTable!$A$2:$A$301,0), Skills!M4+1)</f>
        <v/>
      </c>
      <c r="F305">
        <f>IF(Skills!N4=TRUE,(Skills!L4/10)*(E305/1000),Skills!L4/10)+Skills!O4</f>
        <v/>
      </c>
      <c r="G305" t="inlineStr"/>
      <c r="H305" t="inlineStr"/>
      <c r="I305" t="inlineStr">
        <is>
          <t>1</t>
        </is>
      </c>
      <c r="J305" t="inlineStr"/>
      <c r="K305" t="inlineStr"/>
      <c r="L305" t="inlineStr"/>
      <c r="M305" t="inlineStr"/>
      <c r="N305" t="inlineStr"/>
      <c r="O305" t="inlineStr"/>
      <c r="P305" t="inlineStr"/>
      <c r="Q305" t="inlineStr"/>
      <c r="R305" t="inlineStr"/>
      <c r="S305" t="inlineStr"/>
      <c r="T305" t="inlineStr"/>
      <c r="U305">
        <f>290*U304/1000</f>
        <v/>
      </c>
      <c r="V305" t="inlineStr"/>
    </row>
    <row r="306">
      <c r="A306">
        <f>Skills!A5</f>
        <v/>
      </c>
      <c r="B306">
        <f>Skills!B5</f>
        <v/>
      </c>
      <c r="C306">
        <f>Inputs!$B$3&gt;=35</f>
        <v/>
      </c>
      <c r="D306">
        <f>IF(Skills!C5=1,60+Inputs!$B$25+Inputs!$B$29,IF(Skills!C5=2,90+Inputs!$B$26+Inputs!$B$29,IF(Skills!C5=3,120+Inputs!$B$27+Inputs!$B$29,MAX(0,(Inputs!$B$3-100)*3)+Inputs!$B$28+Inputs!$B$29)))</f>
        <v/>
      </c>
      <c r="E306">
        <f>INDEX(FactorTable!$B$2:$Y$301, MATCH(ROUND(MIN(300,MAX(1,D306)),0), FactorTable!$A$2:$A$301,0), Skills!M5+1)</f>
        <v/>
      </c>
      <c r="F306">
        <f>IF(Skills!N5=TRUE,(Skills!L5/10)*(E306/1000),Skills!L5/10)+Skills!O5</f>
        <v/>
      </c>
      <c r="G306">
        <f>Skills!G5*IF(Skills!H5&gt;0,Skills!I5/Skills!H5,1)</f>
        <v/>
      </c>
      <c r="H306">
        <f>1-(1-Skills!J5/100)^Skills!K5</f>
        <v/>
      </c>
      <c r="I306" t="inlineStr">
        <is>
          <t>1</t>
        </is>
      </c>
      <c r="J306">
        <f>((Inputs!$B$6*(1+Inputs!$B$7/100))+(((Inputs!$B$12*(1+Inputs!$B$13/100))-(Inputs!$B$12*(1+Inputs!$B$13/100)))+0.25*(Inputs!$B$14-Inputs!$B$14))*(1+Inputs!$B$7/100))*(F306/100)</f>
        <v/>
      </c>
      <c r="K306">
        <f>J306*(1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311=TRUE,F311,0)/100)*(1+(IF(Skills!A5="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325=TRUE)*(F325-Calc!F24)),(Inputs!$B$23+((C330=TRUE)*(F330-Calc!F29))+(IF(ArtifactsInput!$M$15,CHOOSE(ArtifactsInput!$N$15+1,25,30,35,40,45,50)/100*(Inputs!$B$11-Inputs!$B$11),0))))/100+(Inputs!$B$23+((C330=TRUE)*(F330-Calc!F29))+(IF(ArtifactsInput!$M$15,CHOOSE(ArtifactsInput!$N$15+1,25,30,35,40,45,50)/100*(Inputs!$B$11-Inputs!$B$11),0)))/100)/2</f>
        <v/>
      </c>
      <c r="M306">
        <f>L306*(1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IF(B344=0,0,O306/B344)</f>
        <v/>
      </c>
      <c r="Q306">
        <f>IFERROR(1/(IF(Inputs!$B$38="pvp",15,MAX(0.1,Skills!D5-IF(Skills!E5=TRUE,Inputs!$B$32,0)))*(1-IF(AND(ArtifactsInput!$M$27,Inputs!$B$4="Chapter Hunt"),CHOOSE(ArtifactsInput!$N$27+1,20,24,28,32,36,40),0)/100)),0)</f>
        <v/>
      </c>
      <c r="R306">
        <f>IF(AND(Inputs!$B$38&lt;&gt;"pvp",Inputs!$B$43&gt;0),IF(MAX(0,Inputs!$B$43-B341)&lt;=0,0,(INT(MAX(0,Inputs!$B$43-B341)/(IF(Inputs!$B$38="pvp",15,MAX(0.1,Skills!D5-IF(Skills!E5=TRUE,Inputs!$B$32,0)))*(1-IF(AND(ArtifactsInput!$M$27,Inputs!$B$4="Chapter Hunt"),CHOOSE(ArtifactsInput!$N$27+1,20,24,28,32,36,40),0)/100)))+1)),0)</f>
        <v/>
      </c>
      <c r="S306">
        <f>IFERROR(O306/N306,0)</f>
        <v/>
      </c>
      <c r="T306">
        <f>IF(C306,(H306*N306*IF(AND(Inputs!$B$38&lt;&gt;"pvp",Inputs!$B$43&gt;0),((Skills!G5*((R306-1)*IF(Skills!H5&gt;0,Skills!I5/Skills!H5,1)+IF(Skills!H5&gt;0,MIN(Skills!I5,MAX(0,MAX(0,Inputs!$B$43-B341)-((R306-1)*(IF(Inputs!$B$38="pvp",15,MAX(0.1,Skills!D5-IF(Skills!E5=TRUE,Inputs!$B$32,0)))*(1-IF(AND(ArtifactsInput!$M$27,Inputs!$B$4="Chapter Hunt"),CHOOSE(ArtifactsInput!$N$27+1,20,24,28,32,36,40),0)/100)))))/Skills!H5,1)))/Inputs!$B$43),G306*Q306)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306*(1-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5*((R306-1)*IF(Skills!H5&gt;0,Skills!I5/Skills!H5,1)+IF(Skills!H5&gt;0,MIN(Skills!I5,MAX(0,MAX(0,Inputs!$B$43-B341)-((R306-1)*(IF(Inputs!$B$38="pvp",15,MAX(0.1,Skills!D5-IF(Skills!E5=TRUE,Inputs!$B$32,0)))*(1-IF(AND(ArtifactsInput!$M$27,Inputs!$B$4="Chapter Hunt"),CHOOSE(ArtifactsInput!$N$27+1,20,24,28,32,36,40),0)/100)))))/Skills!H5,1)))/Inputs!$B$43),G306*Q306))*IF(Inputs!$B$38="pvp",1,(1+(Inputs!$B$21+Skills!Q5+(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Skills!A6</f>
        <v/>
      </c>
      <c r="B307">
        <f>Skills!B6</f>
        <v/>
      </c>
      <c r="C307">
        <f>Inputs!$B$3&gt;=40</f>
        <v/>
      </c>
      <c r="D307">
        <f>IF(Skills!C6=1,60+Inputs!$B$25+Inputs!$B$29,IF(Skills!C6=2,90+Inputs!$B$26+Inputs!$B$29,IF(Skills!C6=3,120+Inputs!$B$27+Inputs!$B$29,MAX(0,(Inputs!$B$3-100)*3)+Inputs!$B$28+Inputs!$B$29)))</f>
        <v/>
      </c>
      <c r="E307">
        <f>INDEX(FactorTable!$B$2:$Y$301, MATCH(ROUND(MIN(300,MAX(1,D307)),0), FactorTable!$A$2:$A$301,0), Skills!M6+1)</f>
        <v/>
      </c>
      <c r="F307">
        <f>IF(Skills!N6=TRUE,(Skills!L6/10)*(E307/1000),Skills!L6/10)+Skills!O6</f>
        <v/>
      </c>
      <c r="G307">
        <f>Skills!G6*IF(Skills!H6&gt;0,Skills!I6/Skills!H6,1)</f>
        <v/>
      </c>
      <c r="H307">
        <f>1-(1-Skills!J6/100)^Skills!K6</f>
        <v/>
      </c>
      <c r="I307" t="inlineStr">
        <is>
          <t>1</t>
        </is>
      </c>
      <c r="J307">
        <f>((Inputs!$B$6*(1+Inputs!$B$7/100))+(((Inputs!$B$12*(1+Inputs!$B$13/100))-(Inputs!$B$12*(1+Inputs!$B$13/100)))+0.25*(Inputs!$B$14-Inputs!$B$14))*(1+Inputs!$B$7/100))*(F307/100)</f>
        <v/>
      </c>
      <c r="K307">
        <f>J307*(1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TRUE,F308,0)/100)*(1+(IF(Skills!A6="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24)),(Inputs!$B$23+((C330=TRUE)*(F330-Calc!F29))+(IF(ArtifactsInput!$M$15,CHOOSE(ArtifactsInput!$N$15+1,25,30,35,40,45,50)/100*(Inputs!$B$11-Inputs!$B$11),0))))/100+(Inputs!$B$23+((C330=TRUE)*(F330-Calc!F29))+(IF(ArtifactsInput!$M$15,CHOOSE(ArtifactsInput!$N$15+1,25,30,35,40,45,50)/100*(Inputs!$B$11-Inputs!$B$11),0)))/100)/2</f>
        <v/>
      </c>
      <c r="M307">
        <f>L307*(1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IF(B344=0,0,O307/B344)</f>
        <v/>
      </c>
      <c r="Q307">
        <f>IFERROR(1/(IF(Inputs!$B$38="pvp",15,MAX(0.1,Skills!D6-IF(Skills!E6=TRUE,Inputs!$B$32,0)))*(1-IF(AND(ArtifactsInput!$M$27,Inputs!$B$4="Chapter Hunt"),CHOOSE(ArtifactsInput!$N$27+1,20,24,28,32,36,40),0)/100)),0)</f>
        <v/>
      </c>
      <c r="R307">
        <f>IF(AND(Inputs!$B$38&lt;&gt;"pvp",Inputs!$B$43&gt;0),IF(MAX(0,Inputs!$B$43-B341)&lt;=0,0,(INT(MAX(0,Inputs!$B$43-B341)/(IF(Inputs!$B$38="pvp",15,MAX(0.1,Skills!D6-IF(Skills!E6=TRUE,Inputs!$B$32,0)))*(1-IF(AND(ArtifactsInput!$M$27,Inputs!$B$4="Chapter Hunt"),CHOOSE(ArtifactsInput!$N$27+1,20,24,28,32,36,40),0)/100)))+1)),0)</f>
        <v/>
      </c>
      <c r="S307">
        <f>IFERROR(O307/N307,0)</f>
        <v/>
      </c>
      <c r="T307">
        <f>IF(C307,(H307*N307*IF(AND(Inputs!$B$38&lt;&gt;"pvp",Inputs!$B$43&gt;0),((Skills!G6*((R307-1)*IF(Skills!H6&gt;0,Skills!I6/Skills!H6,1)+IF(Skills!H6&gt;0,MIN(Skills!I6,MAX(0,MAX(0,Inputs!$B$43-B341)-((R307-1)*(IF(Inputs!$B$38="pvp",15,MAX(0.1,Skills!D6-IF(Skills!E6=TRUE,Inputs!$B$32,0)))*(1-IF(AND(ArtifactsInput!$M$27,Inputs!$B$4="Chapter Hunt"),CHOOSE(ArtifactsInput!$N$27+1,20,24,28,32,36,40),0)/100)))))/Skills!H6,1)))/Inputs!$B$43),G307*Q307)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307*(1-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6*((R307-1)*IF(Skills!H6&gt;0,Skills!I6/Skills!H6,1)+IF(Skills!H6&gt;0,MIN(Skills!I6,MAX(0,MAX(0,Inputs!$B$43-B341)-((R307-1)*(IF(Inputs!$B$38="pvp",15,MAX(0.1,Skills!D6-IF(Skills!E6=TRUE,Inputs!$B$32,0)))*(1-IF(AND(ArtifactsInput!$M$27,Inputs!$B$4="Chapter Hunt"),CHOOSE(ArtifactsInput!$N$27+1,20,24,28,32,36,40),0)/100)))))/Skills!H6,1)))/Inputs!$B$43),G307*Q307))*IF(Inputs!$B$38="pvp",1,(1+(Inputs!$B$21+Skills!Q6+(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Skills!A7</f>
        <v/>
      </c>
      <c r="B308">
        <f>Skills!B7</f>
        <v/>
      </c>
      <c r="C308">
        <f>Inputs!$B$3&gt;=107</f>
        <v/>
      </c>
      <c r="D308">
        <f>IF(Skills!C7=1,60+Inputs!$B$25+Inputs!$B$29,IF(Skills!C7=2,90+Inputs!$B$26+Inputs!$B$29,IF(Skills!C7=3,120+Inputs!$B$27+Inputs!$B$29,MAX(0,(Inputs!$B$3-100)*3)+Inputs!$B$28+Inputs!$B$29)))</f>
        <v/>
      </c>
      <c r="E308">
        <f>INDEX(FactorTable!$B$2:$Y$301, MATCH(ROUND(MIN(300,MAX(1,D308)),0), FactorTable!$A$2:$A$301,0), Skills!M7+1)</f>
        <v/>
      </c>
      <c r="F308">
        <f>IF(Skills!N7=TRUE,(Skills!L7/10)*(E308/1000),Skills!L7/10)+Skills!O7</f>
        <v/>
      </c>
      <c r="G308" t="inlineStr"/>
      <c r="H308" t="inlineStr"/>
      <c r="I308" t="inlineStr">
        <is>
          <t>1</t>
        </is>
      </c>
      <c r="J308" t="inlineStr"/>
      <c r="K308" t="inlineStr"/>
      <c r="L308" t="inlineStr"/>
      <c r="M308" t="inlineStr"/>
      <c r="N308" t="inlineStr"/>
      <c r="O308" t="inlineStr"/>
      <c r="P308" t="inlineStr"/>
      <c r="Q308" t="inlineStr"/>
      <c r="R308" t="inlineStr"/>
      <c r="S308" t="inlineStr"/>
      <c r="T308" t="inlineStr"/>
      <c r="V308" t="inlineStr"/>
    </row>
    <row r="309">
      <c r="A309">
        <f>Skills!A8</f>
        <v/>
      </c>
      <c r="B309">
        <f>Skills!B8</f>
        <v/>
      </c>
      <c r="C309">
        <f>Inputs!$B$3&gt;=69</f>
        <v/>
      </c>
      <c r="D309">
        <f>IF(Skills!C8=1,60+Inputs!$B$25+Inputs!$B$29,IF(Skills!C8=2,90+Inputs!$B$26+Inputs!$B$29,IF(Skills!C8=3,120+Inputs!$B$27+Inputs!$B$29,MAX(0,(Inputs!$B$3-100)*3)+Inputs!$B$28+Inputs!$B$29)))</f>
        <v/>
      </c>
      <c r="E309">
        <f>INDEX(FactorTable!$B$2:$Y$301, MATCH(ROUND(MIN(300,MAX(1,D309)),0), FactorTable!$A$2:$A$301,0), Skills!M8+1)</f>
        <v/>
      </c>
      <c r="F309">
        <f>IF(Skills!N8=TRUE,(Skills!L8/10)*(E309/1000),Skills!L8/10)+Skills!O8</f>
        <v/>
      </c>
      <c r="G309">
        <f>Skills!G8*IF(Skills!H8&gt;0,Skills!I8/Skills!H8,1)</f>
        <v/>
      </c>
      <c r="H309">
        <f>1-(1-Skills!J8/100)^Skills!K8</f>
        <v/>
      </c>
      <c r="I309" t="inlineStr">
        <is>
          <t>1</t>
        </is>
      </c>
      <c r="J309">
        <f>((Inputs!$B$6*(1+Inputs!$B$7/100))+(((Inputs!$B$12*(1+Inputs!$B$13/100))-(Inputs!$B$12*(1+Inputs!$B$13/100)))+0.25*(Inputs!$B$14-Inputs!$B$14))*(1+Inputs!$B$7/100))*(F309/100)</f>
        <v/>
      </c>
      <c r="K309">
        <f>J309*(1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311=TRUE,F311,0)/100)*(1+(IF(Skills!A8="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24)),(Inputs!$B$23+((C330=TRUE)*(F330-Calc!F29))+(IF(ArtifactsInput!$M$15,CHOOSE(ArtifactsInput!$N$15+1,25,30,35,40,45,50)/100*(Inputs!$B$11-Inputs!$B$11),0))))/100+(Inputs!$B$23+((C330=TRUE)*(F330-Calc!F29))+(IF(ArtifactsInput!$M$15,CHOOSE(ArtifactsInput!$N$15+1,25,30,35,40,45,50)/100*(Inputs!$B$11-Inputs!$B$11),0)))/100)/2</f>
        <v/>
      </c>
      <c r="M309">
        <f>L309*(1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IF(B344=0,0,O309/B344)</f>
        <v/>
      </c>
      <c r="Q309">
        <f>IFERROR(1/(IF(Inputs!$B$38="pvp",15,MAX(0.1,Skills!D8-IF(Skills!E8=TRUE,Inputs!$B$32,0)))*(1-IF(AND(ArtifactsInput!$M$27,Inputs!$B$4="Chapter Hunt"),CHOOSE(ArtifactsInput!$N$27+1,20,24,28,32,36,40),0)/100)),0)</f>
        <v/>
      </c>
      <c r="R309">
        <f>IF(AND(Inputs!$B$38&lt;&gt;"pvp",Inputs!$B$43&gt;0),IF(MAX(0,Inputs!$B$43-B341)&lt;=0,0,(INT(MAX(0,Inputs!$B$43-B341)/(IF(Inputs!$B$38="pvp",15,MAX(0.1,Skills!D8-IF(Skills!E8=TRUE,Inputs!$B$32,0)))*(1-IF(AND(ArtifactsInput!$M$27,Inputs!$B$4="Chapter Hunt"),CHOOSE(ArtifactsInput!$N$27+1,20,24,28,32,36,40),0)/100)))+1)),0)</f>
        <v/>
      </c>
      <c r="S309">
        <f>IFERROR(O309/N309,0)</f>
        <v/>
      </c>
      <c r="T309">
        <f>IF(C309,(H309*N309*IF(AND(Inputs!$B$38&lt;&gt;"pvp",Inputs!$B$43&gt;0),((Skills!G8*((R309-1)*IF(Skills!H8&gt;0,Skills!I8/Skills!H8,1)+IF(Skills!H8&gt;0,MIN(Skills!I8,MAX(0,MAX(0,Inputs!$B$43-B341)-((R309-1)*(IF(Inputs!$B$38="pvp",15,MAX(0.1,Skills!D8-IF(Skills!E8=TRUE,Inputs!$B$32,0)))*(1-IF(AND(ArtifactsInput!$M$27,Inputs!$B$4="Chapter Hunt"),CHOOSE(ArtifactsInput!$N$27+1,20,24,28,32,36,40),0)/100)))))/Skills!H8,1)))/Inputs!$B$43),G309*Q309)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309*(1-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8*((R309-1)*IF(Skills!H8&gt;0,Skills!I8/Skills!H8,1)+IF(Skills!H8&gt;0,MIN(Skills!I8,MAX(0,MAX(0,Inputs!$B$43-B341)-((R309-1)*(IF(Inputs!$B$38="pvp",15,MAX(0.1,Skills!D8-IF(Skills!E8=TRUE,Inputs!$B$32,0)))*(1-IF(AND(ArtifactsInput!$M$27,Inputs!$B$4="Chapter Hunt"),CHOOSE(ArtifactsInput!$N$27+1,20,24,28,32,36,40),0)/100)))))/Skills!H8,1)))/Inputs!$B$43),G309*Q309))*IF(Inputs!$B$38="pvp",1,(1+(Inputs!$B$21+Skills!Q8+(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Skills!A9</f>
        <v/>
      </c>
      <c r="B310">
        <f>Skills!B9</f>
        <v/>
      </c>
      <c r="C310">
        <f>Inputs!$B$3&gt;=63</f>
        <v/>
      </c>
      <c r="D310">
        <f>IF(Skills!C9=1,60+Inputs!$B$25+Inputs!$B$29,IF(Skills!C9=2,90+Inputs!$B$26+Inputs!$B$29,IF(Skills!C9=3,120+Inputs!$B$27+Inputs!$B$29,MAX(0,(Inputs!$B$3-100)*3)+Inputs!$B$28+Inputs!$B$29)))</f>
        <v/>
      </c>
      <c r="E310">
        <f>INDEX(FactorTable!$B$2:$Y$301, MATCH(ROUND(MIN(300,MAX(1,D310)),0), FactorTable!$A$2:$A$301,0), Skills!M9+1)</f>
        <v/>
      </c>
      <c r="F310">
        <f>IF(Skills!N9=TRUE,(Skills!L9/10)*(E310/1000),Skills!L9/10)+Skills!O9</f>
        <v/>
      </c>
      <c r="G310">
        <f>Skills!G9*IF(Skills!H9&gt;0,Skills!I9/Skills!H9,1)</f>
        <v/>
      </c>
      <c r="H310">
        <f>1-(1-Skills!J9/100)^Skills!K9</f>
        <v/>
      </c>
      <c r="I310" t="inlineStr">
        <is>
          <t>1</t>
        </is>
      </c>
      <c r="J310">
        <f>((Inputs!$B$6*(1+Inputs!$B$7/100))+(((Inputs!$B$12*(1+Inputs!$B$13/100))-(Inputs!$B$12*(1+Inputs!$B$13/100)))+0.25*(Inputs!$B$14-Inputs!$B$14))*(1+Inputs!$B$7/100))*(F310/100)</f>
        <v/>
      </c>
      <c r="K310">
        <f>J310*(1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TRUE,F311,0)/100)*(1+(IF(Skills!A9="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325=TRUE)*(F325-Calc!F24)),(Inputs!$B$23+((C330=TRUE)*(F330-Calc!F29))+(IF(ArtifactsInput!$M$15,CHOOSE(ArtifactsInput!$N$15+1,25,30,35,40,45,50)/100*(Inputs!$B$11-Inputs!$B$11),0))))/100+(Inputs!$B$23+((C330=TRUE)*(F330-Calc!F29))+(IF(ArtifactsInput!$M$15,CHOOSE(ArtifactsInput!$N$15+1,25,30,35,40,45,50)/100*(Inputs!$B$11-Inputs!$B$11),0)))/100)/2</f>
        <v/>
      </c>
      <c r="M310">
        <f>L310*(1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IF(B344=0,0,O310/B344)</f>
        <v/>
      </c>
      <c r="Q310">
        <f>IFERROR(1/(IF(Inputs!$B$38="pvp",15,MAX(0.1,Skills!D9-IF(Skills!E9=TRUE,Inputs!$B$32,0)))*(1-IF(AND(ArtifactsInput!$M$27,Inputs!$B$4="Chapter Hunt"),CHOOSE(ArtifactsInput!$N$27+1,20,24,28,32,36,40),0)/100)),0)</f>
        <v/>
      </c>
      <c r="R310">
        <f>IF(AND(Inputs!$B$38&lt;&gt;"pvp",Inputs!$B$43&gt;0),IF(MAX(0,Inputs!$B$43-B341)&lt;=0,0,(INT(MAX(0,Inputs!$B$43-B341)/(IF(Inputs!$B$38="pvp",15,MAX(0.1,Skills!D9-IF(Skills!E9=TRUE,Inputs!$B$32,0)))*(1-IF(AND(ArtifactsInput!$M$27,Inputs!$B$4="Chapter Hunt"),CHOOSE(ArtifactsInput!$N$27+1,20,24,28,32,36,40),0)/100)))+1)),0)</f>
        <v/>
      </c>
      <c r="S310">
        <f>IFERROR(O310/N310,0)</f>
        <v/>
      </c>
      <c r="T310">
        <f>IF(C310,(H310*N310*IF(AND(Inputs!$B$38&lt;&gt;"pvp",Inputs!$B$43&gt;0),((Skills!G9*((R310-1)*IF(Skills!H9&gt;0,Skills!I9/Skills!H9,1)+IF(Skills!H9&gt;0,MIN(Skills!I9,MAX(0,MAX(0,Inputs!$B$43-B341)-((R310-1)*(IF(Inputs!$B$38="pvp",15,MAX(0.1,Skills!D9-IF(Skills!E9=TRUE,Inputs!$B$32,0)))*(1-IF(AND(ArtifactsInput!$M$27,Inputs!$B$4="Chapter Hunt"),CHOOSE(ArtifactsInput!$N$27+1,20,24,28,32,36,40),0)/100)))))/Skills!H9,1)))/Inputs!$B$43),G310*Q310)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310*(1-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9*((R310-1)*IF(Skills!H9&gt;0,Skills!I9/Skills!H9,1)+IF(Skills!H9&gt;0,MIN(Skills!I9,MAX(0,MAX(0,Inputs!$B$43-B341)-((R310-1)*(IF(Inputs!$B$38="pvp",15,MAX(0.1,Skills!D9-IF(Skills!E9=TRUE,Inputs!$B$32,0)))*(1-IF(AND(ArtifactsInput!$M$27,Inputs!$B$4="Chapter Hunt"),CHOOSE(ArtifactsInput!$N$27+1,20,24,28,32,36,40),0)/100)))))/Skills!H9,1)))/Inputs!$B$43),G310*Q310))*IF(Inputs!$B$38="pvp",1,(1+(Inputs!$B$21+Skills!Q9+(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Skills!A10</f>
        <v/>
      </c>
      <c r="B311">
        <f>Skills!B10</f>
        <v/>
      </c>
      <c r="C311">
        <f>Inputs!$B$3&gt;=100</f>
        <v/>
      </c>
      <c r="D311">
        <f>IF(Skills!C10=1,60+Inputs!$B$25+Inputs!$B$29,IF(Skills!C10=2,90+Inputs!$B$26+Inputs!$B$29,IF(Skills!C10=3,120+Inputs!$B$27+Inputs!$B$29,MAX(0,(Inputs!$B$3-100)*3)+Inputs!$B$28+Inputs!$B$29)))</f>
        <v/>
      </c>
      <c r="E311">
        <f>INDEX(FactorTable!$B$2:$Y$301, MATCH(ROUND(MIN(300,MAX(1,D311)),0), FactorTable!$A$2:$A$301,0), Skills!M10+1)</f>
        <v/>
      </c>
      <c r="F311">
        <f>IF(Skills!N10=TRUE,(Skills!L10/10)*(E311/1000),Skills!L10/10)+Skills!O10</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Skills!A11</f>
        <v/>
      </c>
      <c r="B312">
        <f>Skills!B11</f>
        <v/>
      </c>
      <c r="C312">
        <f>Inputs!$B$3&gt;=60</f>
        <v/>
      </c>
      <c r="D312">
        <f>IF(Skills!C11=1,60+Inputs!$B$25+Inputs!$B$29,IF(Skills!C11=2,90+Inputs!$B$26+Inputs!$B$29,IF(Skills!C11=3,120+Inputs!$B$27+Inputs!$B$29,MAX(0,(Inputs!$B$3-100)*3)+Inputs!$B$28+Inputs!$B$29)))</f>
        <v/>
      </c>
      <c r="E312">
        <f>INDEX(FactorTable!$B$2:$Y$301, MATCH(ROUND(MIN(300,MAX(1,D312)),0), FactorTable!$A$2:$A$301,0), Skills!M11+1)</f>
        <v/>
      </c>
      <c r="F312">
        <f>IF(Skills!N11=TRUE,(Skills!L11/10)*(E312/1000),Skills!L11/10)+Skills!O11</f>
        <v/>
      </c>
      <c r="G312">
        <f>Skills!G11*IF(Skills!H11&gt;0,Skills!I11/Skills!H11,1)</f>
        <v/>
      </c>
      <c r="H312">
        <f>1-(1-Skills!J11/100)^Skills!K11</f>
        <v/>
      </c>
      <c r="I312" t="inlineStr">
        <is>
          <t>1</t>
        </is>
      </c>
      <c r="J312">
        <f>((Inputs!$B$6*(1+Inputs!$B$7/100))+(((Inputs!$B$12*(1+Inputs!$B$13/100))-(Inputs!$B$12*(1+Inputs!$B$13/100)))+0.25*(Inputs!$B$14-Inputs!$B$14))*(1+Inputs!$B$7/100))*(F312/100)</f>
        <v/>
      </c>
      <c r="K312">
        <f>J312*(1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11="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24)),(Inputs!$B$23+((C330=TRUE)*(F330-Calc!F29))+(IF(ArtifactsInput!$M$15,CHOOSE(ArtifactsInput!$N$15+1,25,30,35,40,45,50)/100*(Inputs!$B$11-Inputs!$B$11),0))))/100+(Inputs!$B$23+((C330=TRUE)*(F330-Calc!F29))+(IF(ArtifactsInput!$M$15,CHOOSE(ArtifactsInput!$N$15+1,25,30,35,40,45,50)/100*(Inputs!$B$11-Inputs!$B$11),0)))/100)/2</f>
        <v/>
      </c>
      <c r="M312">
        <f>L312*(1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IF(B344=0,0,O312/B344)</f>
        <v/>
      </c>
      <c r="Q312">
        <f>IFERROR(1/(IF(Inputs!$B$38="pvp",15,MAX(0.1,Skills!D11-IF(Skills!E11=TRUE,Inputs!$B$32,0)))*(1-IF(AND(ArtifactsInput!$M$27,Inputs!$B$4="Chapter Hunt"),CHOOSE(ArtifactsInput!$N$27+1,20,24,28,32,36,40),0)/100)),0)</f>
        <v/>
      </c>
      <c r="R312">
        <f>IF(AND(Inputs!$B$38&lt;&gt;"pvp",Inputs!$B$43&gt;0),IF(MAX(0,Inputs!$B$43-B341)&lt;=0,0,(INT(MAX(0,Inputs!$B$43-B341)/(IF(Inputs!$B$38="pvp",15,MAX(0.1,Skills!D11-IF(Skills!E11=TRUE,Inputs!$B$32,0)))*(1-IF(AND(ArtifactsInput!$M$27,Inputs!$B$4="Chapter Hunt"),CHOOSE(ArtifactsInput!$N$27+1,20,24,28,32,36,40),0)/100)))+1)),0)</f>
        <v/>
      </c>
      <c r="S312">
        <f>IFERROR(O312/N312,0)</f>
        <v/>
      </c>
      <c r="T312">
        <f>IF(C312,(H312*N312*IF(AND(Inputs!$B$38&lt;&gt;"pvp",Inputs!$B$43&gt;0),((Skills!G11*((R312-1)*IF(Skills!H11&gt;0,Skills!I11/Skills!H11,1)+IF(Skills!H11&gt;0,MIN(Skills!I11,MAX(0,MAX(0,Inputs!$B$43-B341)-((R312-1)*(IF(Inputs!$B$38="pvp",15,MAX(0.1,Skills!D11-IF(Skills!E11=TRUE,Inputs!$B$32,0)))*(1-IF(AND(ArtifactsInput!$M$27,Inputs!$B$4="Chapter Hunt"),CHOOSE(ArtifactsInput!$N$27+1,20,24,28,32,36,40),0)/100)))))/Skills!H11,1)))/Inputs!$B$43),G312*Q312)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312*(1-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11*((R312-1)*IF(Skills!H11&gt;0,Skills!I11/Skills!H11,1)+IF(Skills!H11&gt;0,MIN(Skills!I11,MAX(0,MAX(0,Inputs!$B$43-B341)-((R312-1)*(IF(Inputs!$B$38="pvp",15,MAX(0.1,Skills!D11-IF(Skills!E11=TRUE,Inputs!$B$32,0)))*(1-IF(AND(ArtifactsInput!$M$27,Inputs!$B$4="Chapter Hunt"),CHOOSE(ArtifactsInput!$N$27+1,20,24,28,32,36,40),0)/100)))))/Skills!H11,1)))/Inputs!$B$43),G312*Q312))*IF(Inputs!$B$38="pvp",1,(1+(Inputs!$B$21+Skills!Q11+(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Skills!A12</f>
        <v/>
      </c>
      <c r="B313">
        <f>Skills!B12</f>
        <v/>
      </c>
      <c r="C313">
        <f>Inputs!$B$3&gt;=110</f>
        <v/>
      </c>
      <c r="D313">
        <f>IF(Skills!C12=1,60+Inputs!$B$25+Inputs!$B$29,IF(Skills!C12=2,90+Inputs!$B$26+Inputs!$B$29,IF(Skills!C12=3,120+Inputs!$B$27+Inputs!$B$29,MAX(0,(Inputs!$B$3-100)*3)+Inputs!$B$28+Inputs!$B$29)))</f>
        <v/>
      </c>
      <c r="E313">
        <f>INDEX(FactorTable!$B$2:$Y$301, MATCH(ROUND(MIN(300,MAX(1,D313)),0), FactorTable!$A$2:$A$301,0), Skills!M12+1)</f>
        <v/>
      </c>
      <c r="F313">
        <f>IF(Skills!N12=TRUE,(Skills!L12/10)*(E313/1000),Skills!L12/10)+Skills!O12</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Skills!A13</f>
        <v/>
      </c>
      <c r="B314">
        <f>Skills!B13</f>
        <v/>
      </c>
      <c r="C314">
        <f>Inputs!$B$3&gt;=74</f>
        <v/>
      </c>
      <c r="D314">
        <f>IF(Skills!C13=1,60+Inputs!$B$25+Inputs!$B$29,IF(Skills!C13=2,90+Inputs!$B$26+Inputs!$B$29,IF(Skills!C13=3,120+Inputs!$B$27+Inputs!$B$29,MAX(0,(Inputs!$B$3-100)*3)+Inputs!$B$28+Inputs!$B$29)))</f>
        <v/>
      </c>
      <c r="E314">
        <f>INDEX(FactorTable!$B$2:$Y$301, MATCH(ROUND(MIN(300,MAX(1,D314)),0), FactorTable!$A$2:$A$301,0), Skills!M13+1)</f>
        <v/>
      </c>
      <c r="F314">
        <f>IF(Skills!N13=TRUE,(Skills!L13/10)*(E314/1000),Skills!L13/10)+Skills!O13</f>
        <v/>
      </c>
      <c r="G314">
        <f>Skills!G13*IF(Skills!H13&gt;0,Skills!I13/Skills!H13,1)</f>
        <v/>
      </c>
      <c r="H314">
        <f>1-(1-Skills!J13/100)^Skills!K13</f>
        <v/>
      </c>
      <c r="I314" t="inlineStr">
        <is>
          <t>1</t>
        </is>
      </c>
      <c r="J314" t="inlineStr"/>
      <c r="K314" t="inlineStr"/>
      <c r="L314" t="inlineStr"/>
      <c r="M314" t="inlineStr"/>
      <c r="N314" t="inlineStr"/>
      <c r="O314">
        <f>(1-Summary!$B$11)*T314+Summary!$B$11*V314</f>
        <v/>
      </c>
      <c r="P314">
        <f>IF(B344=0,0,O314/B344)</f>
        <v/>
      </c>
      <c r="Q314" t="n">
        <v>0</v>
      </c>
      <c r="R314" t="n">
        <v>0</v>
      </c>
      <c r="S314">
        <f>IFERROR(O314/N314,0)</f>
        <v/>
      </c>
      <c r="T314" t="n">
        <v>0</v>
      </c>
      <c r="V314" t="n">
        <v>0</v>
      </c>
    </row>
    <row r="315">
      <c r="A315">
        <f>Skills!A14</f>
        <v/>
      </c>
      <c r="B315">
        <f>Skills!B14</f>
        <v/>
      </c>
      <c r="C315">
        <f>Inputs!$B$3&gt;=74</f>
        <v/>
      </c>
      <c r="D315">
        <f>IF(Skills!C14=1,60+Inputs!$B$25+Inputs!$B$29,IF(Skills!C14=2,90+Inputs!$B$26+Inputs!$B$29,IF(Skills!C14=3,120+Inputs!$B$27+Inputs!$B$29,MAX(0,(Inputs!$B$3-100)*3)+Inputs!$B$28+Inputs!$B$29)))</f>
        <v/>
      </c>
      <c r="E315">
        <f>INDEX(FactorTable!$B$2:$Y$301, MATCH(ROUND(MIN(300,MAX(1,D315)),0), FactorTable!$A$2:$A$301,0), Skills!M14+1)</f>
        <v/>
      </c>
      <c r="F315">
        <f>IF(Skills!N14=TRUE,(Skills!L14/10)*(E315/1000),Skills!L14/10)+Skills!O14</f>
        <v/>
      </c>
      <c r="G315">
        <f>Skills!G14*IF(Skills!H14&gt;0,Skills!I14/Skills!H14,1)</f>
        <v/>
      </c>
      <c r="H315">
        <f>1-(1-Skills!J14/100)^Skills!K14</f>
        <v/>
      </c>
      <c r="I315" t="inlineStr">
        <is>
          <t>1</t>
        </is>
      </c>
      <c r="J315" t="inlineStr"/>
      <c r="K315" t="inlineStr"/>
      <c r="L315" t="inlineStr"/>
      <c r="M315" t="inlineStr"/>
      <c r="N315" t="inlineStr"/>
      <c r="O315">
        <f>(1-Summary!$B$11)*T315+Summary!$B$11*V315</f>
        <v/>
      </c>
      <c r="P315">
        <f>IF(B344=0,0,O315/B344)</f>
        <v/>
      </c>
      <c r="Q315" t="n">
        <v>0</v>
      </c>
      <c r="R315" t="n">
        <v>0</v>
      </c>
      <c r="S315">
        <f>IFERROR(O315/N315,0)</f>
        <v/>
      </c>
      <c r="T315" t="n">
        <v>0</v>
      </c>
      <c r="V315" t="n">
        <v>0</v>
      </c>
    </row>
    <row r="316">
      <c r="A316">
        <f>Skills!A15</f>
        <v/>
      </c>
      <c r="B316">
        <f>Skills!B15</f>
        <v/>
      </c>
      <c r="C316">
        <f>Inputs!$B$3&gt;=117</f>
        <v/>
      </c>
      <c r="D316">
        <f>IF(Skills!C15=1,60+Inputs!$B$25+Inputs!$B$29,IF(Skills!C15=2,90+Inputs!$B$26+Inputs!$B$29,IF(Skills!C15=3,120+Inputs!$B$27+Inputs!$B$29,MAX(0,(Inputs!$B$3-100)*3)+Inputs!$B$28+Inputs!$B$29)))</f>
        <v/>
      </c>
      <c r="E316">
        <f>INDEX(FactorTable!$B$2:$Y$301, MATCH(ROUND(MIN(300,MAX(1,D316)),0), FactorTable!$A$2:$A$301,0), Skills!M15+1)</f>
        <v/>
      </c>
      <c r="F316">
        <f>IF(Skills!N15=TRUE,(Skills!L15/10)*(E316/1000),Skills!L15/10)+Skills!O15</f>
        <v/>
      </c>
      <c r="G316">
        <f>Skills!G15*IF(Skills!H15&gt;0,Skills!I15/Skills!H15,1)</f>
        <v/>
      </c>
      <c r="H316">
        <f>1-(1-Skills!J15/100)^Skills!K15</f>
        <v/>
      </c>
      <c r="I316" t="inlineStr">
        <is>
          <t>1</t>
        </is>
      </c>
      <c r="J316" t="inlineStr"/>
      <c r="K316" t="inlineStr"/>
      <c r="L316" t="inlineStr"/>
      <c r="M316" t="inlineStr"/>
      <c r="N316" t="inlineStr"/>
      <c r="O316">
        <f>(1-Summary!$B$11)*T316+Summary!$B$11*V316</f>
        <v/>
      </c>
      <c r="P316">
        <f>IF(B344=0,0,O316/B344)</f>
        <v/>
      </c>
      <c r="Q316">
        <f>IFERROR(1/(IF(Inputs!$B$38="pvp",15,MAX(0.1,Skills!D15-IF(Skills!E15=TRUE,Inputs!$B$32,0)))*(1-IF(AND(ArtifactsInput!$M$27,Inputs!$B$4="Chapter Hunt"),CHOOSE(ArtifactsInput!$N$27+1,20,24,28,32,36,40),0)/100)),0)</f>
        <v/>
      </c>
      <c r="R316">
        <f>IF(AND(Inputs!$B$38&lt;&gt;"pvp",Inputs!$B$43&gt;0),IF(Inputs!$B$43&lt;=0,0,(INT(Inputs!$B$43/(IF(Inputs!$B$38="pvp",15,MAX(0.1,Skills!D15-IF(Skills!E15=TRUE,Inputs!$B$32,0)))*(1-IF(AND(ArtifactsInput!$M$27,Inputs!$B$4="Chapter Hunt"),CHOOSE(ArtifactsInput!$N$27+1,20,24,28,32,36,40),0)/100)))+1)),0)</f>
        <v/>
      </c>
      <c r="S316">
        <f>IFERROR(O316/N316,0)</f>
        <v/>
      </c>
      <c r="T316" t="n">
        <v>0</v>
      </c>
      <c r="V316" t="n">
        <v>0</v>
      </c>
    </row>
    <row r="317">
      <c r="A317">
        <f>Skills!A16</f>
        <v/>
      </c>
      <c r="B317">
        <f>Skills!B16</f>
        <v/>
      </c>
      <c r="C317">
        <f>Inputs!$B$3&gt;=115</f>
        <v/>
      </c>
      <c r="D317">
        <f>IF(Skills!C16=1,60+Inputs!$B$25+Inputs!$B$29,IF(Skills!C16=2,90+Inputs!$B$26+Inputs!$B$29,IF(Skills!C16=3,120+Inputs!$B$27+Inputs!$B$29,MAX(0,(Inputs!$B$3-100)*3)+Inputs!$B$28+Inputs!$B$29)))</f>
        <v/>
      </c>
      <c r="E317">
        <f>INDEX(FactorTable!$B$2:$Y$301, MATCH(ROUND(MIN(300,MAX(1,D317)),0), FactorTable!$A$2:$A$301,0), Skills!M16+1)</f>
        <v/>
      </c>
      <c r="F317">
        <f>IF(Skills!N16=TRUE,(Skills!L16/10)*(E317/1000),Skills!L16/10)+Skills!O16</f>
        <v/>
      </c>
      <c r="G317">
        <f>Skills!G16*IF(Skills!H16&gt;0,Skills!I16/Skills!H16,1)</f>
        <v/>
      </c>
      <c r="H317">
        <f>1-(1-Skills!J16/100)^Skills!K16</f>
        <v/>
      </c>
      <c r="I317" t="inlineStr">
        <is>
          <t>1</t>
        </is>
      </c>
      <c r="J317" t="inlineStr"/>
      <c r="K317" t="inlineStr"/>
      <c r="L317" t="inlineStr"/>
      <c r="M317" t="inlineStr"/>
      <c r="N317" t="inlineStr"/>
      <c r="O317">
        <f>(1-Summary!$B$11)*T317+Summary!$B$11*V317</f>
        <v/>
      </c>
      <c r="P317">
        <f>IF(B344=0,0,O317/B344)</f>
        <v/>
      </c>
      <c r="Q317">
        <f>IFERROR(1/(IF(Inputs!$B$38="pvp",15,MAX(0.1,Skills!D16-IF(Skills!E16=TRUE,Inputs!$B$32,0)))*(1-IF(AND(ArtifactsInput!$M$27,Inputs!$B$4="Chapter Hunt"),CHOOSE(ArtifactsInput!$N$27+1,20,24,28,32,36,40),0)/100)),0)</f>
        <v/>
      </c>
      <c r="R317">
        <f>IF(AND(Inputs!$B$38&lt;&gt;"pvp",Inputs!$B$43&gt;0),IF(Inputs!$B$43&lt;=0,0,(INT(Inputs!$B$43/(IF(Inputs!$B$38="pvp",15,MAX(0.1,Skills!D16-IF(Skills!E16=TRUE,Inputs!$B$32,0)))*(1-IF(AND(ArtifactsInput!$M$27,Inputs!$B$4="Chapter Hunt"),CHOOSE(ArtifactsInput!$N$27+1,20,24,28,32,36,40),0)/100)))+1)),0)</f>
        <v/>
      </c>
      <c r="S317">
        <f>IFERROR(O317/N317,0)</f>
        <v/>
      </c>
      <c r="T317" t="n">
        <v>0</v>
      </c>
      <c r="V317" t="n">
        <v>0</v>
      </c>
    </row>
    <row r="318">
      <c r="A318">
        <f>Skills!A17</f>
        <v/>
      </c>
      <c r="B318">
        <f>Skills!B17</f>
        <v/>
      </c>
      <c r="C318">
        <f>Inputs!$B$3&gt;=66</f>
        <v/>
      </c>
      <c r="D318">
        <f>IF(Skills!C17=1,60+Inputs!$B$25+Inputs!$B$29,IF(Skills!C17=2,90+Inputs!$B$26+Inputs!$B$29,IF(Skills!C17=3,120+Inputs!$B$27+Inputs!$B$29,MAX(0,(Inputs!$B$3-100)*3)+Inputs!$B$28+Inputs!$B$29)))</f>
        <v/>
      </c>
      <c r="E318">
        <f>INDEX(FactorTable!$B$2:$Y$301, MATCH(ROUND(MIN(300,MAX(1,D318)),0), FactorTable!$A$2:$A$301,0), Skills!M17+1)</f>
        <v/>
      </c>
      <c r="F318">
        <f>IF(Skills!N17=TRUE,(Skills!L17/10)*(E318/1000),Skills!L17/10)+Skills!O17</f>
        <v/>
      </c>
      <c r="G318">
        <f>Skills!G17*IF(Skills!H17&gt;0,Skills!I17/Skills!H17,1)</f>
        <v/>
      </c>
      <c r="H318">
        <f>1-(1-Skills!J17/100)^Skills!K17</f>
        <v/>
      </c>
      <c r="I318" t="inlineStr">
        <is>
          <t>1</t>
        </is>
      </c>
      <c r="J318" t="inlineStr"/>
      <c r="K318" t="inlineStr"/>
      <c r="L318" t="inlineStr"/>
      <c r="M318" t="inlineStr"/>
      <c r="N318" t="inlineStr"/>
      <c r="O318">
        <f>(1-Summary!$B$11)*T318+Summary!$B$11*V318</f>
        <v/>
      </c>
      <c r="P318">
        <f>IF(B344=0,0,O318/B344)</f>
        <v/>
      </c>
      <c r="Q318" t="n">
        <v>0</v>
      </c>
      <c r="R318" t="n">
        <v>0</v>
      </c>
      <c r="S318">
        <f>IFERROR(O318/N318,0)</f>
        <v/>
      </c>
      <c r="T318" t="n">
        <v>0</v>
      </c>
      <c r="V318" t="n">
        <v>0</v>
      </c>
    </row>
    <row r="319">
      <c r="A319">
        <f>Skills!A18</f>
        <v/>
      </c>
      <c r="B319">
        <f>Skills!B18</f>
        <v/>
      </c>
      <c r="C319">
        <f>Inputs!$B$3&gt;=72</f>
        <v/>
      </c>
      <c r="D319">
        <f>IF(Skills!C18=1,60+Inputs!$B$25+Inputs!$B$29,IF(Skills!C18=2,90+Inputs!$B$26+Inputs!$B$29,IF(Skills!C18=3,120+Inputs!$B$27+Inputs!$B$29,MAX(0,(Inputs!$B$3-100)*3)+Inputs!$B$28+Inputs!$B$29)))</f>
        <v/>
      </c>
      <c r="E319">
        <f>INDEX(FactorTable!$B$2:$Y$301, MATCH(ROUND(MIN(300,MAX(1,D319)),0), FactorTable!$A$2:$A$301,0), Skills!M18+1)</f>
        <v/>
      </c>
      <c r="F319">
        <f>IF(Skills!N18=TRUE,(Skills!L18/10)*(E319/1000),Skills!L18/10)+Skills!O18</f>
        <v/>
      </c>
      <c r="G319">
        <f>Skills!G18*IF(Skills!H18&gt;0,Skills!I18/Skills!H18,1)</f>
        <v/>
      </c>
      <c r="H319">
        <f>1-(1-Skills!J18/100)^Skills!K18</f>
        <v/>
      </c>
      <c r="I319" t="inlineStr">
        <is>
          <t>1</t>
        </is>
      </c>
      <c r="J319" t="inlineStr"/>
      <c r="K319" t="inlineStr"/>
      <c r="L319" t="inlineStr"/>
      <c r="M319" t="inlineStr"/>
      <c r="N319" t="inlineStr"/>
      <c r="O319">
        <f>(1-Summary!$B$11)*T319+Summary!$B$11*V319</f>
        <v/>
      </c>
      <c r="P319">
        <f>IF(B344=0,0,O319/B344)</f>
        <v/>
      </c>
      <c r="Q319" t="n">
        <v>0</v>
      </c>
      <c r="R319" t="n">
        <v>0</v>
      </c>
      <c r="S319">
        <f>IFERROR(O319/N319,0)</f>
        <v/>
      </c>
      <c r="T319" t="n">
        <v>0</v>
      </c>
      <c r="V319" t="n">
        <v>0</v>
      </c>
    </row>
    <row r="320">
      <c r="A320">
        <f>Skills!A19</f>
        <v/>
      </c>
      <c r="B320">
        <f>Skills!B19</f>
        <v/>
      </c>
      <c r="C320">
        <f>TRUE</f>
        <v/>
      </c>
      <c r="D320">
        <f>IF(Skills!C19=1,60+Inputs!$B$25+Inputs!$B$29,IF(Skills!C19=2,90+Inputs!$B$26+Inputs!$B$29,IF(Skills!C19=3,120+Inputs!$B$27+Inputs!$B$29,MAX(0,(Inputs!$B$3-100)*3)+Inputs!$B$28+Inputs!$B$29)))</f>
        <v/>
      </c>
      <c r="E320">
        <f>INDEX(FactorTable!$B$2:$Y$301, MATCH(ROUND(MIN(300,MAX(1,D320)),0), FactorTable!$A$2:$A$301,0), Skills!M19+1)</f>
        <v/>
      </c>
      <c r="F320">
        <f>IF(Skills!N19=TRUE,(Skills!L19/10)*(E320/1000),Skills!L19/10)+Skills!O19</f>
        <v/>
      </c>
      <c r="G320">
        <f>Skills!G19*IF(Skills!H19&gt;0,Skills!I19/Skills!H19,1)</f>
        <v/>
      </c>
      <c r="H320">
        <f>1-(1-Skills!J19/100)^Skills!K19</f>
        <v/>
      </c>
      <c r="I320" t="inlineStr">
        <is>
          <t>1</t>
        </is>
      </c>
      <c r="J320" t="inlineStr"/>
      <c r="K320" t="inlineStr"/>
      <c r="L320" t="inlineStr"/>
      <c r="M320" t="inlineStr"/>
      <c r="N320" t="inlineStr"/>
      <c r="O320">
        <f>(1-Summary!$B$11)*T320+Summary!$B$11*V320</f>
        <v/>
      </c>
      <c r="P320">
        <f>IF(B344=0,0,O320/B344)</f>
        <v/>
      </c>
      <c r="Q320">
        <f>IFERROR(1/(IF(Inputs!$B$38="pvp",15,MAX(0.1,Skills!D19-IF(Skills!E19=TRUE,Inputs!$B$32,0)))*(1-IF(AND(ArtifactsInput!$M$27,Inputs!$B$4="Chapter Hunt"),CHOOSE(ArtifactsInput!$N$27+1,20,24,28,32,36,40),0)/100)),0)</f>
        <v/>
      </c>
      <c r="R320">
        <f>IF(AND(Inputs!$B$38&lt;&gt;"pvp",Inputs!$B$43&gt;0),IF(Inputs!$B$43&lt;=0,0,(INT(Inputs!$B$43/(IF(Inputs!$B$38="pvp",15,MAX(0.1,Skills!D19-IF(Skills!E19=TRUE,Inputs!$B$32,0)))*(1-IF(AND(ArtifactsInput!$M$27,Inputs!$B$4="Chapter Hunt"),CHOOSE(ArtifactsInput!$N$27+1,20,24,28,32,36,40),0)/100)))+1)),0)</f>
        <v/>
      </c>
      <c r="S320">
        <f>IFERROR(O320/N320,0)</f>
        <v/>
      </c>
      <c r="T320" t="n">
        <v>0</v>
      </c>
      <c r="V320" t="n">
        <v>0</v>
      </c>
    </row>
    <row r="321">
      <c r="A321">
        <f>Skills!A20</f>
        <v/>
      </c>
      <c r="B321">
        <f>Skills!B20</f>
        <v/>
      </c>
      <c r="C321">
        <f>Inputs!$B$3&gt;=15</f>
        <v/>
      </c>
      <c r="D321">
        <f>IF(Skills!C20=1,60+Inputs!$B$25+Inputs!$B$29,IF(Skills!C20=2,90+Inputs!$B$26+Inputs!$B$29,IF(Skills!C20=3,120+Inputs!$B$27+Inputs!$B$29,MAX(0,(Inputs!$B$3-100)*3)+Inputs!$B$28+Inputs!$B$29)))</f>
        <v/>
      </c>
      <c r="E321">
        <f>INDEX(FactorTable!$B$2:$Y$301, MATCH(ROUND(MIN(300,MAX(1,D321)),0), FactorTable!$A$2:$A$301,0), Skills!M20+1)</f>
        <v/>
      </c>
      <c r="F321">
        <f>IF(Skills!N20=TRUE,(Skills!L20/10)*(E321/1000),Skills!L20/10)+Skills!O20</f>
        <v/>
      </c>
      <c r="G321">
        <f>Skills!G20*IF(Skills!H20&gt;0,Skills!I20/Skills!H20,1)</f>
        <v/>
      </c>
      <c r="H321">
        <f>1-(1-Skills!J20/100)^Skills!K20</f>
        <v/>
      </c>
      <c r="I321" t="inlineStr">
        <is>
          <t>1</t>
        </is>
      </c>
      <c r="J321" t="inlineStr"/>
      <c r="K321" t="inlineStr"/>
      <c r="L321" t="inlineStr"/>
      <c r="M321" t="inlineStr"/>
      <c r="N321" t="inlineStr"/>
      <c r="O321">
        <f>(1-Summary!$B$11)*T321+Summary!$B$11*V321</f>
        <v/>
      </c>
      <c r="P321">
        <f>IF(B344=0,0,O321/B344)</f>
        <v/>
      </c>
      <c r="Q321" t="n">
        <v>0</v>
      </c>
      <c r="R321" t="n">
        <v>0</v>
      </c>
      <c r="S321">
        <f>IFERROR(O321/N321,0)</f>
        <v/>
      </c>
      <c r="T321" t="n">
        <v>0</v>
      </c>
      <c r="V321" t="n">
        <v>0</v>
      </c>
    </row>
    <row r="322">
      <c r="A322">
        <f>Skills!A21</f>
        <v/>
      </c>
      <c r="B322">
        <f>Skills!B21</f>
        <v/>
      </c>
      <c r="C322">
        <f>Inputs!$B$3&gt;=10</f>
        <v/>
      </c>
      <c r="D322">
        <f>IF(Skills!C21=1,60+Inputs!$B$25+Inputs!$B$29,IF(Skills!C21=2,90+Inputs!$B$26+Inputs!$B$29,IF(Skills!C21=3,120+Inputs!$B$27+Inputs!$B$29,MAX(0,(Inputs!$B$3-100)*3)+Inputs!$B$28+Inputs!$B$29)))</f>
        <v/>
      </c>
      <c r="E322">
        <f>INDEX(FactorTable!$B$2:$Y$301, MATCH(ROUND(MIN(300,MAX(1,D322)),0), FactorTable!$A$2:$A$301,0), Skills!M21+1)</f>
        <v/>
      </c>
      <c r="F322">
        <f>IF(Skills!N21=TRUE,(Skills!L21/10)*(E322/1000),Skills!L21/10)+Skills!O21</f>
        <v/>
      </c>
      <c r="G322">
        <f>Skills!G21*IF(Skills!H21&gt;0,Skills!I21/Skills!H21,1)</f>
        <v/>
      </c>
      <c r="H322">
        <f>1-(1-Skills!J21/100)^Skills!K21</f>
        <v/>
      </c>
      <c r="I322" t="inlineStr">
        <is>
          <t>1</t>
        </is>
      </c>
      <c r="J322" t="inlineStr"/>
      <c r="K322" t="inlineStr"/>
      <c r="L322" t="inlineStr"/>
      <c r="M322" t="inlineStr"/>
      <c r="N322" t="inlineStr"/>
      <c r="O322">
        <f>(1-Summary!$B$11)*T322+Summary!$B$11*V322</f>
        <v/>
      </c>
      <c r="P322">
        <f>IF(B344=0,0,O322/B344)</f>
        <v/>
      </c>
      <c r="Q322" t="n">
        <v>0</v>
      </c>
      <c r="R322" t="n">
        <v>0</v>
      </c>
      <c r="S322">
        <f>IFERROR(O322/N322,0)</f>
        <v/>
      </c>
      <c r="T322" t="n">
        <v>0</v>
      </c>
      <c r="V322" t="n">
        <v>0</v>
      </c>
    </row>
    <row r="323">
      <c r="A323">
        <f>Skills!A22</f>
        <v/>
      </c>
      <c r="B323">
        <f>Skills!B22</f>
        <v/>
      </c>
      <c r="C323">
        <f>Inputs!$B$3&gt;=33</f>
        <v/>
      </c>
      <c r="D323">
        <f>IF(Skills!C22=1,60+Inputs!$B$25+Inputs!$B$29,IF(Skills!C22=2,90+Inputs!$B$26+Inputs!$B$29,IF(Skills!C22=3,120+Inputs!$B$27+Inputs!$B$29,MAX(0,(Inputs!$B$3-100)*3)+Inputs!$B$28+Inputs!$B$29)))</f>
        <v/>
      </c>
      <c r="E323">
        <f>INDEX(FactorTable!$B$2:$Y$301, MATCH(ROUND(MIN(300,MAX(1,D323)),0), FactorTable!$A$2:$A$301,0), Skills!M22+1)</f>
        <v/>
      </c>
      <c r="F323">
        <f>IF(Skills!N22=TRUE,(Skills!L22/10)*(E323/1000),Skills!L22/10)+Skills!O22</f>
        <v/>
      </c>
      <c r="G323">
        <f>Skills!G22*IF(Skills!H22&gt;0,Skills!I22/Skills!H22,1)</f>
        <v/>
      </c>
      <c r="H323">
        <f>1-(1-Skills!J22/100)^Skills!K22</f>
        <v/>
      </c>
      <c r="I323" t="inlineStr">
        <is>
          <t>1</t>
        </is>
      </c>
      <c r="J323" t="inlineStr"/>
      <c r="K323" t="inlineStr"/>
      <c r="L323" t="inlineStr"/>
      <c r="M323" t="inlineStr"/>
      <c r="N323" t="inlineStr"/>
      <c r="O323">
        <f>(1-Summary!$B$11)*T323+Summary!$B$11*V323</f>
        <v/>
      </c>
      <c r="P323">
        <f>IF(B344=0,0,O323/B344)</f>
        <v/>
      </c>
      <c r="Q323" t="n">
        <v>0</v>
      </c>
      <c r="R323" t="n">
        <v>0</v>
      </c>
      <c r="S323">
        <f>IFERROR(O323/N323,0)</f>
        <v/>
      </c>
      <c r="T323" t="n">
        <v>0</v>
      </c>
      <c r="V323" t="n">
        <v>0</v>
      </c>
    </row>
    <row r="324">
      <c r="A324">
        <f>Skills!A23</f>
        <v/>
      </c>
      <c r="B324">
        <f>Skills!B23</f>
        <v/>
      </c>
      <c r="C324">
        <f>Inputs!$B$3&gt;=38</f>
        <v/>
      </c>
      <c r="D324">
        <f>IF(Skills!C23=1,60+Inputs!$B$25+Inputs!$B$29,IF(Skills!C23=2,90+Inputs!$B$26+Inputs!$B$29,IF(Skills!C23=3,120+Inputs!$B$27+Inputs!$B$29,MAX(0,(Inputs!$B$3-100)*3)+Inputs!$B$28+Inputs!$B$29)))</f>
        <v/>
      </c>
      <c r="E324">
        <f>INDEX(FactorTable!$B$2:$Y$301, MATCH(ROUND(MIN(300,MAX(1,D324)),0), FactorTable!$A$2:$A$301,0), Skills!M23+1)</f>
        <v/>
      </c>
      <c r="F324">
        <f>IF(Skills!N23=TRUE,(Skills!L23/10)*(E324/1000),Skills!L23/10)+Skills!O23</f>
        <v/>
      </c>
      <c r="G324">
        <f>Skills!G23*IF(Skills!H23&gt;0,Skills!I23/Skills!H23,1)</f>
        <v/>
      </c>
      <c r="H324">
        <f>1-(1-Skills!J23/100)^Skills!K23</f>
        <v/>
      </c>
      <c r="I324" t="inlineStr">
        <is>
          <t>1</t>
        </is>
      </c>
      <c r="J324" t="inlineStr"/>
      <c r="K324" t="inlineStr"/>
      <c r="L324" t="inlineStr"/>
      <c r="M324" t="inlineStr"/>
      <c r="N324" t="inlineStr"/>
      <c r="O324">
        <f>(1-Summary!$B$11)*T324+Summary!$B$11*V324</f>
        <v/>
      </c>
      <c r="P324">
        <f>IF(B344=0,0,O324/B344)</f>
        <v/>
      </c>
      <c r="Q324" t="n">
        <v>0</v>
      </c>
      <c r="R324" t="n">
        <v>0</v>
      </c>
      <c r="S324">
        <f>IFERROR(O324/N324,0)</f>
        <v/>
      </c>
      <c r="T324" t="n">
        <v>0</v>
      </c>
      <c r="V324" t="n">
        <v>0</v>
      </c>
    </row>
    <row r="325">
      <c r="A325">
        <f>Skills!A24</f>
        <v/>
      </c>
      <c r="B325">
        <f>Skills!B24</f>
        <v/>
      </c>
      <c r="C325">
        <f>Inputs!$B$3&gt;=43</f>
        <v/>
      </c>
      <c r="D325">
        <f>IF(Skills!C24=1,60+Inputs!$B$25+Inputs!$B$29,IF(Skills!C24=2,90+Inputs!$B$26+Inputs!$B$29,IF(Skills!C24=3,120+Inputs!$B$27+Inputs!$B$29,MAX(0,(Inputs!$B$3-100)*3)+Inputs!$B$28+Inputs!$B$29)))</f>
        <v/>
      </c>
      <c r="E325">
        <f>INDEX(FactorTable!$B$2:$Y$301, MATCH(ROUND(MIN(300,MAX(1,D325)),0), FactorTable!$A$2:$A$301,0), Skills!M24+1)</f>
        <v/>
      </c>
      <c r="F325">
        <f>IF(Skills!N24=TRUE,(Skills!L24/10)*(E325/1000),Skills!L24/10)+Skills!O24</f>
        <v/>
      </c>
      <c r="G325">
        <f>Skills!G24*IF(Skills!H24&gt;0,Skills!I24/Skills!H24,1)</f>
        <v/>
      </c>
      <c r="H325">
        <f>1-(1-Skills!J24/100)^Skills!K24</f>
        <v/>
      </c>
      <c r="I325" t="inlineStr">
        <is>
          <t>1</t>
        </is>
      </c>
      <c r="J325" t="inlineStr"/>
      <c r="K325" t="inlineStr"/>
      <c r="L325" t="inlineStr"/>
      <c r="M325" t="inlineStr"/>
      <c r="N325" t="inlineStr"/>
      <c r="O325">
        <f>(1-Summary!$B$11)*T325+Summary!$B$11*V325</f>
        <v/>
      </c>
      <c r="P325">
        <f>IF(B344=0,0,O325/B344)</f>
        <v/>
      </c>
      <c r="Q325" t="n">
        <v>0</v>
      </c>
      <c r="R325" t="n">
        <v>0</v>
      </c>
      <c r="S325">
        <f>IFERROR(O325/N325,0)</f>
        <v/>
      </c>
      <c r="T325" t="n">
        <v>0</v>
      </c>
      <c r="V325" t="n">
        <v>0</v>
      </c>
    </row>
    <row r="326">
      <c r="A326">
        <f>Skills!A25</f>
        <v/>
      </c>
      <c r="B326">
        <f>Skills!B25</f>
        <v/>
      </c>
      <c r="C326">
        <f>Inputs!$B$3&gt;=75</f>
        <v/>
      </c>
      <c r="D326">
        <f>IF(Skills!C25=1,60+Inputs!$B$25+Inputs!$B$29,IF(Skills!C25=2,90+Inputs!$B$26+Inputs!$B$29,IF(Skills!C25=3,120+Inputs!$B$27+Inputs!$B$29,MAX(0,(Inputs!$B$3-100)*3)+Inputs!$B$28+Inputs!$B$29)))</f>
        <v/>
      </c>
      <c r="E326">
        <f>INDEX(FactorTable!$B$2:$Y$301, MATCH(ROUND(MIN(300,MAX(1,D326)),0), FactorTable!$A$2:$A$301,0), Skills!M25+1)</f>
        <v/>
      </c>
      <c r="F326">
        <f>IF(Skills!N25=TRUE,(Skills!L25/10)*(E326/1000),Skills!L25/10)+Skills!O25</f>
        <v/>
      </c>
      <c r="G326">
        <f>Skills!G25*IF(Skills!H25&gt;0,Skills!I25/Skills!H25,1)</f>
        <v/>
      </c>
      <c r="H326">
        <f>1-(1-Skills!J25/100)^Skills!K25</f>
        <v/>
      </c>
      <c r="I326" t="inlineStr">
        <is>
          <t>1</t>
        </is>
      </c>
      <c r="J326" t="inlineStr"/>
      <c r="K326" t="inlineStr"/>
      <c r="L326" t="inlineStr"/>
      <c r="M326" t="inlineStr"/>
      <c r="N326" t="inlineStr"/>
      <c r="O326">
        <f>(1-Summary!$B$11)*T326+Summary!$B$11*V326</f>
        <v/>
      </c>
      <c r="P326">
        <f>IF(B344=0,0,O326/B344)</f>
        <v/>
      </c>
      <c r="Q326" t="n">
        <v>0</v>
      </c>
      <c r="R326" t="n">
        <v>0</v>
      </c>
      <c r="S326">
        <f>IFERROR(O326/N326,0)</f>
        <v/>
      </c>
      <c r="T326" t="n">
        <v>0</v>
      </c>
      <c r="V326" t="n">
        <v>0</v>
      </c>
    </row>
    <row r="327">
      <c r="A327">
        <f>Skills!A26</f>
        <v/>
      </c>
      <c r="B327">
        <f>Skills!B26</f>
        <v/>
      </c>
      <c r="C327">
        <f>Inputs!$B$3&gt;=125</f>
        <v/>
      </c>
      <c r="D327">
        <f>IF(Skills!C26=1,60+Inputs!$B$25+Inputs!$B$29,IF(Skills!C26=2,90+Inputs!$B$26+Inputs!$B$29,IF(Skills!C26=3,120+Inputs!$B$27+Inputs!$B$29,MAX(0,(Inputs!$B$3-100)*3)+Inputs!$B$28+Inputs!$B$29)))</f>
        <v/>
      </c>
      <c r="E327">
        <f>INDEX(FactorTable!$B$2:$Y$301, MATCH(ROUND(MIN(300,MAX(1,D327)),0), FactorTable!$A$2:$A$301,0), Skills!M26+1)</f>
        <v/>
      </c>
      <c r="F327">
        <f>IF(Skills!N26=TRUE,(Skills!L26/10)*(E327/1000),Skills!L26/10)+Skills!O26</f>
        <v/>
      </c>
      <c r="G327">
        <f>Skills!G26*IF(Skills!H26&gt;0,Skills!I26/Skills!H26,1)</f>
        <v/>
      </c>
      <c r="H327">
        <f>1-(1-Skills!J26/100)^Skills!K26</f>
        <v/>
      </c>
      <c r="I327" t="inlineStr">
        <is>
          <t>1</t>
        </is>
      </c>
      <c r="J327" t="inlineStr"/>
      <c r="K327" t="inlineStr"/>
      <c r="L327" t="inlineStr"/>
      <c r="M327" t="inlineStr"/>
      <c r="N327" t="inlineStr"/>
      <c r="O327">
        <f>(1-Summary!$B$11)*T327+Summary!$B$11*V327</f>
        <v/>
      </c>
      <c r="P327">
        <f>IF(B344=0,0,O327/B344)</f>
        <v/>
      </c>
      <c r="Q327" t="n">
        <v>0</v>
      </c>
      <c r="R327" t="n">
        <v>0</v>
      </c>
      <c r="S327">
        <f>IFERROR(O327/N327,0)</f>
        <v/>
      </c>
      <c r="T327" t="n">
        <v>0</v>
      </c>
      <c r="V327" t="n">
        <v>0</v>
      </c>
    </row>
    <row r="328">
      <c r="A328">
        <f>Skills!A27</f>
        <v/>
      </c>
      <c r="B328">
        <f>Skills!B27</f>
        <v/>
      </c>
      <c r="C328">
        <f>Inputs!$B$3&gt;=125</f>
        <v/>
      </c>
      <c r="D328">
        <f>IF(Skills!C27=1,60+Inputs!$B$25+Inputs!$B$29,IF(Skills!C27=2,90+Inputs!$B$26+Inputs!$B$29,IF(Skills!C27=3,120+Inputs!$B$27+Inputs!$B$29,MAX(0,(Inputs!$B$3-100)*3)+Inputs!$B$28+Inputs!$B$29)))</f>
        <v/>
      </c>
      <c r="E328">
        <f>INDEX(FactorTable!$B$2:$Y$301, MATCH(ROUND(MIN(300,MAX(1,D328)),0), FactorTable!$A$2:$A$301,0), Skills!M27+1)</f>
        <v/>
      </c>
      <c r="F328">
        <f>IF(Skills!N27=TRUE,(Skills!L27/10)*(E328/1000),Skills!L27/10)+Skills!O27</f>
        <v/>
      </c>
      <c r="G328">
        <f>Skills!G27*IF(Skills!H27&gt;0,Skills!I27/Skills!H27,1)</f>
        <v/>
      </c>
      <c r="H328">
        <f>1-(1-Skills!J27/100)^Skills!K27</f>
        <v/>
      </c>
      <c r="I328" t="inlineStr">
        <is>
          <t>1</t>
        </is>
      </c>
      <c r="J328" t="inlineStr"/>
      <c r="K328" t="inlineStr"/>
      <c r="L328" t="inlineStr"/>
      <c r="M328" t="inlineStr"/>
      <c r="N328" t="inlineStr"/>
      <c r="O328">
        <f>(1-Summary!$B$11)*T328+Summary!$B$11*V328</f>
        <v/>
      </c>
      <c r="P328">
        <f>IF(B344=0,0,O328/B344)</f>
        <v/>
      </c>
      <c r="Q328" t="n">
        <v>0</v>
      </c>
      <c r="R328" t="n">
        <v>0</v>
      </c>
      <c r="S328">
        <f>IFERROR(O328/N328,0)</f>
        <v/>
      </c>
      <c r="T328" t="n">
        <v>0</v>
      </c>
      <c r="V328" t="n">
        <v>0</v>
      </c>
    </row>
    <row r="329">
      <c r="A329">
        <f>Skills!A28</f>
        <v/>
      </c>
      <c r="B329">
        <f>Skills!B28</f>
        <v/>
      </c>
      <c r="C329">
        <f>Inputs!$B$3&gt;=120</f>
        <v/>
      </c>
      <c r="D329">
        <f>IF(Skills!C28=1,60+Inputs!$B$25+Inputs!$B$29,IF(Skills!C28=2,90+Inputs!$B$26+Inputs!$B$29,IF(Skills!C28=3,120+Inputs!$B$27+Inputs!$B$29,MAX(0,(Inputs!$B$3-100)*3)+Inputs!$B$28+Inputs!$B$29)))</f>
        <v/>
      </c>
      <c r="E329">
        <f>INDEX(FactorTable!$B$2:$Y$301, MATCH(ROUND(MIN(300,MAX(1,D329)),0), FactorTable!$A$2:$A$301,0), Skills!M28+1)</f>
        <v/>
      </c>
      <c r="F329">
        <f>IF(Skills!N28=TRUE,(Skills!L28/10)*(E329/1000),Skills!L28/10)+Skills!O28</f>
        <v/>
      </c>
      <c r="G329">
        <f>Skills!G28*IF(Skills!H28&gt;0,Skills!I28/Skills!H28,1)</f>
        <v/>
      </c>
      <c r="H329">
        <f>1-(1-Skills!J28/100)^Skills!K28</f>
        <v/>
      </c>
      <c r="I329" t="inlineStr">
        <is>
          <t>1</t>
        </is>
      </c>
      <c r="J329" t="inlineStr"/>
      <c r="K329" t="inlineStr"/>
      <c r="L329" t="inlineStr"/>
      <c r="M329" t="inlineStr"/>
      <c r="N329" t="inlineStr"/>
      <c r="O329">
        <f>(1-Summary!$B$11)*T329+Summary!$B$11*V329</f>
        <v/>
      </c>
      <c r="P329">
        <f>IF(B344=0,0,O329/B344)</f>
        <v/>
      </c>
      <c r="Q329" t="n">
        <v>0</v>
      </c>
      <c r="R329" t="n">
        <v>0</v>
      </c>
      <c r="S329">
        <f>IFERROR(O329/N329,0)</f>
        <v/>
      </c>
      <c r="T329" t="n">
        <v>0</v>
      </c>
      <c r="V329" t="n">
        <v>0</v>
      </c>
    </row>
    <row r="330">
      <c r="A330">
        <f>Skills!A29</f>
        <v/>
      </c>
      <c r="B330">
        <f>Skills!B29</f>
        <v/>
      </c>
      <c r="C330">
        <f>Inputs!$B$3&gt;=120</f>
        <v/>
      </c>
      <c r="D330">
        <f>IF(Skills!C29=1,60+Inputs!$B$25+Inputs!$B$29,IF(Skills!C29=2,90+Inputs!$B$26+Inputs!$B$29,IF(Skills!C29=3,120+Inputs!$B$27+Inputs!$B$29,MAX(0,(Inputs!$B$3-100)*3)+Inputs!$B$28+Inputs!$B$29)))</f>
        <v/>
      </c>
      <c r="E330">
        <f>INDEX(FactorTable!$B$2:$Y$301, MATCH(ROUND(MIN(300,MAX(1,D330)),0), FactorTable!$A$2:$A$301,0), Skills!M29+1)</f>
        <v/>
      </c>
      <c r="F330">
        <f>IF(Skills!N29=TRUE,(Skills!L29/10)*(E330/1000),Skills!L29/10)+Skills!O29</f>
        <v/>
      </c>
      <c r="G330">
        <f>Skills!G29*IF(Skills!H29&gt;0,Skills!I29/Skills!H29,1)</f>
        <v/>
      </c>
      <c r="H330">
        <f>1-(1-Skills!J29/100)^Skills!K29</f>
        <v/>
      </c>
      <c r="I330" t="inlineStr">
        <is>
          <t>1</t>
        </is>
      </c>
      <c r="J330" t="inlineStr"/>
      <c r="K330" t="inlineStr"/>
      <c r="L330" t="inlineStr"/>
      <c r="M330" t="inlineStr"/>
      <c r="N330" t="inlineStr"/>
      <c r="O330">
        <f>(1-Summary!$B$11)*T330+Summary!$B$11*V330</f>
        <v/>
      </c>
      <c r="P330">
        <f>IF(B344=0,0,O330/B344)</f>
        <v/>
      </c>
      <c r="Q330" t="n">
        <v>0</v>
      </c>
      <c r="R330" t="n">
        <v>0</v>
      </c>
      <c r="S330">
        <f>IFERROR(O330/N330,0)</f>
        <v/>
      </c>
      <c r="T330" t="n">
        <v>0</v>
      </c>
      <c r="V330" t="n">
        <v>0</v>
      </c>
    </row>
    <row r="331">
      <c r="A331">
        <f>Skills!A30</f>
        <v/>
      </c>
      <c r="B331">
        <f>Skills!B30</f>
        <v/>
      </c>
      <c r="C331">
        <f>Inputs!$B$3&gt;=45</f>
        <v/>
      </c>
      <c r="D331">
        <f>IF(Skills!C30=1,60+Inputs!$B$25+Inputs!$B$29,IF(Skills!C30=2,90+Inputs!$B$26+Inputs!$B$29,IF(Skills!C30=3,120+Inputs!$B$27+Inputs!$B$29,MAX(0,(Inputs!$B$3-100)*3)+Inputs!$B$28+Inputs!$B$29)))</f>
        <v/>
      </c>
      <c r="E331">
        <f>INDEX(FactorTable!$B$2:$Y$301, MATCH(ROUND(MIN(300,MAX(1,D331)),0), FactorTable!$A$2:$A$301,0), Skills!M30+1)</f>
        <v/>
      </c>
      <c r="F331">
        <f>IF(Skills!N30=TRUE,(Skills!L30/10)*(E331/1000),Skills!L30/10)+Skills!O30</f>
        <v/>
      </c>
      <c r="G331">
        <f>Skills!G30*IF(Skills!H30&gt;0,Skills!I30/Skills!H30,1)</f>
        <v/>
      </c>
      <c r="H331">
        <f>1-(1-Skills!J30/100)^Skills!K30</f>
        <v/>
      </c>
      <c r="I331" t="inlineStr">
        <is>
          <t>1</t>
        </is>
      </c>
      <c r="J331" t="inlineStr"/>
      <c r="K331" t="inlineStr"/>
      <c r="L331" t="inlineStr"/>
      <c r="M331" t="inlineStr"/>
      <c r="N331" t="inlineStr"/>
      <c r="O331">
        <f>(1-Summary!$B$11)*T331+Summary!$B$11*V331</f>
        <v/>
      </c>
      <c r="P331">
        <f>IF(B344=0,0,O331/B344)</f>
        <v/>
      </c>
      <c r="Q331" t="n">
        <v>0</v>
      </c>
      <c r="R331" t="n">
        <v>0</v>
      </c>
      <c r="S331">
        <f>IFERROR(O331/N331,0)</f>
        <v/>
      </c>
      <c r="T331" t="n">
        <v>0</v>
      </c>
      <c r="V331" t="n">
        <v>0</v>
      </c>
    </row>
    <row r="333">
      <c r="A333" t="inlineStr">
        <is>
          <t>Attack% Bucket Multiplier</t>
        </is>
      </c>
      <c r="B333">
        <f>(1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4">
      <c r="A334" t="inlineStr">
        <is>
          <t>Global Crit Rate Bonus %</t>
        </is>
      </c>
      <c r="B334">
        <f>(C317=TRUE)*20*IF(AND(Inputs!$B$38&lt;&gt;"pvp",Inputs!$B$43&gt;0),(((R317-1)*(Skills!T16*(1+Inputs!$B$34/100))+MIN((Skills!T16*(1+Inputs!$B$34/100)),MAX(0,Inputs!$B$43-((R317-1)*Skills!D16))))/Inputs!$B$43),IF(Inputs!$B$38="pvp",MIN((Skills!T16*(1+Inputs!$B$34/100)),15)/15,(Skills!T16*(1+Inputs!$B$34/100))/Skills!D16))</f>
        <v/>
      </c>
    </row>
    <row r="335">
      <c r="A335" t="inlineStr">
        <is>
          <t>Attack Speed Buff Bonus %</t>
        </is>
      </c>
      <c r="B335">
        <f>((C320=TRUE)*F320*IF(AND(Inputs!$B$38&lt;&gt;"pvp",Inputs!$B$43&gt;0),(((R320-1)*(Skills!T19*(1+Inputs!$B$34/100))+MIN((Skills!T19*(1+Inputs!$B$34/100)),MAX(0,Inputs!$B$43-((R320-1)*Skills!D19))))/Inputs!$B$43),IF(Inputs!$B$38="pvp",MIN((Skills!T19*(1+Inputs!$B$34/100)),15)/15,(Skills!T19*(1+Inputs!$B$34/100))/Skills!D19)))</f>
        <v/>
      </c>
    </row>
    <row r="336">
      <c r="A336" t="inlineStr">
        <is>
          <t>Actions Per Second</t>
        </is>
      </c>
      <c r="B336">
        <f>1+MIN(150,150*(1-(1-(Inputs!$B$11+((C322=TRUE)*(F322-Calc!F21))+((C323=TRUE)*(F323-Calc!F22)))/150)*(1-B335/150)))/100</f>
        <v/>
      </c>
    </row>
    <row r="337">
      <c r="A337" t="inlineStr">
        <is>
          <t>Skill + Buff Cast Rate</t>
        </is>
      </c>
      <c r="B337">
        <f>IF(AND(Inputs!$B$38&lt;&gt;"pvp",Inputs!$B$43&gt;0),SUMPRODUCT((Skills!E2:E30=TRUE)*(C303:C331=TRUE)*R303:R331*Skills!F2:F30)/Inputs!$B$43,SUMPRODUCT((Skills!E2:E30=TRUE)*(C303:C331=TRUE)*Q303:Q331*Skills!F2:F30))</f>
        <v/>
      </c>
    </row>
    <row r="338">
      <c r="A338" t="inlineStr">
        <is>
          <t>Arrow Stream Casts Per Second</t>
        </is>
      </c>
      <c r="B338">
        <f>MAX(0,B336-B337)</f>
        <v/>
      </c>
    </row>
    <row r="339">
      <c r="A339" t="inlineStr">
        <is>
          <t>Global Critical Damage Bonus % (Sharp Eyes + Concentration)</t>
        </is>
      </c>
      <c r="B339">
        <f>(C317=TRUE)*F317*IF(AND(Inputs!$B$38&lt;&gt;"pvp",Inputs!$B$43&gt;0),(((R317-1)*(Skills!T16*(1+Inputs!$B$34/100))+MIN((Skills!T16*(1+Inputs!$B$34/100)),MAX(0,Inputs!$B$43-((R317-1)*Skills!D16))))/Inputs!$B$43),IF(Inputs!$B$38="pvp",MIN((Skills!T16*(1+Inputs!$B$34/100)),15)/15,(Skills!T16*(1+Inputs!$B$34/100))/Skills!D16))+(C318=TRUE)*30</f>
        <v/>
      </c>
    </row>
    <row r="340">
      <c r="A340" t="inlineStr">
        <is>
          <t>Global Final Damage Bonus % (Mortal Blow)</t>
        </is>
      </c>
      <c r="B340">
        <f>(C319=TRUE)*F319</f>
        <v/>
      </c>
    </row>
    <row r="341">
      <c r="A341" t="inlineStr">
        <is>
          <t>Buff-Casting Startup Delay (s, fixed-duration only)</t>
        </is>
      </c>
      <c r="B341">
        <f>IF(AND(Inputs!$B$38&lt;&gt;"pvp",Inputs!$B$43&gt;0),SUMPRODUCT((Skills!T2:T30&gt;0)*(Skills!E2:E30=TRUE)*(C303:C331=TRUE))/B336,0)</f>
        <v/>
      </c>
    </row>
    <row r="342">
      <c r="A342" t="inlineStr">
        <is>
          <t>Boss-Only Total DPS (this block's swept value)</t>
        </is>
      </c>
      <c r="B342">
        <f>SUM(T303:T331)</f>
        <v/>
      </c>
    </row>
    <row r="343">
      <c r="A343" t="inlineStr">
        <is>
          <t>Normal-Only Total DPS (this block's swept value)</t>
        </is>
      </c>
      <c r="B343">
        <f>SUM(V303:V331)</f>
        <v/>
      </c>
    </row>
    <row r="344">
      <c r="A344" s="6" t="inlineStr">
        <is>
          <t>TOTAL DPS</t>
        </is>
      </c>
      <c r="B344" s="6">
        <f>SUM(O303:O331)</f>
        <v/>
      </c>
    </row>
    <row r="347">
      <c r="A347" s="6" t="inlineStr">
        <is>
          <t>Stat: NORMAL_DAMAGE %</t>
        </is>
      </c>
    </row>
    <row r="348">
      <c r="A348" s="5" t="inlineStr">
        <is>
          <t>Key</t>
        </is>
      </c>
      <c r="B348" s="5" t="inlineStr">
        <is>
          <t>Name</t>
        </is>
      </c>
      <c r="C348" s="5" t="inlineStr">
        <is>
          <t>Unlocked</t>
        </is>
      </c>
      <c r="D348" s="5" t="inlineStr">
        <is>
          <t>InputLevel</t>
        </is>
      </c>
      <c r="E348" s="5" t="inlineStr">
        <is>
          <t>Factor</t>
        </is>
      </c>
      <c r="F348" s="5" t="inlineStr">
        <is>
          <t>CoefficientPercent</t>
        </is>
      </c>
      <c r="G348" s="5" t="inlineStr">
        <is>
          <t>EffectiveHits</t>
        </is>
      </c>
      <c r="H348" s="5" t="inlineStr">
        <is>
          <t>ProcProbability</t>
        </is>
      </c>
      <c r="I348" s="5" t="inlineStr">
        <is>
          <t>MapleHeroMultiplier</t>
        </is>
      </c>
      <c r="J348" s="5" t="inlineStr">
        <is>
          <t>BaseDamage</t>
        </is>
      </c>
      <c r="K348" s="5" t="inlineStr">
        <is>
          <t>BaseHitDamage</t>
        </is>
      </c>
      <c r="L348" s="5" t="inlineStr">
        <is>
          <t>NonCritAvg</t>
        </is>
      </c>
      <c r="M348" s="5" t="inlineStr">
        <is>
          <t>CritAvg</t>
        </is>
      </c>
      <c r="N348" s="5" t="inlineStr">
        <is>
          <t>ExpectedDamage(perHit)</t>
        </is>
      </c>
      <c r="O348" s="5" t="inlineStr">
        <is>
          <t>DPS</t>
        </is>
      </c>
      <c r="P348" s="5" t="inlineStr">
        <is>
          <t>% of Total</t>
        </is>
      </c>
      <c r="Q348" s="5" t="inlineStr">
        <is>
          <t>InvCooldown</t>
        </is>
      </c>
      <c r="R348" s="5" t="inlineStr">
        <is>
          <t>CastsInFight</t>
        </is>
      </c>
      <c r="S348" s="5" t="inlineStr">
        <is>
          <t>HitRate(perSec)</t>
        </is>
      </c>
      <c r="U348" t="inlineStr">
        <is>
          <t>helpers</t>
        </is>
      </c>
    </row>
    <row r="349">
      <c r="A349">
        <f>Skills!A2</f>
        <v/>
      </c>
      <c r="B349">
        <f>Skills!B2</f>
        <v/>
      </c>
      <c r="C349">
        <f>Inputs!$B$3&gt;=100</f>
        <v/>
      </c>
      <c r="D349" t="inlineStr"/>
      <c r="E349" t="inlineStr"/>
      <c r="F349">
        <f>U351+Skills!O2</f>
        <v/>
      </c>
      <c r="G349">
        <f>Skills!G2*IF(Skills!H2&gt;0,Skills!I2/Skills!H2,1)</f>
        <v/>
      </c>
      <c r="H349">
        <f>1-(1-Skills!J2/100)^Skills!K2</f>
        <v/>
      </c>
      <c r="I349" t="inlineStr">
        <is>
          <t>1</t>
        </is>
      </c>
      <c r="J349">
        <f>((Inputs!$B$6*(1+Inputs!$B$7/100))+(((Inputs!$B$12*(1+Inputs!$B$13/100))-(Inputs!$B$12*(1+Inputs!$B$13/100)))+0.25*(Inputs!$B$14-Inputs!$B$14))*(1+Inputs!$B$7/100))*(F349/100)</f>
        <v/>
      </c>
      <c r="K349">
        <f>J349*(1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371=TRUE)*(F371-Calc!F24)),(Inputs!$B$23+((C376=TRUE)*(F376-Calc!F29))+(IF(ArtifactsInput!$M$15,CHOOSE(ArtifactsInput!$N$15+1,25,30,35,40,45,50)/100*(Inputs!$B$11-Inputs!$B$11),0))))/100+(Inputs!$B$23+((C376=TRUE)*(F376-Calc!F29))+(IF(ArtifactsInput!$M$15,CHOOSE(ArtifactsInput!$N$15+1,25,30,35,40,45,50)/100*(Inputs!$B$11-Inputs!$B$11),0)))/100)/2</f>
        <v/>
      </c>
      <c r="M349">
        <f>L349*(1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IF(B390=0,0,O349/B390)</f>
        <v/>
      </c>
      <c r="Q349" t="n">
        <v>0</v>
      </c>
      <c r="R349" t="n">
        <v>0</v>
      </c>
      <c r="S349">
        <f>IFERROR(O349/N349,0)</f>
        <v/>
      </c>
      <c r="T349">
        <f>IF(C349,(Skills!G2*N349*B384)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349*(1-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MAX(0,(Inputs!$B$3-100)*3)+Inputs!$B$28+Inputs!$B$29</f>
        <v/>
      </c>
      <c r="V349">
        <f>IF(C349,(Skills!G2*N349*B384)*IF(Inputs!$B$38="pvp",1,(1+((Inputs!$B$21+1)+Skills!Q2+(IF(ArtifactsInput!$M$33,CHOOSE(ArtifactsInput!$N$33+1,30,36,42,48,54,60),0))+(IF(AND(ArtifactsInput!$M$35,Inputs!$B$4&lt;&gt;"Chapter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Skills!A3</f>
        <v/>
      </c>
      <c r="B350">
        <f>Skills!B3</f>
        <v/>
      </c>
      <c r="C350">
        <f>Inputs!$B$3&gt;=50</f>
        <v/>
      </c>
      <c r="D350">
        <f>IF(Skills!C3=1,60+Inputs!$B$25+Inputs!$B$29,IF(Skills!C3=2,90+Inputs!$B$26+Inputs!$B$29,IF(Skills!C3=3,120+Inputs!$B$27+Inputs!$B$29,MAX(0,(Inputs!$B$3-100)*3)+Inputs!$B$28+Inputs!$B$29)))</f>
        <v/>
      </c>
      <c r="E350">
        <f>INDEX(FactorTable!$B$2:$Y$301, MATCH(ROUND(MIN(300,MAX(1,D350)),0), FactorTable!$A$2:$A$301,0), Skills!M3+1)</f>
        <v/>
      </c>
      <c r="F350">
        <f>IF(Skills!N3=TRUE,(Skills!L3/10)*(E350/1000),Skills!L3/10)+Skills!O3</f>
        <v/>
      </c>
      <c r="G350" t="inlineStr"/>
      <c r="H350" t="inlineStr"/>
      <c r="I350" t="inlineStr">
        <is>
          <t>1</t>
        </is>
      </c>
      <c r="J350" t="inlineStr"/>
      <c r="K350" t="inlineStr"/>
      <c r="L350" t="inlineStr"/>
      <c r="M350" t="inlineStr"/>
      <c r="N350" t="inlineStr"/>
      <c r="O350" t="inlineStr"/>
      <c r="P350" t="inlineStr"/>
      <c r="Q350" t="inlineStr"/>
      <c r="R350" t="inlineStr"/>
      <c r="S350" t="inlineStr"/>
      <c r="T350" t="inlineStr"/>
      <c r="U350">
        <f>INDEX(FactorTable!$B$2:$Y$301, MATCH(ROUND(MIN(300,MAX(1,U349)),0), FactorTable!$A$2:$A$301,0), 22)</f>
        <v/>
      </c>
      <c r="V350" t="inlineStr"/>
    </row>
    <row r="351">
      <c r="A351">
        <f>Skills!A4</f>
        <v/>
      </c>
      <c r="B351">
        <f>Skills!B4</f>
        <v/>
      </c>
      <c r="C351">
        <f>Inputs!$B$3&gt;=105</f>
        <v/>
      </c>
      <c r="D351">
        <f>IF(Skills!C4=1,60+Inputs!$B$25+Inputs!$B$29,IF(Skills!C4=2,90+Inputs!$B$26+Inputs!$B$29,IF(Skills!C4=3,120+Inputs!$B$27+Inputs!$B$29,MAX(0,(Inputs!$B$3-100)*3)+Inputs!$B$28+Inputs!$B$29)))</f>
        <v/>
      </c>
      <c r="E351">
        <f>INDEX(FactorTable!$B$2:$Y$301, MATCH(ROUND(MIN(300,MAX(1,D351)),0), FactorTable!$A$2:$A$301,0), Skills!M4+1)</f>
        <v/>
      </c>
      <c r="F351">
        <f>IF(Skills!N4=TRUE,(Skills!L4/10)*(E351/1000),Skills!L4/10)+Skills!O4</f>
        <v/>
      </c>
      <c r="G351" t="inlineStr"/>
      <c r="H351" t="inlineStr"/>
      <c r="I351" t="inlineStr">
        <is>
          <t>1</t>
        </is>
      </c>
      <c r="J351" t="inlineStr"/>
      <c r="K351" t="inlineStr"/>
      <c r="L351" t="inlineStr"/>
      <c r="M351" t="inlineStr"/>
      <c r="N351" t="inlineStr"/>
      <c r="O351" t="inlineStr"/>
      <c r="P351" t="inlineStr"/>
      <c r="Q351" t="inlineStr"/>
      <c r="R351" t="inlineStr"/>
      <c r="S351" t="inlineStr"/>
      <c r="T351" t="inlineStr"/>
      <c r="U351">
        <f>290*U350/1000</f>
        <v/>
      </c>
      <c r="V351" t="inlineStr"/>
    </row>
    <row r="352">
      <c r="A352">
        <f>Skills!A5</f>
        <v/>
      </c>
      <c r="B352">
        <f>Skills!B5</f>
        <v/>
      </c>
      <c r="C352">
        <f>Inputs!$B$3&gt;=35</f>
        <v/>
      </c>
      <c r="D352">
        <f>IF(Skills!C5=1,60+Inputs!$B$25+Inputs!$B$29,IF(Skills!C5=2,90+Inputs!$B$26+Inputs!$B$29,IF(Skills!C5=3,120+Inputs!$B$27+Inputs!$B$29,MAX(0,(Inputs!$B$3-100)*3)+Inputs!$B$28+Inputs!$B$29)))</f>
        <v/>
      </c>
      <c r="E352">
        <f>INDEX(FactorTable!$B$2:$Y$301, MATCH(ROUND(MIN(300,MAX(1,D352)),0), FactorTable!$A$2:$A$301,0), Skills!M5+1)</f>
        <v/>
      </c>
      <c r="F352">
        <f>IF(Skills!N5=TRUE,(Skills!L5/10)*(E352/1000),Skills!L5/10)+Skills!O5</f>
        <v/>
      </c>
      <c r="G352">
        <f>Skills!G5*IF(Skills!H5&gt;0,Skills!I5/Skills!H5,1)</f>
        <v/>
      </c>
      <c r="H352">
        <f>1-(1-Skills!J5/100)^Skills!K5</f>
        <v/>
      </c>
      <c r="I352" t="inlineStr">
        <is>
          <t>1</t>
        </is>
      </c>
      <c r="J352">
        <f>((Inputs!$B$6*(1+Inputs!$B$7/100))+(((Inputs!$B$12*(1+Inputs!$B$13/100))-(Inputs!$B$12*(1+Inputs!$B$13/100)))+0.25*(Inputs!$B$14-Inputs!$B$14))*(1+Inputs!$B$7/100))*(F352/100)</f>
        <v/>
      </c>
      <c r="K352">
        <f>J352*(1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357=TRUE,F357,0)/100)*(1+(IF(Skills!A5="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371=TRUE)*(F371-Calc!F24)),(Inputs!$B$23+((C376=TRUE)*(F376-Calc!F29))+(IF(ArtifactsInput!$M$15,CHOOSE(ArtifactsInput!$N$15+1,25,30,35,40,45,50)/100*(Inputs!$B$11-Inputs!$B$11),0))))/100+(Inputs!$B$23+((C376=TRUE)*(F376-Calc!F29))+(IF(ArtifactsInput!$M$15,CHOOSE(ArtifactsInput!$N$15+1,25,30,35,40,45,50)/100*(Inputs!$B$11-Inputs!$B$11),0)))/100)/2</f>
        <v/>
      </c>
      <c r="M352">
        <f>L352*(1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IF(B390=0,0,O352/B390)</f>
        <v/>
      </c>
      <c r="Q352">
        <f>IFERROR(1/(IF(Inputs!$B$38="pvp",15,MAX(0.1,Skills!D5-IF(Skills!E5=TRUE,Inputs!$B$32,0)))*(1-IF(AND(ArtifactsInput!$M$27,Inputs!$B$4="Chapter Hunt"),CHOOSE(ArtifactsInput!$N$27+1,20,24,28,32,36,40),0)/100)),0)</f>
        <v/>
      </c>
      <c r="R352">
        <f>IF(AND(Inputs!$B$38&lt;&gt;"pvp",Inputs!$B$43&gt;0),IF(MAX(0,Inputs!$B$43-B387)&lt;=0,0,(INT(MAX(0,Inputs!$B$43-B387)/(IF(Inputs!$B$38="pvp",15,MAX(0.1,Skills!D5-IF(Skills!E5=TRUE,Inputs!$B$32,0)))*(1-IF(AND(ArtifactsInput!$M$27,Inputs!$B$4="Chapter Hunt"),CHOOSE(ArtifactsInput!$N$27+1,20,24,28,32,36,40),0)/100)))+1)),0)</f>
        <v/>
      </c>
      <c r="S352">
        <f>IFERROR(O352/N352,0)</f>
        <v/>
      </c>
      <c r="T352">
        <f>IF(C352,(H352*N352*IF(AND(Inputs!$B$38&lt;&gt;"pvp",Inputs!$B$43&gt;0),((Skills!G5*((R352-1)*IF(Skills!H5&gt;0,Skills!I5/Skills!H5,1)+IF(Skills!H5&gt;0,MIN(Skills!I5,MAX(0,MAX(0,Inputs!$B$43-B387)-((R352-1)*(IF(Inputs!$B$38="pvp",15,MAX(0.1,Skills!D5-IF(Skills!E5=TRUE,Inputs!$B$32,0)))*(1-IF(AND(ArtifactsInput!$M$27,Inputs!$B$4="Chapter Hunt"),CHOOSE(ArtifactsInput!$N$27+1,20,24,28,32,36,40),0)/100)))))/Skills!H5,1)))/Inputs!$B$43),G352*Q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352*(1-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5*((R352-1)*IF(Skills!H5&gt;0,Skills!I5/Skills!H5,1)+IF(Skills!H5&gt;0,MIN(Skills!I5,MAX(0,MAX(0,Inputs!$B$43-B387)-((R352-1)*(IF(Inputs!$B$38="pvp",15,MAX(0.1,Skills!D5-IF(Skills!E5=TRUE,Inputs!$B$32,0)))*(1-IF(AND(ArtifactsInput!$M$27,Inputs!$B$4="Chapter Hunt"),CHOOSE(ArtifactsInput!$N$27+1,20,24,28,32,36,40),0)/100)))))/Skills!H5,1)))/Inputs!$B$43),G352*Q352))*IF(Inputs!$B$38="pvp",1,(1+((Inputs!$B$21+1)+Skills!Q5+(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Skills!A6</f>
        <v/>
      </c>
      <c r="B353">
        <f>Skills!B6</f>
        <v/>
      </c>
      <c r="C353">
        <f>Inputs!$B$3&gt;=40</f>
        <v/>
      </c>
      <c r="D353">
        <f>IF(Skills!C6=1,60+Inputs!$B$25+Inputs!$B$29,IF(Skills!C6=2,90+Inputs!$B$26+Inputs!$B$29,IF(Skills!C6=3,120+Inputs!$B$27+Inputs!$B$29,MAX(0,(Inputs!$B$3-100)*3)+Inputs!$B$28+Inputs!$B$29)))</f>
        <v/>
      </c>
      <c r="E353">
        <f>INDEX(FactorTable!$B$2:$Y$301, MATCH(ROUND(MIN(300,MAX(1,D353)),0), FactorTable!$A$2:$A$301,0), Skills!M6+1)</f>
        <v/>
      </c>
      <c r="F353">
        <f>IF(Skills!N6=TRUE,(Skills!L6/10)*(E353/1000),Skills!L6/10)+Skills!O6</f>
        <v/>
      </c>
      <c r="G353">
        <f>Skills!G6*IF(Skills!H6&gt;0,Skills!I6/Skills!H6,1)</f>
        <v/>
      </c>
      <c r="H353">
        <f>1-(1-Skills!J6/100)^Skills!K6</f>
        <v/>
      </c>
      <c r="I353" t="inlineStr">
        <is>
          <t>1</t>
        </is>
      </c>
      <c r="J353">
        <f>((Inputs!$B$6*(1+Inputs!$B$7/100))+(((Inputs!$B$12*(1+Inputs!$B$13/100))-(Inputs!$B$12*(1+Inputs!$B$13/100)))+0.25*(Inputs!$B$14-Inputs!$B$14))*(1+Inputs!$B$7/100))*(F353/100)</f>
        <v/>
      </c>
      <c r="K353">
        <f>J353*(1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354=TRUE,F354,0)/100)*(1+(IF(Skills!A6="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371=TRUE)*(F371-Calc!F24)),(Inputs!$B$23+((C376=TRUE)*(F376-Calc!F29))+(IF(ArtifactsInput!$M$15,CHOOSE(ArtifactsInput!$N$15+1,25,30,35,40,45,50)/100*(Inputs!$B$11-Inputs!$B$11),0))))/100+(Inputs!$B$23+((C376=TRUE)*(F376-Calc!F29))+(IF(ArtifactsInput!$M$15,CHOOSE(ArtifactsInput!$N$15+1,25,30,35,40,45,50)/100*(Inputs!$B$11-Inputs!$B$11),0)))/100)/2</f>
        <v/>
      </c>
      <c r="M353">
        <f>L353*(1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IF(B390=0,0,O353/B390)</f>
        <v/>
      </c>
      <c r="Q353">
        <f>IFERROR(1/(IF(Inputs!$B$38="pvp",15,MAX(0.1,Skills!D6-IF(Skills!E6=TRUE,Inputs!$B$32,0)))*(1-IF(AND(ArtifactsInput!$M$27,Inputs!$B$4="Chapter Hunt"),CHOOSE(ArtifactsInput!$N$27+1,20,24,28,32,36,40),0)/100)),0)</f>
        <v/>
      </c>
      <c r="R353">
        <f>IF(AND(Inputs!$B$38&lt;&gt;"pvp",Inputs!$B$43&gt;0),IF(MAX(0,Inputs!$B$43-B387)&lt;=0,0,(INT(MAX(0,Inputs!$B$43-B387)/(IF(Inputs!$B$38="pvp",15,MAX(0.1,Skills!D6-IF(Skills!E6=TRUE,Inputs!$B$32,0)))*(1-IF(AND(ArtifactsInput!$M$27,Inputs!$B$4="Chapter Hunt"),CHOOSE(ArtifactsInput!$N$27+1,20,24,28,32,36,40),0)/100)))+1)),0)</f>
        <v/>
      </c>
      <c r="S353">
        <f>IFERROR(O353/N353,0)</f>
        <v/>
      </c>
      <c r="T353">
        <f>IF(C353,(H353*N353*IF(AND(Inputs!$B$38&lt;&gt;"pvp",Inputs!$B$43&gt;0),((Skills!G6*((R353-1)*IF(Skills!H6&gt;0,Skills!I6/Skills!H6,1)+IF(Skills!H6&gt;0,MIN(Skills!I6,MAX(0,MAX(0,Inputs!$B$43-B387)-((R353-1)*(IF(Inputs!$B$38="pvp",15,MAX(0.1,Skills!D6-IF(Skills!E6=TRUE,Inputs!$B$32,0)))*(1-IF(AND(ArtifactsInput!$M$27,Inputs!$B$4="Chapter Hunt"),CHOOSE(ArtifactsInput!$N$27+1,20,24,28,32,36,40),0)/100)))))/Skills!H6,1)))/Inputs!$B$43),G353*Q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353*(1-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6*((R353-1)*IF(Skills!H6&gt;0,Skills!I6/Skills!H6,1)+IF(Skills!H6&gt;0,MIN(Skills!I6,MAX(0,MAX(0,Inputs!$B$43-B387)-((R353-1)*(IF(Inputs!$B$38="pvp",15,MAX(0.1,Skills!D6-IF(Skills!E6=TRUE,Inputs!$B$32,0)))*(1-IF(AND(ArtifactsInput!$M$27,Inputs!$B$4="Chapter Hunt"),CHOOSE(ArtifactsInput!$N$27+1,20,24,28,32,36,40),0)/100)))))/Skills!H6,1)))/Inputs!$B$43),G353*Q353))*IF(Inputs!$B$38="pvp",1,(1+((Inputs!$B$21+1)+Skills!Q6+(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Skills!A7</f>
        <v/>
      </c>
      <c r="B354">
        <f>Skills!B7</f>
        <v/>
      </c>
      <c r="C354">
        <f>Inputs!$B$3&gt;=107</f>
        <v/>
      </c>
      <c r="D354">
        <f>IF(Skills!C7=1,60+Inputs!$B$25+Inputs!$B$29,IF(Skills!C7=2,90+Inputs!$B$26+Inputs!$B$29,IF(Skills!C7=3,120+Inputs!$B$27+Inputs!$B$29,MAX(0,(Inputs!$B$3-100)*3)+Inputs!$B$28+Inputs!$B$29)))</f>
        <v/>
      </c>
      <c r="E354">
        <f>INDEX(FactorTable!$B$2:$Y$301, MATCH(ROUND(MIN(300,MAX(1,D354)),0), FactorTable!$A$2:$A$301,0), Skills!M7+1)</f>
        <v/>
      </c>
      <c r="F354">
        <f>IF(Skills!N7=TRUE,(Skills!L7/10)*(E354/1000),Skills!L7/10)+Skills!O7</f>
        <v/>
      </c>
      <c r="G354" t="inlineStr"/>
      <c r="H354" t="inlineStr"/>
      <c r="I354" t="inlineStr">
        <is>
          <t>1</t>
        </is>
      </c>
      <c r="J354" t="inlineStr"/>
      <c r="K354" t="inlineStr"/>
      <c r="L354" t="inlineStr"/>
      <c r="M354" t="inlineStr"/>
      <c r="N354" t="inlineStr"/>
      <c r="O354" t="inlineStr"/>
      <c r="P354" t="inlineStr"/>
      <c r="Q354" t="inlineStr"/>
      <c r="R354" t="inlineStr"/>
      <c r="S354" t="inlineStr"/>
      <c r="T354" t="inlineStr"/>
      <c r="V354" t="inlineStr"/>
    </row>
    <row r="355">
      <c r="A355">
        <f>Skills!A8</f>
        <v/>
      </c>
      <c r="B355">
        <f>Skills!B8</f>
        <v/>
      </c>
      <c r="C355">
        <f>Inputs!$B$3&gt;=69</f>
        <v/>
      </c>
      <c r="D355">
        <f>IF(Skills!C8=1,60+Inputs!$B$25+Inputs!$B$29,IF(Skills!C8=2,90+Inputs!$B$26+Inputs!$B$29,IF(Skills!C8=3,120+Inputs!$B$27+Inputs!$B$29,MAX(0,(Inputs!$B$3-100)*3)+Inputs!$B$28+Inputs!$B$29)))</f>
        <v/>
      </c>
      <c r="E355">
        <f>INDEX(FactorTable!$B$2:$Y$301, MATCH(ROUND(MIN(300,MAX(1,D355)),0), FactorTable!$A$2:$A$301,0), Skills!M8+1)</f>
        <v/>
      </c>
      <c r="F355">
        <f>IF(Skills!N8=TRUE,(Skills!L8/10)*(E355/1000),Skills!L8/10)+Skills!O8</f>
        <v/>
      </c>
      <c r="G355">
        <f>Skills!G8*IF(Skills!H8&gt;0,Skills!I8/Skills!H8,1)</f>
        <v/>
      </c>
      <c r="H355">
        <f>1-(1-Skills!J8/100)^Skills!K8</f>
        <v/>
      </c>
      <c r="I355" t="inlineStr">
        <is>
          <t>1</t>
        </is>
      </c>
      <c r="J355">
        <f>((Inputs!$B$6*(1+Inputs!$B$7/100))+(((Inputs!$B$12*(1+Inputs!$B$13/100))-(Inputs!$B$12*(1+Inputs!$B$13/100)))+0.25*(Inputs!$B$14-Inputs!$B$14))*(1+Inputs!$B$7/100))*(F355/100)</f>
        <v/>
      </c>
      <c r="K355">
        <f>J355*(1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357=TRUE,F357,0)/100)*(1+(IF(Skills!A8="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371=TRUE)*(F371-Calc!F24)),(Inputs!$B$23+((C376=TRUE)*(F376-Calc!F29))+(IF(ArtifactsInput!$M$15,CHOOSE(ArtifactsInput!$N$15+1,25,30,35,40,45,50)/100*(Inputs!$B$11-Inputs!$B$11),0))))/100+(Inputs!$B$23+((C376=TRUE)*(F376-Calc!F29))+(IF(ArtifactsInput!$M$15,CHOOSE(ArtifactsInput!$N$15+1,25,30,35,40,45,50)/100*(Inputs!$B$11-Inputs!$B$11),0)))/100)/2</f>
        <v/>
      </c>
      <c r="M355">
        <f>L355*(1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IF(B390=0,0,O355/B390)</f>
        <v/>
      </c>
      <c r="Q355">
        <f>IFERROR(1/(IF(Inputs!$B$38="pvp",15,MAX(0.1,Skills!D8-IF(Skills!E8=TRUE,Inputs!$B$32,0)))*(1-IF(AND(ArtifactsInput!$M$27,Inputs!$B$4="Chapter Hunt"),CHOOSE(ArtifactsInput!$N$27+1,20,24,28,32,36,40),0)/100)),0)</f>
        <v/>
      </c>
      <c r="R355">
        <f>IF(AND(Inputs!$B$38&lt;&gt;"pvp",Inputs!$B$43&gt;0),IF(MAX(0,Inputs!$B$43-B387)&lt;=0,0,(INT(MAX(0,Inputs!$B$43-B387)/(IF(Inputs!$B$38="pvp",15,MAX(0.1,Skills!D8-IF(Skills!E8=TRUE,Inputs!$B$32,0)))*(1-IF(AND(ArtifactsInput!$M$27,Inputs!$B$4="Chapter Hunt"),CHOOSE(ArtifactsInput!$N$27+1,20,24,28,32,36,40),0)/100)))+1)),0)</f>
        <v/>
      </c>
      <c r="S355">
        <f>IFERROR(O355/N355,0)</f>
        <v/>
      </c>
      <c r="T355">
        <f>IF(C355,(H355*N355*IF(AND(Inputs!$B$38&lt;&gt;"pvp",Inputs!$B$43&gt;0),((Skills!G8*((R355-1)*IF(Skills!H8&gt;0,Skills!I8/Skills!H8,1)+IF(Skills!H8&gt;0,MIN(Skills!I8,MAX(0,MAX(0,Inputs!$B$43-B387)-((R355-1)*(IF(Inputs!$B$38="pvp",15,MAX(0.1,Skills!D8-IF(Skills!E8=TRUE,Inputs!$B$32,0)))*(1-IF(AND(ArtifactsInput!$M$27,Inputs!$B$4="Chapter Hunt"),CHOOSE(ArtifactsInput!$N$27+1,20,24,28,32,36,40),0)/100)))))/Skills!H8,1)))/Inputs!$B$43),G355*Q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355*(1-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8*((R355-1)*IF(Skills!H8&gt;0,Skills!I8/Skills!H8,1)+IF(Skills!H8&gt;0,MIN(Skills!I8,MAX(0,MAX(0,Inputs!$B$43-B387)-((R355-1)*(IF(Inputs!$B$38="pvp",15,MAX(0.1,Skills!D8-IF(Skills!E8=TRUE,Inputs!$B$32,0)))*(1-IF(AND(ArtifactsInput!$M$27,Inputs!$B$4="Chapter Hunt"),CHOOSE(ArtifactsInput!$N$27+1,20,24,28,32,36,40),0)/100)))))/Skills!H8,1)))/Inputs!$B$43),G355*Q355))*IF(Inputs!$B$38="pvp",1,(1+((Inputs!$B$21+1)+Skills!Q8+(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Skills!A9</f>
        <v/>
      </c>
      <c r="B356">
        <f>Skills!B9</f>
        <v/>
      </c>
      <c r="C356">
        <f>Inputs!$B$3&gt;=63</f>
        <v/>
      </c>
      <c r="D356">
        <f>IF(Skills!C9=1,60+Inputs!$B$25+Inputs!$B$29,IF(Skills!C9=2,90+Inputs!$B$26+Inputs!$B$29,IF(Skills!C9=3,120+Inputs!$B$27+Inputs!$B$29,MAX(0,(Inputs!$B$3-100)*3)+Inputs!$B$28+Inputs!$B$29)))</f>
        <v/>
      </c>
      <c r="E356">
        <f>INDEX(FactorTable!$B$2:$Y$301, MATCH(ROUND(MIN(300,MAX(1,D356)),0), FactorTable!$A$2:$A$301,0), Skills!M9+1)</f>
        <v/>
      </c>
      <c r="F356">
        <f>IF(Skills!N9=TRUE,(Skills!L9/10)*(E356/1000),Skills!L9/10)+Skills!O9</f>
        <v/>
      </c>
      <c r="G356">
        <f>Skills!G9*IF(Skills!H9&gt;0,Skills!I9/Skills!H9,1)</f>
        <v/>
      </c>
      <c r="H356">
        <f>1-(1-Skills!J9/100)^Skills!K9</f>
        <v/>
      </c>
      <c r="I356" t="inlineStr">
        <is>
          <t>1</t>
        </is>
      </c>
      <c r="J356">
        <f>((Inputs!$B$6*(1+Inputs!$B$7/100))+(((Inputs!$B$12*(1+Inputs!$B$13/100))-(Inputs!$B$12*(1+Inputs!$B$13/100)))+0.25*(Inputs!$B$14-Inputs!$B$14))*(1+Inputs!$B$7/100))*(F356/100)</f>
        <v/>
      </c>
      <c r="K356">
        <f>J356*(1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357=TRUE,F357,0)/100)*(1+(IF(Skills!A9="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371=TRUE)*(F371-Calc!F24)),(Inputs!$B$23+((C376=TRUE)*(F376-Calc!F29))+(IF(ArtifactsInput!$M$15,CHOOSE(ArtifactsInput!$N$15+1,25,30,35,40,45,50)/100*(Inputs!$B$11-Inputs!$B$11),0))))/100+(Inputs!$B$23+((C376=TRUE)*(F376-Calc!F29))+(IF(ArtifactsInput!$M$15,CHOOSE(ArtifactsInput!$N$15+1,25,30,35,40,45,50)/100*(Inputs!$B$11-Inputs!$B$11),0)))/100)/2</f>
        <v/>
      </c>
      <c r="M356">
        <f>L356*(1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IF(B390=0,0,O356/B390)</f>
        <v/>
      </c>
      <c r="Q356">
        <f>IFERROR(1/(IF(Inputs!$B$38="pvp",15,MAX(0.1,Skills!D9-IF(Skills!E9=TRUE,Inputs!$B$32,0)))*(1-IF(AND(ArtifactsInput!$M$27,Inputs!$B$4="Chapter Hunt"),CHOOSE(ArtifactsInput!$N$27+1,20,24,28,32,36,40),0)/100)),0)</f>
        <v/>
      </c>
      <c r="R356">
        <f>IF(AND(Inputs!$B$38&lt;&gt;"pvp",Inputs!$B$43&gt;0),IF(MAX(0,Inputs!$B$43-B387)&lt;=0,0,(INT(MAX(0,Inputs!$B$43-B387)/(IF(Inputs!$B$38="pvp",15,MAX(0.1,Skills!D9-IF(Skills!E9=TRUE,Inputs!$B$32,0)))*(1-IF(AND(ArtifactsInput!$M$27,Inputs!$B$4="Chapter Hunt"),CHOOSE(ArtifactsInput!$N$27+1,20,24,28,32,36,40),0)/100)))+1)),0)</f>
        <v/>
      </c>
      <c r="S356">
        <f>IFERROR(O356/N356,0)</f>
        <v/>
      </c>
      <c r="T356">
        <f>IF(C356,(H356*N356*IF(AND(Inputs!$B$38&lt;&gt;"pvp",Inputs!$B$43&gt;0),((Skills!G9*((R356-1)*IF(Skills!H9&gt;0,Skills!I9/Skills!H9,1)+IF(Skills!H9&gt;0,MIN(Skills!I9,MAX(0,MAX(0,Inputs!$B$43-B387)-((R356-1)*(IF(Inputs!$B$38="pvp",15,MAX(0.1,Skills!D9-IF(Skills!E9=TRUE,Inputs!$B$32,0)))*(1-IF(AND(ArtifactsInput!$M$27,Inputs!$B$4="Chapter Hunt"),CHOOSE(ArtifactsInput!$N$27+1,20,24,28,32,36,40),0)/100)))))/Skills!H9,1)))/Inputs!$B$43),G356*Q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356*(1-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9*((R356-1)*IF(Skills!H9&gt;0,Skills!I9/Skills!H9,1)+IF(Skills!H9&gt;0,MIN(Skills!I9,MAX(0,MAX(0,Inputs!$B$43-B387)-((R356-1)*(IF(Inputs!$B$38="pvp",15,MAX(0.1,Skills!D9-IF(Skills!E9=TRUE,Inputs!$B$32,0)))*(1-IF(AND(ArtifactsInput!$M$27,Inputs!$B$4="Chapter Hunt"),CHOOSE(ArtifactsInput!$N$27+1,20,24,28,32,36,40),0)/100)))))/Skills!H9,1)))/Inputs!$B$43),G356*Q356))*IF(Inputs!$B$38="pvp",1,(1+((Inputs!$B$21+1)+Skills!Q9+(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Skills!A10</f>
        <v/>
      </c>
      <c r="B357">
        <f>Skills!B10</f>
        <v/>
      </c>
      <c r="C357">
        <f>Inputs!$B$3&gt;=100</f>
        <v/>
      </c>
      <c r="D357">
        <f>IF(Skills!C10=1,60+Inputs!$B$25+Inputs!$B$29,IF(Skills!C10=2,90+Inputs!$B$26+Inputs!$B$29,IF(Skills!C10=3,120+Inputs!$B$27+Inputs!$B$29,MAX(0,(Inputs!$B$3-100)*3)+Inputs!$B$28+Inputs!$B$29)))</f>
        <v/>
      </c>
      <c r="E357">
        <f>INDEX(FactorTable!$B$2:$Y$301, MATCH(ROUND(MIN(300,MAX(1,D357)),0), FactorTable!$A$2:$A$301,0), Skills!M10+1)</f>
        <v/>
      </c>
      <c r="F357">
        <f>IF(Skills!N10=TRUE,(Skills!L10/10)*(E357/1000),Skills!L10/10)+Skills!O10</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V357" t="inlineStr"/>
    </row>
    <row r="358">
      <c r="A358">
        <f>Skills!A11</f>
        <v/>
      </c>
      <c r="B358">
        <f>Skills!B11</f>
        <v/>
      </c>
      <c r="C358">
        <f>Inputs!$B$3&gt;=60</f>
        <v/>
      </c>
      <c r="D358">
        <f>IF(Skills!C11=1,60+Inputs!$B$25+Inputs!$B$29,IF(Skills!C11=2,90+Inputs!$B$26+Inputs!$B$29,IF(Skills!C11=3,120+Inputs!$B$27+Inputs!$B$29,MAX(0,(Inputs!$B$3-100)*3)+Inputs!$B$28+Inputs!$B$29)))</f>
        <v/>
      </c>
      <c r="E358">
        <f>INDEX(FactorTable!$B$2:$Y$301, MATCH(ROUND(MIN(300,MAX(1,D358)),0), FactorTable!$A$2:$A$301,0), Skills!M11+1)</f>
        <v/>
      </c>
      <c r="F358">
        <f>IF(Skills!N11=TRUE,(Skills!L11/10)*(E358/1000),Skills!L11/10)+Skills!O11</f>
        <v/>
      </c>
      <c r="G358">
        <f>Skills!G11*IF(Skills!H11&gt;0,Skills!I11/Skills!H11,1)</f>
        <v/>
      </c>
      <c r="H358">
        <f>1-(1-Skills!J11/100)^Skills!K11</f>
        <v/>
      </c>
      <c r="I358" t="inlineStr">
        <is>
          <t>1</t>
        </is>
      </c>
      <c r="J358">
        <f>((Inputs!$B$6*(1+Inputs!$B$7/100))+(((Inputs!$B$12*(1+Inputs!$B$13/100))-(Inputs!$B$12*(1+Inputs!$B$13/100)))+0.25*(Inputs!$B$14-Inputs!$B$14))*(1+Inputs!$B$7/100))*(F358/100)</f>
        <v/>
      </c>
      <c r="K358">
        <f>J358*(1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359=TRUE,F359,0)/100)*(1+(IF(Skills!A11="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371=TRUE)*(F371-Calc!F24)),(Inputs!$B$23+((C376=TRUE)*(F376-Calc!F29))+(IF(ArtifactsInput!$M$15,CHOOSE(ArtifactsInput!$N$15+1,25,30,35,40,45,50)/100*(Inputs!$B$11-Inputs!$B$11),0))))/100+(Inputs!$B$23+((C376=TRUE)*(F376-Calc!F29))+(IF(ArtifactsInput!$M$15,CHOOSE(ArtifactsInput!$N$15+1,25,30,35,40,45,50)/100*(Inputs!$B$11-Inputs!$B$11),0)))/100)/2</f>
        <v/>
      </c>
      <c r="M358">
        <f>L358*(1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IF(B390=0,0,O358/B390)</f>
        <v/>
      </c>
      <c r="Q358">
        <f>IFERROR(1/(IF(Inputs!$B$38="pvp",15,MAX(0.1,Skills!D11-IF(Skills!E11=TRUE,Inputs!$B$32,0)))*(1-IF(AND(ArtifactsInput!$M$27,Inputs!$B$4="Chapter Hunt"),CHOOSE(ArtifactsInput!$N$27+1,20,24,28,32,36,40),0)/100)),0)</f>
        <v/>
      </c>
      <c r="R358">
        <f>IF(AND(Inputs!$B$38&lt;&gt;"pvp",Inputs!$B$43&gt;0),IF(MAX(0,Inputs!$B$43-B387)&lt;=0,0,(INT(MAX(0,Inputs!$B$43-B387)/(IF(Inputs!$B$38="pvp",15,MAX(0.1,Skills!D11-IF(Skills!E11=TRUE,Inputs!$B$32,0)))*(1-IF(AND(ArtifactsInput!$M$27,Inputs!$B$4="Chapter Hunt"),CHOOSE(ArtifactsInput!$N$27+1,20,24,28,32,36,40),0)/100)))+1)),0)</f>
        <v/>
      </c>
      <c r="S358">
        <f>IFERROR(O358/N358,0)</f>
        <v/>
      </c>
      <c r="T358">
        <f>IF(C358,(H358*N358*IF(AND(Inputs!$B$38&lt;&gt;"pvp",Inputs!$B$43&gt;0),((Skills!G11*((R358-1)*IF(Skills!H11&gt;0,Skills!I11/Skills!H11,1)+IF(Skills!H11&gt;0,MIN(Skills!I11,MAX(0,MAX(0,Inputs!$B$43-B387)-((R358-1)*(IF(Inputs!$B$38="pvp",15,MAX(0.1,Skills!D11-IF(Skills!E11=TRUE,Inputs!$B$32,0)))*(1-IF(AND(ArtifactsInput!$M$27,Inputs!$B$4="Chapter Hunt"),CHOOSE(ArtifactsInput!$N$27+1,20,24,28,32,36,40),0)/100)))))/Skills!H11,1)))/Inputs!$B$43),G358*Q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358*(1-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11*((R358-1)*IF(Skills!H11&gt;0,Skills!I11/Skills!H11,1)+IF(Skills!H11&gt;0,MIN(Skills!I11,MAX(0,MAX(0,Inputs!$B$43-B387)-((R358-1)*(IF(Inputs!$B$38="pvp",15,MAX(0.1,Skills!D11-IF(Skills!E11=TRUE,Inputs!$B$32,0)))*(1-IF(AND(ArtifactsInput!$M$27,Inputs!$B$4="Chapter Hunt"),CHOOSE(ArtifactsInput!$N$27+1,20,24,28,32,36,40),0)/100)))))/Skills!H11,1)))/Inputs!$B$43),G358*Q358))*IF(Inputs!$B$38="pvp",1,(1+((Inputs!$B$21+1)+Skills!Q11+(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Skills!A12</f>
        <v/>
      </c>
      <c r="B359">
        <f>Skills!B12</f>
        <v/>
      </c>
      <c r="C359">
        <f>Inputs!$B$3&gt;=110</f>
        <v/>
      </c>
      <c r="D359">
        <f>IF(Skills!C12=1,60+Inputs!$B$25+Inputs!$B$29,IF(Skills!C12=2,90+Inputs!$B$26+Inputs!$B$29,IF(Skills!C12=3,120+Inputs!$B$27+Inputs!$B$29,MAX(0,(Inputs!$B$3-100)*3)+Inputs!$B$28+Inputs!$B$29)))</f>
        <v/>
      </c>
      <c r="E359">
        <f>INDEX(FactorTable!$B$2:$Y$301, MATCH(ROUND(MIN(300,MAX(1,D359)),0), FactorTable!$A$2:$A$301,0), Skills!M12+1)</f>
        <v/>
      </c>
      <c r="F359">
        <f>IF(Skills!N12=TRUE,(Skills!L12/10)*(E359/1000),Skills!L12/10)+Skills!O12</f>
        <v/>
      </c>
      <c r="G359" t="inlineStr"/>
      <c r="H359" t="inlineStr"/>
      <c r="I359" t="inlineStr">
        <is>
          <t>1</t>
        </is>
      </c>
      <c r="J359" t="inlineStr"/>
      <c r="K359" t="inlineStr"/>
      <c r="L359" t="inlineStr"/>
      <c r="M359" t="inlineStr"/>
      <c r="N359" t="inlineStr"/>
      <c r="O359" t="inlineStr"/>
      <c r="P359" t="inlineStr"/>
      <c r="Q359" t="inlineStr"/>
      <c r="R359" t="inlineStr"/>
      <c r="S359" t="inlineStr"/>
      <c r="T359" t="inlineStr"/>
      <c r="V359" t="inlineStr"/>
    </row>
    <row r="360">
      <c r="A360">
        <f>Skills!A13</f>
        <v/>
      </c>
      <c r="B360">
        <f>Skills!B13</f>
        <v/>
      </c>
      <c r="C360">
        <f>Inputs!$B$3&gt;=74</f>
        <v/>
      </c>
      <c r="D360">
        <f>IF(Skills!C13=1,60+Inputs!$B$25+Inputs!$B$29,IF(Skills!C13=2,90+Inputs!$B$26+Inputs!$B$29,IF(Skills!C13=3,120+Inputs!$B$27+Inputs!$B$29,MAX(0,(Inputs!$B$3-100)*3)+Inputs!$B$28+Inputs!$B$29)))</f>
        <v/>
      </c>
      <c r="E360">
        <f>INDEX(FactorTable!$B$2:$Y$301, MATCH(ROUND(MIN(300,MAX(1,D360)),0), FactorTable!$A$2:$A$301,0), Skills!M13+1)</f>
        <v/>
      </c>
      <c r="F360">
        <f>IF(Skills!N13=TRUE,(Skills!L13/10)*(E360/1000),Skills!L13/10)+Skills!O13</f>
        <v/>
      </c>
      <c r="G360">
        <f>Skills!G13*IF(Skills!H13&gt;0,Skills!I13/Skills!H13,1)</f>
        <v/>
      </c>
      <c r="H360">
        <f>1-(1-Skills!J13/100)^Skills!K13</f>
        <v/>
      </c>
      <c r="I360" t="inlineStr">
        <is>
          <t>1</t>
        </is>
      </c>
      <c r="J360" t="inlineStr"/>
      <c r="K360" t="inlineStr"/>
      <c r="L360" t="inlineStr"/>
      <c r="M360" t="inlineStr"/>
      <c r="N360" t="inlineStr"/>
      <c r="O360">
        <f>(1-Summary!$B$11)*T360+Summary!$B$11*V360</f>
        <v/>
      </c>
      <c r="P360">
        <f>IF(B390=0,0,O360/B390)</f>
        <v/>
      </c>
      <c r="Q360" t="n">
        <v>0</v>
      </c>
      <c r="R360" t="n">
        <v>0</v>
      </c>
      <c r="S360">
        <f>IFERROR(O360/N360,0)</f>
        <v/>
      </c>
      <c r="T360" t="n">
        <v>0</v>
      </c>
      <c r="V360" t="n">
        <v>0</v>
      </c>
    </row>
    <row r="361">
      <c r="A361">
        <f>Skills!A14</f>
        <v/>
      </c>
      <c r="B361">
        <f>Skills!B14</f>
        <v/>
      </c>
      <c r="C361">
        <f>Inputs!$B$3&gt;=74</f>
        <v/>
      </c>
      <c r="D361">
        <f>IF(Skills!C14=1,60+Inputs!$B$25+Inputs!$B$29,IF(Skills!C14=2,90+Inputs!$B$26+Inputs!$B$29,IF(Skills!C14=3,120+Inputs!$B$27+Inputs!$B$29,MAX(0,(Inputs!$B$3-100)*3)+Inputs!$B$28+Inputs!$B$29)))</f>
        <v/>
      </c>
      <c r="E361">
        <f>INDEX(FactorTable!$B$2:$Y$301, MATCH(ROUND(MIN(300,MAX(1,D361)),0), FactorTable!$A$2:$A$301,0), Skills!M14+1)</f>
        <v/>
      </c>
      <c r="F361">
        <f>IF(Skills!N14=TRUE,(Skills!L14/10)*(E361/1000),Skills!L14/10)+Skills!O14</f>
        <v/>
      </c>
      <c r="G361">
        <f>Skills!G14*IF(Skills!H14&gt;0,Skills!I14/Skills!H14,1)</f>
        <v/>
      </c>
      <c r="H361">
        <f>1-(1-Skills!J14/100)^Skills!K14</f>
        <v/>
      </c>
      <c r="I361" t="inlineStr">
        <is>
          <t>1</t>
        </is>
      </c>
      <c r="J361" t="inlineStr"/>
      <c r="K361" t="inlineStr"/>
      <c r="L361" t="inlineStr"/>
      <c r="M361" t="inlineStr"/>
      <c r="N361" t="inlineStr"/>
      <c r="O361">
        <f>(1-Summary!$B$11)*T361+Summary!$B$11*V361</f>
        <v/>
      </c>
      <c r="P361">
        <f>IF(B390=0,0,O361/B390)</f>
        <v/>
      </c>
      <c r="Q361" t="n">
        <v>0</v>
      </c>
      <c r="R361" t="n">
        <v>0</v>
      </c>
      <c r="S361">
        <f>IFERROR(O361/N361,0)</f>
        <v/>
      </c>
      <c r="T361" t="n">
        <v>0</v>
      </c>
      <c r="V361" t="n">
        <v>0</v>
      </c>
    </row>
    <row r="362">
      <c r="A362">
        <f>Skills!A15</f>
        <v/>
      </c>
      <c r="B362">
        <f>Skills!B15</f>
        <v/>
      </c>
      <c r="C362">
        <f>Inputs!$B$3&gt;=117</f>
        <v/>
      </c>
      <c r="D362">
        <f>IF(Skills!C15=1,60+Inputs!$B$25+Inputs!$B$29,IF(Skills!C15=2,90+Inputs!$B$26+Inputs!$B$29,IF(Skills!C15=3,120+Inputs!$B$27+Inputs!$B$29,MAX(0,(Inputs!$B$3-100)*3)+Inputs!$B$28+Inputs!$B$29)))</f>
        <v/>
      </c>
      <c r="E362">
        <f>INDEX(FactorTable!$B$2:$Y$301, MATCH(ROUND(MIN(300,MAX(1,D362)),0), FactorTable!$A$2:$A$301,0), Skills!M15+1)</f>
        <v/>
      </c>
      <c r="F362">
        <f>IF(Skills!N15=TRUE,(Skills!L15/10)*(E362/1000),Skills!L15/10)+Skills!O15</f>
        <v/>
      </c>
      <c r="G362">
        <f>Skills!G15*IF(Skills!H15&gt;0,Skills!I15/Skills!H15,1)</f>
        <v/>
      </c>
      <c r="H362">
        <f>1-(1-Skills!J15/100)^Skills!K15</f>
        <v/>
      </c>
      <c r="I362" t="inlineStr">
        <is>
          <t>1</t>
        </is>
      </c>
      <c r="J362" t="inlineStr"/>
      <c r="K362" t="inlineStr"/>
      <c r="L362" t="inlineStr"/>
      <c r="M362" t="inlineStr"/>
      <c r="N362" t="inlineStr"/>
      <c r="O362">
        <f>(1-Summary!$B$11)*T362+Summary!$B$11*V362</f>
        <v/>
      </c>
      <c r="P362">
        <f>IF(B390=0,0,O362/B390)</f>
        <v/>
      </c>
      <c r="Q362">
        <f>IFERROR(1/(IF(Inputs!$B$38="pvp",15,MAX(0.1,Skills!D15-IF(Skills!E15=TRUE,Inputs!$B$32,0)))*(1-IF(AND(ArtifactsInput!$M$27,Inputs!$B$4="Chapter Hunt"),CHOOSE(ArtifactsInput!$N$27+1,20,24,28,32,36,40),0)/100)),0)</f>
        <v/>
      </c>
      <c r="R362">
        <f>IF(AND(Inputs!$B$38&lt;&gt;"pvp",Inputs!$B$43&gt;0),IF(Inputs!$B$43&lt;=0,0,(INT(Inputs!$B$43/(IF(Inputs!$B$38="pvp",15,MAX(0.1,Skills!D15-IF(Skills!E15=TRUE,Inputs!$B$32,0)))*(1-IF(AND(ArtifactsInput!$M$27,Inputs!$B$4="Chapter Hunt"),CHOOSE(ArtifactsInput!$N$27+1,20,24,28,32,36,40),0)/100)))+1)),0)</f>
        <v/>
      </c>
      <c r="S362">
        <f>IFERROR(O362/N362,0)</f>
        <v/>
      </c>
      <c r="T362" t="n">
        <v>0</v>
      </c>
      <c r="V362" t="n">
        <v>0</v>
      </c>
    </row>
    <row r="363">
      <c r="A363">
        <f>Skills!A16</f>
        <v/>
      </c>
      <c r="B363">
        <f>Skills!B16</f>
        <v/>
      </c>
      <c r="C363">
        <f>Inputs!$B$3&gt;=115</f>
        <v/>
      </c>
      <c r="D363">
        <f>IF(Skills!C16=1,60+Inputs!$B$25+Inputs!$B$29,IF(Skills!C16=2,90+Inputs!$B$26+Inputs!$B$29,IF(Skills!C16=3,120+Inputs!$B$27+Inputs!$B$29,MAX(0,(Inputs!$B$3-100)*3)+Inputs!$B$28+Inputs!$B$29)))</f>
        <v/>
      </c>
      <c r="E363">
        <f>INDEX(FactorTable!$B$2:$Y$301, MATCH(ROUND(MIN(300,MAX(1,D363)),0), FactorTable!$A$2:$A$301,0), Skills!M16+1)</f>
        <v/>
      </c>
      <c r="F363">
        <f>IF(Skills!N16=TRUE,(Skills!L16/10)*(E363/1000),Skills!L16/10)+Skills!O16</f>
        <v/>
      </c>
      <c r="G363">
        <f>Skills!G16*IF(Skills!H16&gt;0,Skills!I16/Skills!H16,1)</f>
        <v/>
      </c>
      <c r="H363">
        <f>1-(1-Skills!J16/100)^Skills!K16</f>
        <v/>
      </c>
      <c r="I363" t="inlineStr">
        <is>
          <t>1</t>
        </is>
      </c>
      <c r="J363" t="inlineStr"/>
      <c r="K363" t="inlineStr"/>
      <c r="L363" t="inlineStr"/>
      <c r="M363" t="inlineStr"/>
      <c r="N363" t="inlineStr"/>
      <c r="O363">
        <f>(1-Summary!$B$11)*T363+Summary!$B$11*V363</f>
        <v/>
      </c>
      <c r="P363">
        <f>IF(B390=0,0,O363/B390)</f>
        <v/>
      </c>
      <c r="Q363">
        <f>IFERROR(1/(IF(Inputs!$B$38="pvp",15,MAX(0.1,Skills!D16-IF(Skills!E16=TRUE,Inputs!$B$32,0)))*(1-IF(AND(ArtifactsInput!$M$27,Inputs!$B$4="Chapter Hunt"),CHOOSE(ArtifactsInput!$N$27+1,20,24,28,32,36,40),0)/100)),0)</f>
        <v/>
      </c>
      <c r="R363">
        <f>IF(AND(Inputs!$B$38&lt;&gt;"pvp",Inputs!$B$43&gt;0),IF(Inputs!$B$43&lt;=0,0,(INT(Inputs!$B$43/(IF(Inputs!$B$38="pvp",15,MAX(0.1,Skills!D16-IF(Skills!E16=TRUE,Inputs!$B$32,0)))*(1-IF(AND(ArtifactsInput!$M$27,Inputs!$B$4="Chapter Hunt"),CHOOSE(ArtifactsInput!$N$27+1,20,24,28,32,36,40),0)/100)))+1)),0)</f>
        <v/>
      </c>
      <c r="S363">
        <f>IFERROR(O363/N363,0)</f>
        <v/>
      </c>
      <c r="T363" t="n">
        <v>0</v>
      </c>
      <c r="V363" t="n">
        <v>0</v>
      </c>
    </row>
    <row r="364">
      <c r="A364">
        <f>Skills!A17</f>
        <v/>
      </c>
      <c r="B364">
        <f>Skills!B17</f>
        <v/>
      </c>
      <c r="C364">
        <f>Inputs!$B$3&gt;=66</f>
        <v/>
      </c>
      <c r="D364">
        <f>IF(Skills!C17=1,60+Inputs!$B$25+Inputs!$B$29,IF(Skills!C17=2,90+Inputs!$B$26+Inputs!$B$29,IF(Skills!C17=3,120+Inputs!$B$27+Inputs!$B$29,MAX(0,(Inputs!$B$3-100)*3)+Inputs!$B$28+Inputs!$B$29)))</f>
        <v/>
      </c>
      <c r="E364">
        <f>INDEX(FactorTable!$B$2:$Y$301, MATCH(ROUND(MIN(300,MAX(1,D364)),0), FactorTable!$A$2:$A$301,0), Skills!M17+1)</f>
        <v/>
      </c>
      <c r="F364">
        <f>IF(Skills!N17=TRUE,(Skills!L17/10)*(E364/1000),Skills!L17/10)+Skills!O17</f>
        <v/>
      </c>
      <c r="G364">
        <f>Skills!G17*IF(Skills!H17&gt;0,Skills!I17/Skills!H17,1)</f>
        <v/>
      </c>
      <c r="H364">
        <f>1-(1-Skills!J17/100)^Skills!K17</f>
        <v/>
      </c>
      <c r="I364" t="inlineStr">
        <is>
          <t>1</t>
        </is>
      </c>
      <c r="J364" t="inlineStr"/>
      <c r="K364" t="inlineStr"/>
      <c r="L364" t="inlineStr"/>
      <c r="M364" t="inlineStr"/>
      <c r="N364" t="inlineStr"/>
      <c r="O364">
        <f>(1-Summary!$B$11)*T364+Summary!$B$11*V364</f>
        <v/>
      </c>
      <c r="P364">
        <f>IF(B390=0,0,O364/B390)</f>
        <v/>
      </c>
      <c r="Q364" t="n">
        <v>0</v>
      </c>
      <c r="R364" t="n">
        <v>0</v>
      </c>
      <c r="S364">
        <f>IFERROR(O364/N364,0)</f>
        <v/>
      </c>
      <c r="T364" t="n">
        <v>0</v>
      </c>
      <c r="V364" t="n">
        <v>0</v>
      </c>
    </row>
    <row r="365">
      <c r="A365">
        <f>Skills!A18</f>
        <v/>
      </c>
      <c r="B365">
        <f>Skills!B18</f>
        <v/>
      </c>
      <c r="C365">
        <f>Inputs!$B$3&gt;=72</f>
        <v/>
      </c>
      <c r="D365">
        <f>IF(Skills!C18=1,60+Inputs!$B$25+Inputs!$B$29,IF(Skills!C18=2,90+Inputs!$B$26+Inputs!$B$29,IF(Skills!C18=3,120+Inputs!$B$27+Inputs!$B$29,MAX(0,(Inputs!$B$3-100)*3)+Inputs!$B$28+Inputs!$B$29)))</f>
        <v/>
      </c>
      <c r="E365">
        <f>INDEX(FactorTable!$B$2:$Y$301, MATCH(ROUND(MIN(300,MAX(1,D365)),0), FactorTable!$A$2:$A$301,0), Skills!M18+1)</f>
        <v/>
      </c>
      <c r="F365">
        <f>IF(Skills!N18=TRUE,(Skills!L18/10)*(E365/1000),Skills!L18/10)+Skills!O18</f>
        <v/>
      </c>
      <c r="G365">
        <f>Skills!G18*IF(Skills!H18&gt;0,Skills!I18/Skills!H18,1)</f>
        <v/>
      </c>
      <c r="H365">
        <f>1-(1-Skills!J18/100)^Skills!K18</f>
        <v/>
      </c>
      <c r="I365" t="inlineStr">
        <is>
          <t>1</t>
        </is>
      </c>
      <c r="J365" t="inlineStr"/>
      <c r="K365" t="inlineStr"/>
      <c r="L365" t="inlineStr"/>
      <c r="M365" t="inlineStr"/>
      <c r="N365" t="inlineStr"/>
      <c r="O365">
        <f>(1-Summary!$B$11)*T365+Summary!$B$11*V365</f>
        <v/>
      </c>
      <c r="P365">
        <f>IF(B390=0,0,O365/B390)</f>
        <v/>
      </c>
      <c r="Q365" t="n">
        <v>0</v>
      </c>
      <c r="R365" t="n">
        <v>0</v>
      </c>
      <c r="S365">
        <f>IFERROR(O365/N365,0)</f>
        <v/>
      </c>
      <c r="T365" t="n">
        <v>0</v>
      </c>
      <c r="V365" t="n">
        <v>0</v>
      </c>
    </row>
    <row r="366">
      <c r="A366">
        <f>Skills!A19</f>
        <v/>
      </c>
      <c r="B366">
        <f>Skills!B19</f>
        <v/>
      </c>
      <c r="C366">
        <f>TRUE</f>
        <v/>
      </c>
      <c r="D366">
        <f>IF(Skills!C19=1,60+Inputs!$B$25+Inputs!$B$29,IF(Skills!C19=2,90+Inputs!$B$26+Inputs!$B$29,IF(Skills!C19=3,120+Inputs!$B$27+Inputs!$B$29,MAX(0,(Inputs!$B$3-100)*3)+Inputs!$B$28+Inputs!$B$29)))</f>
        <v/>
      </c>
      <c r="E366">
        <f>INDEX(FactorTable!$B$2:$Y$301, MATCH(ROUND(MIN(300,MAX(1,D366)),0), FactorTable!$A$2:$A$301,0), Skills!M19+1)</f>
        <v/>
      </c>
      <c r="F366">
        <f>IF(Skills!N19=TRUE,(Skills!L19/10)*(E366/1000),Skills!L19/10)+Skills!O19</f>
        <v/>
      </c>
      <c r="G366">
        <f>Skills!G19*IF(Skills!H19&gt;0,Skills!I19/Skills!H19,1)</f>
        <v/>
      </c>
      <c r="H366">
        <f>1-(1-Skills!J19/100)^Skills!K19</f>
        <v/>
      </c>
      <c r="I366" t="inlineStr">
        <is>
          <t>1</t>
        </is>
      </c>
      <c r="J366" t="inlineStr"/>
      <c r="K366" t="inlineStr"/>
      <c r="L366" t="inlineStr"/>
      <c r="M366" t="inlineStr"/>
      <c r="N366" t="inlineStr"/>
      <c r="O366">
        <f>(1-Summary!$B$11)*T366+Summary!$B$11*V366</f>
        <v/>
      </c>
      <c r="P366">
        <f>IF(B390=0,0,O366/B390)</f>
        <v/>
      </c>
      <c r="Q366">
        <f>IFERROR(1/(IF(Inputs!$B$38="pvp",15,MAX(0.1,Skills!D19-IF(Skills!E19=TRUE,Inputs!$B$32,0)))*(1-IF(AND(ArtifactsInput!$M$27,Inputs!$B$4="Chapter Hunt"),CHOOSE(ArtifactsInput!$N$27+1,20,24,28,32,36,40),0)/100)),0)</f>
        <v/>
      </c>
      <c r="R366">
        <f>IF(AND(Inputs!$B$38&lt;&gt;"pvp",Inputs!$B$43&gt;0),IF(Inputs!$B$43&lt;=0,0,(INT(Inputs!$B$43/(IF(Inputs!$B$38="pvp",15,MAX(0.1,Skills!D19-IF(Skills!E19=TRUE,Inputs!$B$32,0)))*(1-IF(AND(ArtifactsInput!$M$27,Inputs!$B$4="Chapter Hunt"),CHOOSE(ArtifactsInput!$N$27+1,20,24,28,32,36,40),0)/100)))+1)),0)</f>
        <v/>
      </c>
      <c r="S366">
        <f>IFERROR(O366/N366,0)</f>
        <v/>
      </c>
      <c r="T366" t="n">
        <v>0</v>
      </c>
      <c r="V366" t="n">
        <v>0</v>
      </c>
    </row>
    <row r="367">
      <c r="A367">
        <f>Skills!A20</f>
        <v/>
      </c>
      <c r="B367">
        <f>Skills!B20</f>
        <v/>
      </c>
      <c r="C367">
        <f>Inputs!$B$3&gt;=15</f>
        <v/>
      </c>
      <c r="D367">
        <f>IF(Skills!C20=1,60+Inputs!$B$25+Inputs!$B$29,IF(Skills!C20=2,90+Inputs!$B$26+Inputs!$B$29,IF(Skills!C20=3,120+Inputs!$B$27+Inputs!$B$29,MAX(0,(Inputs!$B$3-100)*3)+Inputs!$B$28+Inputs!$B$29)))</f>
        <v/>
      </c>
      <c r="E367">
        <f>INDEX(FactorTable!$B$2:$Y$301, MATCH(ROUND(MIN(300,MAX(1,D367)),0), FactorTable!$A$2:$A$301,0), Skills!M20+1)</f>
        <v/>
      </c>
      <c r="F367">
        <f>IF(Skills!N20=TRUE,(Skills!L20/10)*(E367/1000),Skills!L20/10)+Skills!O20</f>
        <v/>
      </c>
      <c r="G367">
        <f>Skills!G20*IF(Skills!H20&gt;0,Skills!I20/Skills!H20,1)</f>
        <v/>
      </c>
      <c r="H367">
        <f>1-(1-Skills!J20/100)^Skills!K20</f>
        <v/>
      </c>
      <c r="I367" t="inlineStr">
        <is>
          <t>1</t>
        </is>
      </c>
      <c r="J367" t="inlineStr"/>
      <c r="K367" t="inlineStr"/>
      <c r="L367" t="inlineStr"/>
      <c r="M367" t="inlineStr"/>
      <c r="N367" t="inlineStr"/>
      <c r="O367">
        <f>(1-Summary!$B$11)*T367+Summary!$B$11*V367</f>
        <v/>
      </c>
      <c r="P367">
        <f>IF(B390=0,0,O367/B390)</f>
        <v/>
      </c>
      <c r="Q367" t="n">
        <v>0</v>
      </c>
      <c r="R367" t="n">
        <v>0</v>
      </c>
      <c r="S367">
        <f>IFERROR(O367/N367,0)</f>
        <v/>
      </c>
      <c r="T367" t="n">
        <v>0</v>
      </c>
      <c r="V367" t="n">
        <v>0</v>
      </c>
    </row>
    <row r="368">
      <c r="A368">
        <f>Skills!A21</f>
        <v/>
      </c>
      <c r="B368">
        <f>Skills!B21</f>
        <v/>
      </c>
      <c r="C368">
        <f>Inputs!$B$3&gt;=10</f>
        <v/>
      </c>
      <c r="D368">
        <f>IF(Skills!C21=1,60+Inputs!$B$25+Inputs!$B$29,IF(Skills!C21=2,90+Inputs!$B$26+Inputs!$B$29,IF(Skills!C21=3,120+Inputs!$B$27+Inputs!$B$29,MAX(0,(Inputs!$B$3-100)*3)+Inputs!$B$28+Inputs!$B$29)))</f>
        <v/>
      </c>
      <c r="E368">
        <f>INDEX(FactorTable!$B$2:$Y$301, MATCH(ROUND(MIN(300,MAX(1,D368)),0), FactorTable!$A$2:$A$301,0), Skills!M21+1)</f>
        <v/>
      </c>
      <c r="F368">
        <f>IF(Skills!N21=TRUE,(Skills!L21/10)*(E368/1000),Skills!L21/10)+Skills!O21</f>
        <v/>
      </c>
      <c r="G368">
        <f>Skills!G21*IF(Skills!H21&gt;0,Skills!I21/Skills!H21,1)</f>
        <v/>
      </c>
      <c r="H368">
        <f>1-(1-Skills!J21/100)^Skills!K21</f>
        <v/>
      </c>
      <c r="I368" t="inlineStr">
        <is>
          <t>1</t>
        </is>
      </c>
      <c r="J368" t="inlineStr"/>
      <c r="K368" t="inlineStr"/>
      <c r="L368" t="inlineStr"/>
      <c r="M368" t="inlineStr"/>
      <c r="N368" t="inlineStr"/>
      <c r="O368">
        <f>(1-Summary!$B$11)*T368+Summary!$B$11*V368</f>
        <v/>
      </c>
      <c r="P368">
        <f>IF(B390=0,0,O368/B390)</f>
        <v/>
      </c>
      <c r="Q368" t="n">
        <v>0</v>
      </c>
      <c r="R368" t="n">
        <v>0</v>
      </c>
      <c r="S368">
        <f>IFERROR(O368/N368,0)</f>
        <v/>
      </c>
      <c r="T368" t="n">
        <v>0</v>
      </c>
      <c r="V368" t="n">
        <v>0</v>
      </c>
    </row>
    <row r="369">
      <c r="A369">
        <f>Skills!A22</f>
        <v/>
      </c>
      <c r="B369">
        <f>Skills!B22</f>
        <v/>
      </c>
      <c r="C369">
        <f>Inputs!$B$3&gt;=33</f>
        <v/>
      </c>
      <c r="D369">
        <f>IF(Skills!C22=1,60+Inputs!$B$25+Inputs!$B$29,IF(Skills!C22=2,90+Inputs!$B$26+Inputs!$B$29,IF(Skills!C22=3,120+Inputs!$B$27+Inputs!$B$29,MAX(0,(Inputs!$B$3-100)*3)+Inputs!$B$28+Inputs!$B$29)))</f>
        <v/>
      </c>
      <c r="E369">
        <f>INDEX(FactorTable!$B$2:$Y$301, MATCH(ROUND(MIN(300,MAX(1,D369)),0), FactorTable!$A$2:$A$301,0), Skills!M22+1)</f>
        <v/>
      </c>
      <c r="F369">
        <f>IF(Skills!N22=TRUE,(Skills!L22/10)*(E369/1000),Skills!L22/10)+Skills!O22</f>
        <v/>
      </c>
      <c r="G369">
        <f>Skills!G22*IF(Skills!H22&gt;0,Skills!I22/Skills!H22,1)</f>
        <v/>
      </c>
      <c r="H369">
        <f>1-(1-Skills!J22/100)^Skills!K22</f>
        <v/>
      </c>
      <c r="I369" t="inlineStr">
        <is>
          <t>1</t>
        </is>
      </c>
      <c r="J369" t="inlineStr"/>
      <c r="K369" t="inlineStr"/>
      <c r="L369" t="inlineStr"/>
      <c r="M369" t="inlineStr"/>
      <c r="N369" t="inlineStr"/>
      <c r="O369">
        <f>(1-Summary!$B$11)*T369+Summary!$B$11*V369</f>
        <v/>
      </c>
      <c r="P369">
        <f>IF(B390=0,0,O369/B390)</f>
        <v/>
      </c>
      <c r="Q369" t="n">
        <v>0</v>
      </c>
      <c r="R369" t="n">
        <v>0</v>
      </c>
      <c r="S369">
        <f>IFERROR(O369/N369,0)</f>
        <v/>
      </c>
      <c r="T369" t="n">
        <v>0</v>
      </c>
      <c r="V369" t="n">
        <v>0</v>
      </c>
    </row>
    <row r="370">
      <c r="A370">
        <f>Skills!A23</f>
        <v/>
      </c>
      <c r="B370">
        <f>Skills!B23</f>
        <v/>
      </c>
      <c r="C370">
        <f>Inputs!$B$3&gt;=38</f>
        <v/>
      </c>
      <c r="D370">
        <f>IF(Skills!C23=1,60+Inputs!$B$25+Inputs!$B$29,IF(Skills!C23=2,90+Inputs!$B$26+Inputs!$B$29,IF(Skills!C23=3,120+Inputs!$B$27+Inputs!$B$29,MAX(0,(Inputs!$B$3-100)*3)+Inputs!$B$28+Inputs!$B$29)))</f>
        <v/>
      </c>
      <c r="E370">
        <f>INDEX(FactorTable!$B$2:$Y$301, MATCH(ROUND(MIN(300,MAX(1,D370)),0), FactorTable!$A$2:$A$301,0), Skills!M23+1)</f>
        <v/>
      </c>
      <c r="F370">
        <f>IF(Skills!N23=TRUE,(Skills!L23/10)*(E370/1000),Skills!L23/10)+Skills!O23</f>
        <v/>
      </c>
      <c r="G370">
        <f>Skills!G23*IF(Skills!H23&gt;0,Skills!I23/Skills!H23,1)</f>
        <v/>
      </c>
      <c r="H370">
        <f>1-(1-Skills!J23/100)^Skills!K23</f>
        <v/>
      </c>
      <c r="I370" t="inlineStr">
        <is>
          <t>1</t>
        </is>
      </c>
      <c r="J370" t="inlineStr"/>
      <c r="K370" t="inlineStr"/>
      <c r="L370" t="inlineStr"/>
      <c r="M370" t="inlineStr"/>
      <c r="N370" t="inlineStr"/>
      <c r="O370">
        <f>(1-Summary!$B$11)*T370+Summary!$B$11*V370</f>
        <v/>
      </c>
      <c r="P370">
        <f>IF(B390=0,0,O370/B390)</f>
        <v/>
      </c>
      <c r="Q370" t="n">
        <v>0</v>
      </c>
      <c r="R370" t="n">
        <v>0</v>
      </c>
      <c r="S370">
        <f>IFERROR(O370/N370,0)</f>
        <v/>
      </c>
      <c r="T370" t="n">
        <v>0</v>
      </c>
      <c r="V370" t="n">
        <v>0</v>
      </c>
    </row>
    <row r="371">
      <c r="A371">
        <f>Skills!A24</f>
        <v/>
      </c>
      <c r="B371">
        <f>Skills!B24</f>
        <v/>
      </c>
      <c r="C371">
        <f>Inputs!$B$3&gt;=43</f>
        <v/>
      </c>
      <c r="D371">
        <f>IF(Skills!C24=1,60+Inputs!$B$25+Inputs!$B$29,IF(Skills!C24=2,90+Inputs!$B$26+Inputs!$B$29,IF(Skills!C24=3,120+Inputs!$B$27+Inputs!$B$29,MAX(0,(Inputs!$B$3-100)*3)+Inputs!$B$28+Inputs!$B$29)))</f>
        <v/>
      </c>
      <c r="E371">
        <f>INDEX(FactorTable!$B$2:$Y$301, MATCH(ROUND(MIN(300,MAX(1,D371)),0), FactorTable!$A$2:$A$301,0), Skills!M24+1)</f>
        <v/>
      </c>
      <c r="F371">
        <f>IF(Skills!N24=TRUE,(Skills!L24/10)*(E371/1000),Skills!L24/10)+Skills!O24</f>
        <v/>
      </c>
      <c r="G371">
        <f>Skills!G24*IF(Skills!H24&gt;0,Skills!I24/Skills!H24,1)</f>
        <v/>
      </c>
      <c r="H371">
        <f>1-(1-Skills!J24/100)^Skills!K24</f>
        <v/>
      </c>
      <c r="I371" t="inlineStr">
        <is>
          <t>1</t>
        </is>
      </c>
      <c r="J371" t="inlineStr"/>
      <c r="K371" t="inlineStr"/>
      <c r="L371" t="inlineStr"/>
      <c r="M371" t="inlineStr"/>
      <c r="N371" t="inlineStr"/>
      <c r="O371">
        <f>(1-Summary!$B$11)*T371+Summary!$B$11*V371</f>
        <v/>
      </c>
      <c r="P371">
        <f>IF(B390=0,0,O371/B390)</f>
        <v/>
      </c>
      <c r="Q371" t="n">
        <v>0</v>
      </c>
      <c r="R371" t="n">
        <v>0</v>
      </c>
      <c r="S371">
        <f>IFERROR(O371/N371,0)</f>
        <v/>
      </c>
      <c r="T371" t="n">
        <v>0</v>
      </c>
      <c r="V371" t="n">
        <v>0</v>
      </c>
    </row>
    <row r="372">
      <c r="A372">
        <f>Skills!A25</f>
        <v/>
      </c>
      <c r="B372">
        <f>Skills!B25</f>
        <v/>
      </c>
      <c r="C372">
        <f>Inputs!$B$3&gt;=75</f>
        <v/>
      </c>
      <c r="D372">
        <f>IF(Skills!C25=1,60+Inputs!$B$25+Inputs!$B$29,IF(Skills!C25=2,90+Inputs!$B$26+Inputs!$B$29,IF(Skills!C25=3,120+Inputs!$B$27+Inputs!$B$29,MAX(0,(Inputs!$B$3-100)*3)+Inputs!$B$28+Inputs!$B$29)))</f>
        <v/>
      </c>
      <c r="E372">
        <f>INDEX(FactorTable!$B$2:$Y$301, MATCH(ROUND(MIN(300,MAX(1,D372)),0), FactorTable!$A$2:$A$301,0), Skills!M25+1)</f>
        <v/>
      </c>
      <c r="F372">
        <f>IF(Skills!N25=TRUE,(Skills!L25/10)*(E372/1000),Skills!L25/10)+Skills!O25</f>
        <v/>
      </c>
      <c r="G372">
        <f>Skills!G25*IF(Skills!H25&gt;0,Skills!I25/Skills!H25,1)</f>
        <v/>
      </c>
      <c r="H372">
        <f>1-(1-Skills!J25/100)^Skills!K25</f>
        <v/>
      </c>
      <c r="I372" t="inlineStr">
        <is>
          <t>1</t>
        </is>
      </c>
      <c r="J372" t="inlineStr"/>
      <c r="K372" t="inlineStr"/>
      <c r="L372" t="inlineStr"/>
      <c r="M372" t="inlineStr"/>
      <c r="N372" t="inlineStr"/>
      <c r="O372">
        <f>(1-Summary!$B$11)*T372+Summary!$B$11*V372</f>
        <v/>
      </c>
      <c r="P372">
        <f>IF(B390=0,0,O372/B390)</f>
        <v/>
      </c>
      <c r="Q372" t="n">
        <v>0</v>
      </c>
      <c r="R372" t="n">
        <v>0</v>
      </c>
      <c r="S372">
        <f>IFERROR(O372/N372,0)</f>
        <v/>
      </c>
      <c r="T372" t="n">
        <v>0</v>
      </c>
      <c r="V372" t="n">
        <v>0</v>
      </c>
    </row>
    <row r="373">
      <c r="A373">
        <f>Skills!A26</f>
        <v/>
      </c>
      <c r="B373">
        <f>Skills!B26</f>
        <v/>
      </c>
      <c r="C373">
        <f>Inputs!$B$3&gt;=125</f>
        <v/>
      </c>
      <c r="D373">
        <f>IF(Skills!C26=1,60+Inputs!$B$25+Inputs!$B$29,IF(Skills!C26=2,90+Inputs!$B$26+Inputs!$B$29,IF(Skills!C26=3,120+Inputs!$B$27+Inputs!$B$29,MAX(0,(Inputs!$B$3-100)*3)+Inputs!$B$28+Inputs!$B$29)))</f>
        <v/>
      </c>
      <c r="E373">
        <f>INDEX(FactorTable!$B$2:$Y$301, MATCH(ROUND(MIN(300,MAX(1,D373)),0), FactorTable!$A$2:$A$301,0), Skills!M26+1)</f>
        <v/>
      </c>
      <c r="F373">
        <f>IF(Skills!N26=TRUE,(Skills!L26/10)*(E373/1000),Skills!L26/10)+Skills!O26</f>
        <v/>
      </c>
      <c r="G373">
        <f>Skills!G26*IF(Skills!H26&gt;0,Skills!I26/Skills!H26,1)</f>
        <v/>
      </c>
      <c r="H373">
        <f>1-(1-Skills!J26/100)^Skills!K26</f>
        <v/>
      </c>
      <c r="I373" t="inlineStr">
        <is>
          <t>1</t>
        </is>
      </c>
      <c r="J373" t="inlineStr"/>
      <c r="K373" t="inlineStr"/>
      <c r="L373" t="inlineStr"/>
      <c r="M373" t="inlineStr"/>
      <c r="N373" t="inlineStr"/>
      <c r="O373">
        <f>(1-Summary!$B$11)*T373+Summary!$B$11*V373</f>
        <v/>
      </c>
      <c r="P373">
        <f>IF(B390=0,0,O373/B390)</f>
        <v/>
      </c>
      <c r="Q373" t="n">
        <v>0</v>
      </c>
      <c r="R373" t="n">
        <v>0</v>
      </c>
      <c r="S373">
        <f>IFERROR(O373/N373,0)</f>
        <v/>
      </c>
      <c r="T373" t="n">
        <v>0</v>
      </c>
      <c r="V373" t="n">
        <v>0</v>
      </c>
    </row>
    <row r="374">
      <c r="A374">
        <f>Skills!A27</f>
        <v/>
      </c>
      <c r="B374">
        <f>Skills!B27</f>
        <v/>
      </c>
      <c r="C374">
        <f>Inputs!$B$3&gt;=125</f>
        <v/>
      </c>
      <c r="D374">
        <f>IF(Skills!C27=1,60+Inputs!$B$25+Inputs!$B$29,IF(Skills!C27=2,90+Inputs!$B$26+Inputs!$B$29,IF(Skills!C27=3,120+Inputs!$B$27+Inputs!$B$29,MAX(0,(Inputs!$B$3-100)*3)+Inputs!$B$28+Inputs!$B$29)))</f>
        <v/>
      </c>
      <c r="E374">
        <f>INDEX(FactorTable!$B$2:$Y$301, MATCH(ROUND(MIN(300,MAX(1,D374)),0), FactorTable!$A$2:$A$301,0), Skills!M27+1)</f>
        <v/>
      </c>
      <c r="F374">
        <f>IF(Skills!N27=TRUE,(Skills!L27/10)*(E374/1000),Skills!L27/10)+Skills!O27</f>
        <v/>
      </c>
      <c r="G374">
        <f>Skills!G27*IF(Skills!H27&gt;0,Skills!I27/Skills!H27,1)</f>
        <v/>
      </c>
      <c r="H374">
        <f>1-(1-Skills!J27/100)^Skills!K27</f>
        <v/>
      </c>
      <c r="I374" t="inlineStr">
        <is>
          <t>1</t>
        </is>
      </c>
      <c r="J374" t="inlineStr"/>
      <c r="K374" t="inlineStr"/>
      <c r="L374" t="inlineStr"/>
      <c r="M374" t="inlineStr"/>
      <c r="N374" t="inlineStr"/>
      <c r="O374">
        <f>(1-Summary!$B$11)*T374+Summary!$B$11*V374</f>
        <v/>
      </c>
      <c r="P374">
        <f>IF(B390=0,0,O374/B390)</f>
        <v/>
      </c>
      <c r="Q374" t="n">
        <v>0</v>
      </c>
      <c r="R374" t="n">
        <v>0</v>
      </c>
      <c r="S374">
        <f>IFERROR(O374/N374,0)</f>
        <v/>
      </c>
      <c r="T374" t="n">
        <v>0</v>
      </c>
      <c r="V374" t="n">
        <v>0</v>
      </c>
    </row>
    <row r="375">
      <c r="A375">
        <f>Skills!A28</f>
        <v/>
      </c>
      <c r="B375">
        <f>Skills!B28</f>
        <v/>
      </c>
      <c r="C375">
        <f>Inputs!$B$3&gt;=120</f>
        <v/>
      </c>
      <c r="D375">
        <f>IF(Skills!C28=1,60+Inputs!$B$25+Inputs!$B$29,IF(Skills!C28=2,90+Inputs!$B$26+Inputs!$B$29,IF(Skills!C28=3,120+Inputs!$B$27+Inputs!$B$29,MAX(0,(Inputs!$B$3-100)*3)+Inputs!$B$28+Inputs!$B$29)))</f>
        <v/>
      </c>
      <c r="E375">
        <f>INDEX(FactorTable!$B$2:$Y$301, MATCH(ROUND(MIN(300,MAX(1,D375)),0), FactorTable!$A$2:$A$301,0), Skills!M28+1)</f>
        <v/>
      </c>
      <c r="F375">
        <f>IF(Skills!N28=TRUE,(Skills!L28/10)*(E375/1000),Skills!L28/10)+Skills!O28</f>
        <v/>
      </c>
      <c r="G375">
        <f>Skills!G28*IF(Skills!H28&gt;0,Skills!I28/Skills!H28,1)</f>
        <v/>
      </c>
      <c r="H375">
        <f>1-(1-Skills!J28/100)^Skills!K28</f>
        <v/>
      </c>
      <c r="I375" t="inlineStr">
        <is>
          <t>1</t>
        </is>
      </c>
      <c r="J375" t="inlineStr"/>
      <c r="K375" t="inlineStr"/>
      <c r="L375" t="inlineStr"/>
      <c r="M375" t="inlineStr"/>
      <c r="N375" t="inlineStr"/>
      <c r="O375">
        <f>(1-Summary!$B$11)*T375+Summary!$B$11*V375</f>
        <v/>
      </c>
      <c r="P375">
        <f>IF(B390=0,0,O375/B390)</f>
        <v/>
      </c>
      <c r="Q375" t="n">
        <v>0</v>
      </c>
      <c r="R375" t="n">
        <v>0</v>
      </c>
      <c r="S375">
        <f>IFERROR(O375/N375,0)</f>
        <v/>
      </c>
      <c r="T375" t="n">
        <v>0</v>
      </c>
      <c r="V375" t="n">
        <v>0</v>
      </c>
    </row>
    <row r="376">
      <c r="A376">
        <f>Skills!A29</f>
        <v/>
      </c>
      <c r="B376">
        <f>Skills!B29</f>
        <v/>
      </c>
      <c r="C376">
        <f>Inputs!$B$3&gt;=120</f>
        <v/>
      </c>
      <c r="D376">
        <f>IF(Skills!C29=1,60+Inputs!$B$25+Inputs!$B$29,IF(Skills!C29=2,90+Inputs!$B$26+Inputs!$B$29,IF(Skills!C29=3,120+Inputs!$B$27+Inputs!$B$29,MAX(0,(Inputs!$B$3-100)*3)+Inputs!$B$28+Inputs!$B$29)))</f>
        <v/>
      </c>
      <c r="E376">
        <f>INDEX(FactorTable!$B$2:$Y$301, MATCH(ROUND(MIN(300,MAX(1,D376)),0), FactorTable!$A$2:$A$301,0), Skills!M29+1)</f>
        <v/>
      </c>
      <c r="F376">
        <f>IF(Skills!N29=TRUE,(Skills!L29/10)*(E376/1000),Skills!L29/10)+Skills!O29</f>
        <v/>
      </c>
      <c r="G376">
        <f>Skills!G29*IF(Skills!H29&gt;0,Skills!I29/Skills!H29,1)</f>
        <v/>
      </c>
      <c r="H376">
        <f>1-(1-Skills!J29/100)^Skills!K29</f>
        <v/>
      </c>
      <c r="I376" t="inlineStr">
        <is>
          <t>1</t>
        </is>
      </c>
      <c r="J376" t="inlineStr"/>
      <c r="K376" t="inlineStr"/>
      <c r="L376" t="inlineStr"/>
      <c r="M376" t="inlineStr"/>
      <c r="N376" t="inlineStr"/>
      <c r="O376">
        <f>(1-Summary!$B$11)*T376+Summary!$B$11*V376</f>
        <v/>
      </c>
      <c r="P376">
        <f>IF(B390=0,0,O376/B390)</f>
        <v/>
      </c>
      <c r="Q376" t="n">
        <v>0</v>
      </c>
      <c r="R376" t="n">
        <v>0</v>
      </c>
      <c r="S376">
        <f>IFERROR(O376/N376,0)</f>
        <v/>
      </c>
      <c r="T376" t="n">
        <v>0</v>
      </c>
      <c r="V376" t="n">
        <v>0</v>
      </c>
    </row>
    <row r="377">
      <c r="A377">
        <f>Skills!A30</f>
        <v/>
      </c>
      <c r="B377">
        <f>Skills!B30</f>
        <v/>
      </c>
      <c r="C377">
        <f>Inputs!$B$3&gt;=45</f>
        <v/>
      </c>
      <c r="D377">
        <f>IF(Skills!C30=1,60+Inputs!$B$25+Inputs!$B$29,IF(Skills!C30=2,90+Inputs!$B$26+Inputs!$B$29,IF(Skills!C30=3,120+Inputs!$B$27+Inputs!$B$29,MAX(0,(Inputs!$B$3-100)*3)+Inputs!$B$28+Inputs!$B$29)))</f>
        <v/>
      </c>
      <c r="E377">
        <f>INDEX(FactorTable!$B$2:$Y$301, MATCH(ROUND(MIN(300,MAX(1,D377)),0), FactorTable!$A$2:$A$301,0), Skills!M30+1)</f>
        <v/>
      </c>
      <c r="F377">
        <f>IF(Skills!N30=TRUE,(Skills!L30/10)*(E377/1000),Skills!L30/10)+Skills!O30</f>
        <v/>
      </c>
      <c r="G377">
        <f>Skills!G30*IF(Skills!H30&gt;0,Skills!I30/Skills!H30,1)</f>
        <v/>
      </c>
      <c r="H377">
        <f>1-(1-Skills!J30/100)^Skills!K30</f>
        <v/>
      </c>
      <c r="I377" t="inlineStr">
        <is>
          <t>1</t>
        </is>
      </c>
      <c r="J377" t="inlineStr"/>
      <c r="K377" t="inlineStr"/>
      <c r="L377" t="inlineStr"/>
      <c r="M377" t="inlineStr"/>
      <c r="N377" t="inlineStr"/>
      <c r="O377">
        <f>(1-Summary!$B$11)*T377+Summary!$B$11*V377</f>
        <v/>
      </c>
      <c r="P377">
        <f>IF(B390=0,0,O377/B390)</f>
        <v/>
      </c>
      <c r="Q377" t="n">
        <v>0</v>
      </c>
      <c r="R377" t="n">
        <v>0</v>
      </c>
      <c r="S377">
        <f>IFERROR(O377/N377,0)</f>
        <v/>
      </c>
      <c r="T377" t="n">
        <v>0</v>
      </c>
      <c r="V377" t="n">
        <v>0</v>
      </c>
    </row>
    <row r="379">
      <c r="A379" t="inlineStr">
        <is>
          <t>Attack% Bucket Multiplier</t>
        </is>
      </c>
      <c r="B379">
        <f>(1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0">
      <c r="A380" t="inlineStr">
        <is>
          <t>Global Crit Rate Bonus %</t>
        </is>
      </c>
      <c r="B380">
        <f>(C363=TRUE)*20*IF(AND(Inputs!$B$38&lt;&gt;"pvp",Inputs!$B$43&gt;0),(((R363-1)*(Skills!T16*(1+Inputs!$B$34/100))+MIN((Skills!T16*(1+Inputs!$B$34/100)),MAX(0,Inputs!$B$43-((R363-1)*Skills!D16))))/Inputs!$B$43),IF(Inputs!$B$38="pvp",MIN((Skills!T16*(1+Inputs!$B$34/100)),15)/15,(Skills!T16*(1+Inputs!$B$34/100))/Skills!D16))</f>
        <v/>
      </c>
    </row>
    <row r="381">
      <c r="A381" t="inlineStr">
        <is>
          <t>Attack Speed Buff Bonus %</t>
        </is>
      </c>
      <c r="B381">
        <f>((C366=TRUE)*F366*IF(AND(Inputs!$B$38&lt;&gt;"pvp",Inputs!$B$43&gt;0),(((R366-1)*(Skills!T19*(1+Inputs!$B$34/100))+MIN((Skills!T19*(1+Inputs!$B$34/100)),MAX(0,Inputs!$B$43-((R366-1)*Skills!D19))))/Inputs!$B$43),IF(Inputs!$B$38="pvp",MIN((Skills!T19*(1+Inputs!$B$34/100)),15)/15,(Skills!T19*(1+Inputs!$B$34/100))/Skills!D19)))</f>
        <v/>
      </c>
    </row>
    <row r="382">
      <c r="A382" t="inlineStr">
        <is>
          <t>Actions Per Second</t>
        </is>
      </c>
      <c r="B382">
        <f>1+MIN(150,150*(1-(1-(Inputs!$B$11+((C368=TRUE)*(F368-Calc!F21))+((C369=TRUE)*(F369-Calc!F22)))/150)*(1-B381/150)))/100</f>
        <v/>
      </c>
    </row>
    <row r="383">
      <c r="A383" t="inlineStr">
        <is>
          <t>Skill + Buff Cast Rate</t>
        </is>
      </c>
      <c r="B383">
        <f>IF(AND(Inputs!$B$38&lt;&gt;"pvp",Inputs!$B$43&gt;0),SUMPRODUCT((Skills!E2:E30=TRUE)*(C349:C377=TRUE)*R349:R377*Skills!F2:F30)/Inputs!$B$43,SUMPRODUCT((Skills!E2:E30=TRUE)*(C349:C377=TRUE)*Q349:Q377*Skills!F2:F30))</f>
        <v/>
      </c>
    </row>
    <row r="384">
      <c r="A384" t="inlineStr">
        <is>
          <t>Arrow Stream Casts Per Second</t>
        </is>
      </c>
      <c r="B384">
        <f>MAX(0,B382-B383)</f>
        <v/>
      </c>
    </row>
    <row r="385">
      <c r="A385" t="inlineStr">
        <is>
          <t>Global Critical Damage Bonus % (Sharp Eyes + Concentration)</t>
        </is>
      </c>
      <c r="B385">
        <f>(C363=TRUE)*F363*IF(AND(Inputs!$B$38&lt;&gt;"pvp",Inputs!$B$43&gt;0),(((R363-1)*(Skills!T16*(1+Inputs!$B$34/100))+MIN((Skills!T16*(1+Inputs!$B$34/100)),MAX(0,Inputs!$B$43-((R363-1)*Skills!D16))))/Inputs!$B$43),IF(Inputs!$B$38="pvp",MIN((Skills!T16*(1+Inputs!$B$34/100)),15)/15,(Skills!T16*(1+Inputs!$B$34/100))/Skills!D16))+(C364=TRUE)*30</f>
        <v/>
      </c>
    </row>
    <row r="386">
      <c r="A386" t="inlineStr">
        <is>
          <t>Global Final Damage Bonus % (Mortal Blow)</t>
        </is>
      </c>
      <c r="B386">
        <f>(C365=TRUE)*F365</f>
        <v/>
      </c>
    </row>
    <row r="387">
      <c r="A387" t="inlineStr">
        <is>
          <t>Buff-Casting Startup Delay (s, fixed-duration only)</t>
        </is>
      </c>
      <c r="B387">
        <f>IF(AND(Inputs!$B$38&lt;&gt;"pvp",Inputs!$B$43&gt;0),SUMPRODUCT((Skills!T2:T30&gt;0)*(Skills!E2:E30=TRUE)*(C349:C377=TRUE))/B382,0)</f>
        <v/>
      </c>
    </row>
    <row r="388">
      <c r="A388" t="inlineStr">
        <is>
          <t>Boss-Only Total DPS (this block's swept value)</t>
        </is>
      </c>
      <c r="B388">
        <f>SUM(T349:T377)</f>
        <v/>
      </c>
    </row>
    <row r="389">
      <c r="A389" t="inlineStr">
        <is>
          <t>Normal-Only Total DPS (this block's swept value)</t>
        </is>
      </c>
      <c r="B389">
        <f>SUM(V349:V377)</f>
        <v/>
      </c>
    </row>
    <row r="390">
      <c r="A390" s="6" t="inlineStr">
        <is>
          <t>TOTAL DPS</t>
        </is>
      </c>
      <c r="B390" s="6">
        <f>SUM(O349:O377)</f>
        <v/>
      </c>
    </row>
    <row r="393">
      <c r="A393" s="6" t="inlineStr">
        <is>
          <t>Stat: FINAL_DAMAGE % (multiplicative source)</t>
        </is>
      </c>
    </row>
    <row r="394">
      <c r="A394" s="5" t="inlineStr">
        <is>
          <t>Key</t>
        </is>
      </c>
      <c r="B394" s="5" t="inlineStr">
        <is>
          <t>Name</t>
        </is>
      </c>
      <c r="C394" s="5" t="inlineStr">
        <is>
          <t>Unlocked</t>
        </is>
      </c>
      <c r="D394" s="5" t="inlineStr">
        <is>
          <t>InputLevel</t>
        </is>
      </c>
      <c r="E394" s="5" t="inlineStr">
        <is>
          <t>Factor</t>
        </is>
      </c>
      <c r="F394" s="5" t="inlineStr">
        <is>
          <t>CoefficientPercent</t>
        </is>
      </c>
      <c r="G394" s="5" t="inlineStr">
        <is>
          <t>EffectiveHits</t>
        </is>
      </c>
      <c r="H394" s="5" t="inlineStr">
        <is>
          <t>ProcProbability</t>
        </is>
      </c>
      <c r="I394" s="5" t="inlineStr">
        <is>
          <t>MapleHeroMultiplier</t>
        </is>
      </c>
      <c r="J394" s="5" t="inlineStr">
        <is>
          <t>BaseDamage</t>
        </is>
      </c>
      <c r="K394" s="5" t="inlineStr">
        <is>
          <t>BaseHitDamage</t>
        </is>
      </c>
      <c r="L394" s="5" t="inlineStr">
        <is>
          <t>NonCritAvg</t>
        </is>
      </c>
      <c r="M394" s="5" t="inlineStr">
        <is>
          <t>CritAvg</t>
        </is>
      </c>
      <c r="N394" s="5" t="inlineStr">
        <is>
          <t>ExpectedDamage(perHit)</t>
        </is>
      </c>
      <c r="O394" s="5" t="inlineStr">
        <is>
          <t>DPS</t>
        </is>
      </c>
      <c r="P394" s="5" t="inlineStr">
        <is>
          <t>% of Total</t>
        </is>
      </c>
      <c r="Q394" s="5" t="inlineStr">
        <is>
          <t>InvCooldown</t>
        </is>
      </c>
      <c r="R394" s="5" t="inlineStr">
        <is>
          <t>CastsInFight</t>
        </is>
      </c>
      <c r="S394" s="5"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417=TRUE)*(F417-Calc!F24)),(Inputs!$B$23+((C422=TRUE)*(F422-Calc!F29))+(IF(ArtifactsInput!$M$15,CHOOSE(ArtifactsInput!$N$15+1,25,30,35,40,45,50)/100*(Inputs!$B$11-Inputs!$B$11),0))))/100+(Inputs!$B$23+((C422=TRUE)*(F422-Calc!F29))+(IF(ArtifactsInput!$M$15,CHOOSE(ArtifactsInput!$N$15+1,25,30,35,40,45,50)/100*(Inputs!$B$11-Inputs!$B$11),0)))/100)/2</f>
        <v/>
      </c>
      <c r="M395">
        <f>L395*(1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IF(B436=0,0,O395/B436)</f>
        <v/>
      </c>
      <c r="Q395" t="n">
        <v>0</v>
      </c>
      <c r="R395" t="n">
        <v>0</v>
      </c>
      <c r="S395">
        <f>IFERROR(O395/N395,0)</f>
        <v/>
      </c>
      <c r="T395">
        <f>IF(C395,(Skills!G2*N395*B430)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395*(1-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MAX(0,(Inputs!$B$3-100)*3)+Inputs!$B$28+Inputs!$B$29</f>
        <v/>
      </c>
      <c r="V395">
        <f>IF(C395,(Skills!G2*N395*B430)*IF(Inputs!$B$38="pvp",1,(1+(Inputs!$B$21+Skills!Q2+(IF(ArtifactsInput!$M$33,CHOOSE(ArtifactsInput!$N$33+1,30,36,42,48,54,60),0))+(IF(AND(ArtifactsInput!$M$35,Inputs!$B$4&lt;&gt;"Chapter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T396" t="inlineStr"/>
      <c r="U396">
        <f>INDEX(FactorTable!$B$2:$Y$301, MATCH(ROUND(MIN(300,MAX(1,U395)),0), FactorTable!$A$2:$A$301,0), 22)</f>
        <v/>
      </c>
      <c r="V396" t="inlineStr"/>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T397" t="inlineStr"/>
      <c r="U397">
        <f>290*U396/1000</f>
        <v/>
      </c>
      <c r="V397" t="inlineStr"/>
    </row>
    <row r="398">
      <c r="A398">
        <f>Skills!A5</f>
        <v/>
      </c>
      <c r="B398">
        <f>Skills!B5</f>
        <v/>
      </c>
      <c r="C398">
        <f>Inputs!$B$3&gt;=35</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5="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C417=TRUE)*(F417-Calc!F24)),(Inputs!$B$23+((C422=TRUE)*(F422-Calc!F29))+(IF(ArtifactsInput!$M$15,CHOOSE(ArtifactsInput!$N$15+1,25,30,35,40,45,50)/100*(Inputs!$B$11-Inputs!$B$11),0))))/100+(Inputs!$B$23+((C422=TRUE)*(F422-Calc!F29))+(IF(ArtifactsInput!$M$15,CHOOSE(ArtifactsInput!$N$15+1,25,30,35,40,45,50)/100*(Inputs!$B$11-Inputs!$B$11),0)))/100)/2</f>
        <v/>
      </c>
      <c r="M398">
        <f>L398*(1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IF(B436=0,0,O398/B436)</f>
        <v/>
      </c>
      <c r="Q398">
        <f>IFERROR(1/(IF(Inputs!$B$38="pvp",15,MAX(0.1,Skills!D5-IF(Skills!E5=TRUE,Inputs!$B$32,0)))*(1-IF(AND(ArtifactsInput!$M$27,Inputs!$B$4="Chapter Hunt"),CHOOSE(ArtifactsInput!$N$27+1,20,24,28,32,36,40),0)/100)),0)</f>
        <v/>
      </c>
      <c r="R398">
        <f>IF(AND(Inputs!$B$38&lt;&gt;"pvp",Inputs!$B$43&gt;0),IF(MAX(0,Inputs!$B$43-B433)&lt;=0,0,(INT(MAX(0,Inputs!$B$43-B433)/(IF(Inputs!$B$38="pvp",15,MAX(0.1,Skills!D5-IF(Skills!E5=TRUE,Inputs!$B$32,0)))*(1-IF(AND(ArtifactsInput!$M$27,Inputs!$B$4="Chapter Hunt"),CHOOSE(ArtifactsInput!$N$27+1,20,24,28,32,36,40),0)/100)))+1)),0)</f>
        <v/>
      </c>
      <c r="S398">
        <f>IFERROR(O398/N398,0)</f>
        <v/>
      </c>
      <c r="T398">
        <f>IF(C398,(H398*N398*IF(AND(Inputs!$B$38&lt;&gt;"pvp",Inputs!$B$43&gt;0),((Skills!G5*((R398-1)*IF(Skills!H5&gt;0,Skills!I5/Skills!H5,1)+IF(Skills!H5&gt;0,MIN(Skills!I5,MAX(0,MAX(0,Inputs!$B$43-B433)-((R398-1)*(IF(Inputs!$B$38="pvp",15,MAX(0.1,Skills!D5-IF(Skills!E5=TRUE,Inputs!$B$32,0)))*(1-IF(AND(ArtifactsInput!$M$27,Inputs!$B$4="Chapter Hunt"),CHOOSE(ArtifactsInput!$N$27+1,20,24,28,32,36,40),0)/100)))))/Skills!H5,1)))/Inputs!$B$43),G398*Q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398*(1-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5*((R398-1)*IF(Skills!H5&gt;0,Skills!I5/Skills!H5,1)+IF(Skills!H5&gt;0,MIN(Skills!I5,MAX(0,MAX(0,Inputs!$B$43-B433)-((R398-1)*(IF(Inputs!$B$38="pvp",15,MAX(0.1,Skills!D5-IF(Skills!E5=TRUE,Inputs!$B$32,0)))*(1-IF(AND(ArtifactsInput!$M$27,Inputs!$B$4="Chapter Hunt"),CHOOSE(ArtifactsInput!$N$27+1,20,24,28,32,36,40),0)/100)))))/Skills!H5,1)))/Inputs!$B$43),G398*Q398))*IF(Inputs!$B$38="pvp",1,(1+(Inputs!$B$21+Skills!Q5+(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Skills!A6</f>
        <v/>
      </c>
      <c r="B399">
        <f>Skills!B6</f>
        <v/>
      </c>
      <c r="C399">
        <f>Inputs!$B$3&gt;=40</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400=TRUE,F400,0)/100)*(1+(IF(Skills!A6="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C417=TRUE)*(F417-Calc!F24)),(Inputs!$B$23+((C422=TRUE)*(F422-Calc!F29))+(IF(ArtifactsInput!$M$15,CHOOSE(ArtifactsInput!$N$15+1,25,30,35,40,45,50)/100*(Inputs!$B$11-Inputs!$B$11),0))))/100+(Inputs!$B$23+((C422=TRUE)*(F422-Calc!F29))+(IF(ArtifactsInput!$M$15,CHOOSE(ArtifactsInput!$N$15+1,25,30,35,40,45,50)/100*(Inputs!$B$11-Inputs!$B$11),0)))/100)/2</f>
        <v/>
      </c>
      <c r="M399">
        <f>L399*(1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IF(B436=0,0,O399/B436)</f>
        <v/>
      </c>
      <c r="Q399">
        <f>IFERROR(1/(IF(Inputs!$B$38="pvp",15,MAX(0.1,Skills!D6-IF(Skills!E6=TRUE,Inputs!$B$32,0)))*(1-IF(AND(ArtifactsInput!$M$27,Inputs!$B$4="Chapter Hunt"),CHOOSE(ArtifactsInput!$N$27+1,20,24,28,32,36,40),0)/100)),0)</f>
        <v/>
      </c>
      <c r="R399">
        <f>IF(AND(Inputs!$B$38&lt;&gt;"pvp",Inputs!$B$43&gt;0),IF(MAX(0,Inputs!$B$43-B433)&lt;=0,0,(INT(MAX(0,Inputs!$B$43-B433)/(IF(Inputs!$B$38="pvp",15,MAX(0.1,Skills!D6-IF(Skills!E6=TRUE,Inputs!$B$32,0)))*(1-IF(AND(ArtifactsInput!$M$27,Inputs!$B$4="Chapter Hunt"),CHOOSE(ArtifactsInput!$N$27+1,20,24,28,32,36,40),0)/100)))+1)),0)</f>
        <v/>
      </c>
      <c r="S399">
        <f>IFERROR(O399/N399,0)</f>
        <v/>
      </c>
      <c r="T399">
        <f>IF(C399,(H399*N399*IF(AND(Inputs!$B$38&lt;&gt;"pvp",Inputs!$B$43&gt;0),((Skills!G6*((R399-1)*IF(Skills!H6&gt;0,Skills!I6/Skills!H6,1)+IF(Skills!H6&gt;0,MIN(Skills!I6,MAX(0,MAX(0,Inputs!$B$43-B433)-((R399-1)*(IF(Inputs!$B$38="pvp",15,MAX(0.1,Skills!D6-IF(Skills!E6=TRUE,Inputs!$B$32,0)))*(1-IF(AND(ArtifactsInput!$M$27,Inputs!$B$4="Chapter Hunt"),CHOOSE(ArtifactsInput!$N$27+1,20,24,28,32,36,40),0)/100)))))/Skills!H6,1)))/Inputs!$B$43),G399*Q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399*(1-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6*((R399-1)*IF(Skills!H6&gt;0,Skills!I6/Skills!H6,1)+IF(Skills!H6&gt;0,MIN(Skills!I6,MAX(0,MAX(0,Inputs!$B$43-B433)-((R399-1)*(IF(Inputs!$B$38="pvp",15,MAX(0.1,Skills!D6-IF(Skills!E6=TRUE,Inputs!$B$32,0)))*(1-IF(AND(ArtifactsInput!$M$27,Inputs!$B$4="Chapter Hunt"),CHOOSE(ArtifactsInput!$N$27+1,20,24,28,32,36,40),0)/100)))))/Skills!H6,1)))/Inputs!$B$43),G399*Q399))*IF(Inputs!$B$38="pvp",1,(1+(Inputs!$B$21+Skills!Q6+(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t="inlineStr"/>
      <c r="H400" t="inlineStr"/>
      <c r="I400" t="inlineStr">
        <is>
          <t>1</t>
        </is>
      </c>
      <c r="J400" t="inlineStr"/>
      <c r="K400" t="inlineStr"/>
      <c r="L400" t="inlineStr"/>
      <c r="M400" t="inlineStr"/>
      <c r="N400" t="inlineStr"/>
      <c r="O400" t="inlineStr"/>
      <c r="P400" t="inlineStr"/>
      <c r="Q400" t="inlineStr"/>
      <c r="R400" t="inlineStr"/>
      <c r="S400" t="inlineStr"/>
      <c r="T400" t="inlineStr"/>
      <c r="V400" t="inlineStr"/>
    </row>
    <row r="401">
      <c r="A401">
        <f>Skills!A8</f>
        <v/>
      </c>
      <c r="B401">
        <f>Skills!B8</f>
        <v/>
      </c>
      <c r="C401">
        <f>Inputs!$B$3&gt;=69</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403=TRUE,F403,0)/100)*(1+(IF(Skills!A8="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C417=TRUE)*(F417-Calc!F24)),(Inputs!$B$23+((C422=TRUE)*(F422-Calc!F29))+(IF(ArtifactsInput!$M$15,CHOOSE(ArtifactsInput!$N$15+1,25,30,35,40,45,50)/100*(Inputs!$B$11-Inputs!$B$11),0))))/100+(Inputs!$B$23+((C422=TRUE)*(F422-Calc!F29))+(IF(ArtifactsInput!$M$15,CHOOSE(ArtifactsInput!$N$15+1,25,30,35,40,45,50)/100*(Inputs!$B$11-Inputs!$B$11),0)))/100)/2</f>
        <v/>
      </c>
      <c r="M401">
        <f>L401*(1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IF(B436=0,0,O401/B436)</f>
        <v/>
      </c>
      <c r="Q401">
        <f>IFERROR(1/(IF(Inputs!$B$38="pvp",15,MAX(0.1,Skills!D8-IF(Skills!E8=TRUE,Inputs!$B$32,0)))*(1-IF(AND(ArtifactsInput!$M$27,Inputs!$B$4="Chapter Hunt"),CHOOSE(ArtifactsInput!$N$27+1,20,24,28,32,36,40),0)/100)),0)</f>
        <v/>
      </c>
      <c r="R401">
        <f>IF(AND(Inputs!$B$38&lt;&gt;"pvp",Inputs!$B$43&gt;0),IF(MAX(0,Inputs!$B$43-B433)&lt;=0,0,(INT(MAX(0,Inputs!$B$43-B433)/(IF(Inputs!$B$38="pvp",15,MAX(0.1,Skills!D8-IF(Skills!E8=TRUE,Inputs!$B$32,0)))*(1-IF(AND(ArtifactsInput!$M$27,Inputs!$B$4="Chapter Hunt"),CHOOSE(ArtifactsInput!$N$27+1,20,24,28,32,36,40),0)/100)))+1)),0)</f>
        <v/>
      </c>
      <c r="S401">
        <f>IFERROR(O401/N401,0)</f>
        <v/>
      </c>
      <c r="T401">
        <f>IF(C401,(H401*N401*IF(AND(Inputs!$B$38&lt;&gt;"pvp",Inputs!$B$43&gt;0),((Skills!G8*((R401-1)*IF(Skills!H8&gt;0,Skills!I8/Skills!H8,1)+IF(Skills!H8&gt;0,MIN(Skills!I8,MAX(0,MAX(0,Inputs!$B$43-B433)-((R401-1)*(IF(Inputs!$B$38="pvp",15,MAX(0.1,Skills!D8-IF(Skills!E8=TRUE,Inputs!$B$32,0)))*(1-IF(AND(ArtifactsInput!$M$27,Inputs!$B$4="Chapter Hunt"),CHOOSE(ArtifactsInput!$N$27+1,20,24,28,32,36,40),0)/100)))))/Skills!H8,1)))/Inputs!$B$43),G401*Q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401*(1-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8*((R401-1)*IF(Skills!H8&gt;0,Skills!I8/Skills!H8,1)+IF(Skills!H8&gt;0,MIN(Skills!I8,MAX(0,MAX(0,Inputs!$B$43-B433)-((R401-1)*(IF(Inputs!$B$38="pvp",15,MAX(0.1,Skills!D8-IF(Skills!E8=TRUE,Inputs!$B$32,0)))*(1-IF(AND(ArtifactsInput!$M$27,Inputs!$B$4="Chapter Hunt"),CHOOSE(ArtifactsInput!$N$27+1,20,24,28,32,36,40),0)/100)))))/Skills!H8,1)))/Inputs!$B$43),G401*Q401))*IF(Inputs!$B$38="pvp",1,(1+(Inputs!$B$21+Skills!Q8+(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Skills!A9</f>
        <v/>
      </c>
      <c r="B402">
        <f>Skills!B9</f>
        <v/>
      </c>
      <c r="C402">
        <f>Inputs!$B$3&gt;=63</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9="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417=TRUE)*(F417-Calc!F24)),(Inputs!$B$23+((C422=TRUE)*(F422-Calc!F29))+(IF(ArtifactsInput!$M$15,CHOOSE(ArtifactsInput!$N$15+1,25,30,35,40,45,50)/100*(Inputs!$B$11-Inputs!$B$11),0))))/100+(Inputs!$B$23+((C422=TRUE)*(F422-Calc!F29))+(IF(ArtifactsInput!$M$15,CHOOSE(ArtifactsInput!$N$15+1,25,30,35,40,45,50)/100*(Inputs!$B$11-Inputs!$B$11),0)))/100)/2</f>
        <v/>
      </c>
      <c r="M402">
        <f>L402*(1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IF(B436=0,0,O402/B436)</f>
        <v/>
      </c>
      <c r="Q402">
        <f>IFERROR(1/(IF(Inputs!$B$38="pvp",15,MAX(0.1,Skills!D9-IF(Skills!E9=TRUE,Inputs!$B$32,0)))*(1-IF(AND(ArtifactsInput!$M$27,Inputs!$B$4="Chapter Hunt"),CHOOSE(ArtifactsInput!$N$27+1,20,24,28,32,36,40),0)/100)),0)</f>
        <v/>
      </c>
      <c r="R402">
        <f>IF(AND(Inputs!$B$38&lt;&gt;"pvp",Inputs!$B$43&gt;0),IF(MAX(0,Inputs!$B$43-B433)&lt;=0,0,(INT(MAX(0,Inputs!$B$43-B433)/(IF(Inputs!$B$38="pvp",15,MAX(0.1,Skills!D9-IF(Skills!E9=TRUE,Inputs!$B$32,0)))*(1-IF(AND(ArtifactsInput!$M$27,Inputs!$B$4="Chapter Hunt"),CHOOSE(ArtifactsInput!$N$27+1,20,24,28,32,36,40),0)/100)))+1)),0)</f>
        <v/>
      </c>
      <c r="S402">
        <f>IFERROR(O402/N402,0)</f>
        <v/>
      </c>
      <c r="T402">
        <f>IF(C402,(H402*N402*IF(AND(Inputs!$B$38&lt;&gt;"pvp",Inputs!$B$43&gt;0),((Skills!G9*((R402-1)*IF(Skills!H9&gt;0,Skills!I9/Skills!H9,1)+IF(Skills!H9&gt;0,MIN(Skills!I9,MAX(0,MAX(0,Inputs!$B$43-B433)-((R402-1)*(IF(Inputs!$B$38="pvp",15,MAX(0.1,Skills!D9-IF(Skills!E9=TRUE,Inputs!$B$32,0)))*(1-IF(AND(ArtifactsInput!$M$27,Inputs!$B$4="Chapter Hunt"),CHOOSE(ArtifactsInput!$N$27+1,20,24,28,32,36,40),0)/100)))))/Skills!H9,1)))/Inputs!$B$43),G402*Q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402*(1-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9*((R402-1)*IF(Skills!H9&gt;0,Skills!I9/Skills!H9,1)+IF(Skills!H9&gt;0,MIN(Skills!I9,MAX(0,MAX(0,Inputs!$B$43-B433)-((R402-1)*(IF(Inputs!$B$38="pvp",15,MAX(0.1,Skills!D9-IF(Skills!E9=TRUE,Inputs!$B$32,0)))*(1-IF(AND(ArtifactsInput!$M$27,Inputs!$B$4="Chapter Hunt"),CHOOSE(ArtifactsInput!$N$27+1,20,24,28,32,36,40),0)/100)))))/Skills!H9,1)))/Inputs!$B$43),G402*Q402))*IF(Inputs!$B$38="pvp",1,(1+(Inputs!$B$21+Skills!Q9+(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Skills!A10</f>
        <v/>
      </c>
      <c r="B403">
        <f>Skills!B10</f>
        <v/>
      </c>
      <c r="C403">
        <f>Inputs!$B$3&gt;=100</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t="inlineStr"/>
      <c r="H403" t="inlineStr"/>
      <c r="I403" t="inlineStr">
        <is>
          <t>1</t>
        </is>
      </c>
      <c r="J403" t="inlineStr"/>
      <c r="K403" t="inlineStr"/>
      <c r="L403" t="inlineStr"/>
      <c r="M403" t="inlineStr"/>
      <c r="N403" t="inlineStr"/>
      <c r="O403" t="inlineStr"/>
      <c r="P403" t="inlineStr"/>
      <c r="Q403" t="inlineStr"/>
      <c r="R403" t="inlineStr"/>
      <c r="S403" t="inlineStr"/>
      <c r="T403" t="inlineStr"/>
      <c r="V403" t="inlineStr"/>
    </row>
    <row r="404">
      <c r="A404">
        <f>Skills!A11</f>
        <v/>
      </c>
      <c r="B404">
        <f>Skills!B11</f>
        <v/>
      </c>
      <c r="C404">
        <f>Inputs!$B$3&gt;=60</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Skills!A11="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C417=TRUE)*(F417-Calc!F24)),(Inputs!$B$23+((C422=TRUE)*(F422-Calc!F29))+(IF(ArtifactsInput!$M$15,CHOOSE(ArtifactsInput!$N$15+1,25,30,35,40,45,50)/100*(Inputs!$B$11-Inputs!$B$11),0))))/100+(Inputs!$B$23+((C422=TRUE)*(F422-Calc!F29))+(IF(ArtifactsInput!$M$15,CHOOSE(ArtifactsInput!$N$15+1,25,30,35,40,45,50)/100*(Inputs!$B$11-Inputs!$B$11),0)))/100)/2</f>
        <v/>
      </c>
      <c r="M404">
        <f>L404*(1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(1-Summary!$B$11)*T404+Summary!$B$11*V404</f>
        <v/>
      </c>
      <c r="P404">
        <f>IF(B436=0,0,O404/B436)</f>
        <v/>
      </c>
      <c r="Q404">
        <f>IFERROR(1/(IF(Inputs!$B$38="pvp",15,MAX(0.1,Skills!D11-IF(Skills!E11=TRUE,Inputs!$B$32,0)))*(1-IF(AND(ArtifactsInput!$M$27,Inputs!$B$4="Chapter Hunt"),CHOOSE(ArtifactsInput!$N$27+1,20,24,28,32,36,40),0)/100)),0)</f>
        <v/>
      </c>
      <c r="R404">
        <f>IF(AND(Inputs!$B$38&lt;&gt;"pvp",Inputs!$B$43&gt;0),IF(MAX(0,Inputs!$B$43-B433)&lt;=0,0,(INT(MAX(0,Inputs!$B$43-B433)/(IF(Inputs!$B$38="pvp",15,MAX(0.1,Skills!D11-IF(Skills!E11=TRUE,Inputs!$B$32,0)))*(1-IF(AND(ArtifactsInput!$M$27,Inputs!$B$4="Chapter Hunt"),CHOOSE(ArtifactsInput!$N$27+1,20,24,28,32,36,40),0)/100)))+1)),0)</f>
        <v/>
      </c>
      <c r="S404">
        <f>IFERROR(O404/N404,0)</f>
        <v/>
      </c>
      <c r="T404">
        <f>IF(C404,(H404*N404*IF(AND(Inputs!$B$38&lt;&gt;"pvp",Inputs!$B$43&gt;0),((Skills!G11*((R404-1)*IF(Skills!H11&gt;0,Skills!I11/Skills!H11,1)+IF(Skills!H11&gt;0,MIN(Skills!I11,MAX(0,MAX(0,Inputs!$B$43-B433)-((R404-1)*(IF(Inputs!$B$38="pvp",15,MAX(0.1,Skills!D11-IF(Skills!E11=TRUE,Inputs!$B$32,0)))*(1-IF(AND(ArtifactsInput!$M$27,Inputs!$B$4="Chapter Hunt"),CHOOSE(ArtifactsInput!$N$27+1,20,24,28,32,36,40),0)/100)))))/Skills!H11,1)))/Inputs!$B$43),G404*Q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404*(1-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4">
        <f>IF(C404,(H404*N404*IF(AND(Inputs!$B$38&lt;&gt;"pvp",Inputs!$B$43&gt;0),((Skills!G11*((R404-1)*IF(Skills!H11&gt;0,Skills!I11/Skills!H11,1)+IF(Skills!H11&gt;0,MIN(Skills!I11,MAX(0,MAX(0,Inputs!$B$43-B433)-((R404-1)*(IF(Inputs!$B$38="pvp",15,MAX(0.1,Skills!D11-IF(Skills!E11=TRUE,Inputs!$B$32,0)))*(1-IF(AND(ArtifactsInput!$M$27,Inputs!$B$4="Chapter Hunt"),CHOOSE(ArtifactsInput!$N$27+1,20,24,28,32,36,40),0)/100)))))/Skills!H11,1)))/Inputs!$B$43),G404*Q404))*IF(Inputs!$B$38="pvp",1,(1+(Inputs!$B$21+Skills!Q11+(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Skills!A12</f>
        <v/>
      </c>
      <c r="B405">
        <f>Skills!B12</f>
        <v/>
      </c>
      <c r="C405">
        <f>Inputs!$B$3&gt;=110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c r="T405" t="inlineStr"/>
      <c r="V405" t="inlineStr"/>
    </row>
    <row r="406">
      <c r="A406">
        <f>Skills!A13</f>
        <v/>
      </c>
      <c r="B406">
        <f>Skills!B13</f>
        <v/>
      </c>
      <c r="C406">
        <f>Inputs!$B$3&gt;=74</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f>(1-Summary!$B$11)*T406+Summary!$B$11*V406</f>
        <v/>
      </c>
      <c r="P406">
        <f>IF(B436=0,0,O406/B436)</f>
        <v/>
      </c>
      <c r="Q406" t="n">
        <v>0</v>
      </c>
      <c r="R406" t="n">
        <v>0</v>
      </c>
      <c r="S406">
        <f>IFERROR(O406/N406,0)</f>
        <v/>
      </c>
      <c r="T406" t="n">
        <v>0</v>
      </c>
      <c r="V406" t="n">
        <v>0</v>
      </c>
    </row>
    <row r="407">
      <c r="A407">
        <f>Skills!A14</f>
        <v/>
      </c>
      <c r="B407">
        <f>Skills!B14</f>
        <v/>
      </c>
      <c r="C407">
        <f>Inputs!$B$3&gt;=74</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f>(1-Summary!$B$11)*T407+Summary!$B$11*V407</f>
        <v/>
      </c>
      <c r="P407">
        <f>IF(B436=0,0,O407/B436)</f>
        <v/>
      </c>
      <c r="Q407" t="n">
        <v>0</v>
      </c>
      <c r="R407" t="n">
        <v>0</v>
      </c>
      <c r="S407">
        <f>IFERROR(O407/N407,0)</f>
        <v/>
      </c>
      <c r="T407" t="n">
        <v>0</v>
      </c>
      <c r="V407" t="n">
        <v>0</v>
      </c>
    </row>
    <row r="408">
      <c r="A408">
        <f>Skills!A15</f>
        <v/>
      </c>
      <c r="B408">
        <f>Skills!B15</f>
        <v/>
      </c>
      <c r="C408">
        <f>Inputs!$B$3&gt;=117</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f>(1-Summary!$B$11)*T408+Summary!$B$11*V408</f>
        <v/>
      </c>
      <c r="P408">
        <f>IF(B436=0,0,O408/B436)</f>
        <v/>
      </c>
      <c r="Q408">
        <f>IFERROR(1/(IF(Inputs!$B$38="pvp",15,MAX(0.1,Skills!D15-IF(Skills!E15=TRUE,Inputs!$B$32,0)))*(1-IF(AND(ArtifactsInput!$M$27,Inputs!$B$4="Chapter Hunt"),CHOOSE(ArtifactsInput!$N$27+1,20,24,28,32,36,40),0)/100)),0)</f>
        <v/>
      </c>
      <c r="R408">
        <f>IF(AND(Inputs!$B$38&lt;&gt;"pvp",Inputs!$B$43&gt;0),IF(Inputs!$B$43&lt;=0,0,(INT(Inputs!$B$43/(IF(Inputs!$B$38="pvp",15,MAX(0.1,Skills!D15-IF(Skills!E15=TRUE,Inputs!$B$32,0)))*(1-IF(AND(ArtifactsInput!$M$27,Inputs!$B$4="Chapter Hunt"),CHOOSE(ArtifactsInput!$N$27+1,20,24,28,32,36,40),0)/100)))+1)),0)</f>
        <v/>
      </c>
      <c r="S408">
        <f>IFERROR(O408/N408,0)</f>
        <v/>
      </c>
      <c r="T408" t="n">
        <v>0</v>
      </c>
      <c r="V408" t="n">
        <v>0</v>
      </c>
    </row>
    <row r="409">
      <c r="A409">
        <f>Skills!A16</f>
        <v/>
      </c>
      <c r="B409">
        <f>Skills!B16</f>
        <v/>
      </c>
      <c r="C409">
        <f>Inputs!$B$3&gt;=115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f>(1-Summary!$B$11)*T409+Summary!$B$11*V409</f>
        <v/>
      </c>
      <c r="P409">
        <f>IF(B436=0,0,O409/B436)</f>
        <v/>
      </c>
      <c r="Q409">
        <f>IFERROR(1/(IF(Inputs!$B$38="pvp",15,MAX(0.1,Skills!D16-IF(Skills!E16=TRUE,Inputs!$B$32,0)))*(1-IF(AND(ArtifactsInput!$M$27,Inputs!$B$4="Chapter Hunt"),CHOOSE(ArtifactsInput!$N$27+1,20,24,28,32,36,40),0)/100)),0)</f>
        <v/>
      </c>
      <c r="R409">
        <f>IF(AND(Inputs!$B$38&lt;&gt;"pvp",Inputs!$B$43&gt;0),IF(Inputs!$B$43&lt;=0,0,(INT(Inputs!$B$43/(IF(Inputs!$B$38="pvp",15,MAX(0.1,Skills!D16-IF(Skills!E16=TRUE,Inputs!$B$32,0)))*(1-IF(AND(ArtifactsInput!$M$27,Inputs!$B$4="Chapter Hunt"),CHOOSE(ArtifactsInput!$N$27+1,20,24,28,32,36,40),0)/100)))+1)),0)</f>
        <v/>
      </c>
      <c r="S409">
        <f>IFERROR(O409/N409,0)</f>
        <v/>
      </c>
      <c r="T409" t="n">
        <v>0</v>
      </c>
      <c r="V409" t="n">
        <v>0</v>
      </c>
    </row>
    <row r="410">
      <c r="A410">
        <f>Skills!A17</f>
        <v/>
      </c>
      <c r="B410">
        <f>Skills!B17</f>
        <v/>
      </c>
      <c r="C410">
        <f>Inputs!$B$3&gt;=66</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f>(1-Summary!$B$11)*T410+Summary!$B$11*V410</f>
        <v/>
      </c>
      <c r="P410">
        <f>IF(B436=0,0,O410/B436)</f>
        <v/>
      </c>
      <c r="Q410" t="n">
        <v>0</v>
      </c>
      <c r="R410" t="n">
        <v>0</v>
      </c>
      <c r="S410">
        <f>IFERROR(O410/N410,0)</f>
        <v/>
      </c>
      <c r="T410" t="n">
        <v>0</v>
      </c>
      <c r="V410" t="n">
        <v>0</v>
      </c>
    </row>
    <row r="411">
      <c r="A411">
        <f>Skills!A18</f>
        <v/>
      </c>
      <c r="B411">
        <f>Skills!B18</f>
        <v/>
      </c>
      <c r="C411">
        <f>Inputs!$B$3&gt;=72</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f>(1-Summary!$B$11)*T411+Summary!$B$11*V411</f>
        <v/>
      </c>
      <c r="P411">
        <f>IF(B436=0,0,O411/B436)</f>
        <v/>
      </c>
      <c r="Q411" t="n">
        <v>0</v>
      </c>
      <c r="R411" t="n">
        <v>0</v>
      </c>
      <c r="S411">
        <f>IFERROR(O411/N411,0)</f>
        <v/>
      </c>
      <c r="T411" t="n">
        <v>0</v>
      </c>
      <c r="V411" t="n">
        <v>0</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f>(1-Summary!$B$11)*T412+Summary!$B$11*V412</f>
        <v/>
      </c>
      <c r="P412">
        <f>IF(B436=0,0,O412/B436)</f>
        <v/>
      </c>
      <c r="Q412">
        <f>IFERROR(1/(IF(Inputs!$B$38="pvp",15,MAX(0.1,Skills!D19-IF(Skills!E19=TRUE,Inputs!$B$32,0)))*(1-IF(AND(ArtifactsInput!$M$27,Inputs!$B$4="Chapter Hunt"),CHOOSE(ArtifactsInput!$N$27+1,20,24,28,32,36,40),0)/100)),0)</f>
        <v/>
      </c>
      <c r="R412">
        <f>IF(AND(Inputs!$B$38&lt;&gt;"pvp",Inputs!$B$43&gt;0),IF(Inputs!$B$43&lt;=0,0,(INT(Inputs!$B$43/(IF(Inputs!$B$38="pvp",15,MAX(0.1,Skills!D19-IF(Skills!E19=TRUE,Inputs!$B$32,0)))*(1-IF(AND(ArtifactsInput!$M$27,Inputs!$B$4="Chapter Hunt"),CHOOSE(ArtifactsInput!$N$27+1,20,24,28,32,36,40),0)/100)))+1)),0)</f>
        <v/>
      </c>
      <c r="S412">
        <f>IFERROR(O412/N412,0)</f>
        <v/>
      </c>
      <c r="T412" t="n">
        <v>0</v>
      </c>
      <c r="V412" t="n">
        <v>0</v>
      </c>
    </row>
    <row r="413">
      <c r="A413">
        <f>Skills!A20</f>
        <v/>
      </c>
      <c r="B413">
        <f>Skills!B20</f>
        <v/>
      </c>
      <c r="C413">
        <f>Inputs!$B$3&gt;=15</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f>(1-Summary!$B$11)*T413+Summary!$B$11*V413</f>
        <v/>
      </c>
      <c r="P413">
        <f>IF(B436=0,0,O413/B436)</f>
        <v/>
      </c>
      <c r="Q413" t="n">
        <v>0</v>
      </c>
      <c r="R413" t="n">
        <v>0</v>
      </c>
      <c r="S413">
        <f>IFERROR(O413/N413,0)</f>
        <v/>
      </c>
      <c r="T413" t="n">
        <v>0</v>
      </c>
      <c r="V413" t="n">
        <v>0</v>
      </c>
    </row>
    <row r="414">
      <c r="A414">
        <f>Skills!A21</f>
        <v/>
      </c>
      <c r="B414">
        <f>Skills!B21</f>
        <v/>
      </c>
      <c r="C414">
        <f>Inputs!$B$3&gt;=10</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f>(1-Summary!$B$11)*T414+Summary!$B$11*V414</f>
        <v/>
      </c>
      <c r="P414">
        <f>IF(B436=0,0,O414/B436)</f>
        <v/>
      </c>
      <c r="Q414" t="n">
        <v>0</v>
      </c>
      <c r="R414" t="n">
        <v>0</v>
      </c>
      <c r="S414">
        <f>IFERROR(O414/N414,0)</f>
        <v/>
      </c>
      <c r="T414" t="n">
        <v>0</v>
      </c>
      <c r="V414" t="n">
        <v>0</v>
      </c>
    </row>
    <row r="415">
      <c r="A415">
        <f>Skills!A22</f>
        <v/>
      </c>
      <c r="B415">
        <f>Skills!B22</f>
        <v/>
      </c>
      <c r="C415">
        <f>Inputs!$B$3&gt;=33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f>(1-Summary!$B$11)*T415+Summary!$B$11*V415</f>
        <v/>
      </c>
      <c r="P415">
        <f>IF(B436=0,0,O415/B436)</f>
        <v/>
      </c>
      <c r="Q415" t="n">
        <v>0</v>
      </c>
      <c r="R415" t="n">
        <v>0</v>
      </c>
      <c r="S415">
        <f>IFERROR(O415/N415,0)</f>
        <v/>
      </c>
      <c r="T415" t="n">
        <v>0</v>
      </c>
      <c r="V415" t="n">
        <v>0</v>
      </c>
    </row>
    <row r="416">
      <c r="A416">
        <f>Skills!A23</f>
        <v/>
      </c>
      <c r="B416">
        <f>Skills!B23</f>
        <v/>
      </c>
      <c r="C416">
        <f>Inputs!$B$3&gt;=38</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f>(1-Summary!$B$11)*T416+Summary!$B$11*V416</f>
        <v/>
      </c>
      <c r="P416">
        <f>IF(B436=0,0,O416/B436)</f>
        <v/>
      </c>
      <c r="Q416" t="n">
        <v>0</v>
      </c>
      <c r="R416" t="n">
        <v>0</v>
      </c>
      <c r="S416">
        <f>IFERROR(O416/N416,0)</f>
        <v/>
      </c>
      <c r="T416" t="n">
        <v>0</v>
      </c>
      <c r="V416" t="n">
        <v>0</v>
      </c>
    </row>
    <row r="417">
      <c r="A417">
        <f>Skills!A24</f>
        <v/>
      </c>
      <c r="B417">
        <f>Skills!B24</f>
        <v/>
      </c>
      <c r="C417">
        <f>Inputs!$B$3&gt;=43</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f>(1-Summary!$B$11)*T417+Summary!$B$11*V417</f>
        <v/>
      </c>
      <c r="P417">
        <f>IF(B436=0,0,O417/B436)</f>
        <v/>
      </c>
      <c r="Q417" t="n">
        <v>0</v>
      </c>
      <c r="R417" t="n">
        <v>0</v>
      </c>
      <c r="S417">
        <f>IFERROR(O417/N417,0)</f>
        <v/>
      </c>
      <c r="T417" t="n">
        <v>0</v>
      </c>
      <c r="V417" t="n">
        <v>0</v>
      </c>
    </row>
    <row r="418">
      <c r="A418">
        <f>Skills!A25</f>
        <v/>
      </c>
      <c r="B418">
        <f>Skills!B25</f>
        <v/>
      </c>
      <c r="C418">
        <f>Inputs!$B$3&gt;=75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f>(1-Summary!$B$11)*T418+Summary!$B$11*V418</f>
        <v/>
      </c>
      <c r="P418">
        <f>IF(B436=0,0,O418/B436)</f>
        <v/>
      </c>
      <c r="Q418" t="n">
        <v>0</v>
      </c>
      <c r="R418" t="n">
        <v>0</v>
      </c>
      <c r="S418">
        <f>IFERROR(O418/N418,0)</f>
        <v/>
      </c>
      <c r="T418" t="n">
        <v>0</v>
      </c>
      <c r="V418" t="n">
        <v>0</v>
      </c>
    </row>
    <row r="419">
      <c r="A419">
        <f>Skills!A26</f>
        <v/>
      </c>
      <c r="B419">
        <f>Skills!B26</f>
        <v/>
      </c>
      <c r="C419">
        <f>Inputs!$B$3&gt;=125</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f>(1-Summary!$B$11)*T419+Summary!$B$11*V419</f>
        <v/>
      </c>
      <c r="P419">
        <f>IF(B436=0,0,O419/B436)</f>
        <v/>
      </c>
      <c r="Q419" t="n">
        <v>0</v>
      </c>
      <c r="R419" t="n">
        <v>0</v>
      </c>
      <c r="S419">
        <f>IFERROR(O419/N419,0)</f>
        <v/>
      </c>
      <c r="T419" t="n">
        <v>0</v>
      </c>
      <c r="V419" t="n">
        <v>0</v>
      </c>
    </row>
    <row r="420">
      <c r="A420">
        <f>Skills!A27</f>
        <v/>
      </c>
      <c r="B420">
        <f>Skills!B27</f>
        <v/>
      </c>
      <c r="C420">
        <f>Inputs!$B$3&gt;=125</f>
        <v/>
      </c>
      <c r="D420">
        <f>IF(Skills!C27=1,60+Inputs!$B$25+Inputs!$B$29,IF(Skills!C27=2,90+Inputs!$B$26+Inputs!$B$29,IF(Skills!C27=3,120+Inputs!$B$27+Inputs!$B$29,MAX(0,(Inputs!$B$3-100)*3)+Inputs!$B$28+Inputs!$B$29)))</f>
        <v/>
      </c>
      <c r="E420">
        <f>INDEX(FactorTable!$B$2:$Y$301, MATCH(ROUND(MIN(300,MAX(1,D420)),0), FactorTable!$A$2:$A$301,0), Skills!M27+1)</f>
        <v/>
      </c>
      <c r="F420">
        <f>IF(Skills!N27=TRUE,(Skills!L27/10)*(E420/1000),Skills!L27/10)+Skills!O27</f>
        <v/>
      </c>
      <c r="G420">
        <f>Skills!G27*IF(Skills!H27&gt;0,Skills!I27/Skills!H27,1)</f>
        <v/>
      </c>
      <c r="H420">
        <f>1-(1-Skills!J27/100)^Skills!K27</f>
        <v/>
      </c>
      <c r="I420" t="inlineStr">
        <is>
          <t>1</t>
        </is>
      </c>
      <c r="J420" t="inlineStr"/>
      <c r="K420" t="inlineStr"/>
      <c r="L420" t="inlineStr"/>
      <c r="M420" t="inlineStr"/>
      <c r="N420" t="inlineStr"/>
      <c r="O420">
        <f>(1-Summary!$B$11)*T420+Summary!$B$11*V420</f>
        <v/>
      </c>
      <c r="P420">
        <f>IF(B436=0,0,O420/B436)</f>
        <v/>
      </c>
      <c r="Q420" t="n">
        <v>0</v>
      </c>
      <c r="R420" t="n">
        <v>0</v>
      </c>
      <c r="S420">
        <f>IFERROR(O420/N420,0)</f>
        <v/>
      </c>
      <c r="T420" t="n">
        <v>0</v>
      </c>
      <c r="V420" t="n">
        <v>0</v>
      </c>
    </row>
    <row r="421">
      <c r="A421">
        <f>Skills!A28</f>
        <v/>
      </c>
      <c r="B421">
        <f>Skills!B28</f>
        <v/>
      </c>
      <c r="C421">
        <f>Inputs!$B$3&gt;=120</f>
        <v/>
      </c>
      <c r="D421">
        <f>IF(Skills!C28=1,60+Inputs!$B$25+Inputs!$B$29,IF(Skills!C28=2,90+Inputs!$B$26+Inputs!$B$29,IF(Skills!C28=3,120+Inputs!$B$27+Inputs!$B$29,MAX(0,(Inputs!$B$3-100)*3)+Inputs!$B$28+Inputs!$B$29)))</f>
        <v/>
      </c>
      <c r="E421">
        <f>INDEX(FactorTable!$B$2:$Y$301, MATCH(ROUND(MIN(300,MAX(1,D421)),0), FactorTable!$A$2:$A$301,0), Skills!M28+1)</f>
        <v/>
      </c>
      <c r="F421">
        <f>IF(Skills!N28=TRUE,(Skills!L28/10)*(E421/1000),Skills!L28/10)+Skills!O28</f>
        <v/>
      </c>
      <c r="G421">
        <f>Skills!G28*IF(Skills!H28&gt;0,Skills!I28/Skills!H28,1)</f>
        <v/>
      </c>
      <c r="H421">
        <f>1-(1-Skills!J28/100)^Skills!K28</f>
        <v/>
      </c>
      <c r="I421" t="inlineStr">
        <is>
          <t>1</t>
        </is>
      </c>
      <c r="J421" t="inlineStr"/>
      <c r="K421" t="inlineStr"/>
      <c r="L421" t="inlineStr"/>
      <c r="M421" t="inlineStr"/>
      <c r="N421" t="inlineStr"/>
      <c r="O421">
        <f>(1-Summary!$B$11)*T421+Summary!$B$11*V421</f>
        <v/>
      </c>
      <c r="P421">
        <f>IF(B436=0,0,O421/B436)</f>
        <v/>
      </c>
      <c r="Q421" t="n">
        <v>0</v>
      </c>
      <c r="R421" t="n">
        <v>0</v>
      </c>
      <c r="S421">
        <f>IFERROR(O421/N421,0)</f>
        <v/>
      </c>
      <c r="T421" t="n">
        <v>0</v>
      </c>
      <c r="V421" t="n">
        <v>0</v>
      </c>
    </row>
    <row r="422">
      <c r="A422">
        <f>Skills!A29</f>
        <v/>
      </c>
      <c r="B422">
        <f>Skills!B29</f>
        <v/>
      </c>
      <c r="C422">
        <f>Inputs!$B$3&gt;=120</f>
        <v/>
      </c>
      <c r="D422">
        <f>IF(Skills!C29=1,60+Inputs!$B$25+Inputs!$B$29,IF(Skills!C29=2,90+Inputs!$B$26+Inputs!$B$29,IF(Skills!C29=3,120+Inputs!$B$27+Inputs!$B$29,MAX(0,(Inputs!$B$3-100)*3)+Inputs!$B$28+Inputs!$B$29)))</f>
        <v/>
      </c>
      <c r="E422">
        <f>INDEX(FactorTable!$B$2:$Y$301, MATCH(ROUND(MIN(300,MAX(1,D422)),0), FactorTable!$A$2:$A$301,0), Skills!M29+1)</f>
        <v/>
      </c>
      <c r="F422">
        <f>IF(Skills!N29=TRUE,(Skills!L29/10)*(E422/1000),Skills!L29/10)+Skills!O29</f>
        <v/>
      </c>
      <c r="G422">
        <f>Skills!G29*IF(Skills!H29&gt;0,Skills!I29/Skills!H29,1)</f>
        <v/>
      </c>
      <c r="H422">
        <f>1-(1-Skills!J29/100)^Skills!K29</f>
        <v/>
      </c>
      <c r="I422" t="inlineStr">
        <is>
          <t>1</t>
        </is>
      </c>
      <c r="J422" t="inlineStr"/>
      <c r="K422" t="inlineStr"/>
      <c r="L422" t="inlineStr"/>
      <c r="M422" t="inlineStr"/>
      <c r="N422" t="inlineStr"/>
      <c r="O422">
        <f>(1-Summary!$B$11)*T422+Summary!$B$11*V422</f>
        <v/>
      </c>
      <c r="P422">
        <f>IF(B436=0,0,O422/B436)</f>
        <v/>
      </c>
      <c r="Q422" t="n">
        <v>0</v>
      </c>
      <c r="R422" t="n">
        <v>0</v>
      </c>
      <c r="S422">
        <f>IFERROR(O422/N422,0)</f>
        <v/>
      </c>
      <c r="T422" t="n">
        <v>0</v>
      </c>
      <c r="V422" t="n">
        <v>0</v>
      </c>
    </row>
    <row r="423">
      <c r="A423">
        <f>Skills!A30</f>
        <v/>
      </c>
      <c r="B423">
        <f>Skills!B30</f>
        <v/>
      </c>
      <c r="C423">
        <f>Inputs!$B$3&gt;=45</f>
        <v/>
      </c>
      <c r="D423">
        <f>IF(Skills!C30=1,60+Inputs!$B$25+Inputs!$B$29,IF(Skills!C30=2,90+Inputs!$B$26+Inputs!$B$29,IF(Skills!C30=3,120+Inputs!$B$27+Inputs!$B$29,MAX(0,(Inputs!$B$3-100)*3)+Inputs!$B$28+Inputs!$B$29)))</f>
        <v/>
      </c>
      <c r="E423">
        <f>INDEX(FactorTable!$B$2:$Y$301, MATCH(ROUND(MIN(300,MAX(1,D423)),0), FactorTable!$A$2:$A$301,0), Skills!M30+1)</f>
        <v/>
      </c>
      <c r="F423">
        <f>IF(Skills!N30=TRUE,(Skills!L30/10)*(E423/1000),Skills!L30/10)+Skills!O30</f>
        <v/>
      </c>
      <c r="G423">
        <f>Skills!G30*IF(Skills!H30&gt;0,Skills!I30/Skills!H30,1)</f>
        <v/>
      </c>
      <c r="H423">
        <f>1-(1-Skills!J30/100)^Skills!K30</f>
        <v/>
      </c>
      <c r="I423" t="inlineStr">
        <is>
          <t>1</t>
        </is>
      </c>
      <c r="J423" t="inlineStr"/>
      <c r="K423" t="inlineStr"/>
      <c r="L423" t="inlineStr"/>
      <c r="M423" t="inlineStr"/>
      <c r="N423" t="inlineStr"/>
      <c r="O423">
        <f>(1-Summary!$B$11)*T423+Summary!$B$11*V423</f>
        <v/>
      </c>
      <c r="P423">
        <f>IF(B436=0,0,O423/B436)</f>
        <v/>
      </c>
      <c r="Q423" t="n">
        <v>0</v>
      </c>
      <c r="R423" t="n">
        <v>0</v>
      </c>
      <c r="S423">
        <f>IFERROR(O423/N423,0)</f>
        <v/>
      </c>
      <c r="T423" t="n">
        <v>0</v>
      </c>
      <c r="V423" t="n">
        <v>0</v>
      </c>
    </row>
    <row r="425">
      <c r="A425" t="inlineStr">
        <is>
          <t>Attack% Bucket Multiplier</t>
        </is>
      </c>
      <c r="B425">
        <f>(1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26">
      <c r="A426" t="inlineStr">
        <is>
          <t>Global Crit Rate Bonus %</t>
        </is>
      </c>
      <c r="B426">
        <f>(C409=TRUE)*20*IF(AND(Inputs!$B$38&lt;&gt;"pvp",Inputs!$B$43&gt;0),(((R409-1)*(Skills!T16*(1+Inputs!$B$34/100))+MIN((Skills!T16*(1+Inputs!$B$34/100)),MAX(0,Inputs!$B$43-((R409-1)*Skills!D16))))/Inputs!$B$43),IF(Inputs!$B$38="pvp",MIN((Skills!T16*(1+Inputs!$B$34/100)),15)/15,(Skills!T16*(1+Inputs!$B$34/100))/Skills!D16))</f>
        <v/>
      </c>
    </row>
    <row r="427">
      <c r="A427" t="inlineStr">
        <is>
          <t>Attack Speed Buff Bonus %</t>
        </is>
      </c>
      <c r="B427">
        <f>((C412=TRUE)*F412*IF(AND(Inputs!$B$38&lt;&gt;"pvp",Inputs!$B$43&gt;0),(((R412-1)*(Skills!T19*(1+Inputs!$B$34/100))+MIN((Skills!T19*(1+Inputs!$B$34/100)),MAX(0,Inputs!$B$43-((R412-1)*Skills!D19))))/Inputs!$B$43),IF(Inputs!$B$38="pvp",MIN((Skills!T19*(1+Inputs!$B$34/100)),15)/15,(Skills!T19*(1+Inputs!$B$34/100))/Skills!D19)))</f>
        <v/>
      </c>
    </row>
    <row r="428">
      <c r="A428" t="inlineStr">
        <is>
          <t>Actions Per Second</t>
        </is>
      </c>
      <c r="B428">
        <f>1+MIN(150,150*(1-(1-(Inputs!$B$11+((C414=TRUE)*(F414-Calc!F21))+((C415=TRUE)*(F415-Calc!F22)))/150)*(1-B427/150)))/100</f>
        <v/>
      </c>
    </row>
    <row r="429">
      <c r="A429" t="inlineStr">
        <is>
          <t>Skill + Buff Cast Rate</t>
        </is>
      </c>
      <c r="B429">
        <f>IF(AND(Inputs!$B$38&lt;&gt;"pvp",Inputs!$B$43&gt;0),SUMPRODUCT((Skills!E2:E30=TRUE)*(C395:C423=TRUE)*R395:R423*Skills!F2:F30)/Inputs!$B$43,SUMPRODUCT((Skills!E2:E30=TRUE)*(C395:C423=TRUE)*Q395:Q423*Skills!F2:F30))</f>
        <v/>
      </c>
    </row>
    <row r="430">
      <c r="A430" t="inlineStr">
        <is>
          <t>Arrow Stream Casts Per Second</t>
        </is>
      </c>
      <c r="B430">
        <f>MAX(0,B428-B429)</f>
        <v/>
      </c>
    </row>
    <row r="431">
      <c r="A431" t="inlineStr">
        <is>
          <t>Global Critical Damage Bonus % (Sharp Eyes + Concentration)</t>
        </is>
      </c>
      <c r="B431">
        <f>(C409=TRUE)*F409*IF(AND(Inputs!$B$38&lt;&gt;"pvp",Inputs!$B$43&gt;0),(((R409-1)*(Skills!T16*(1+Inputs!$B$34/100))+MIN((Skills!T16*(1+Inputs!$B$34/100)),MAX(0,Inputs!$B$43-((R409-1)*Skills!D16))))/Inputs!$B$43),IF(Inputs!$B$38="pvp",MIN((Skills!T16*(1+Inputs!$B$34/100)),15)/15,(Skills!T16*(1+Inputs!$B$34/100))/Skills!D16))+(C410=TRUE)*30</f>
        <v/>
      </c>
    </row>
    <row r="432">
      <c r="A432" t="inlineStr">
        <is>
          <t>Global Final Damage Bonus % (Mortal Blow)</t>
        </is>
      </c>
      <c r="B432">
        <f>(C411=TRUE)*F411</f>
        <v/>
      </c>
    </row>
    <row r="433">
      <c r="A433" t="inlineStr">
        <is>
          <t>Buff-Casting Startup Delay (s, fixed-duration only)</t>
        </is>
      </c>
      <c r="B433">
        <f>IF(AND(Inputs!$B$38&lt;&gt;"pvp",Inputs!$B$43&gt;0),SUMPRODUCT((Skills!T2:T30&gt;0)*(Skills!E2:E30=TRUE)*(C395:C423=TRUE))/B428,0)</f>
        <v/>
      </c>
    </row>
    <row r="434">
      <c r="A434" t="inlineStr">
        <is>
          <t>Boss-Only Total DPS (this block's swept value)</t>
        </is>
      </c>
      <c r="B434">
        <f>SUM(T395:T423)</f>
        <v/>
      </c>
    </row>
    <row r="435">
      <c r="A435" t="inlineStr">
        <is>
          <t>Normal-Only Total DPS (this block's swept value)</t>
        </is>
      </c>
      <c r="B435">
        <f>SUM(V395:V423)</f>
        <v/>
      </c>
    </row>
    <row r="436">
      <c r="A436" s="6" t="inlineStr">
        <is>
          <t>TOTAL DPS</t>
        </is>
      </c>
      <c r="B436" s="6">
        <f>SUM(O395:O423)</f>
        <v/>
      </c>
    </row>
    <row r="439">
      <c r="A439" s="6" t="inlineStr">
        <is>
          <t>Stat: MIN_DAMAGE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Q440" s="5" t="inlineStr">
        <is>
          <t>InvCooldown</t>
        </is>
      </c>
      <c r="R440" s="5" t="inlineStr">
        <is>
          <t>CastsInFight</t>
        </is>
      </c>
      <c r="S440" s="5" t="inlineStr">
        <is>
          <t>HitRate(perSec)</t>
        </is>
      </c>
      <c r="U440" t="inlineStr">
        <is>
          <t>helpers</t>
        </is>
      </c>
    </row>
    <row r="441">
      <c r="A441">
        <f>Skills!A2</f>
        <v/>
      </c>
      <c r="B441">
        <f>Skills!B2</f>
        <v/>
      </c>
      <c r="C441">
        <f>Inputs!$B$3&gt;=100</f>
        <v/>
      </c>
      <c r="D441" t="inlineStr"/>
      <c r="E441" t="inlineStr"/>
      <c r="F441">
        <f>U443+Skills!O2</f>
        <v/>
      </c>
      <c r="G441">
        <f>Skills!G2*IF(Skills!H2&gt;0,Skills!I2/Skills!H2,1)</f>
        <v/>
      </c>
      <c r="H441">
        <f>1-(1-Skills!J2/100)^Skills!K2</f>
        <v/>
      </c>
      <c r="I441" t="inlineStr">
        <is>
          <t>1</t>
        </is>
      </c>
      <c r="J441">
        <f>((Inputs!$B$6*(1+Inputs!$B$7/100))+(((Inputs!$B$12*(1+Inputs!$B$13/100))-(Inputs!$B$12*(1+Inputs!$B$13/100)))+0.25*(Inputs!$B$14-Inputs!$B$14))*(1+Inputs!$B$7/100))*(F441/100)</f>
        <v/>
      </c>
      <c r="K441">
        <f>J441*(1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463=TRUE)*(F463-Calc!F24)),(Inputs!$B$23+((C468=TRUE)*(F468-Calc!F29))+(IF(ArtifactsInput!$M$15,CHOOSE(ArtifactsInput!$N$15+1,25,30,35,40,45,50)/100*(Inputs!$B$11-Inputs!$B$11),0))))/100+(Inputs!$B$23+((C468=TRUE)*(F468-Calc!F29))+(IF(ArtifactsInput!$M$15,CHOOSE(ArtifactsInput!$N$15+1,25,30,35,40,45,50)/100*(Inputs!$B$11-Inputs!$B$11),0)))/100)/2</f>
        <v/>
      </c>
      <c r="M441">
        <f>L441*(1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IF(B482=0,0,O441/B482)</f>
        <v/>
      </c>
      <c r="Q441" t="n">
        <v>0</v>
      </c>
      <c r="R441" t="n">
        <v>0</v>
      </c>
      <c r="S441">
        <f>IFERROR(O441/N441,0)</f>
        <v/>
      </c>
      <c r="T441">
        <f>IF(C441,(Skills!G2*N441*B476)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441*(1-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MAX(0,(Inputs!$B$3-100)*3)+Inputs!$B$28+Inputs!$B$29</f>
        <v/>
      </c>
      <c r="V441">
        <f>IF(C441,(Skills!G2*N441*B476)*IF(Inputs!$B$38="pvp",1,(1+(Inputs!$B$21+Skills!Q2+(IF(ArtifactsInput!$M$33,CHOOSE(ArtifactsInput!$N$33+1,30,36,42,48,54,60),0))+(IF(AND(ArtifactsInput!$M$35,Inputs!$B$4&lt;&gt;"Chapter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Skills!A3</f>
        <v/>
      </c>
      <c r="B442">
        <f>Skills!B3</f>
        <v/>
      </c>
      <c r="C442">
        <f>Inputs!$B$3&gt;=50</f>
        <v/>
      </c>
      <c r="D442">
        <f>IF(Skills!C3=1,60+Inputs!$B$25+Inputs!$B$29,IF(Skills!C3=2,90+Inputs!$B$26+Inputs!$B$29,IF(Skills!C3=3,120+Inputs!$B$27+Inputs!$B$29,MAX(0,(Inputs!$B$3-100)*3)+Inputs!$B$28+Inputs!$B$29)))</f>
        <v/>
      </c>
      <c r="E442">
        <f>INDEX(FactorTable!$B$2:$Y$301, MATCH(ROUND(MIN(300,MAX(1,D442)),0), FactorTable!$A$2:$A$301,0), Skills!M3+1)</f>
        <v/>
      </c>
      <c r="F442">
        <f>IF(Skills!N3=TRUE,(Skills!L3/10)*(E442/1000),Skills!L3/10)+Skills!O3</f>
        <v/>
      </c>
      <c r="G442" t="inlineStr"/>
      <c r="H442" t="inlineStr"/>
      <c r="I442" t="inlineStr">
        <is>
          <t>1</t>
        </is>
      </c>
      <c r="J442" t="inlineStr"/>
      <c r="K442" t="inlineStr"/>
      <c r="L442" t="inlineStr"/>
      <c r="M442" t="inlineStr"/>
      <c r="N442" t="inlineStr"/>
      <c r="O442" t="inlineStr"/>
      <c r="P442" t="inlineStr"/>
      <c r="Q442" t="inlineStr"/>
      <c r="R442" t="inlineStr"/>
      <c r="S442" t="inlineStr"/>
      <c r="T442" t="inlineStr"/>
      <c r="U442">
        <f>INDEX(FactorTable!$B$2:$Y$301, MATCH(ROUND(MIN(300,MAX(1,U441)),0), FactorTable!$A$2:$A$301,0), 22)</f>
        <v/>
      </c>
      <c r="V442" t="inlineStr"/>
    </row>
    <row r="443">
      <c r="A443">
        <f>Skills!A4</f>
        <v/>
      </c>
      <c r="B443">
        <f>Skills!B4</f>
        <v/>
      </c>
      <c r="C443">
        <f>Inputs!$B$3&gt;=105</f>
        <v/>
      </c>
      <c r="D443">
        <f>IF(Skills!C4=1,60+Inputs!$B$25+Inputs!$B$29,IF(Skills!C4=2,90+Inputs!$B$26+Inputs!$B$29,IF(Skills!C4=3,120+Inputs!$B$27+Inputs!$B$29,MAX(0,(Inputs!$B$3-100)*3)+Inputs!$B$28+Inputs!$B$29)))</f>
        <v/>
      </c>
      <c r="E443">
        <f>INDEX(FactorTable!$B$2:$Y$301, MATCH(ROUND(MIN(300,MAX(1,D443)),0), FactorTable!$A$2:$A$301,0), Skills!M4+1)</f>
        <v/>
      </c>
      <c r="F443">
        <f>IF(Skills!N4=TRUE,(Skills!L4/10)*(E443/1000),Skills!L4/10)+Skills!O4</f>
        <v/>
      </c>
      <c r="G443" t="inlineStr"/>
      <c r="H443" t="inlineStr"/>
      <c r="I443" t="inlineStr">
        <is>
          <t>1</t>
        </is>
      </c>
      <c r="J443" t="inlineStr"/>
      <c r="K443" t="inlineStr"/>
      <c r="L443" t="inlineStr"/>
      <c r="M443" t="inlineStr"/>
      <c r="N443" t="inlineStr"/>
      <c r="O443" t="inlineStr"/>
      <c r="P443" t="inlineStr"/>
      <c r="Q443" t="inlineStr"/>
      <c r="R443" t="inlineStr"/>
      <c r="S443" t="inlineStr"/>
      <c r="T443" t="inlineStr"/>
      <c r="U443">
        <f>290*U442/1000</f>
        <v/>
      </c>
      <c r="V443" t="inlineStr"/>
    </row>
    <row r="444">
      <c r="A444">
        <f>Skills!A5</f>
        <v/>
      </c>
      <c r="B444">
        <f>Skills!B5</f>
        <v/>
      </c>
      <c r="C444">
        <f>Inputs!$B$3&gt;=35</f>
        <v/>
      </c>
      <c r="D444">
        <f>IF(Skills!C5=1,60+Inputs!$B$25+Inputs!$B$29,IF(Skills!C5=2,90+Inputs!$B$26+Inputs!$B$29,IF(Skills!C5=3,120+Inputs!$B$27+Inputs!$B$29,MAX(0,(Inputs!$B$3-100)*3)+Inputs!$B$28+Inputs!$B$29)))</f>
        <v/>
      </c>
      <c r="E444">
        <f>INDEX(FactorTable!$B$2:$Y$301, MATCH(ROUND(MIN(300,MAX(1,D444)),0), FactorTable!$A$2:$A$301,0), Skills!M5+1)</f>
        <v/>
      </c>
      <c r="F444">
        <f>IF(Skills!N5=TRUE,(Skills!L5/10)*(E444/1000),Skills!L5/10)+Skills!O5</f>
        <v/>
      </c>
      <c r="G444">
        <f>Skills!G5*IF(Skills!H5&gt;0,Skills!I5/Skills!H5,1)</f>
        <v/>
      </c>
      <c r="H444">
        <f>1-(1-Skills!J5/100)^Skills!K5</f>
        <v/>
      </c>
      <c r="I444" t="inlineStr">
        <is>
          <t>1</t>
        </is>
      </c>
      <c r="J444">
        <f>((Inputs!$B$6*(1+Inputs!$B$7/100))+(((Inputs!$B$12*(1+Inputs!$B$13/100))-(Inputs!$B$12*(1+Inputs!$B$13/100)))+0.25*(Inputs!$B$14-Inputs!$B$14))*(1+Inputs!$B$7/100))*(F444/100)</f>
        <v/>
      </c>
      <c r="K444">
        <f>J444*(1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449=TRUE,F449,0)/100)*(1+(IF(Skills!A5="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+1)+((C463=TRUE)*(F463-Calc!F24)),(Inputs!$B$23+((C468=TRUE)*(F468-Calc!F29))+(IF(ArtifactsInput!$M$15,CHOOSE(ArtifactsInput!$N$15+1,25,30,35,40,45,50)/100*(Inputs!$B$11-Inputs!$B$11),0))))/100+(Inputs!$B$23+((C468=TRUE)*(F468-Calc!F29))+(IF(ArtifactsInput!$M$15,CHOOSE(ArtifactsInput!$N$15+1,25,30,35,40,45,50)/100*(Inputs!$B$11-Inputs!$B$11),0)))/100)/2</f>
        <v/>
      </c>
      <c r="M444">
        <f>L444*(1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4">
        <f>L444*(1-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(1-Summary!$B$11)*T444+Summary!$B$11*V444</f>
        <v/>
      </c>
      <c r="P444">
        <f>IF(B482=0,0,O444/B482)</f>
        <v/>
      </c>
      <c r="Q444">
        <f>IFERROR(1/(IF(Inputs!$B$38="pvp",15,MAX(0.1,Skills!D5-IF(Skills!E5=TRUE,Inputs!$B$32,0)))*(1-IF(AND(ArtifactsInput!$M$27,Inputs!$B$4="Chapter Hunt"),CHOOSE(ArtifactsInput!$N$27+1,20,24,28,32,36,40),0)/100)),0)</f>
        <v/>
      </c>
      <c r="R444">
        <f>IF(AND(Inputs!$B$38&lt;&gt;"pvp",Inputs!$B$43&gt;0),IF(MAX(0,Inputs!$B$43-B479)&lt;=0,0,(INT(MAX(0,Inputs!$B$43-B479)/(IF(Inputs!$B$38="pvp",15,MAX(0.1,Skills!D5-IF(Skills!E5=TRUE,Inputs!$B$32,0)))*(1-IF(AND(ArtifactsInput!$M$27,Inputs!$B$4="Chapter Hunt"),CHOOSE(ArtifactsInput!$N$27+1,20,24,28,32,36,40),0)/100)))+1)),0)</f>
        <v/>
      </c>
      <c r="S444">
        <f>IFERROR(O444/N444,0)</f>
        <v/>
      </c>
      <c r="T444">
        <f>IF(C444,(H444*N444*IF(AND(Inputs!$B$38&lt;&gt;"pvp",Inputs!$B$43&gt;0),((Skills!G5*((R444-1)*IF(Skills!H5&gt;0,Skills!I5/Skills!H5,1)+IF(Skills!H5&gt;0,MIN(Skills!I5,MAX(0,MAX(0,Inputs!$B$43-B479)-((R444-1)*(IF(Inputs!$B$38="pvp",15,MAX(0.1,Skills!D5-IF(Skills!E5=TRUE,Inputs!$B$32,0)))*(1-IF(AND(ArtifactsInput!$M$27,Inputs!$B$4="Chapter Hunt"),CHOOSE(ArtifactsInput!$N$27+1,20,24,28,32,36,40),0)/100)))))/Skills!H5,1)))/Inputs!$B$43),G444*Q444)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4">
        <f>IF(C444,(H444*N444*IF(AND(Inputs!$B$38&lt;&gt;"pvp",Inputs!$B$43&gt;0),((Skills!G5*((R444-1)*IF(Skills!H5&gt;0,Skills!I5/Skills!H5,1)+IF(Skills!H5&gt;0,MIN(Skills!I5,MAX(0,MAX(0,Inputs!$B$43-B479)-((R444-1)*(IF(Inputs!$B$38="pvp",15,MAX(0.1,Skills!D5-IF(Skills!E5=TRUE,Inputs!$B$32,0)))*(1-IF(AND(ArtifactsInput!$M$27,Inputs!$B$4="Chapter Hunt"),CHOOSE(ArtifactsInput!$N$27+1,20,24,28,32,36,40),0)/100)))))/Skills!H5,1)))/Inputs!$B$43),G444*Q444))*IF(Inputs!$B$38="pvp",1,(1+(Inputs!$B$21+Skills!Q5+(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Inputs!$B$3&gt;=40</f>
        <v/>
      </c>
      <c r="D445">
        <f>IF(Skills!C6=1,60+Inputs!$B$25+Inputs!$B$29,IF(Skills!C6=2,90+Inputs!$B$26+Inputs!$B$29,IF(Skills!C6=3,120+Inputs!$B$27+Inputs!$B$29,MAX(0,(Inputs!$B$3-100)*3)+Inputs!$B$28+Inputs!$B$29)))</f>
        <v/>
      </c>
      <c r="E445">
        <f>INDEX(FactorTable!$B$2:$Y$301, MATCH(ROUND(MIN(300,MAX(1,D445)),0), FactorTable!$A$2:$A$301,0), Skills!M6+1)</f>
        <v/>
      </c>
      <c r="F445">
        <f>IF(Skills!N6=TRUE,(Skills!L6/10)*(E445/1000),Skills!L6/10)+Skills!O6</f>
        <v/>
      </c>
      <c r="G445">
        <f>Skills!G6*IF(Skills!H6&gt;0,Skills!I6/Skills!H6,1)</f>
        <v/>
      </c>
      <c r="H445">
        <f>1-(1-Skills!J6/100)^Skills!K6</f>
        <v/>
      </c>
      <c r="I445" t="inlineStr">
        <is>
          <t>1</t>
        </is>
      </c>
      <c r="J445">
        <f>((Inputs!$B$6*(1+Inputs!$B$7/100))+(((Inputs!$B$12*(1+Inputs!$B$13/100))-(Inputs!$B$12*(1+Inputs!$B$13/100)))+0.25*(Inputs!$B$14-Inputs!$B$14))*(1+Inputs!$B$7/100))*(F445/100)</f>
        <v/>
      </c>
      <c r="K445">
        <f>J445*(1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446=TRUE,F446,0)/100)*(1+(IF(Skills!A6="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+1)+((C463=TRUE)*(F463-Calc!F24)),(Inputs!$B$23+((C468=TRUE)*(F468-Calc!F29))+(IF(ArtifactsInput!$M$15,CHOOSE(ArtifactsInput!$N$15+1,25,30,35,40,45,50)/100*(Inputs!$B$11-Inputs!$B$11),0))))/100+(Inputs!$B$23+((C468=TRUE)*(F468-Calc!F29))+(IF(ArtifactsInput!$M$15,CHOOSE(ArtifactsInput!$N$15+1,25,30,35,40,45,50)/100*(Inputs!$B$11-Inputs!$B$11),0)))/100)/2</f>
        <v/>
      </c>
      <c r="M445">
        <f>L445*(1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5">
        <f>L445*(1-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(1-Summary!$B$11)*T445+Summary!$B$11*V445</f>
        <v/>
      </c>
      <c r="P445">
        <f>IF(B482=0,0,O445/B482)</f>
        <v/>
      </c>
      <c r="Q445">
        <f>IFERROR(1/(IF(Inputs!$B$38="pvp",15,MAX(0.1,Skills!D6-IF(Skills!E6=TRUE,Inputs!$B$32,0)))*(1-IF(AND(ArtifactsInput!$M$27,Inputs!$B$4="Chapter Hunt"),CHOOSE(ArtifactsInput!$N$27+1,20,24,28,32,36,40),0)/100)),0)</f>
        <v/>
      </c>
      <c r="R445">
        <f>IF(AND(Inputs!$B$38&lt;&gt;"pvp",Inputs!$B$43&gt;0),IF(MAX(0,Inputs!$B$43-B479)&lt;=0,0,(INT(MAX(0,Inputs!$B$43-B479)/(IF(Inputs!$B$38="pvp",15,MAX(0.1,Skills!D6-IF(Skills!E6=TRUE,Inputs!$B$32,0)))*(1-IF(AND(ArtifactsInput!$M$27,Inputs!$B$4="Chapter Hunt"),CHOOSE(ArtifactsInput!$N$27+1,20,24,28,32,36,40),0)/100)))+1)),0)</f>
        <v/>
      </c>
      <c r="S445">
        <f>IFERROR(O445/N445,0)</f>
        <v/>
      </c>
      <c r="T445">
        <f>IF(C445,(H445*N445*IF(AND(Inputs!$B$38&lt;&gt;"pvp",Inputs!$B$43&gt;0),((Skills!G6*((R445-1)*IF(Skills!H6&gt;0,Skills!I6/Skills!H6,1)+IF(Skills!H6&gt;0,MIN(Skills!I6,MAX(0,MAX(0,Inputs!$B$43-B479)-((R445-1)*(IF(Inputs!$B$38="pvp",15,MAX(0.1,Skills!D6-IF(Skills!E6=TRUE,Inputs!$B$32,0)))*(1-IF(AND(ArtifactsInput!$M$27,Inputs!$B$4="Chapter Hunt"),CHOOSE(ArtifactsInput!$N$27+1,20,24,28,32,36,40),0)/100)))))/Skills!H6,1)))/Inputs!$B$43),G445*Q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445*(1-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5">
        <f>IF(C445,(H445*N445*IF(AND(Inputs!$B$38&lt;&gt;"pvp",Inputs!$B$43&gt;0),((Skills!G6*((R445-1)*IF(Skills!H6&gt;0,Skills!I6/Skills!H6,1)+IF(Skills!H6&gt;0,MIN(Skills!I6,MAX(0,MAX(0,Inputs!$B$43-B479)-((R445-1)*(IF(Inputs!$B$38="pvp",15,MAX(0.1,Skills!D6-IF(Skills!E6=TRUE,Inputs!$B$32,0)))*(1-IF(AND(ArtifactsInput!$M$27,Inputs!$B$4="Chapter Hunt"),CHOOSE(ArtifactsInput!$N$27+1,20,24,28,32,36,40),0)/100)))))/Skills!H6,1)))/Inputs!$B$43),G445*Q445))*IF(Inputs!$B$38="pvp",1,(1+(Inputs!$B$21+Skills!Q6+(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Inputs!$B$3&gt;=107</f>
        <v/>
      </c>
      <c r="D446">
        <f>IF(Skills!C7=1,60+Inputs!$B$25+Inputs!$B$29,IF(Skills!C7=2,90+Inputs!$B$26+Inputs!$B$29,IF(Skills!C7=3,120+Inputs!$B$27+Inputs!$B$29,MAX(0,(Inputs!$B$3-100)*3)+Inputs!$B$28+Inputs!$B$29)))</f>
        <v/>
      </c>
      <c r="E446">
        <f>INDEX(FactorTable!$B$2:$Y$301, MATCH(ROUND(MIN(300,MAX(1,D446)),0), FactorTable!$A$2:$A$301,0), Skills!M7+1)</f>
        <v/>
      </c>
      <c r="F446">
        <f>IF(Skills!N7=TRUE,(Skills!L7/10)*(E446/1000),Skills!L7/10)+Skills!O7</f>
        <v/>
      </c>
      <c r="G446" t="inlineStr"/>
      <c r="H446" t="inlineStr"/>
      <c r="I446" t="inlineStr">
        <is>
          <t>1</t>
        </is>
      </c>
      <c r="J446" t="inlineStr"/>
      <c r="K446" t="inlineStr"/>
      <c r="L446" t="inlineStr"/>
      <c r="M446" t="inlineStr"/>
      <c r="N446" t="inlineStr"/>
      <c r="O446" t="inlineStr"/>
      <c r="P446" t="inlineStr"/>
      <c r="Q446" t="inlineStr"/>
      <c r="R446" t="inlineStr"/>
      <c r="S446" t="inlineStr"/>
      <c r="T446" t="inlineStr"/>
      <c r="V446" t="inlineStr"/>
    </row>
    <row r="447">
      <c r="A447">
        <f>Skills!A8</f>
        <v/>
      </c>
      <c r="B447">
        <f>Skills!B8</f>
        <v/>
      </c>
      <c r="C447">
        <f>Inputs!$B$3&gt;=69</f>
        <v/>
      </c>
      <c r="D447">
        <f>IF(Skills!C8=1,60+Inputs!$B$25+Inputs!$B$29,IF(Skills!C8=2,90+Inputs!$B$26+Inputs!$B$29,IF(Skills!C8=3,120+Inputs!$B$27+Inputs!$B$29,MAX(0,(Inputs!$B$3-100)*3)+Inputs!$B$28+Inputs!$B$29)))</f>
        <v/>
      </c>
      <c r="E447">
        <f>INDEX(FactorTable!$B$2:$Y$301, MATCH(ROUND(MIN(300,MAX(1,D447)),0), FactorTable!$A$2:$A$301,0), Skills!M8+1)</f>
        <v/>
      </c>
      <c r="F447">
        <f>IF(Skills!N8=TRUE,(Skills!L8/10)*(E447/1000),Skills!L8/10)+Skills!O8</f>
        <v/>
      </c>
      <c r="G447">
        <f>Skills!G8*IF(Skills!H8&gt;0,Skills!I8/Skills!H8,1)</f>
        <v/>
      </c>
      <c r="H447">
        <f>1-(1-Skills!J8/100)^Skills!K8</f>
        <v/>
      </c>
      <c r="I447" t="inlineStr">
        <is>
          <t>1</t>
        </is>
      </c>
      <c r="J447">
        <f>((Inputs!$B$6*(1+Inputs!$B$7/100))+(((Inputs!$B$12*(1+Inputs!$B$13/100))-(Inputs!$B$12*(1+Inputs!$B$13/100)))+0.25*(Inputs!$B$14-Inputs!$B$14))*(1+Inputs!$B$7/100))*(F447/100)</f>
        <v/>
      </c>
      <c r="K447">
        <f>J447*(1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449=TRUE,F449,0)/100)*(1+(IF(Skills!A8="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+1)+((C463=TRUE)*(F463-Calc!F24)),(Inputs!$B$23+((C468=TRUE)*(F468-Calc!F29))+(IF(ArtifactsInput!$M$15,CHOOSE(ArtifactsInput!$N$15+1,25,30,35,40,45,50)/100*(Inputs!$B$11-Inputs!$B$11),0))))/100+(Inputs!$B$23+((C468=TRUE)*(F468-Calc!F29))+(IF(ArtifactsInput!$M$15,CHOOSE(ArtifactsInput!$N$15+1,25,30,35,40,45,50)/100*(Inputs!$B$11-Inputs!$B$11),0)))/100)/2</f>
        <v/>
      </c>
      <c r="M447">
        <f>L447*(1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7">
        <f>L447*(1-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(1-Summary!$B$11)*T447+Summary!$B$11*V447</f>
        <v/>
      </c>
      <c r="P447">
        <f>IF(B482=0,0,O447/B482)</f>
        <v/>
      </c>
      <c r="Q447">
        <f>IFERROR(1/(IF(Inputs!$B$38="pvp",15,MAX(0.1,Skills!D8-IF(Skills!E8=TRUE,Inputs!$B$32,0)))*(1-IF(AND(ArtifactsInput!$M$27,Inputs!$B$4="Chapter Hunt"),CHOOSE(ArtifactsInput!$N$27+1,20,24,28,32,36,40),0)/100)),0)</f>
        <v/>
      </c>
      <c r="R447">
        <f>IF(AND(Inputs!$B$38&lt;&gt;"pvp",Inputs!$B$43&gt;0),IF(MAX(0,Inputs!$B$43-B479)&lt;=0,0,(INT(MAX(0,Inputs!$B$43-B479)/(IF(Inputs!$B$38="pvp",15,MAX(0.1,Skills!D8-IF(Skills!E8=TRUE,Inputs!$B$32,0)))*(1-IF(AND(ArtifactsInput!$M$27,Inputs!$B$4="Chapter Hunt"),CHOOSE(ArtifactsInput!$N$27+1,20,24,28,32,36,40),0)/100)))+1)),0)</f>
        <v/>
      </c>
      <c r="S447">
        <f>IFERROR(O447/N447,0)</f>
        <v/>
      </c>
      <c r="T447">
        <f>IF(C447,(H447*N447*IF(AND(Inputs!$B$38&lt;&gt;"pvp",Inputs!$B$43&gt;0),((Skills!G8*((R447-1)*IF(Skills!H8&gt;0,Skills!I8/Skills!H8,1)+IF(Skills!H8&gt;0,MIN(Skills!I8,MAX(0,MAX(0,Inputs!$B$43-B479)-((R447-1)*(IF(Inputs!$B$38="pvp",15,MAX(0.1,Skills!D8-IF(Skills!E8=TRUE,Inputs!$B$32,0)))*(1-IF(AND(ArtifactsInput!$M$27,Inputs!$B$4="Chapter Hunt"),CHOOSE(ArtifactsInput!$N$27+1,20,24,28,32,36,40),0)/100)))))/Skills!H8,1)))/Inputs!$B$43),G447*Q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447*(1-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7">
        <f>IF(C447,(H447*N447*IF(AND(Inputs!$B$38&lt;&gt;"pvp",Inputs!$B$43&gt;0),((Skills!G8*((R447-1)*IF(Skills!H8&gt;0,Skills!I8/Skills!H8,1)+IF(Skills!H8&gt;0,MIN(Skills!I8,MAX(0,MAX(0,Inputs!$B$43-B479)-((R447-1)*(IF(Inputs!$B$38="pvp",15,MAX(0.1,Skills!D8-IF(Skills!E8=TRUE,Inputs!$B$32,0)))*(1-IF(AND(ArtifactsInput!$M$27,Inputs!$B$4="Chapter Hunt"),CHOOSE(ArtifactsInput!$N$27+1,20,24,28,32,36,40),0)/100)))))/Skills!H8,1)))/Inputs!$B$43),G447*Q447))*IF(Inputs!$B$38="pvp",1,(1+(Inputs!$B$21+Skills!Q8+(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Inputs!$B$3&gt;=63</f>
        <v/>
      </c>
      <c r="D448">
        <f>IF(Skills!C9=1,60+Inputs!$B$25+Inputs!$B$29,IF(Skills!C9=2,90+Inputs!$B$26+Inputs!$B$29,IF(Skills!C9=3,120+Inputs!$B$27+Inputs!$B$29,MAX(0,(Inputs!$B$3-100)*3)+Inputs!$B$28+Inputs!$B$29)))</f>
        <v/>
      </c>
      <c r="E448">
        <f>INDEX(FactorTable!$B$2:$Y$301, MATCH(ROUND(MIN(300,MAX(1,D448)),0), FactorTable!$A$2:$A$301,0), Skills!M9+1)</f>
        <v/>
      </c>
      <c r="F448">
        <f>IF(Skills!N9=TRUE,(Skills!L9/10)*(E448/1000),Skills!L9/10)+Skills!O9</f>
        <v/>
      </c>
      <c r="G448">
        <f>Skills!G9*IF(Skills!H9&gt;0,Skills!I9/Skills!H9,1)</f>
        <v/>
      </c>
      <c r="H448">
        <f>1-(1-Skills!J9/100)^Skills!K9</f>
        <v/>
      </c>
      <c r="I448" t="inlineStr">
        <is>
          <t>1</t>
        </is>
      </c>
      <c r="J448">
        <f>((Inputs!$B$6*(1+Inputs!$B$7/100))+(((Inputs!$B$12*(1+Inputs!$B$13/100))-(Inputs!$B$12*(1+Inputs!$B$13/100)))+0.25*(Inputs!$B$14-Inputs!$B$14))*(1+Inputs!$B$7/100))*(F448/100)</f>
        <v/>
      </c>
      <c r="K448">
        <f>J448*(1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449=TRUE,F449,0)/100)*(1+(IF(Skills!A9="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+1)+((C463=TRUE)*(F463-Calc!F24)),(Inputs!$B$23+((C468=TRUE)*(F468-Calc!F29))+(IF(ArtifactsInput!$M$15,CHOOSE(ArtifactsInput!$N$15+1,25,30,35,40,45,50)/100*(Inputs!$B$11-Inputs!$B$11),0))))/100+(Inputs!$B$23+((C468=TRUE)*(F468-Calc!F29))+(IF(ArtifactsInput!$M$15,CHOOSE(ArtifactsInput!$N$15+1,25,30,35,40,45,50)/100*(Inputs!$B$11-Inputs!$B$11),0)))/100)/2</f>
        <v/>
      </c>
      <c r="M448">
        <f>L448*(1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8">
        <f>L448*(1-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(1-Summary!$B$11)*T448+Summary!$B$11*V448</f>
        <v/>
      </c>
      <c r="P448">
        <f>IF(B482=0,0,O448/B482)</f>
        <v/>
      </c>
      <c r="Q448">
        <f>IFERROR(1/(IF(Inputs!$B$38="pvp",15,MAX(0.1,Skills!D9-IF(Skills!E9=TRUE,Inputs!$B$32,0)))*(1-IF(AND(ArtifactsInput!$M$27,Inputs!$B$4="Chapter Hunt"),CHOOSE(ArtifactsInput!$N$27+1,20,24,28,32,36,40),0)/100)),0)</f>
        <v/>
      </c>
      <c r="R448">
        <f>IF(AND(Inputs!$B$38&lt;&gt;"pvp",Inputs!$B$43&gt;0),IF(MAX(0,Inputs!$B$43-B479)&lt;=0,0,(INT(MAX(0,Inputs!$B$43-B479)/(IF(Inputs!$B$38="pvp",15,MAX(0.1,Skills!D9-IF(Skills!E9=TRUE,Inputs!$B$32,0)))*(1-IF(AND(ArtifactsInput!$M$27,Inputs!$B$4="Chapter Hunt"),CHOOSE(ArtifactsInput!$N$27+1,20,24,28,32,36,40),0)/100)))+1)),0)</f>
        <v/>
      </c>
      <c r="S448">
        <f>IFERROR(O448/N448,0)</f>
        <v/>
      </c>
      <c r="T448">
        <f>IF(C448,(H448*N448*IF(AND(Inputs!$B$38&lt;&gt;"pvp",Inputs!$B$43&gt;0),((Skills!G9*((R448-1)*IF(Skills!H9&gt;0,Skills!I9/Skills!H9,1)+IF(Skills!H9&gt;0,MIN(Skills!I9,MAX(0,MAX(0,Inputs!$B$43-B479)-((R448-1)*(IF(Inputs!$B$38="pvp",15,MAX(0.1,Skills!D9-IF(Skills!E9=TRUE,Inputs!$B$32,0)))*(1-IF(AND(ArtifactsInput!$M$27,Inputs!$B$4="Chapter Hunt"),CHOOSE(ArtifactsInput!$N$27+1,20,24,28,32,36,40),0)/100)))))/Skills!H9,1)))/Inputs!$B$43),G448*Q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448*(1-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8">
        <f>IF(C448,(H448*N448*IF(AND(Inputs!$B$38&lt;&gt;"pvp",Inputs!$B$43&gt;0),((Skills!G9*((R448-1)*IF(Skills!H9&gt;0,Skills!I9/Skills!H9,1)+IF(Skills!H9&gt;0,MIN(Skills!I9,MAX(0,MAX(0,Inputs!$B$43-B479)-((R448-1)*(IF(Inputs!$B$38="pvp",15,MAX(0.1,Skills!D9-IF(Skills!E9=TRUE,Inputs!$B$32,0)))*(1-IF(AND(ArtifactsInput!$M$27,Inputs!$B$4="Chapter Hunt"),CHOOSE(ArtifactsInput!$N$27+1,20,24,28,32,36,40),0)/100)))))/Skills!H9,1)))/Inputs!$B$43),G448*Q448))*IF(Inputs!$B$38="pvp",1,(1+(Inputs!$B$21+Skills!Q9+(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Inputs!$B$3&gt;=100</f>
        <v/>
      </c>
      <c r="D449">
        <f>IF(Skills!C10=1,60+Inputs!$B$25+Inputs!$B$29,IF(Skills!C10=2,90+Inputs!$B$26+Inputs!$B$29,IF(Skills!C10=3,120+Inputs!$B$27+Inputs!$B$29,MAX(0,(Inputs!$B$3-100)*3)+Inputs!$B$28+Inputs!$B$29)))</f>
        <v/>
      </c>
      <c r="E449">
        <f>INDEX(FactorTable!$B$2:$Y$301, MATCH(ROUND(MIN(300,MAX(1,D449)),0), FactorTable!$A$2:$A$301,0), Skills!M10+1)</f>
        <v/>
      </c>
      <c r="F449">
        <f>IF(Skills!N10=TRUE,(Skills!L10/10)*(E449/1000),Skills!L10/10)+Skills!O10</f>
        <v/>
      </c>
      <c r="G449" t="inlineStr"/>
      <c r="H449" t="inlineStr"/>
      <c r="I449" t="inlineStr">
        <is>
          <t>1</t>
        </is>
      </c>
      <c r="J449" t="inlineStr"/>
      <c r="K449" t="inlineStr"/>
      <c r="L449" t="inlineStr"/>
      <c r="M449" t="inlineStr"/>
      <c r="N449" t="inlineStr"/>
      <c r="O449" t="inlineStr"/>
      <c r="P449" t="inlineStr"/>
      <c r="Q449" t="inlineStr"/>
      <c r="R449" t="inlineStr"/>
      <c r="S449" t="inlineStr"/>
      <c r="T449" t="inlineStr"/>
      <c r="V449" t="inlineStr"/>
    </row>
    <row r="450">
      <c r="A450">
        <f>Skills!A11</f>
        <v/>
      </c>
      <c r="B450">
        <f>Skills!B11</f>
        <v/>
      </c>
      <c r="C450">
        <f>Inputs!$B$3&gt;=60</f>
        <v/>
      </c>
      <c r="D450">
        <f>IF(Skills!C11=1,60+Inputs!$B$25+Inputs!$B$29,IF(Skills!C11=2,90+Inputs!$B$26+Inputs!$B$29,IF(Skills!C11=3,120+Inputs!$B$27+Inputs!$B$29,MAX(0,(Inputs!$B$3-100)*3)+Inputs!$B$28+Inputs!$B$29)))</f>
        <v/>
      </c>
      <c r="E450">
        <f>INDEX(FactorTable!$B$2:$Y$301, MATCH(ROUND(MIN(300,MAX(1,D450)),0), FactorTable!$A$2:$A$301,0), Skills!M11+1)</f>
        <v/>
      </c>
      <c r="F450">
        <f>IF(Skills!N11=TRUE,(Skills!L11/10)*(E450/1000),Skills!L11/10)+Skills!O11</f>
        <v/>
      </c>
      <c r="G450">
        <f>Skills!G11*IF(Skills!H11&gt;0,Skills!I11/Skills!H11,1)</f>
        <v/>
      </c>
      <c r="H450">
        <f>1-(1-Skills!J11/100)^Skills!K11</f>
        <v/>
      </c>
      <c r="I450" t="inlineStr">
        <is>
          <t>1</t>
        </is>
      </c>
      <c r="J450">
        <f>((Inputs!$B$6*(1+Inputs!$B$7/100))+(((Inputs!$B$12*(1+Inputs!$B$13/100))-(Inputs!$B$12*(1+Inputs!$B$13/100)))+0.25*(Inputs!$B$14-Inputs!$B$14))*(1+Inputs!$B$7/100))*(F450/100)</f>
        <v/>
      </c>
      <c r="K450">
        <f>J450*(1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11="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463=TRUE)*(F463-Calc!F24)),(Inputs!$B$23+((C468=TRUE)*(F468-Calc!F29))+(IF(ArtifactsInput!$M$15,CHOOSE(ArtifactsInput!$N$15+1,25,30,35,40,45,50)/100*(Inputs!$B$11-Inputs!$B$11),0))))/100+(Inputs!$B$23+((C468=TRUE)*(F468-Calc!F29))+(IF(ArtifactsInput!$M$15,CHOOSE(ArtifactsInput!$N$15+1,25,30,35,40,45,50)/100*(Inputs!$B$11-Inputs!$B$11),0)))/100)/2</f>
        <v/>
      </c>
      <c r="M450">
        <f>L450*(1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IF(B482=0,0,O450/B482)</f>
        <v/>
      </c>
      <c r="Q450">
        <f>IFERROR(1/(IF(Inputs!$B$38="pvp",15,MAX(0.1,Skills!D11-IF(Skills!E11=TRUE,Inputs!$B$32,0)))*(1-IF(AND(ArtifactsInput!$M$27,Inputs!$B$4="Chapter Hunt"),CHOOSE(ArtifactsInput!$N$27+1,20,24,28,32,36,40),0)/100)),0)</f>
        <v/>
      </c>
      <c r="R450">
        <f>IF(AND(Inputs!$B$38&lt;&gt;"pvp",Inputs!$B$43&gt;0),IF(MAX(0,Inputs!$B$43-B479)&lt;=0,0,(INT(MAX(0,Inputs!$B$43-B479)/(IF(Inputs!$B$38="pvp",15,MAX(0.1,Skills!D11-IF(Skills!E11=TRUE,Inputs!$B$32,0)))*(1-IF(AND(ArtifactsInput!$M$27,Inputs!$B$4="Chapter Hunt"),CHOOSE(ArtifactsInput!$N$27+1,20,24,28,32,36,40),0)/100)))+1)),0)</f>
        <v/>
      </c>
      <c r="S450">
        <f>IFERROR(O450/N450,0)</f>
        <v/>
      </c>
      <c r="T450">
        <f>IF(C450,(H450*N450*IF(AND(Inputs!$B$38&lt;&gt;"pvp",Inputs!$B$43&gt;0),((Skills!G11*((R450-1)*IF(Skills!H11&gt;0,Skills!I11/Skills!H11,1)+IF(Skills!H11&gt;0,MIN(Skills!I11,MAX(0,MAX(0,Inputs!$B$43-B479)-((R450-1)*(IF(Inputs!$B$38="pvp",15,MAX(0.1,Skills!D11-IF(Skills!E11=TRUE,Inputs!$B$32,0)))*(1-IF(AND(ArtifactsInput!$M$27,Inputs!$B$4="Chapter Hunt"),CHOOSE(ArtifactsInput!$N$27+1,20,24,28,32,36,40),0)/100)))))/Skills!H11,1)))/Inputs!$B$43),G450*Q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450*(1-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0">
        <f>IF(C450,(H450*N450*IF(AND(Inputs!$B$38&lt;&gt;"pvp",Inputs!$B$43&gt;0),((Skills!G11*((R450-1)*IF(Skills!H11&gt;0,Skills!I11/Skills!H11,1)+IF(Skills!H11&gt;0,MIN(Skills!I11,MAX(0,MAX(0,Inputs!$B$43-B479)-((R450-1)*(IF(Inputs!$B$38="pvp",15,MAX(0.1,Skills!D11-IF(Skills!E11=TRUE,Inputs!$B$32,0)))*(1-IF(AND(ArtifactsInput!$M$27,Inputs!$B$4="Chapter Hunt"),CHOOSE(ArtifactsInput!$N$27+1,20,24,28,32,36,40),0)/100)))))/Skills!H11,1)))/Inputs!$B$43),G450*Q450))*IF(Inputs!$B$38="pvp",1,(1+(Inputs!$B$21+Skills!Q11+(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Inputs!$B$3&gt;=110</f>
        <v/>
      </c>
      <c r="D451">
        <f>IF(Skills!C12=1,60+Inputs!$B$25+Inputs!$B$29,IF(Skills!C12=2,90+Inputs!$B$26+Inputs!$B$29,IF(Skills!C12=3,120+Inputs!$B$27+Inputs!$B$29,MAX(0,(Inputs!$B$3-100)*3)+Inputs!$B$28+Inputs!$B$29)))</f>
        <v/>
      </c>
      <c r="E451">
        <f>INDEX(FactorTable!$B$2:$Y$301, MATCH(ROUND(MIN(300,MAX(1,D451)),0), FactorTable!$A$2:$A$301,0), Skills!M12+1)</f>
        <v/>
      </c>
      <c r="F451">
        <f>IF(Skills!N12=TRUE,(Skills!L12/10)*(E451/1000),Skills!L12/10)+Skills!O12</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V451" t="inlineStr"/>
    </row>
    <row r="452">
      <c r="A452">
        <f>Skills!A13</f>
        <v/>
      </c>
      <c r="B452">
        <f>Skills!B13</f>
        <v/>
      </c>
      <c r="C452">
        <f>Inputs!$B$3&gt;=74</f>
        <v/>
      </c>
      <c r="D452">
        <f>IF(Skills!C13=1,60+Inputs!$B$25+Inputs!$B$29,IF(Skills!C13=2,90+Inputs!$B$26+Inputs!$B$29,IF(Skills!C13=3,120+Inputs!$B$27+Inputs!$B$29,MAX(0,(Inputs!$B$3-100)*3)+Inputs!$B$28+Inputs!$B$29)))</f>
        <v/>
      </c>
      <c r="E452">
        <f>INDEX(FactorTable!$B$2:$Y$301, MATCH(ROUND(MIN(300,MAX(1,D452)),0), FactorTable!$A$2:$A$301,0), Skills!M13+1)</f>
        <v/>
      </c>
      <c r="F452">
        <f>IF(Skills!N13=TRUE,(Skills!L13/10)*(E452/1000),Skills!L13/10)+Skills!O13</f>
        <v/>
      </c>
      <c r="G452">
        <f>Skills!G13*IF(Skills!H13&gt;0,Skills!I13/Skills!H13,1)</f>
        <v/>
      </c>
      <c r="H452">
        <f>1-(1-Skills!J13/100)^Skills!K13</f>
        <v/>
      </c>
      <c r="I452" t="inlineStr">
        <is>
          <t>1</t>
        </is>
      </c>
      <c r="J452" t="inlineStr"/>
      <c r="K452" t="inlineStr"/>
      <c r="L452" t="inlineStr"/>
      <c r="M452" t="inlineStr"/>
      <c r="N452" t="inlineStr"/>
      <c r="O452">
        <f>(1-Summary!$B$11)*T452+Summary!$B$11*V452</f>
        <v/>
      </c>
      <c r="P452">
        <f>IF(B482=0,0,O452/B482)</f>
        <v/>
      </c>
      <c r="Q452" t="n">
        <v>0</v>
      </c>
      <c r="R452" t="n">
        <v>0</v>
      </c>
      <c r="S452">
        <f>IFERROR(O452/N452,0)</f>
        <v/>
      </c>
      <c r="T452" t="n">
        <v>0</v>
      </c>
      <c r="V452" t="n">
        <v>0</v>
      </c>
    </row>
    <row r="453">
      <c r="A453">
        <f>Skills!A14</f>
        <v/>
      </c>
      <c r="B453">
        <f>Skills!B14</f>
        <v/>
      </c>
      <c r="C453">
        <f>Inputs!$B$3&gt;=74</f>
        <v/>
      </c>
      <c r="D453">
        <f>IF(Skills!C14=1,60+Inputs!$B$25+Inputs!$B$29,IF(Skills!C14=2,90+Inputs!$B$26+Inputs!$B$29,IF(Skills!C14=3,120+Inputs!$B$27+Inputs!$B$29,MAX(0,(Inputs!$B$3-100)*3)+Inputs!$B$28+Inputs!$B$29)))</f>
        <v/>
      </c>
      <c r="E453">
        <f>INDEX(FactorTable!$B$2:$Y$301, MATCH(ROUND(MIN(300,MAX(1,D453)),0), FactorTable!$A$2:$A$301,0), Skills!M14+1)</f>
        <v/>
      </c>
      <c r="F453">
        <f>IF(Skills!N14=TRUE,(Skills!L14/10)*(E453/1000),Skills!L14/10)+Skills!O14</f>
        <v/>
      </c>
      <c r="G453">
        <f>Skills!G14*IF(Skills!H14&gt;0,Skills!I14/Skills!H14,1)</f>
        <v/>
      </c>
      <c r="H453">
        <f>1-(1-Skills!J14/100)^Skills!K14</f>
        <v/>
      </c>
      <c r="I453" t="inlineStr">
        <is>
          <t>1</t>
        </is>
      </c>
      <c r="J453" t="inlineStr"/>
      <c r="K453" t="inlineStr"/>
      <c r="L453" t="inlineStr"/>
      <c r="M453" t="inlineStr"/>
      <c r="N453" t="inlineStr"/>
      <c r="O453">
        <f>(1-Summary!$B$11)*T453+Summary!$B$11*V453</f>
        <v/>
      </c>
      <c r="P453">
        <f>IF(B482=0,0,O453/B482)</f>
        <v/>
      </c>
      <c r="Q453" t="n">
        <v>0</v>
      </c>
      <c r="R453" t="n">
        <v>0</v>
      </c>
      <c r="S453">
        <f>IFERROR(O453/N453,0)</f>
        <v/>
      </c>
      <c r="T453" t="n">
        <v>0</v>
      </c>
      <c r="V453" t="n">
        <v>0</v>
      </c>
    </row>
    <row r="454">
      <c r="A454">
        <f>Skills!A15</f>
        <v/>
      </c>
      <c r="B454">
        <f>Skills!B15</f>
        <v/>
      </c>
      <c r="C454">
        <f>Inputs!$B$3&gt;=117</f>
        <v/>
      </c>
      <c r="D454">
        <f>IF(Skills!C15=1,60+Inputs!$B$25+Inputs!$B$29,IF(Skills!C15=2,90+Inputs!$B$26+Inputs!$B$29,IF(Skills!C15=3,120+Inputs!$B$27+Inputs!$B$29,MAX(0,(Inputs!$B$3-100)*3)+Inputs!$B$28+Inputs!$B$29)))</f>
        <v/>
      </c>
      <c r="E454">
        <f>INDEX(FactorTable!$B$2:$Y$301, MATCH(ROUND(MIN(300,MAX(1,D454)),0), FactorTable!$A$2:$A$301,0), Skills!M15+1)</f>
        <v/>
      </c>
      <c r="F454">
        <f>IF(Skills!N15=TRUE,(Skills!L15/10)*(E454/1000),Skills!L15/10)+Skills!O15</f>
        <v/>
      </c>
      <c r="G454">
        <f>Skills!G15*IF(Skills!H15&gt;0,Skills!I15/Skills!H15,1)</f>
        <v/>
      </c>
      <c r="H454">
        <f>1-(1-Skills!J15/100)^Skills!K15</f>
        <v/>
      </c>
      <c r="I454" t="inlineStr">
        <is>
          <t>1</t>
        </is>
      </c>
      <c r="J454" t="inlineStr"/>
      <c r="K454" t="inlineStr"/>
      <c r="L454" t="inlineStr"/>
      <c r="M454" t="inlineStr"/>
      <c r="N454" t="inlineStr"/>
      <c r="O454">
        <f>(1-Summary!$B$11)*T454+Summary!$B$11*V454</f>
        <v/>
      </c>
      <c r="P454">
        <f>IF(B482=0,0,O454/B482)</f>
        <v/>
      </c>
      <c r="Q454">
        <f>IFERROR(1/(IF(Inputs!$B$38="pvp",15,MAX(0.1,Skills!D15-IF(Skills!E15=TRUE,Inputs!$B$32,0)))*(1-IF(AND(ArtifactsInput!$M$27,Inputs!$B$4="Chapter Hunt"),CHOOSE(ArtifactsInput!$N$27+1,20,24,28,32,36,40),0)/100)),0)</f>
        <v/>
      </c>
      <c r="R454">
        <f>IF(AND(Inputs!$B$38&lt;&gt;"pvp",Inputs!$B$43&gt;0),IF(Inputs!$B$43&lt;=0,0,(INT(Inputs!$B$43/(IF(Inputs!$B$38="pvp",15,MAX(0.1,Skills!D15-IF(Skills!E15=TRUE,Inputs!$B$32,0)))*(1-IF(AND(ArtifactsInput!$M$27,Inputs!$B$4="Chapter Hunt"),CHOOSE(ArtifactsInput!$N$27+1,20,24,28,32,36,40),0)/100)))+1)),0)</f>
        <v/>
      </c>
      <c r="S454">
        <f>IFERROR(O454/N454,0)</f>
        <v/>
      </c>
      <c r="T454" t="n">
        <v>0</v>
      </c>
      <c r="V454" t="n">
        <v>0</v>
      </c>
    </row>
    <row r="455">
      <c r="A455">
        <f>Skills!A16</f>
        <v/>
      </c>
      <c r="B455">
        <f>Skills!B16</f>
        <v/>
      </c>
      <c r="C455">
        <f>Inputs!$B$3&gt;=115</f>
        <v/>
      </c>
      <c r="D455">
        <f>IF(Skills!C16=1,60+Inputs!$B$25+Inputs!$B$29,IF(Skills!C16=2,90+Inputs!$B$26+Inputs!$B$29,IF(Skills!C16=3,120+Inputs!$B$27+Inputs!$B$29,MAX(0,(Inputs!$B$3-100)*3)+Inputs!$B$28+Inputs!$B$29)))</f>
        <v/>
      </c>
      <c r="E455">
        <f>INDEX(FactorTable!$B$2:$Y$301, MATCH(ROUND(MIN(300,MAX(1,D455)),0), FactorTable!$A$2:$A$301,0), Skills!M16+1)</f>
        <v/>
      </c>
      <c r="F455">
        <f>IF(Skills!N16=TRUE,(Skills!L16/10)*(E455/1000),Skills!L16/10)+Skills!O16</f>
        <v/>
      </c>
      <c r="G455">
        <f>Skills!G16*IF(Skills!H16&gt;0,Skills!I16/Skills!H16,1)</f>
        <v/>
      </c>
      <c r="H455">
        <f>1-(1-Skills!J16/100)^Skills!K16</f>
        <v/>
      </c>
      <c r="I455" t="inlineStr">
        <is>
          <t>1</t>
        </is>
      </c>
      <c r="J455" t="inlineStr"/>
      <c r="K455" t="inlineStr"/>
      <c r="L455" t="inlineStr"/>
      <c r="M455" t="inlineStr"/>
      <c r="N455" t="inlineStr"/>
      <c r="O455">
        <f>(1-Summary!$B$11)*T455+Summary!$B$11*V455</f>
        <v/>
      </c>
      <c r="P455">
        <f>IF(B482=0,0,O455/B482)</f>
        <v/>
      </c>
      <c r="Q455">
        <f>IFERROR(1/(IF(Inputs!$B$38="pvp",15,MAX(0.1,Skills!D16-IF(Skills!E16=TRUE,Inputs!$B$32,0)))*(1-IF(AND(ArtifactsInput!$M$27,Inputs!$B$4="Chapter Hunt"),CHOOSE(ArtifactsInput!$N$27+1,20,24,28,32,36,40),0)/100)),0)</f>
        <v/>
      </c>
      <c r="R455">
        <f>IF(AND(Inputs!$B$38&lt;&gt;"pvp",Inputs!$B$43&gt;0),IF(Inputs!$B$43&lt;=0,0,(INT(Inputs!$B$43/(IF(Inputs!$B$38="pvp",15,MAX(0.1,Skills!D16-IF(Skills!E16=TRUE,Inputs!$B$32,0)))*(1-IF(AND(ArtifactsInput!$M$27,Inputs!$B$4="Chapter Hunt"),CHOOSE(ArtifactsInput!$N$27+1,20,24,28,32,36,40),0)/100)))+1)),0)</f>
        <v/>
      </c>
      <c r="S455">
        <f>IFERROR(O455/N455,0)</f>
        <v/>
      </c>
      <c r="T455" t="n">
        <v>0</v>
      </c>
      <c r="V455" t="n">
        <v>0</v>
      </c>
    </row>
    <row r="456">
      <c r="A456">
        <f>Skills!A17</f>
        <v/>
      </c>
      <c r="B456">
        <f>Skills!B17</f>
        <v/>
      </c>
      <c r="C456">
        <f>Inputs!$B$3&gt;=66</f>
        <v/>
      </c>
      <c r="D456">
        <f>IF(Skills!C17=1,60+Inputs!$B$25+Inputs!$B$29,IF(Skills!C17=2,90+Inputs!$B$26+Inputs!$B$29,IF(Skills!C17=3,120+Inputs!$B$27+Inputs!$B$29,MAX(0,(Inputs!$B$3-100)*3)+Inputs!$B$28+Inputs!$B$29)))</f>
        <v/>
      </c>
      <c r="E456">
        <f>INDEX(FactorTable!$B$2:$Y$301, MATCH(ROUND(MIN(300,MAX(1,D456)),0), FactorTable!$A$2:$A$301,0), Skills!M17+1)</f>
        <v/>
      </c>
      <c r="F456">
        <f>IF(Skills!N17=TRUE,(Skills!L17/10)*(E456/1000),Skills!L17/10)+Skills!O17</f>
        <v/>
      </c>
      <c r="G456">
        <f>Skills!G17*IF(Skills!H17&gt;0,Skills!I17/Skills!H17,1)</f>
        <v/>
      </c>
      <c r="H456">
        <f>1-(1-Skills!J17/100)^Skills!K17</f>
        <v/>
      </c>
      <c r="I456" t="inlineStr">
        <is>
          <t>1</t>
        </is>
      </c>
      <c r="J456" t="inlineStr"/>
      <c r="K456" t="inlineStr"/>
      <c r="L456" t="inlineStr"/>
      <c r="M456" t="inlineStr"/>
      <c r="N456" t="inlineStr"/>
      <c r="O456">
        <f>(1-Summary!$B$11)*T456+Summary!$B$11*V456</f>
        <v/>
      </c>
      <c r="P456">
        <f>IF(B482=0,0,O456/B482)</f>
        <v/>
      </c>
      <c r="Q456" t="n">
        <v>0</v>
      </c>
      <c r="R456" t="n">
        <v>0</v>
      </c>
      <c r="S456">
        <f>IFERROR(O456/N456,0)</f>
        <v/>
      </c>
      <c r="T456" t="n">
        <v>0</v>
      </c>
      <c r="V456" t="n">
        <v>0</v>
      </c>
    </row>
    <row r="457">
      <c r="A457">
        <f>Skills!A18</f>
        <v/>
      </c>
      <c r="B457">
        <f>Skills!B18</f>
        <v/>
      </c>
      <c r="C457">
        <f>Inputs!$B$3&gt;=72</f>
        <v/>
      </c>
      <c r="D457">
        <f>IF(Skills!C18=1,60+Inputs!$B$25+Inputs!$B$29,IF(Skills!C18=2,90+Inputs!$B$26+Inputs!$B$29,IF(Skills!C18=3,120+Inputs!$B$27+Inputs!$B$29,MAX(0,(Inputs!$B$3-100)*3)+Inputs!$B$28+Inputs!$B$29)))</f>
        <v/>
      </c>
      <c r="E457">
        <f>INDEX(FactorTable!$B$2:$Y$301, MATCH(ROUND(MIN(300,MAX(1,D457)),0), FactorTable!$A$2:$A$301,0), Skills!M18+1)</f>
        <v/>
      </c>
      <c r="F457">
        <f>IF(Skills!N18=TRUE,(Skills!L18/10)*(E457/1000),Skills!L18/10)+Skills!O18</f>
        <v/>
      </c>
      <c r="G457">
        <f>Skills!G18*IF(Skills!H18&gt;0,Skills!I18/Skills!H18,1)</f>
        <v/>
      </c>
      <c r="H457">
        <f>1-(1-Skills!J18/100)^Skills!K18</f>
        <v/>
      </c>
      <c r="I457" t="inlineStr">
        <is>
          <t>1</t>
        </is>
      </c>
      <c r="J457" t="inlineStr"/>
      <c r="K457" t="inlineStr"/>
      <c r="L457" t="inlineStr"/>
      <c r="M457" t="inlineStr"/>
      <c r="N457" t="inlineStr"/>
      <c r="O457">
        <f>(1-Summary!$B$11)*T457+Summary!$B$11*V457</f>
        <v/>
      </c>
      <c r="P457">
        <f>IF(B482=0,0,O457/B482)</f>
        <v/>
      </c>
      <c r="Q457" t="n">
        <v>0</v>
      </c>
      <c r="R457" t="n">
        <v>0</v>
      </c>
      <c r="S457">
        <f>IFERROR(O457/N457,0)</f>
        <v/>
      </c>
      <c r="T457" t="n">
        <v>0</v>
      </c>
      <c r="V457" t="n">
        <v>0</v>
      </c>
    </row>
    <row r="458">
      <c r="A458">
        <f>Skills!A19</f>
        <v/>
      </c>
      <c r="B458">
        <f>Skills!B19</f>
        <v/>
      </c>
      <c r="C458">
        <f>TRUE</f>
        <v/>
      </c>
      <c r="D458">
        <f>IF(Skills!C19=1,60+Inputs!$B$25+Inputs!$B$29,IF(Skills!C19=2,90+Inputs!$B$26+Inputs!$B$29,IF(Skills!C19=3,120+Inputs!$B$27+Inputs!$B$29,MAX(0,(Inputs!$B$3-100)*3)+Inputs!$B$28+Inputs!$B$29)))</f>
        <v/>
      </c>
      <c r="E458">
        <f>INDEX(FactorTable!$B$2:$Y$301, MATCH(ROUND(MIN(300,MAX(1,D458)),0), FactorTable!$A$2:$A$301,0), Skills!M19+1)</f>
        <v/>
      </c>
      <c r="F458">
        <f>IF(Skills!N19=TRUE,(Skills!L19/10)*(E458/1000),Skills!L19/10)+Skills!O19</f>
        <v/>
      </c>
      <c r="G458">
        <f>Skills!G19*IF(Skills!H19&gt;0,Skills!I19/Skills!H19,1)</f>
        <v/>
      </c>
      <c r="H458">
        <f>1-(1-Skills!J19/100)^Skills!K19</f>
        <v/>
      </c>
      <c r="I458" t="inlineStr">
        <is>
          <t>1</t>
        </is>
      </c>
      <c r="J458" t="inlineStr"/>
      <c r="K458" t="inlineStr"/>
      <c r="L458" t="inlineStr"/>
      <c r="M458" t="inlineStr"/>
      <c r="N458" t="inlineStr"/>
      <c r="O458">
        <f>(1-Summary!$B$11)*T458+Summary!$B$11*V458</f>
        <v/>
      </c>
      <c r="P458">
        <f>IF(B482=0,0,O458/B482)</f>
        <v/>
      </c>
      <c r="Q458">
        <f>IFERROR(1/(IF(Inputs!$B$38="pvp",15,MAX(0.1,Skills!D19-IF(Skills!E19=TRUE,Inputs!$B$32,0)))*(1-IF(AND(ArtifactsInput!$M$27,Inputs!$B$4="Chapter Hunt"),CHOOSE(ArtifactsInput!$N$27+1,20,24,28,32,36,40),0)/100)),0)</f>
        <v/>
      </c>
      <c r="R458">
        <f>IF(AND(Inputs!$B$38&lt;&gt;"pvp",Inputs!$B$43&gt;0),IF(Inputs!$B$43&lt;=0,0,(INT(Inputs!$B$43/(IF(Inputs!$B$38="pvp",15,MAX(0.1,Skills!D19-IF(Skills!E19=TRUE,Inputs!$B$32,0)))*(1-IF(AND(ArtifactsInput!$M$27,Inputs!$B$4="Chapter Hunt"),CHOOSE(ArtifactsInput!$N$27+1,20,24,28,32,36,40),0)/100)))+1)),0)</f>
        <v/>
      </c>
      <c r="S458">
        <f>IFERROR(O458/N458,0)</f>
        <v/>
      </c>
      <c r="T458" t="n">
        <v>0</v>
      </c>
      <c r="V458" t="n">
        <v>0</v>
      </c>
    </row>
    <row r="459">
      <c r="A459">
        <f>Skills!A20</f>
        <v/>
      </c>
      <c r="B459">
        <f>Skills!B20</f>
        <v/>
      </c>
      <c r="C459">
        <f>Inputs!$B$3&gt;=15</f>
        <v/>
      </c>
      <c r="D459">
        <f>IF(Skills!C20=1,60+Inputs!$B$25+Inputs!$B$29,IF(Skills!C20=2,90+Inputs!$B$26+Inputs!$B$29,IF(Skills!C20=3,120+Inputs!$B$27+Inputs!$B$29,MAX(0,(Inputs!$B$3-100)*3)+Inputs!$B$28+Inputs!$B$29)))</f>
        <v/>
      </c>
      <c r="E459">
        <f>INDEX(FactorTable!$B$2:$Y$301, MATCH(ROUND(MIN(300,MAX(1,D459)),0), FactorTable!$A$2:$A$301,0), Skills!M20+1)</f>
        <v/>
      </c>
      <c r="F459">
        <f>IF(Skills!N20=TRUE,(Skills!L20/10)*(E459/1000),Skills!L20/10)+Skills!O20</f>
        <v/>
      </c>
      <c r="G459">
        <f>Skills!G20*IF(Skills!H20&gt;0,Skills!I20/Skills!H20,1)</f>
        <v/>
      </c>
      <c r="H459">
        <f>1-(1-Skills!J20/100)^Skills!K20</f>
        <v/>
      </c>
      <c r="I459" t="inlineStr">
        <is>
          <t>1</t>
        </is>
      </c>
      <c r="J459" t="inlineStr"/>
      <c r="K459" t="inlineStr"/>
      <c r="L459" t="inlineStr"/>
      <c r="M459" t="inlineStr"/>
      <c r="N459" t="inlineStr"/>
      <c r="O459">
        <f>(1-Summary!$B$11)*T459+Summary!$B$11*V459</f>
        <v/>
      </c>
      <c r="P459">
        <f>IF(B482=0,0,O459/B482)</f>
        <v/>
      </c>
      <c r="Q459" t="n">
        <v>0</v>
      </c>
      <c r="R459" t="n">
        <v>0</v>
      </c>
      <c r="S459">
        <f>IFERROR(O459/N459,0)</f>
        <v/>
      </c>
      <c r="T459" t="n">
        <v>0</v>
      </c>
      <c r="V459" t="n">
        <v>0</v>
      </c>
    </row>
    <row r="460">
      <c r="A460">
        <f>Skills!A21</f>
        <v/>
      </c>
      <c r="B460">
        <f>Skills!B21</f>
        <v/>
      </c>
      <c r="C460">
        <f>Inputs!$B$3&gt;=10</f>
        <v/>
      </c>
      <c r="D460">
        <f>IF(Skills!C21=1,60+Inputs!$B$25+Inputs!$B$29,IF(Skills!C21=2,90+Inputs!$B$26+Inputs!$B$29,IF(Skills!C21=3,120+Inputs!$B$27+Inputs!$B$29,MAX(0,(Inputs!$B$3-100)*3)+Inputs!$B$28+Inputs!$B$29)))</f>
        <v/>
      </c>
      <c r="E460">
        <f>INDEX(FactorTable!$B$2:$Y$301, MATCH(ROUND(MIN(300,MAX(1,D460)),0), FactorTable!$A$2:$A$301,0), Skills!M21+1)</f>
        <v/>
      </c>
      <c r="F460">
        <f>IF(Skills!N21=TRUE,(Skills!L21/10)*(E460/1000),Skills!L21/10)+Skills!O21</f>
        <v/>
      </c>
      <c r="G460">
        <f>Skills!G21*IF(Skills!H21&gt;0,Skills!I21/Skills!H21,1)</f>
        <v/>
      </c>
      <c r="H460">
        <f>1-(1-Skills!J21/100)^Skills!K21</f>
        <v/>
      </c>
      <c r="I460" t="inlineStr">
        <is>
          <t>1</t>
        </is>
      </c>
      <c r="J460" t="inlineStr"/>
      <c r="K460" t="inlineStr"/>
      <c r="L460" t="inlineStr"/>
      <c r="M460" t="inlineStr"/>
      <c r="N460" t="inlineStr"/>
      <c r="O460">
        <f>(1-Summary!$B$11)*T460+Summary!$B$11*V460</f>
        <v/>
      </c>
      <c r="P460">
        <f>IF(B482=0,0,O460/B482)</f>
        <v/>
      </c>
      <c r="Q460" t="n">
        <v>0</v>
      </c>
      <c r="R460" t="n">
        <v>0</v>
      </c>
      <c r="S460">
        <f>IFERROR(O460/N460,0)</f>
        <v/>
      </c>
      <c r="T460" t="n">
        <v>0</v>
      </c>
      <c r="V460" t="n">
        <v>0</v>
      </c>
    </row>
    <row r="461">
      <c r="A461">
        <f>Skills!A22</f>
        <v/>
      </c>
      <c r="B461">
        <f>Skills!B22</f>
        <v/>
      </c>
      <c r="C461">
        <f>Inputs!$B$3&gt;=33</f>
        <v/>
      </c>
      <c r="D461">
        <f>IF(Skills!C22=1,60+Inputs!$B$25+Inputs!$B$29,IF(Skills!C22=2,90+Inputs!$B$26+Inputs!$B$29,IF(Skills!C22=3,120+Inputs!$B$27+Inputs!$B$29,MAX(0,(Inputs!$B$3-100)*3)+Inputs!$B$28+Inputs!$B$29)))</f>
        <v/>
      </c>
      <c r="E461">
        <f>INDEX(FactorTable!$B$2:$Y$301, MATCH(ROUND(MIN(300,MAX(1,D461)),0), FactorTable!$A$2:$A$301,0), Skills!M22+1)</f>
        <v/>
      </c>
      <c r="F461">
        <f>IF(Skills!N22=TRUE,(Skills!L22/10)*(E461/1000),Skills!L22/10)+Skills!O22</f>
        <v/>
      </c>
      <c r="G461">
        <f>Skills!G22*IF(Skills!H22&gt;0,Skills!I22/Skills!H22,1)</f>
        <v/>
      </c>
      <c r="H461">
        <f>1-(1-Skills!J22/100)^Skills!K22</f>
        <v/>
      </c>
      <c r="I461" t="inlineStr">
        <is>
          <t>1</t>
        </is>
      </c>
      <c r="J461" t="inlineStr"/>
      <c r="K461" t="inlineStr"/>
      <c r="L461" t="inlineStr"/>
      <c r="M461" t="inlineStr"/>
      <c r="N461" t="inlineStr"/>
      <c r="O461">
        <f>(1-Summary!$B$11)*T461+Summary!$B$11*V461</f>
        <v/>
      </c>
      <c r="P461">
        <f>IF(B482=0,0,O461/B482)</f>
        <v/>
      </c>
      <c r="Q461" t="n">
        <v>0</v>
      </c>
      <c r="R461" t="n">
        <v>0</v>
      </c>
      <c r="S461">
        <f>IFERROR(O461/N461,0)</f>
        <v/>
      </c>
      <c r="T461" t="n">
        <v>0</v>
      </c>
      <c r="V461" t="n">
        <v>0</v>
      </c>
    </row>
    <row r="462">
      <c r="A462">
        <f>Skills!A23</f>
        <v/>
      </c>
      <c r="B462">
        <f>Skills!B23</f>
        <v/>
      </c>
      <c r="C462">
        <f>Inputs!$B$3&gt;=38</f>
        <v/>
      </c>
      <c r="D462">
        <f>IF(Skills!C23=1,60+Inputs!$B$25+Inputs!$B$29,IF(Skills!C23=2,90+Inputs!$B$26+Inputs!$B$29,IF(Skills!C23=3,120+Inputs!$B$27+Inputs!$B$29,MAX(0,(Inputs!$B$3-100)*3)+Inputs!$B$28+Inputs!$B$29)))</f>
        <v/>
      </c>
      <c r="E462">
        <f>INDEX(FactorTable!$B$2:$Y$301, MATCH(ROUND(MIN(300,MAX(1,D462)),0), FactorTable!$A$2:$A$301,0), Skills!M23+1)</f>
        <v/>
      </c>
      <c r="F462">
        <f>IF(Skills!N23=TRUE,(Skills!L23/10)*(E462/1000),Skills!L23/10)+Skills!O23</f>
        <v/>
      </c>
      <c r="G462">
        <f>Skills!G23*IF(Skills!H23&gt;0,Skills!I23/Skills!H23,1)</f>
        <v/>
      </c>
      <c r="H462">
        <f>1-(1-Skills!J23/100)^Skills!K23</f>
        <v/>
      </c>
      <c r="I462" t="inlineStr">
        <is>
          <t>1</t>
        </is>
      </c>
      <c r="J462" t="inlineStr"/>
      <c r="K462" t="inlineStr"/>
      <c r="L462" t="inlineStr"/>
      <c r="M462" t="inlineStr"/>
      <c r="N462" t="inlineStr"/>
      <c r="O462">
        <f>(1-Summary!$B$11)*T462+Summary!$B$11*V462</f>
        <v/>
      </c>
      <c r="P462">
        <f>IF(B482=0,0,O462/B482)</f>
        <v/>
      </c>
      <c r="Q462" t="n">
        <v>0</v>
      </c>
      <c r="R462" t="n">
        <v>0</v>
      </c>
      <c r="S462">
        <f>IFERROR(O462/N462,0)</f>
        <v/>
      </c>
      <c r="T462" t="n">
        <v>0</v>
      </c>
      <c r="V462" t="n">
        <v>0</v>
      </c>
    </row>
    <row r="463">
      <c r="A463">
        <f>Skills!A24</f>
        <v/>
      </c>
      <c r="B463">
        <f>Skills!B24</f>
        <v/>
      </c>
      <c r="C463">
        <f>Inputs!$B$3&gt;=43</f>
        <v/>
      </c>
      <c r="D463">
        <f>IF(Skills!C24=1,60+Inputs!$B$25+Inputs!$B$29,IF(Skills!C24=2,90+Inputs!$B$26+Inputs!$B$29,IF(Skills!C24=3,120+Inputs!$B$27+Inputs!$B$29,MAX(0,(Inputs!$B$3-100)*3)+Inputs!$B$28+Inputs!$B$29)))</f>
        <v/>
      </c>
      <c r="E463">
        <f>INDEX(FactorTable!$B$2:$Y$301, MATCH(ROUND(MIN(300,MAX(1,D463)),0), FactorTable!$A$2:$A$301,0), Skills!M24+1)</f>
        <v/>
      </c>
      <c r="F463">
        <f>IF(Skills!N24=TRUE,(Skills!L24/10)*(E463/1000),Skills!L24/10)+Skills!O24</f>
        <v/>
      </c>
      <c r="G463">
        <f>Skills!G24*IF(Skills!H24&gt;0,Skills!I24/Skills!H24,1)</f>
        <v/>
      </c>
      <c r="H463">
        <f>1-(1-Skills!J24/100)^Skills!K24</f>
        <v/>
      </c>
      <c r="I463" t="inlineStr">
        <is>
          <t>1</t>
        </is>
      </c>
      <c r="J463" t="inlineStr"/>
      <c r="K463" t="inlineStr"/>
      <c r="L463" t="inlineStr"/>
      <c r="M463" t="inlineStr"/>
      <c r="N463" t="inlineStr"/>
      <c r="O463">
        <f>(1-Summary!$B$11)*T463+Summary!$B$11*V463</f>
        <v/>
      </c>
      <c r="P463">
        <f>IF(B482=0,0,O463/B482)</f>
        <v/>
      </c>
      <c r="Q463" t="n">
        <v>0</v>
      </c>
      <c r="R463" t="n">
        <v>0</v>
      </c>
      <c r="S463">
        <f>IFERROR(O463/N463,0)</f>
        <v/>
      </c>
      <c r="T463" t="n">
        <v>0</v>
      </c>
      <c r="V463" t="n">
        <v>0</v>
      </c>
    </row>
    <row r="464">
      <c r="A464">
        <f>Skills!A25</f>
        <v/>
      </c>
      <c r="B464">
        <f>Skills!B25</f>
        <v/>
      </c>
      <c r="C464">
        <f>Inputs!$B$3&gt;=75</f>
        <v/>
      </c>
      <c r="D464">
        <f>IF(Skills!C25=1,60+Inputs!$B$25+Inputs!$B$29,IF(Skills!C25=2,90+Inputs!$B$26+Inputs!$B$29,IF(Skills!C25=3,120+Inputs!$B$27+Inputs!$B$29,MAX(0,(Inputs!$B$3-100)*3)+Inputs!$B$28+Inputs!$B$29)))</f>
        <v/>
      </c>
      <c r="E464">
        <f>INDEX(FactorTable!$B$2:$Y$301, MATCH(ROUND(MIN(300,MAX(1,D464)),0), FactorTable!$A$2:$A$301,0), Skills!M25+1)</f>
        <v/>
      </c>
      <c r="F464">
        <f>IF(Skills!N25=TRUE,(Skills!L25/10)*(E464/1000),Skills!L25/10)+Skills!O25</f>
        <v/>
      </c>
      <c r="G464">
        <f>Skills!G25*IF(Skills!H25&gt;0,Skills!I25/Skills!H25,1)</f>
        <v/>
      </c>
      <c r="H464">
        <f>1-(1-Skills!J25/100)^Skills!K25</f>
        <v/>
      </c>
      <c r="I464" t="inlineStr">
        <is>
          <t>1</t>
        </is>
      </c>
      <c r="J464" t="inlineStr"/>
      <c r="K464" t="inlineStr"/>
      <c r="L464" t="inlineStr"/>
      <c r="M464" t="inlineStr"/>
      <c r="N464" t="inlineStr"/>
      <c r="O464">
        <f>(1-Summary!$B$11)*T464+Summary!$B$11*V464</f>
        <v/>
      </c>
      <c r="P464">
        <f>IF(B482=0,0,O464/B482)</f>
        <v/>
      </c>
      <c r="Q464" t="n">
        <v>0</v>
      </c>
      <c r="R464" t="n">
        <v>0</v>
      </c>
      <c r="S464">
        <f>IFERROR(O464/N464,0)</f>
        <v/>
      </c>
      <c r="T464" t="n">
        <v>0</v>
      </c>
      <c r="V464" t="n">
        <v>0</v>
      </c>
    </row>
    <row r="465">
      <c r="A465">
        <f>Skills!A26</f>
        <v/>
      </c>
      <c r="B465">
        <f>Skills!B26</f>
        <v/>
      </c>
      <c r="C465">
        <f>Inputs!$B$3&gt;=125</f>
        <v/>
      </c>
      <c r="D465">
        <f>IF(Skills!C26=1,60+Inputs!$B$25+Inputs!$B$29,IF(Skills!C26=2,90+Inputs!$B$26+Inputs!$B$29,IF(Skills!C26=3,120+Inputs!$B$27+Inputs!$B$29,MAX(0,(Inputs!$B$3-100)*3)+Inputs!$B$28+Inputs!$B$29)))</f>
        <v/>
      </c>
      <c r="E465">
        <f>INDEX(FactorTable!$B$2:$Y$301, MATCH(ROUND(MIN(300,MAX(1,D465)),0), FactorTable!$A$2:$A$301,0), Skills!M26+1)</f>
        <v/>
      </c>
      <c r="F465">
        <f>IF(Skills!N26=TRUE,(Skills!L26/10)*(E465/1000),Skills!L26/10)+Skills!O26</f>
        <v/>
      </c>
      <c r="G465">
        <f>Skills!G26*IF(Skills!H26&gt;0,Skills!I26/Skills!H26,1)</f>
        <v/>
      </c>
      <c r="H465">
        <f>1-(1-Skills!J26/100)^Skills!K26</f>
        <v/>
      </c>
      <c r="I465" t="inlineStr">
        <is>
          <t>1</t>
        </is>
      </c>
      <c r="J465" t="inlineStr"/>
      <c r="K465" t="inlineStr"/>
      <c r="L465" t="inlineStr"/>
      <c r="M465" t="inlineStr"/>
      <c r="N465" t="inlineStr"/>
      <c r="O465">
        <f>(1-Summary!$B$11)*T465+Summary!$B$11*V465</f>
        <v/>
      </c>
      <c r="P465">
        <f>IF(B482=0,0,O465/B482)</f>
        <v/>
      </c>
      <c r="Q465" t="n">
        <v>0</v>
      </c>
      <c r="R465" t="n">
        <v>0</v>
      </c>
      <c r="S465">
        <f>IFERROR(O465/N465,0)</f>
        <v/>
      </c>
      <c r="T465" t="n">
        <v>0</v>
      </c>
      <c r="V465" t="n">
        <v>0</v>
      </c>
    </row>
    <row r="466">
      <c r="A466">
        <f>Skills!A27</f>
        <v/>
      </c>
      <c r="B466">
        <f>Skills!B27</f>
        <v/>
      </c>
      <c r="C466">
        <f>Inputs!$B$3&gt;=125</f>
        <v/>
      </c>
      <c r="D466">
        <f>IF(Skills!C27=1,60+Inputs!$B$25+Inputs!$B$29,IF(Skills!C27=2,90+Inputs!$B$26+Inputs!$B$29,IF(Skills!C27=3,120+Inputs!$B$27+Inputs!$B$29,MAX(0,(Inputs!$B$3-100)*3)+Inputs!$B$28+Inputs!$B$29)))</f>
        <v/>
      </c>
      <c r="E466">
        <f>INDEX(FactorTable!$B$2:$Y$301, MATCH(ROUND(MIN(300,MAX(1,D466)),0), FactorTable!$A$2:$A$301,0), Skills!M27+1)</f>
        <v/>
      </c>
      <c r="F466">
        <f>IF(Skills!N27=TRUE,(Skills!L27/10)*(E466/1000),Skills!L27/10)+Skills!O27</f>
        <v/>
      </c>
      <c r="G466">
        <f>Skills!G27*IF(Skills!H27&gt;0,Skills!I27/Skills!H27,1)</f>
        <v/>
      </c>
      <c r="H466">
        <f>1-(1-Skills!J27/100)^Skills!K27</f>
        <v/>
      </c>
      <c r="I466" t="inlineStr">
        <is>
          <t>1</t>
        </is>
      </c>
      <c r="J466" t="inlineStr"/>
      <c r="K466" t="inlineStr"/>
      <c r="L466" t="inlineStr"/>
      <c r="M466" t="inlineStr"/>
      <c r="N466" t="inlineStr"/>
      <c r="O466">
        <f>(1-Summary!$B$11)*T466+Summary!$B$11*V466</f>
        <v/>
      </c>
      <c r="P466">
        <f>IF(B482=0,0,O466/B482)</f>
        <v/>
      </c>
      <c r="Q466" t="n">
        <v>0</v>
      </c>
      <c r="R466" t="n">
        <v>0</v>
      </c>
      <c r="S466">
        <f>IFERROR(O466/N466,0)</f>
        <v/>
      </c>
      <c r="T466" t="n">
        <v>0</v>
      </c>
      <c r="V466" t="n">
        <v>0</v>
      </c>
    </row>
    <row r="467">
      <c r="A467">
        <f>Skills!A28</f>
        <v/>
      </c>
      <c r="B467">
        <f>Skills!B28</f>
        <v/>
      </c>
      <c r="C467">
        <f>Inputs!$B$3&gt;=120</f>
        <v/>
      </c>
      <c r="D467">
        <f>IF(Skills!C28=1,60+Inputs!$B$25+Inputs!$B$29,IF(Skills!C28=2,90+Inputs!$B$26+Inputs!$B$29,IF(Skills!C28=3,120+Inputs!$B$27+Inputs!$B$29,MAX(0,(Inputs!$B$3-100)*3)+Inputs!$B$28+Inputs!$B$29)))</f>
        <v/>
      </c>
      <c r="E467">
        <f>INDEX(FactorTable!$B$2:$Y$301, MATCH(ROUND(MIN(300,MAX(1,D467)),0), FactorTable!$A$2:$A$301,0), Skills!M28+1)</f>
        <v/>
      </c>
      <c r="F467">
        <f>IF(Skills!N28=TRUE,(Skills!L28/10)*(E467/1000),Skills!L28/10)+Skills!O28</f>
        <v/>
      </c>
      <c r="G467">
        <f>Skills!G28*IF(Skills!H28&gt;0,Skills!I28/Skills!H28,1)</f>
        <v/>
      </c>
      <c r="H467">
        <f>1-(1-Skills!J28/100)^Skills!K28</f>
        <v/>
      </c>
      <c r="I467" t="inlineStr">
        <is>
          <t>1</t>
        </is>
      </c>
      <c r="J467" t="inlineStr"/>
      <c r="K467" t="inlineStr"/>
      <c r="L467" t="inlineStr"/>
      <c r="M467" t="inlineStr"/>
      <c r="N467" t="inlineStr"/>
      <c r="O467">
        <f>(1-Summary!$B$11)*T467+Summary!$B$11*V467</f>
        <v/>
      </c>
      <c r="P467">
        <f>IF(B482=0,0,O467/B482)</f>
        <v/>
      </c>
      <c r="Q467" t="n">
        <v>0</v>
      </c>
      <c r="R467" t="n">
        <v>0</v>
      </c>
      <c r="S467">
        <f>IFERROR(O467/N467,0)</f>
        <v/>
      </c>
      <c r="T467" t="n">
        <v>0</v>
      </c>
      <c r="V467" t="n">
        <v>0</v>
      </c>
    </row>
    <row r="468">
      <c r="A468">
        <f>Skills!A29</f>
        <v/>
      </c>
      <c r="B468">
        <f>Skills!B29</f>
        <v/>
      </c>
      <c r="C468">
        <f>Inputs!$B$3&gt;=120</f>
        <v/>
      </c>
      <c r="D468">
        <f>IF(Skills!C29=1,60+Inputs!$B$25+Inputs!$B$29,IF(Skills!C29=2,90+Inputs!$B$26+Inputs!$B$29,IF(Skills!C29=3,120+Inputs!$B$27+Inputs!$B$29,MAX(0,(Inputs!$B$3-100)*3)+Inputs!$B$28+Inputs!$B$29)))</f>
        <v/>
      </c>
      <c r="E468">
        <f>INDEX(FactorTable!$B$2:$Y$301, MATCH(ROUND(MIN(300,MAX(1,D468)),0), FactorTable!$A$2:$A$301,0), Skills!M29+1)</f>
        <v/>
      </c>
      <c r="F468">
        <f>IF(Skills!N29=TRUE,(Skills!L29/10)*(E468/1000),Skills!L29/10)+Skills!O29</f>
        <v/>
      </c>
      <c r="G468">
        <f>Skills!G29*IF(Skills!H29&gt;0,Skills!I29/Skills!H29,1)</f>
        <v/>
      </c>
      <c r="H468">
        <f>1-(1-Skills!J29/100)^Skills!K29</f>
        <v/>
      </c>
      <c r="I468" t="inlineStr">
        <is>
          <t>1</t>
        </is>
      </c>
      <c r="J468" t="inlineStr"/>
      <c r="K468" t="inlineStr"/>
      <c r="L468" t="inlineStr"/>
      <c r="M468" t="inlineStr"/>
      <c r="N468" t="inlineStr"/>
      <c r="O468">
        <f>(1-Summary!$B$11)*T468+Summary!$B$11*V468</f>
        <v/>
      </c>
      <c r="P468">
        <f>IF(B482=0,0,O468/B482)</f>
        <v/>
      </c>
      <c r="Q468" t="n">
        <v>0</v>
      </c>
      <c r="R468" t="n">
        <v>0</v>
      </c>
      <c r="S468">
        <f>IFERROR(O468/N468,0)</f>
        <v/>
      </c>
      <c r="T468" t="n">
        <v>0</v>
      </c>
      <c r="V468" t="n">
        <v>0</v>
      </c>
    </row>
    <row r="469">
      <c r="A469">
        <f>Skills!A30</f>
        <v/>
      </c>
      <c r="B469">
        <f>Skills!B30</f>
        <v/>
      </c>
      <c r="C469">
        <f>Inputs!$B$3&gt;=45</f>
        <v/>
      </c>
      <c r="D469">
        <f>IF(Skills!C30=1,60+Inputs!$B$25+Inputs!$B$29,IF(Skills!C30=2,90+Inputs!$B$26+Inputs!$B$29,IF(Skills!C30=3,120+Inputs!$B$27+Inputs!$B$29,MAX(0,(Inputs!$B$3-100)*3)+Inputs!$B$28+Inputs!$B$29)))</f>
        <v/>
      </c>
      <c r="E469">
        <f>INDEX(FactorTable!$B$2:$Y$301, MATCH(ROUND(MIN(300,MAX(1,D469)),0), FactorTable!$A$2:$A$301,0), Skills!M30+1)</f>
        <v/>
      </c>
      <c r="F469">
        <f>IF(Skills!N30=TRUE,(Skills!L30/10)*(E469/1000),Skills!L30/10)+Skills!O30</f>
        <v/>
      </c>
      <c r="G469">
        <f>Skills!G30*IF(Skills!H30&gt;0,Skills!I30/Skills!H30,1)</f>
        <v/>
      </c>
      <c r="H469">
        <f>1-(1-Skills!J30/100)^Skills!K30</f>
        <v/>
      </c>
      <c r="I469" t="inlineStr">
        <is>
          <t>1</t>
        </is>
      </c>
      <c r="J469" t="inlineStr"/>
      <c r="K469" t="inlineStr"/>
      <c r="L469" t="inlineStr"/>
      <c r="M469" t="inlineStr"/>
      <c r="N469" t="inlineStr"/>
      <c r="O469">
        <f>(1-Summary!$B$11)*T469+Summary!$B$11*V469</f>
        <v/>
      </c>
      <c r="P469">
        <f>IF(B482=0,0,O469/B482)</f>
        <v/>
      </c>
      <c r="Q469" t="n">
        <v>0</v>
      </c>
      <c r="R469" t="n">
        <v>0</v>
      </c>
      <c r="S469">
        <f>IFERROR(O469/N469,0)</f>
        <v/>
      </c>
      <c r="T469" t="n">
        <v>0</v>
      </c>
      <c r="V469" t="n">
        <v>0</v>
      </c>
    </row>
    <row r="471">
      <c r="A471" t="inlineStr">
        <is>
          <t>Attack% Bucket Multiplier</t>
        </is>
      </c>
      <c r="B471">
        <f>(1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2">
      <c r="A472" t="inlineStr">
        <is>
          <t>Global Crit Rate Bonus %</t>
        </is>
      </c>
      <c r="B472">
        <f>(C455=TRUE)*20*IF(AND(Inputs!$B$38&lt;&gt;"pvp",Inputs!$B$43&gt;0),(((R455-1)*(Skills!T16*(1+Inputs!$B$34/100))+MIN((Skills!T16*(1+Inputs!$B$34/100)),MAX(0,Inputs!$B$43-((R455-1)*Skills!D16))))/Inputs!$B$43),IF(Inputs!$B$38="pvp",MIN((Skills!T16*(1+Inputs!$B$34/100)),15)/15,(Skills!T16*(1+Inputs!$B$34/100))/Skills!D16))</f>
        <v/>
      </c>
    </row>
    <row r="473">
      <c r="A473" t="inlineStr">
        <is>
          <t>Attack Speed Buff Bonus %</t>
        </is>
      </c>
      <c r="B473">
        <f>((C458=TRUE)*F458*IF(AND(Inputs!$B$38&lt;&gt;"pvp",Inputs!$B$43&gt;0),(((R458-1)*(Skills!T19*(1+Inputs!$B$34/100))+MIN((Skills!T19*(1+Inputs!$B$34/100)),MAX(0,Inputs!$B$43-((R458-1)*Skills!D19))))/Inputs!$B$43),IF(Inputs!$B$38="pvp",MIN((Skills!T19*(1+Inputs!$B$34/100)),15)/15,(Skills!T19*(1+Inputs!$B$34/100))/Skills!D19)))</f>
        <v/>
      </c>
    </row>
    <row r="474">
      <c r="A474" t="inlineStr">
        <is>
          <t>Actions Per Second</t>
        </is>
      </c>
      <c r="B474">
        <f>1+MIN(150,150*(1-(1-(Inputs!$B$11+((C460=TRUE)*(F460-Calc!F21))+((C461=TRUE)*(F461-Calc!F22)))/150)*(1-B473/150)))/100</f>
        <v/>
      </c>
    </row>
    <row r="475">
      <c r="A475" t="inlineStr">
        <is>
          <t>Skill + Buff Cast Rate</t>
        </is>
      </c>
      <c r="B475">
        <f>IF(AND(Inputs!$B$38&lt;&gt;"pvp",Inputs!$B$43&gt;0),SUMPRODUCT((Skills!E2:E30=TRUE)*(C441:C469=TRUE)*R441:R469*Skills!F2:F30)/Inputs!$B$43,SUMPRODUCT((Skills!E2:E30=TRUE)*(C441:C469=TRUE)*Q441:Q469*Skills!F2:F30))</f>
        <v/>
      </c>
    </row>
    <row r="476">
      <c r="A476" t="inlineStr">
        <is>
          <t>Arrow Stream Casts Per Second</t>
        </is>
      </c>
      <c r="B476">
        <f>MAX(0,B474-B475)</f>
        <v/>
      </c>
    </row>
    <row r="477">
      <c r="A477" t="inlineStr">
        <is>
          <t>Global Critical Damage Bonus % (Sharp Eyes + Concentration)</t>
        </is>
      </c>
      <c r="B477">
        <f>(C455=TRUE)*F455*IF(AND(Inputs!$B$38&lt;&gt;"pvp",Inputs!$B$43&gt;0),(((R455-1)*(Skills!T16*(1+Inputs!$B$34/100))+MIN((Skills!T16*(1+Inputs!$B$34/100)),MAX(0,Inputs!$B$43-((R455-1)*Skills!D16))))/Inputs!$B$43),IF(Inputs!$B$38="pvp",MIN((Skills!T16*(1+Inputs!$B$34/100)),15)/15,(Skills!T16*(1+Inputs!$B$34/100))/Skills!D16))+(C456=TRUE)*30</f>
        <v/>
      </c>
    </row>
    <row r="478">
      <c r="A478" t="inlineStr">
        <is>
          <t>Global Final Damage Bonus % (Mortal Blow)</t>
        </is>
      </c>
      <c r="B478">
        <f>(C457=TRUE)*F457</f>
        <v/>
      </c>
    </row>
    <row r="479">
      <c r="A479" t="inlineStr">
        <is>
          <t>Buff-Casting Startup Delay (s, fixed-duration only)</t>
        </is>
      </c>
      <c r="B479">
        <f>IF(AND(Inputs!$B$38&lt;&gt;"pvp",Inputs!$B$43&gt;0),SUMPRODUCT((Skills!T2:T30&gt;0)*(Skills!E2:E30=TRUE)*(C441:C469=TRUE))/B474,0)</f>
        <v/>
      </c>
    </row>
    <row r="480">
      <c r="A480" t="inlineStr">
        <is>
          <t>Boss-Only Total DPS (this block's swept value)</t>
        </is>
      </c>
      <c r="B480">
        <f>SUM(T441:T469)</f>
        <v/>
      </c>
    </row>
    <row r="481">
      <c r="A481" t="inlineStr">
        <is>
          <t>Normal-Only Total DPS (this block's swept value)</t>
        </is>
      </c>
      <c r="B481">
        <f>SUM(V441:V469)</f>
        <v/>
      </c>
    </row>
    <row r="482">
      <c r="A482" s="6" t="inlineStr">
        <is>
          <t>TOTAL DPS</t>
        </is>
      </c>
      <c r="B482" s="6">
        <f>SUM(O441:O469)</f>
        <v/>
      </c>
    </row>
    <row r="485">
      <c r="A485" s="6" t="inlineStr">
        <is>
          <t>Stat: MAX_DAMAGE %</t>
        </is>
      </c>
    </row>
    <row r="486">
      <c r="A486" s="5" t="inlineStr">
        <is>
          <t>Key</t>
        </is>
      </c>
      <c r="B486" s="5" t="inlineStr">
        <is>
          <t>Name</t>
        </is>
      </c>
      <c r="C486" s="5" t="inlineStr">
        <is>
          <t>Unlocked</t>
        </is>
      </c>
      <c r="D486" s="5" t="inlineStr">
        <is>
          <t>InputLevel</t>
        </is>
      </c>
      <c r="E486" s="5" t="inlineStr">
        <is>
          <t>Factor</t>
        </is>
      </c>
      <c r="F486" s="5" t="inlineStr">
        <is>
          <t>CoefficientPercent</t>
        </is>
      </c>
      <c r="G486" s="5" t="inlineStr">
        <is>
          <t>EffectiveHits</t>
        </is>
      </c>
      <c r="H486" s="5" t="inlineStr">
        <is>
          <t>ProcProbability</t>
        </is>
      </c>
      <c r="I486" s="5" t="inlineStr">
        <is>
          <t>MapleHeroMultiplier</t>
        </is>
      </c>
      <c r="J486" s="5" t="inlineStr">
        <is>
          <t>BaseDamage</t>
        </is>
      </c>
      <c r="K486" s="5" t="inlineStr">
        <is>
          <t>BaseHitDamage</t>
        </is>
      </c>
      <c r="L486" s="5" t="inlineStr">
        <is>
          <t>NonCritAvg</t>
        </is>
      </c>
      <c r="M486" s="5" t="inlineStr">
        <is>
          <t>CritAvg</t>
        </is>
      </c>
      <c r="N486" s="5" t="inlineStr">
        <is>
          <t>ExpectedDamage(perHit)</t>
        </is>
      </c>
      <c r="O486" s="5" t="inlineStr">
        <is>
          <t>DPS</t>
        </is>
      </c>
      <c r="P486" s="5" t="inlineStr">
        <is>
          <t>% of Total</t>
        </is>
      </c>
      <c r="Q486" s="5" t="inlineStr">
        <is>
          <t>InvCooldown</t>
        </is>
      </c>
      <c r="R486" s="5" t="inlineStr">
        <is>
          <t>CastsInFight</t>
        </is>
      </c>
      <c r="S486" s="5" t="inlineStr">
        <is>
          <t>HitRate(perSec)</t>
        </is>
      </c>
      <c r="U486" t="inlineStr">
        <is>
          <t>helpers</t>
        </is>
      </c>
    </row>
    <row r="487">
      <c r="A487">
        <f>Skills!A2</f>
        <v/>
      </c>
      <c r="B487">
        <f>Skills!B2</f>
        <v/>
      </c>
      <c r="C487">
        <f>Inputs!$B$3&gt;=100</f>
        <v/>
      </c>
      <c r="D487" t="inlineStr"/>
      <c r="E487" t="inlineStr"/>
      <c r="F487">
        <f>U489+Skills!O2</f>
        <v/>
      </c>
      <c r="G487">
        <f>Skills!G2*IF(Skills!H2&gt;0,Skills!I2/Skills!H2,1)</f>
        <v/>
      </c>
      <c r="H487">
        <f>1-(1-Skills!J2/100)^Skills!K2</f>
        <v/>
      </c>
      <c r="I487" t="inlineStr">
        <is>
          <t>1</t>
        </is>
      </c>
      <c r="J487">
        <f>((Inputs!$B$6*(1+Inputs!$B$7/100))+(((Inputs!$B$12*(1+Inputs!$B$13/100))-(Inputs!$B$12*(1+Inputs!$B$13/100)))+0.25*(Inputs!$B$14-Inputs!$B$14))*(1+Inputs!$B$7/100))*(F487/100)</f>
        <v/>
      </c>
      <c r="K487">
        <f>J487*(1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509=TRUE)*(F509-Calc!F24)),((Inputs!$B$23+1)+((C514=TRUE)*(F514-Calc!F29))+(IF(ArtifactsInput!$M$15,CHOOSE(ArtifactsInput!$N$15+1,25,30,35,40,45,50)/100*(Inputs!$B$11-Inputs!$B$11),0))))/100+((Inputs!$B$23+1)+((C514=TRUE)*(F514-Calc!F29))+(IF(ArtifactsInput!$M$15,CHOOSE(ArtifactsInput!$N$15+1,25,30,35,40,45,50)/100*(Inputs!$B$11-Inputs!$B$11),0)))/100)/2</f>
        <v/>
      </c>
      <c r="M487">
        <f>L487*(1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IF(B528=0,0,O487/B528)</f>
        <v/>
      </c>
      <c r="Q487" t="n">
        <v>0</v>
      </c>
      <c r="R487" t="n">
        <v>0</v>
      </c>
      <c r="S487">
        <f>IFERROR(O487/N487,0)</f>
        <v/>
      </c>
      <c r="T487">
        <f>IF(C487,(Skills!G2*N487*B522)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487*(1-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MAX(0,(Inputs!$B$3-100)*3)+Inputs!$B$28+Inputs!$B$29</f>
        <v/>
      </c>
      <c r="V487">
        <f>IF(C487,(Skills!G2*N487*B522)*IF(Inputs!$B$38="pvp",1,(1+(Inputs!$B$21+Skills!Q2+(IF(ArtifactsInput!$M$33,CHOOSE(ArtifactsInput!$N$33+1,30,36,42,48,54,60),0))+(IF(AND(ArtifactsInput!$M$35,Inputs!$B$4&lt;&gt;"Chapter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Skills!A3</f>
        <v/>
      </c>
      <c r="B488">
        <f>Skills!B3</f>
        <v/>
      </c>
      <c r="C488">
        <f>Inputs!$B$3&gt;=50</f>
        <v/>
      </c>
      <c r="D488">
        <f>IF(Skills!C3=1,60+Inputs!$B$25+Inputs!$B$29,IF(Skills!C3=2,90+Inputs!$B$26+Inputs!$B$29,IF(Skills!C3=3,120+Inputs!$B$27+Inputs!$B$29,MAX(0,(Inputs!$B$3-100)*3)+Inputs!$B$28+Inputs!$B$29)))</f>
        <v/>
      </c>
      <c r="E488">
        <f>INDEX(FactorTable!$B$2:$Y$301, MATCH(ROUND(MIN(300,MAX(1,D488)),0), FactorTable!$A$2:$A$301,0), Skills!M3+1)</f>
        <v/>
      </c>
      <c r="F488">
        <f>IF(Skills!N3=TRUE,(Skills!L3/10)*(E488/1000),Skills!L3/10)+Skills!O3</f>
        <v/>
      </c>
      <c r="G488" t="inlineStr"/>
      <c r="H488" t="inlineStr"/>
      <c r="I488" t="inlineStr">
        <is>
          <t>1</t>
        </is>
      </c>
      <c r="J488" t="inlineStr"/>
      <c r="K488" t="inlineStr"/>
      <c r="L488" t="inlineStr"/>
      <c r="M488" t="inlineStr"/>
      <c r="N488" t="inlineStr"/>
      <c r="O488" t="inlineStr"/>
      <c r="P488" t="inlineStr"/>
      <c r="Q488" t="inlineStr"/>
      <c r="R488" t="inlineStr"/>
      <c r="S488" t="inlineStr"/>
      <c r="T488" t="inlineStr"/>
      <c r="U488">
        <f>INDEX(FactorTable!$B$2:$Y$301, MATCH(ROUND(MIN(300,MAX(1,U487)),0), FactorTable!$A$2:$A$301,0), 22)</f>
        <v/>
      </c>
      <c r="V488" t="inlineStr"/>
    </row>
    <row r="489">
      <c r="A489">
        <f>Skills!A4</f>
        <v/>
      </c>
      <c r="B489">
        <f>Skills!B4</f>
        <v/>
      </c>
      <c r="C489">
        <f>Inputs!$B$3&gt;=105</f>
        <v/>
      </c>
      <c r="D489">
        <f>IF(Skills!C4=1,60+Inputs!$B$25+Inputs!$B$29,IF(Skills!C4=2,90+Inputs!$B$26+Inputs!$B$29,IF(Skills!C4=3,120+Inputs!$B$27+Inputs!$B$29,MAX(0,(Inputs!$B$3-100)*3)+Inputs!$B$28+Inputs!$B$29)))</f>
        <v/>
      </c>
      <c r="E489">
        <f>INDEX(FactorTable!$B$2:$Y$301, MATCH(ROUND(MIN(300,MAX(1,D489)),0), FactorTable!$A$2:$A$301,0), Skills!M4+1)</f>
        <v/>
      </c>
      <c r="F489">
        <f>IF(Skills!N4=TRUE,(Skills!L4/10)*(E489/1000),Skills!L4/10)+Skills!O4</f>
        <v/>
      </c>
      <c r="G489" t="inlineStr"/>
      <c r="H489" t="inlineStr"/>
      <c r="I489" t="inlineStr">
        <is>
          <t>1</t>
        </is>
      </c>
      <c r="J489" t="inlineStr"/>
      <c r="K489" t="inlineStr"/>
      <c r="L489" t="inlineStr"/>
      <c r="M489" t="inlineStr"/>
      <c r="N489" t="inlineStr"/>
      <c r="O489" t="inlineStr"/>
      <c r="P489" t="inlineStr"/>
      <c r="Q489" t="inlineStr"/>
      <c r="R489" t="inlineStr"/>
      <c r="S489" t="inlineStr"/>
      <c r="T489" t="inlineStr"/>
      <c r="U489">
        <f>290*U488/1000</f>
        <v/>
      </c>
      <c r="V489" t="inlineStr"/>
    </row>
    <row r="490">
      <c r="A490">
        <f>Skills!A5</f>
        <v/>
      </c>
      <c r="B490">
        <f>Skills!B5</f>
        <v/>
      </c>
      <c r="C490">
        <f>Inputs!$B$3&gt;=35</f>
        <v/>
      </c>
      <c r="D490">
        <f>IF(Skills!C5=1,60+Inputs!$B$25+Inputs!$B$29,IF(Skills!C5=2,90+Inputs!$B$26+Inputs!$B$29,IF(Skills!C5=3,120+Inputs!$B$27+Inputs!$B$29,MAX(0,(Inputs!$B$3-100)*3)+Inputs!$B$28+Inputs!$B$29)))</f>
        <v/>
      </c>
      <c r="E490">
        <f>INDEX(FactorTable!$B$2:$Y$301, MATCH(ROUND(MIN(300,MAX(1,D490)),0), FactorTable!$A$2:$A$301,0), Skills!M5+1)</f>
        <v/>
      </c>
      <c r="F490">
        <f>IF(Skills!N5=TRUE,(Skills!L5/10)*(E490/1000),Skills!L5/10)+Skills!O5</f>
        <v/>
      </c>
      <c r="G490">
        <f>Skills!G5*IF(Skills!H5&gt;0,Skills!I5/Skills!H5,1)</f>
        <v/>
      </c>
      <c r="H490">
        <f>1-(1-Skills!J5/100)^Skills!K5</f>
        <v/>
      </c>
      <c r="I490" t="inlineStr">
        <is>
          <t>1</t>
        </is>
      </c>
      <c r="J490">
        <f>((Inputs!$B$6*(1+Inputs!$B$7/100))+(((Inputs!$B$12*(1+Inputs!$B$13/100))-(Inputs!$B$12*(1+Inputs!$B$13/100)))+0.25*(Inputs!$B$14-Inputs!$B$14))*(1+Inputs!$B$7/100))*(F490/100)</f>
        <v/>
      </c>
      <c r="K490">
        <f>J490*(1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495=TRUE,F495,0)/100)*(1+(IF(Skills!A5="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C509=TRUE)*(F509-Calc!F24)),((Inputs!$B$23+1)+((C514=TRUE)*(F514-Calc!F29))+(IF(ArtifactsInput!$M$15,CHOOSE(ArtifactsInput!$N$15+1,25,30,35,40,45,50)/100*(Inputs!$B$11-Inputs!$B$11),0))))/100+((Inputs!$B$23+1)+((C514=TRUE)*(F514-Calc!F29))+(IF(ArtifactsInput!$M$15,CHOOSE(ArtifactsInput!$N$15+1,25,30,35,40,45,50)/100*(Inputs!$B$11-Inputs!$B$11),0)))/100)/2</f>
        <v/>
      </c>
      <c r="M490">
        <f>L490*(1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(1-Summary!$B$11)*T490+Summary!$B$11*V490</f>
        <v/>
      </c>
      <c r="P490">
        <f>IF(B528=0,0,O490/B528)</f>
        <v/>
      </c>
      <c r="Q490">
        <f>IFERROR(1/(IF(Inputs!$B$38="pvp",15,MAX(0.1,Skills!D5-IF(Skills!E5=TRUE,Inputs!$B$32,0)))*(1-IF(AND(ArtifactsInput!$M$27,Inputs!$B$4="Chapter Hunt"),CHOOSE(ArtifactsInput!$N$27+1,20,24,28,32,36,40),0)/100)),0)</f>
        <v/>
      </c>
      <c r="R490">
        <f>IF(AND(Inputs!$B$38&lt;&gt;"pvp",Inputs!$B$43&gt;0),IF(MAX(0,Inputs!$B$43-B525)&lt;=0,0,(INT(MAX(0,Inputs!$B$43-B525)/(IF(Inputs!$B$38="pvp",15,MAX(0.1,Skills!D5-IF(Skills!E5=TRUE,Inputs!$B$32,0)))*(1-IF(AND(ArtifactsInput!$M$27,Inputs!$B$4="Chapter Hunt"),CHOOSE(ArtifactsInput!$N$27+1,20,24,28,32,36,40),0)/100)))+1)),0)</f>
        <v/>
      </c>
      <c r="S490">
        <f>IFERROR(O490/N490,0)</f>
        <v/>
      </c>
      <c r="T490">
        <f>IF(C490,(H490*N490*IF(AND(Inputs!$B$38&lt;&gt;"pvp",Inputs!$B$43&gt;0),((Skills!G5*((R490-1)*IF(Skills!H5&gt;0,Skills!I5/Skills!H5,1)+IF(Skills!H5&gt;0,MIN(Skills!I5,MAX(0,MAX(0,Inputs!$B$43-B525)-((R490-1)*(IF(Inputs!$B$38="pvp",15,MAX(0.1,Skills!D5-IF(Skills!E5=TRUE,Inputs!$B$32,0)))*(1-IF(AND(ArtifactsInput!$M$27,Inputs!$B$4="Chapter Hunt"),CHOOSE(ArtifactsInput!$N$27+1,20,24,28,32,36,40),0)/100)))))/Skills!H5,1)))/Inputs!$B$43),G490*Q490)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490*(1-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0">
        <f>IF(C490,(H490*N490*IF(AND(Inputs!$B$38&lt;&gt;"pvp",Inputs!$B$43&gt;0),((Skills!G5*((R490-1)*IF(Skills!H5&gt;0,Skills!I5/Skills!H5,1)+IF(Skills!H5&gt;0,MIN(Skills!I5,MAX(0,MAX(0,Inputs!$B$43-B525)-((R490-1)*(IF(Inputs!$B$38="pvp",15,MAX(0.1,Skills!D5-IF(Skills!E5=TRUE,Inputs!$B$32,0)))*(1-IF(AND(ArtifactsInput!$M$27,Inputs!$B$4="Chapter Hunt"),CHOOSE(ArtifactsInput!$N$27+1,20,24,28,32,36,40),0)/100)))))/Skills!H5,1)))/Inputs!$B$43),G490*Q490))*IF(Inputs!$B$38="pvp",1,(1+(Inputs!$B$21+Skills!Q5+(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Skills!A6</f>
        <v/>
      </c>
      <c r="B491">
        <f>Skills!B6</f>
        <v/>
      </c>
      <c r="C491">
        <f>Inputs!$B$3&gt;=40</f>
        <v/>
      </c>
      <c r="D491">
        <f>IF(Skills!C6=1,60+Inputs!$B$25+Inputs!$B$29,IF(Skills!C6=2,90+Inputs!$B$26+Inputs!$B$29,IF(Skills!C6=3,120+Inputs!$B$27+Inputs!$B$29,MAX(0,(Inputs!$B$3-100)*3)+Inputs!$B$28+Inputs!$B$29)))</f>
        <v/>
      </c>
      <c r="E491">
        <f>INDEX(FactorTable!$B$2:$Y$301, MATCH(ROUND(MIN(300,MAX(1,D491)),0), FactorTable!$A$2:$A$301,0), Skills!M6+1)</f>
        <v/>
      </c>
      <c r="F491">
        <f>IF(Skills!N6=TRUE,(Skills!L6/10)*(E491/1000),Skills!L6/10)+Skills!O6</f>
        <v/>
      </c>
      <c r="G491">
        <f>Skills!G6*IF(Skills!H6&gt;0,Skills!I6/Skills!H6,1)</f>
        <v/>
      </c>
      <c r="H491">
        <f>1-(1-Skills!J6/100)^Skills!K6</f>
        <v/>
      </c>
      <c r="I491" t="inlineStr">
        <is>
          <t>1</t>
        </is>
      </c>
      <c r="J491">
        <f>((Inputs!$B$6*(1+Inputs!$B$7/100))+(((Inputs!$B$12*(1+Inputs!$B$13/100))-(Inputs!$B$12*(1+Inputs!$B$13/100)))+0.25*(Inputs!$B$14-Inputs!$B$14))*(1+Inputs!$B$7/100))*(F491/100)</f>
        <v/>
      </c>
      <c r="K491">
        <f>J491*(1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492=TRUE,F492,0)/100)*(1+(IF(Skills!A6="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509=TRUE)*(F509-Calc!F24)),((Inputs!$B$23+1)+((C514=TRUE)*(F514-Calc!F29))+(IF(ArtifactsInput!$M$15,CHOOSE(ArtifactsInput!$N$15+1,25,30,35,40,45,50)/100*(Inputs!$B$11-Inputs!$B$11),0))))/100+((Inputs!$B$23+1)+((C514=TRUE)*(F514-Calc!F29))+(IF(ArtifactsInput!$M$15,CHOOSE(ArtifactsInput!$N$15+1,25,30,35,40,45,50)/100*(Inputs!$B$11-Inputs!$B$11),0)))/100)/2</f>
        <v/>
      </c>
      <c r="M491">
        <f>L491*(1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IF(B528=0,0,O491/B528)</f>
        <v/>
      </c>
      <c r="Q491">
        <f>IFERROR(1/(IF(Inputs!$B$38="pvp",15,MAX(0.1,Skills!D6-IF(Skills!E6=TRUE,Inputs!$B$32,0)))*(1-IF(AND(ArtifactsInput!$M$27,Inputs!$B$4="Chapter Hunt"),CHOOSE(ArtifactsInput!$N$27+1,20,24,28,32,36,40),0)/100)),0)</f>
        <v/>
      </c>
      <c r="R491">
        <f>IF(AND(Inputs!$B$38&lt;&gt;"pvp",Inputs!$B$43&gt;0),IF(MAX(0,Inputs!$B$43-B525)&lt;=0,0,(INT(MAX(0,Inputs!$B$43-B525)/(IF(Inputs!$B$38="pvp",15,MAX(0.1,Skills!D6-IF(Skills!E6=TRUE,Inputs!$B$32,0)))*(1-IF(AND(ArtifactsInput!$M$27,Inputs!$B$4="Chapter Hunt"),CHOOSE(ArtifactsInput!$N$27+1,20,24,28,32,36,40),0)/100)))+1)),0)</f>
        <v/>
      </c>
      <c r="S491">
        <f>IFERROR(O491/N491,0)</f>
        <v/>
      </c>
      <c r="T491">
        <f>IF(C491,(H491*N491*IF(AND(Inputs!$B$38&lt;&gt;"pvp",Inputs!$B$43&gt;0),((Skills!G6*((R491-1)*IF(Skills!H6&gt;0,Skills!I6/Skills!H6,1)+IF(Skills!H6&gt;0,MIN(Skills!I6,MAX(0,MAX(0,Inputs!$B$43-B525)-((R491-1)*(IF(Inputs!$B$38="pvp",15,MAX(0.1,Skills!D6-IF(Skills!E6=TRUE,Inputs!$B$32,0)))*(1-IF(AND(ArtifactsInput!$M$27,Inputs!$B$4="Chapter Hunt"),CHOOSE(ArtifactsInput!$N$27+1,20,24,28,32,36,40),0)/100)))))/Skills!H6,1)))/Inputs!$B$43),G491*Q491)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491*(1-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1">
        <f>IF(C491,(H491*N491*IF(AND(Inputs!$B$38&lt;&gt;"pvp",Inputs!$B$43&gt;0),((Skills!G6*((R491-1)*IF(Skills!H6&gt;0,Skills!I6/Skills!H6,1)+IF(Skills!H6&gt;0,MIN(Skills!I6,MAX(0,MAX(0,Inputs!$B$43-B525)-((R491-1)*(IF(Inputs!$B$38="pvp",15,MAX(0.1,Skills!D6-IF(Skills!E6=TRUE,Inputs!$B$32,0)))*(1-IF(AND(ArtifactsInput!$M$27,Inputs!$B$4="Chapter Hunt"),CHOOSE(ArtifactsInput!$N$27+1,20,24,28,32,36,40),0)/100)))))/Skills!H6,1)))/Inputs!$B$43),G491*Q491))*IF(Inputs!$B$38="pvp",1,(1+(Inputs!$B$21+Skills!Q6+(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Skills!A7</f>
        <v/>
      </c>
      <c r="B492">
        <f>Skills!B7</f>
        <v/>
      </c>
      <c r="C492">
        <f>Inputs!$B$3&gt;=107</f>
        <v/>
      </c>
      <c r="D492">
        <f>IF(Skills!C7=1,60+Inputs!$B$25+Inputs!$B$29,IF(Skills!C7=2,90+Inputs!$B$26+Inputs!$B$29,IF(Skills!C7=3,120+Inputs!$B$27+Inputs!$B$29,MAX(0,(Inputs!$B$3-100)*3)+Inputs!$B$28+Inputs!$B$29)))</f>
        <v/>
      </c>
      <c r="E492">
        <f>INDEX(FactorTable!$B$2:$Y$301, MATCH(ROUND(MIN(300,MAX(1,D492)),0), FactorTable!$A$2:$A$301,0), Skills!M7+1)</f>
        <v/>
      </c>
      <c r="F492">
        <f>IF(Skills!N7=TRUE,(Skills!L7/10)*(E492/1000),Skills!L7/10)+Skills!O7</f>
        <v/>
      </c>
      <c r="G492" t="inlineStr"/>
      <c r="H492" t="inlineStr"/>
      <c r="I492" t="inlineStr">
        <is>
          <t>1</t>
        </is>
      </c>
      <c r="J492" t="inlineStr"/>
      <c r="K492" t="inlineStr"/>
      <c r="L492" t="inlineStr"/>
      <c r="M492" t="inlineStr"/>
      <c r="N492" t="inlineStr"/>
      <c r="O492" t="inlineStr"/>
      <c r="P492" t="inlineStr"/>
      <c r="Q492" t="inlineStr"/>
      <c r="R492" t="inlineStr"/>
      <c r="S492" t="inlineStr"/>
      <c r="T492" t="inlineStr"/>
      <c r="V492" t="inlineStr"/>
    </row>
    <row r="493">
      <c r="A493">
        <f>Skills!A8</f>
        <v/>
      </c>
      <c r="B493">
        <f>Skills!B8</f>
        <v/>
      </c>
      <c r="C493">
        <f>Inputs!$B$3&gt;=69</f>
        <v/>
      </c>
      <c r="D493">
        <f>IF(Skills!C8=1,60+Inputs!$B$25+Inputs!$B$29,IF(Skills!C8=2,90+Inputs!$B$26+Inputs!$B$29,IF(Skills!C8=3,120+Inputs!$B$27+Inputs!$B$29,MAX(0,(Inputs!$B$3-100)*3)+Inputs!$B$28+Inputs!$B$29)))</f>
        <v/>
      </c>
      <c r="E493">
        <f>INDEX(FactorTable!$B$2:$Y$301, MATCH(ROUND(MIN(300,MAX(1,D493)),0), FactorTable!$A$2:$A$301,0), Skills!M8+1)</f>
        <v/>
      </c>
      <c r="F493">
        <f>IF(Skills!N8=TRUE,(Skills!L8/10)*(E493/1000),Skills!L8/10)+Skills!O8</f>
        <v/>
      </c>
      <c r="G493">
        <f>Skills!G8*IF(Skills!H8&gt;0,Skills!I8/Skills!H8,1)</f>
        <v/>
      </c>
      <c r="H493">
        <f>1-(1-Skills!J8/100)^Skills!K8</f>
        <v/>
      </c>
      <c r="I493" t="inlineStr">
        <is>
          <t>1</t>
        </is>
      </c>
      <c r="J493">
        <f>((Inputs!$B$6*(1+Inputs!$B$7/100))+(((Inputs!$B$12*(1+Inputs!$B$13/100))-(Inputs!$B$12*(1+Inputs!$B$13/100)))+0.25*(Inputs!$B$14-Inputs!$B$14))*(1+Inputs!$B$7/100))*(F493/100)</f>
        <v/>
      </c>
      <c r="K493">
        <f>J493*(1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495=TRUE,F495,0)/100)*(1+(IF(Skills!A8="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509=TRUE)*(F509-Calc!F24)),((Inputs!$B$23+1)+((C514=TRUE)*(F514-Calc!F29))+(IF(ArtifactsInput!$M$15,CHOOSE(ArtifactsInput!$N$15+1,25,30,35,40,45,50)/100*(Inputs!$B$11-Inputs!$B$11),0))))/100+((Inputs!$B$23+1)+((C514=TRUE)*(F514-Calc!F29))+(IF(ArtifactsInput!$M$15,CHOOSE(ArtifactsInput!$N$15+1,25,30,35,40,45,50)/100*(Inputs!$B$11-Inputs!$B$11),0)))/100)/2</f>
        <v/>
      </c>
      <c r="M493">
        <f>L493*(1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IF(B528=0,0,O493/B528)</f>
        <v/>
      </c>
      <c r="Q493">
        <f>IFERROR(1/(IF(Inputs!$B$38="pvp",15,MAX(0.1,Skills!D8-IF(Skills!E8=TRUE,Inputs!$B$32,0)))*(1-IF(AND(ArtifactsInput!$M$27,Inputs!$B$4="Chapter Hunt"),CHOOSE(ArtifactsInput!$N$27+1,20,24,28,32,36,40),0)/100)),0)</f>
        <v/>
      </c>
      <c r="R493">
        <f>IF(AND(Inputs!$B$38&lt;&gt;"pvp",Inputs!$B$43&gt;0),IF(MAX(0,Inputs!$B$43-B525)&lt;=0,0,(INT(MAX(0,Inputs!$B$43-B525)/(IF(Inputs!$B$38="pvp",15,MAX(0.1,Skills!D8-IF(Skills!E8=TRUE,Inputs!$B$32,0)))*(1-IF(AND(ArtifactsInput!$M$27,Inputs!$B$4="Chapter Hunt"),CHOOSE(ArtifactsInput!$N$27+1,20,24,28,32,36,40),0)/100)))+1)),0)</f>
        <v/>
      </c>
      <c r="S493">
        <f>IFERROR(O493/N493,0)</f>
        <v/>
      </c>
      <c r="T493">
        <f>IF(C493,(H493*N493*IF(AND(Inputs!$B$38&lt;&gt;"pvp",Inputs!$B$43&gt;0),((Skills!G8*((R493-1)*IF(Skills!H8&gt;0,Skills!I8/Skills!H8,1)+IF(Skills!H8&gt;0,MIN(Skills!I8,MAX(0,MAX(0,Inputs!$B$43-B525)-((R493-1)*(IF(Inputs!$B$38="pvp",15,MAX(0.1,Skills!D8-IF(Skills!E8=TRUE,Inputs!$B$32,0)))*(1-IF(AND(ArtifactsInput!$M$27,Inputs!$B$4="Chapter Hunt"),CHOOSE(ArtifactsInput!$N$27+1,20,24,28,32,36,40),0)/100)))))/Skills!H8,1)))/Inputs!$B$43),G493*Q493)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493*(1-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3">
        <f>IF(C493,(H493*N493*IF(AND(Inputs!$B$38&lt;&gt;"pvp",Inputs!$B$43&gt;0),((Skills!G8*((R493-1)*IF(Skills!H8&gt;0,Skills!I8/Skills!H8,1)+IF(Skills!H8&gt;0,MIN(Skills!I8,MAX(0,MAX(0,Inputs!$B$43-B525)-((R493-1)*(IF(Inputs!$B$38="pvp",15,MAX(0.1,Skills!D8-IF(Skills!E8=TRUE,Inputs!$B$32,0)))*(1-IF(AND(ArtifactsInput!$M$27,Inputs!$B$4="Chapter Hunt"),CHOOSE(ArtifactsInput!$N$27+1,20,24,28,32,36,40),0)/100)))))/Skills!H8,1)))/Inputs!$B$43),G493*Q493))*IF(Inputs!$B$38="pvp",1,(1+(Inputs!$B$21+Skills!Q8+(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Skills!A9</f>
        <v/>
      </c>
      <c r="B494">
        <f>Skills!B9</f>
        <v/>
      </c>
      <c r="C494">
        <f>Inputs!$B$3&gt;=63</f>
        <v/>
      </c>
      <c r="D494">
        <f>IF(Skills!C9=1,60+Inputs!$B$25+Inputs!$B$29,IF(Skills!C9=2,90+Inputs!$B$26+Inputs!$B$29,IF(Skills!C9=3,120+Inputs!$B$27+Inputs!$B$29,MAX(0,(Inputs!$B$3-100)*3)+Inputs!$B$28+Inputs!$B$29)))</f>
        <v/>
      </c>
      <c r="E494">
        <f>INDEX(FactorTable!$B$2:$Y$301, MATCH(ROUND(MIN(300,MAX(1,D494)),0), FactorTable!$A$2:$A$301,0), Skills!M9+1)</f>
        <v/>
      </c>
      <c r="F494">
        <f>IF(Skills!N9=TRUE,(Skills!L9/10)*(E494/1000),Skills!L9/10)+Skills!O9</f>
        <v/>
      </c>
      <c r="G494">
        <f>Skills!G9*IF(Skills!H9&gt;0,Skills!I9/Skills!H9,1)</f>
        <v/>
      </c>
      <c r="H494">
        <f>1-(1-Skills!J9/100)^Skills!K9</f>
        <v/>
      </c>
      <c r="I494" t="inlineStr">
        <is>
          <t>1</t>
        </is>
      </c>
      <c r="J494">
        <f>((Inputs!$B$6*(1+Inputs!$B$7/100))+(((Inputs!$B$12*(1+Inputs!$B$13/100))-(Inputs!$B$12*(1+Inputs!$B$13/100)))+0.25*(Inputs!$B$14-Inputs!$B$14))*(1+Inputs!$B$7/100))*(F494/100)</f>
        <v/>
      </c>
      <c r="K494">
        <f>J494*(1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495=TRUE,F495,0)/100)*(1+(IF(Skills!A9="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C509=TRUE)*(F509-Calc!F24)),((Inputs!$B$23+1)+((C514=TRUE)*(F514-Calc!F29))+(IF(ArtifactsInput!$M$15,CHOOSE(ArtifactsInput!$N$15+1,25,30,35,40,45,50)/100*(Inputs!$B$11-Inputs!$B$11),0))))/100+((Inputs!$B$23+1)+((C514=TRUE)*(F514-Calc!F29))+(IF(ArtifactsInput!$M$15,CHOOSE(ArtifactsInput!$N$15+1,25,30,35,40,45,50)/100*(Inputs!$B$11-Inputs!$B$11),0)))/100)/2</f>
        <v/>
      </c>
      <c r="M494">
        <f>L494*(1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4">
        <f>L494*(1-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(1-Summary!$B$11)*T494+Summary!$B$11*V494</f>
        <v/>
      </c>
      <c r="P494">
        <f>IF(B528=0,0,O494/B528)</f>
        <v/>
      </c>
      <c r="Q494">
        <f>IFERROR(1/(IF(Inputs!$B$38="pvp",15,MAX(0.1,Skills!D9-IF(Skills!E9=TRUE,Inputs!$B$32,0)))*(1-IF(AND(ArtifactsInput!$M$27,Inputs!$B$4="Chapter Hunt"),CHOOSE(ArtifactsInput!$N$27+1,20,24,28,32,36,40),0)/100)),0)</f>
        <v/>
      </c>
      <c r="R494">
        <f>IF(AND(Inputs!$B$38&lt;&gt;"pvp",Inputs!$B$43&gt;0),IF(MAX(0,Inputs!$B$43-B525)&lt;=0,0,(INT(MAX(0,Inputs!$B$43-B525)/(IF(Inputs!$B$38="pvp",15,MAX(0.1,Skills!D9-IF(Skills!E9=TRUE,Inputs!$B$32,0)))*(1-IF(AND(ArtifactsInput!$M$27,Inputs!$B$4="Chapter Hunt"),CHOOSE(ArtifactsInput!$N$27+1,20,24,28,32,36,40),0)/100)))+1)),0)</f>
        <v/>
      </c>
      <c r="S494">
        <f>IFERROR(O494/N494,0)</f>
        <v/>
      </c>
      <c r="T494">
        <f>IF(C494,(H494*N494*IF(AND(Inputs!$B$38&lt;&gt;"pvp",Inputs!$B$43&gt;0),((Skills!G9*((R494-1)*IF(Skills!H9&gt;0,Skills!I9/Skills!H9,1)+IF(Skills!H9&gt;0,MIN(Skills!I9,MAX(0,MAX(0,Inputs!$B$43-B525)-((R494-1)*(IF(Inputs!$B$38="pvp",15,MAX(0.1,Skills!D9-IF(Skills!E9=TRUE,Inputs!$B$32,0)))*(1-IF(AND(ArtifactsInput!$M$27,Inputs!$B$4="Chapter Hunt"),CHOOSE(ArtifactsInput!$N$27+1,20,24,28,32,36,40),0)/100)))))/Skills!H9,1)))/Inputs!$B$43),G494*Q494)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494*(1-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4">
        <f>IF(C494,(H494*N494*IF(AND(Inputs!$B$38&lt;&gt;"pvp",Inputs!$B$43&gt;0),((Skills!G9*((R494-1)*IF(Skills!H9&gt;0,Skills!I9/Skills!H9,1)+IF(Skills!H9&gt;0,MIN(Skills!I9,MAX(0,MAX(0,Inputs!$B$43-B525)-((R494-1)*(IF(Inputs!$B$38="pvp",15,MAX(0.1,Skills!D9-IF(Skills!E9=TRUE,Inputs!$B$32,0)))*(1-IF(AND(ArtifactsInput!$M$27,Inputs!$B$4="Chapter Hunt"),CHOOSE(ArtifactsInput!$N$27+1,20,24,28,32,36,40),0)/100)))))/Skills!H9,1)))/Inputs!$B$43),G494*Q494))*IF(Inputs!$B$38="pvp",1,(1+(Inputs!$B$21+Skills!Q9+(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5">
      <c r="A495">
        <f>Skills!A10</f>
        <v/>
      </c>
      <c r="B495">
        <f>Skills!B10</f>
        <v/>
      </c>
      <c r="C495">
        <f>Inputs!$B$3&gt;=100</f>
        <v/>
      </c>
      <c r="D495">
        <f>IF(Skills!C10=1,60+Inputs!$B$25+Inputs!$B$29,IF(Skills!C10=2,90+Inputs!$B$26+Inputs!$B$29,IF(Skills!C10=3,120+Inputs!$B$27+Inputs!$B$29,MAX(0,(Inputs!$B$3-100)*3)+Inputs!$B$28+Inputs!$B$29)))</f>
        <v/>
      </c>
      <c r="E495">
        <f>INDEX(FactorTable!$B$2:$Y$301, MATCH(ROUND(MIN(300,MAX(1,D495)),0), FactorTable!$A$2:$A$301,0), Skills!M10+1)</f>
        <v/>
      </c>
      <c r="F495">
        <f>IF(Skills!N10=TRUE,(Skills!L10/10)*(E495/1000),Skills!L10/10)+Skills!O10</f>
        <v/>
      </c>
      <c r="G495" t="inlineStr"/>
      <c r="H495" t="inlineStr"/>
      <c r="I495" t="inlineStr">
        <is>
          <t>1</t>
        </is>
      </c>
      <c r="J495" t="inlineStr"/>
      <c r="K495" t="inlineStr"/>
      <c r="L495" t="inlineStr"/>
      <c r="M495" t="inlineStr"/>
      <c r="N495" t="inlineStr"/>
      <c r="O495" t="inlineStr"/>
      <c r="P495" t="inlineStr"/>
      <c r="Q495" t="inlineStr"/>
      <c r="R495" t="inlineStr"/>
      <c r="S495" t="inlineStr"/>
      <c r="T495" t="inlineStr"/>
      <c r="V495" t="inlineStr"/>
    </row>
    <row r="496">
      <c r="A496">
        <f>Skills!A11</f>
        <v/>
      </c>
      <c r="B496">
        <f>Skills!B11</f>
        <v/>
      </c>
      <c r="C496">
        <f>Inputs!$B$3&gt;=60</f>
        <v/>
      </c>
      <c r="D496">
        <f>IF(Skills!C11=1,60+Inputs!$B$25+Inputs!$B$29,IF(Skills!C11=2,90+Inputs!$B$26+Inputs!$B$29,IF(Skills!C11=3,120+Inputs!$B$27+Inputs!$B$29,MAX(0,(Inputs!$B$3-100)*3)+Inputs!$B$28+Inputs!$B$29)))</f>
        <v/>
      </c>
      <c r="E496">
        <f>INDEX(FactorTable!$B$2:$Y$301, MATCH(ROUND(MIN(300,MAX(1,D496)),0), FactorTable!$A$2:$A$301,0), Skills!M11+1)</f>
        <v/>
      </c>
      <c r="F496">
        <f>IF(Skills!N11=TRUE,(Skills!L11/10)*(E496/1000),Skills!L11/10)+Skills!O11</f>
        <v/>
      </c>
      <c r="G496">
        <f>Skills!G11*IF(Skills!H11&gt;0,Skills!I11/Skills!H11,1)</f>
        <v/>
      </c>
      <c r="H496">
        <f>1-(1-Skills!J11/100)^Skills!K11</f>
        <v/>
      </c>
      <c r="I496" t="inlineStr">
        <is>
          <t>1</t>
        </is>
      </c>
      <c r="J496">
        <f>((Inputs!$B$6*(1+Inputs!$B$7/100))+(((Inputs!$B$12*(1+Inputs!$B$13/100))-(Inputs!$B$12*(1+Inputs!$B$13/100)))+0.25*(Inputs!$B$14-Inputs!$B$14))*(1+Inputs!$B$7/100))*(F496/100)</f>
        <v/>
      </c>
      <c r="K496">
        <f>J496*(1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497=TRUE,F497,0)/100)*(1+(IF(Skills!A11="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509=TRUE)*(F509-Calc!F24)),((Inputs!$B$23+1)+((C514=TRUE)*(F514-Calc!F29))+(IF(ArtifactsInput!$M$15,CHOOSE(ArtifactsInput!$N$15+1,25,30,35,40,45,50)/100*(Inputs!$B$11-Inputs!$B$11),0))))/100+((Inputs!$B$23+1)+((C514=TRUE)*(F514-Calc!F29))+(IF(ArtifactsInput!$M$15,CHOOSE(ArtifactsInput!$N$15+1,25,30,35,40,45,50)/100*(Inputs!$B$11-Inputs!$B$11),0)))/100)/2</f>
        <v/>
      </c>
      <c r="M496">
        <f>L496*(1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IF(B528=0,0,O496/B528)</f>
        <v/>
      </c>
      <c r="Q496">
        <f>IFERROR(1/(IF(Inputs!$B$38="pvp",15,MAX(0.1,Skills!D11-IF(Skills!E11=TRUE,Inputs!$B$32,0)))*(1-IF(AND(ArtifactsInput!$M$27,Inputs!$B$4="Chapter Hunt"),CHOOSE(ArtifactsInput!$N$27+1,20,24,28,32,36,40),0)/100)),0)</f>
        <v/>
      </c>
      <c r="R496">
        <f>IF(AND(Inputs!$B$38&lt;&gt;"pvp",Inputs!$B$43&gt;0),IF(MAX(0,Inputs!$B$43-B525)&lt;=0,0,(INT(MAX(0,Inputs!$B$43-B525)/(IF(Inputs!$B$38="pvp",15,MAX(0.1,Skills!D11-IF(Skills!E11=TRUE,Inputs!$B$32,0)))*(1-IF(AND(ArtifactsInput!$M$27,Inputs!$B$4="Chapter Hunt"),CHOOSE(ArtifactsInput!$N$27+1,20,24,28,32,36,40),0)/100)))+1)),0)</f>
        <v/>
      </c>
      <c r="S496">
        <f>IFERROR(O496/N496,0)</f>
        <v/>
      </c>
      <c r="T496">
        <f>IF(C496,(H496*N496*IF(AND(Inputs!$B$38&lt;&gt;"pvp",Inputs!$B$43&gt;0),((Skills!G11*((R496-1)*IF(Skills!H11&gt;0,Skills!I11/Skills!H11,1)+IF(Skills!H11&gt;0,MIN(Skills!I11,MAX(0,MAX(0,Inputs!$B$43-B525)-((R496-1)*(IF(Inputs!$B$38="pvp",15,MAX(0.1,Skills!D11-IF(Skills!E11=TRUE,Inputs!$B$32,0)))*(1-IF(AND(ArtifactsInput!$M$27,Inputs!$B$4="Chapter Hunt"),CHOOSE(ArtifactsInput!$N$27+1,20,24,28,32,36,40),0)/100)))))/Skills!H11,1)))/Inputs!$B$43),G496*Q496)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496*(1-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11*((R496-1)*IF(Skills!H11&gt;0,Skills!I11/Skills!H11,1)+IF(Skills!H11&gt;0,MIN(Skills!I11,MAX(0,MAX(0,Inputs!$B$43-B525)-((R496-1)*(IF(Inputs!$B$38="pvp",15,MAX(0.1,Skills!D11-IF(Skills!E11=TRUE,Inputs!$B$32,0)))*(1-IF(AND(ArtifactsInput!$M$27,Inputs!$B$4="Chapter Hunt"),CHOOSE(ArtifactsInput!$N$27+1,20,24,28,32,36,40),0)/100)))))/Skills!H11,1)))/Inputs!$B$43),G496*Q496))*IF(Inputs!$B$38="pvp",1,(1+(Inputs!$B$21+Skills!Q11+(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Skills!A12</f>
        <v/>
      </c>
      <c r="B497">
        <f>Skills!B12</f>
        <v/>
      </c>
      <c r="C497">
        <f>Inputs!$B$3&gt;=110</f>
        <v/>
      </c>
      <c r="D497">
        <f>IF(Skills!C12=1,60+Inputs!$B$25+Inputs!$B$29,IF(Skills!C12=2,90+Inputs!$B$26+Inputs!$B$29,IF(Skills!C12=3,120+Inputs!$B$27+Inputs!$B$29,MAX(0,(Inputs!$B$3-100)*3)+Inputs!$B$28+Inputs!$B$29)))</f>
        <v/>
      </c>
      <c r="E497">
        <f>INDEX(FactorTable!$B$2:$Y$301, MATCH(ROUND(MIN(300,MAX(1,D497)),0), FactorTable!$A$2:$A$301,0), Skills!M12+1)</f>
        <v/>
      </c>
      <c r="F497">
        <f>IF(Skills!N12=TRUE,(Skills!L12/10)*(E497/1000),Skills!L12/10)+Skills!O12</f>
        <v/>
      </c>
      <c r="G497" t="inlineStr"/>
      <c r="H497" t="inlineStr"/>
      <c r="I497" t="inlineStr">
        <is>
          <t>1</t>
        </is>
      </c>
      <c r="J497" t="inlineStr"/>
      <c r="K497" t="inlineStr"/>
      <c r="L497" t="inlineStr"/>
      <c r="M497" t="inlineStr"/>
      <c r="N497" t="inlineStr"/>
      <c r="O497" t="inlineStr"/>
      <c r="P497" t="inlineStr"/>
      <c r="Q497" t="inlineStr"/>
      <c r="R497" t="inlineStr"/>
      <c r="S497" t="inlineStr"/>
      <c r="T497" t="inlineStr"/>
      <c r="V497" t="inlineStr"/>
    </row>
    <row r="498">
      <c r="A498">
        <f>Skills!A13</f>
        <v/>
      </c>
      <c r="B498">
        <f>Skills!B13</f>
        <v/>
      </c>
      <c r="C498">
        <f>Inputs!$B$3&gt;=74</f>
        <v/>
      </c>
      <c r="D498">
        <f>IF(Skills!C13=1,60+Inputs!$B$25+Inputs!$B$29,IF(Skills!C13=2,90+Inputs!$B$26+Inputs!$B$29,IF(Skills!C13=3,120+Inputs!$B$27+Inputs!$B$29,MAX(0,(Inputs!$B$3-100)*3)+Inputs!$B$28+Inputs!$B$29)))</f>
        <v/>
      </c>
      <c r="E498">
        <f>INDEX(FactorTable!$B$2:$Y$301, MATCH(ROUND(MIN(300,MAX(1,D498)),0), FactorTable!$A$2:$A$301,0), Skills!M13+1)</f>
        <v/>
      </c>
      <c r="F498">
        <f>IF(Skills!N13=TRUE,(Skills!L13/10)*(E498/1000),Skills!L13/10)+Skills!O13</f>
        <v/>
      </c>
      <c r="G498">
        <f>Skills!G13*IF(Skills!H13&gt;0,Skills!I13/Skills!H13,1)</f>
        <v/>
      </c>
      <c r="H498">
        <f>1-(1-Skills!J13/100)^Skills!K13</f>
        <v/>
      </c>
      <c r="I498" t="inlineStr">
        <is>
          <t>1</t>
        </is>
      </c>
      <c r="J498" t="inlineStr"/>
      <c r="K498" t="inlineStr"/>
      <c r="L498" t="inlineStr"/>
      <c r="M498" t="inlineStr"/>
      <c r="N498" t="inlineStr"/>
      <c r="O498">
        <f>(1-Summary!$B$11)*T498+Summary!$B$11*V498</f>
        <v/>
      </c>
      <c r="P498">
        <f>IF(B528=0,0,O498/B528)</f>
        <v/>
      </c>
      <c r="Q498" t="n">
        <v>0</v>
      </c>
      <c r="R498" t="n">
        <v>0</v>
      </c>
      <c r="S498">
        <f>IFERROR(O498/N498,0)</f>
        <v/>
      </c>
      <c r="T498" t="n">
        <v>0</v>
      </c>
      <c r="V498" t="n">
        <v>0</v>
      </c>
    </row>
    <row r="499">
      <c r="A499">
        <f>Skills!A14</f>
        <v/>
      </c>
      <c r="B499">
        <f>Skills!B14</f>
        <v/>
      </c>
      <c r="C499">
        <f>Inputs!$B$3&gt;=74</f>
        <v/>
      </c>
      <c r="D499">
        <f>IF(Skills!C14=1,60+Inputs!$B$25+Inputs!$B$29,IF(Skills!C14=2,90+Inputs!$B$26+Inputs!$B$29,IF(Skills!C14=3,120+Inputs!$B$27+Inputs!$B$29,MAX(0,(Inputs!$B$3-100)*3)+Inputs!$B$28+Inputs!$B$29)))</f>
        <v/>
      </c>
      <c r="E499">
        <f>INDEX(FactorTable!$B$2:$Y$301, MATCH(ROUND(MIN(300,MAX(1,D499)),0), FactorTable!$A$2:$A$301,0), Skills!M14+1)</f>
        <v/>
      </c>
      <c r="F499">
        <f>IF(Skills!N14=TRUE,(Skills!L14/10)*(E499/1000),Skills!L14/10)+Skills!O14</f>
        <v/>
      </c>
      <c r="G499">
        <f>Skills!G14*IF(Skills!H14&gt;0,Skills!I14/Skills!H14,1)</f>
        <v/>
      </c>
      <c r="H499">
        <f>1-(1-Skills!J14/100)^Skills!K14</f>
        <v/>
      </c>
      <c r="I499" t="inlineStr">
        <is>
          <t>1</t>
        </is>
      </c>
      <c r="J499" t="inlineStr"/>
      <c r="K499" t="inlineStr"/>
      <c r="L499" t="inlineStr"/>
      <c r="M499" t="inlineStr"/>
      <c r="N499" t="inlineStr"/>
      <c r="O499">
        <f>(1-Summary!$B$11)*T499+Summary!$B$11*V499</f>
        <v/>
      </c>
      <c r="P499">
        <f>IF(B528=0,0,O499/B528)</f>
        <v/>
      </c>
      <c r="Q499" t="n">
        <v>0</v>
      </c>
      <c r="R499" t="n">
        <v>0</v>
      </c>
      <c r="S499">
        <f>IFERROR(O499/N499,0)</f>
        <v/>
      </c>
      <c r="T499" t="n">
        <v>0</v>
      </c>
      <c r="V499" t="n">
        <v>0</v>
      </c>
    </row>
    <row r="500">
      <c r="A500">
        <f>Skills!A15</f>
        <v/>
      </c>
      <c r="B500">
        <f>Skills!B15</f>
        <v/>
      </c>
      <c r="C500">
        <f>Inputs!$B$3&gt;=117</f>
        <v/>
      </c>
      <c r="D500">
        <f>IF(Skills!C15=1,60+Inputs!$B$25+Inputs!$B$29,IF(Skills!C15=2,90+Inputs!$B$26+Inputs!$B$29,IF(Skills!C15=3,120+Inputs!$B$27+Inputs!$B$29,MAX(0,(Inputs!$B$3-100)*3)+Inputs!$B$28+Inputs!$B$29)))</f>
        <v/>
      </c>
      <c r="E500">
        <f>INDEX(FactorTable!$B$2:$Y$301, MATCH(ROUND(MIN(300,MAX(1,D500)),0), FactorTable!$A$2:$A$301,0), Skills!M15+1)</f>
        <v/>
      </c>
      <c r="F500">
        <f>IF(Skills!N15=TRUE,(Skills!L15/10)*(E500/1000),Skills!L15/10)+Skills!O15</f>
        <v/>
      </c>
      <c r="G500">
        <f>Skills!G15*IF(Skills!H15&gt;0,Skills!I15/Skills!H15,1)</f>
        <v/>
      </c>
      <c r="H500">
        <f>1-(1-Skills!J15/100)^Skills!K15</f>
        <v/>
      </c>
      <c r="I500" t="inlineStr">
        <is>
          <t>1</t>
        </is>
      </c>
      <c r="J500" t="inlineStr"/>
      <c r="K500" t="inlineStr"/>
      <c r="L500" t="inlineStr"/>
      <c r="M500" t="inlineStr"/>
      <c r="N500" t="inlineStr"/>
      <c r="O500">
        <f>(1-Summary!$B$11)*T500+Summary!$B$11*V500</f>
        <v/>
      </c>
      <c r="P500">
        <f>IF(B528=0,0,O500/B528)</f>
        <v/>
      </c>
      <c r="Q500">
        <f>IFERROR(1/(IF(Inputs!$B$38="pvp",15,MAX(0.1,Skills!D15-IF(Skills!E15=TRUE,Inputs!$B$32,0)))*(1-IF(AND(ArtifactsInput!$M$27,Inputs!$B$4="Chapter Hunt"),CHOOSE(ArtifactsInput!$N$27+1,20,24,28,32,36,40),0)/100)),0)</f>
        <v/>
      </c>
      <c r="R500">
        <f>IF(AND(Inputs!$B$38&lt;&gt;"pvp",Inputs!$B$43&gt;0),IF(Inputs!$B$43&lt;=0,0,(INT(Inputs!$B$43/(IF(Inputs!$B$38="pvp",15,MAX(0.1,Skills!D15-IF(Skills!E15=TRUE,Inputs!$B$32,0)))*(1-IF(AND(ArtifactsInput!$M$27,Inputs!$B$4="Chapter Hunt"),CHOOSE(ArtifactsInput!$N$27+1,20,24,28,32,36,40),0)/100)))+1)),0)</f>
        <v/>
      </c>
      <c r="S500">
        <f>IFERROR(O500/N500,0)</f>
        <v/>
      </c>
      <c r="T500" t="n">
        <v>0</v>
      </c>
      <c r="V500" t="n">
        <v>0</v>
      </c>
    </row>
    <row r="501">
      <c r="A501">
        <f>Skills!A16</f>
        <v/>
      </c>
      <c r="B501">
        <f>Skills!B16</f>
        <v/>
      </c>
      <c r="C501">
        <f>Inputs!$B$3&gt;=115</f>
        <v/>
      </c>
      <c r="D501">
        <f>IF(Skills!C16=1,60+Inputs!$B$25+Inputs!$B$29,IF(Skills!C16=2,90+Inputs!$B$26+Inputs!$B$29,IF(Skills!C16=3,120+Inputs!$B$27+Inputs!$B$29,MAX(0,(Inputs!$B$3-100)*3)+Inputs!$B$28+Inputs!$B$29)))</f>
        <v/>
      </c>
      <c r="E501">
        <f>INDEX(FactorTable!$B$2:$Y$301, MATCH(ROUND(MIN(300,MAX(1,D501)),0), FactorTable!$A$2:$A$301,0), Skills!M16+1)</f>
        <v/>
      </c>
      <c r="F501">
        <f>IF(Skills!N16=TRUE,(Skills!L16/10)*(E501/1000),Skills!L16/10)+Skills!O16</f>
        <v/>
      </c>
      <c r="G501">
        <f>Skills!G16*IF(Skills!H16&gt;0,Skills!I16/Skills!H16,1)</f>
        <v/>
      </c>
      <c r="H501">
        <f>1-(1-Skills!J16/100)^Skills!K16</f>
        <v/>
      </c>
      <c r="I501" t="inlineStr">
        <is>
          <t>1</t>
        </is>
      </c>
      <c r="J501" t="inlineStr"/>
      <c r="K501" t="inlineStr"/>
      <c r="L501" t="inlineStr"/>
      <c r="M501" t="inlineStr"/>
      <c r="N501" t="inlineStr"/>
      <c r="O501">
        <f>(1-Summary!$B$11)*T501+Summary!$B$11*V501</f>
        <v/>
      </c>
      <c r="P501">
        <f>IF(B528=0,0,O501/B528)</f>
        <v/>
      </c>
      <c r="Q501">
        <f>IFERROR(1/(IF(Inputs!$B$38="pvp",15,MAX(0.1,Skills!D16-IF(Skills!E16=TRUE,Inputs!$B$32,0)))*(1-IF(AND(ArtifactsInput!$M$27,Inputs!$B$4="Chapter Hunt"),CHOOSE(ArtifactsInput!$N$27+1,20,24,28,32,36,40),0)/100)),0)</f>
        <v/>
      </c>
      <c r="R501">
        <f>IF(AND(Inputs!$B$38&lt;&gt;"pvp",Inputs!$B$43&gt;0),IF(Inputs!$B$43&lt;=0,0,(INT(Inputs!$B$43/(IF(Inputs!$B$38="pvp",15,MAX(0.1,Skills!D16-IF(Skills!E16=TRUE,Inputs!$B$32,0)))*(1-IF(AND(ArtifactsInput!$M$27,Inputs!$B$4="Chapter Hunt"),CHOOSE(ArtifactsInput!$N$27+1,20,24,28,32,36,40),0)/100)))+1)),0)</f>
        <v/>
      </c>
      <c r="S501">
        <f>IFERROR(O501/N501,0)</f>
        <v/>
      </c>
      <c r="T501" t="n">
        <v>0</v>
      </c>
      <c r="V501" t="n">
        <v>0</v>
      </c>
    </row>
    <row r="502">
      <c r="A502">
        <f>Skills!A17</f>
        <v/>
      </c>
      <c r="B502">
        <f>Skills!B17</f>
        <v/>
      </c>
      <c r="C502">
        <f>Inputs!$B$3&gt;=66</f>
        <v/>
      </c>
      <c r="D502">
        <f>IF(Skills!C17=1,60+Inputs!$B$25+Inputs!$B$29,IF(Skills!C17=2,90+Inputs!$B$26+Inputs!$B$29,IF(Skills!C17=3,120+Inputs!$B$27+Inputs!$B$29,MAX(0,(Inputs!$B$3-100)*3)+Inputs!$B$28+Inputs!$B$29)))</f>
        <v/>
      </c>
      <c r="E502">
        <f>INDEX(FactorTable!$B$2:$Y$301, MATCH(ROUND(MIN(300,MAX(1,D502)),0), FactorTable!$A$2:$A$301,0), Skills!M17+1)</f>
        <v/>
      </c>
      <c r="F502">
        <f>IF(Skills!N17=TRUE,(Skills!L17/10)*(E502/1000),Skills!L17/10)+Skills!O17</f>
        <v/>
      </c>
      <c r="G502">
        <f>Skills!G17*IF(Skills!H17&gt;0,Skills!I17/Skills!H17,1)</f>
        <v/>
      </c>
      <c r="H502">
        <f>1-(1-Skills!J17/100)^Skills!K17</f>
        <v/>
      </c>
      <c r="I502" t="inlineStr">
        <is>
          <t>1</t>
        </is>
      </c>
      <c r="J502" t="inlineStr"/>
      <c r="K502" t="inlineStr"/>
      <c r="L502" t="inlineStr"/>
      <c r="M502" t="inlineStr"/>
      <c r="N502" t="inlineStr"/>
      <c r="O502">
        <f>(1-Summary!$B$11)*T502+Summary!$B$11*V502</f>
        <v/>
      </c>
      <c r="P502">
        <f>IF(B528=0,0,O502/B528)</f>
        <v/>
      </c>
      <c r="Q502" t="n">
        <v>0</v>
      </c>
      <c r="R502" t="n">
        <v>0</v>
      </c>
      <c r="S502">
        <f>IFERROR(O502/N502,0)</f>
        <v/>
      </c>
      <c r="T502" t="n">
        <v>0</v>
      </c>
      <c r="V502" t="n">
        <v>0</v>
      </c>
    </row>
    <row r="503">
      <c r="A503">
        <f>Skills!A18</f>
        <v/>
      </c>
      <c r="B503">
        <f>Skills!B18</f>
        <v/>
      </c>
      <c r="C503">
        <f>Inputs!$B$3&gt;=72</f>
        <v/>
      </c>
      <c r="D503">
        <f>IF(Skills!C18=1,60+Inputs!$B$25+Inputs!$B$29,IF(Skills!C18=2,90+Inputs!$B$26+Inputs!$B$29,IF(Skills!C18=3,120+Inputs!$B$27+Inputs!$B$29,MAX(0,(Inputs!$B$3-100)*3)+Inputs!$B$28+Inputs!$B$29)))</f>
        <v/>
      </c>
      <c r="E503">
        <f>INDEX(FactorTable!$B$2:$Y$301, MATCH(ROUND(MIN(300,MAX(1,D503)),0), FactorTable!$A$2:$A$301,0), Skills!M18+1)</f>
        <v/>
      </c>
      <c r="F503">
        <f>IF(Skills!N18=TRUE,(Skills!L18/10)*(E503/1000),Skills!L18/10)+Skills!O18</f>
        <v/>
      </c>
      <c r="G503">
        <f>Skills!G18*IF(Skills!H18&gt;0,Skills!I18/Skills!H18,1)</f>
        <v/>
      </c>
      <c r="H503">
        <f>1-(1-Skills!J18/100)^Skills!K18</f>
        <v/>
      </c>
      <c r="I503" t="inlineStr">
        <is>
          <t>1</t>
        </is>
      </c>
      <c r="J503" t="inlineStr"/>
      <c r="K503" t="inlineStr"/>
      <c r="L503" t="inlineStr"/>
      <c r="M503" t="inlineStr"/>
      <c r="N503" t="inlineStr"/>
      <c r="O503">
        <f>(1-Summary!$B$11)*T503+Summary!$B$11*V503</f>
        <v/>
      </c>
      <c r="P503">
        <f>IF(B528=0,0,O503/B528)</f>
        <v/>
      </c>
      <c r="Q503" t="n">
        <v>0</v>
      </c>
      <c r="R503" t="n">
        <v>0</v>
      </c>
      <c r="S503">
        <f>IFERROR(O503/N503,0)</f>
        <v/>
      </c>
      <c r="T503" t="n">
        <v>0</v>
      </c>
      <c r="V503" t="n">
        <v>0</v>
      </c>
    </row>
    <row r="504">
      <c r="A504">
        <f>Skills!A19</f>
        <v/>
      </c>
      <c r="B504">
        <f>Skills!B19</f>
        <v/>
      </c>
      <c r="C504">
        <f>TRUE</f>
        <v/>
      </c>
      <c r="D504">
        <f>IF(Skills!C19=1,60+Inputs!$B$25+Inputs!$B$29,IF(Skills!C19=2,90+Inputs!$B$26+Inputs!$B$29,IF(Skills!C19=3,120+Inputs!$B$27+Inputs!$B$29,MAX(0,(Inputs!$B$3-100)*3)+Inputs!$B$28+Inputs!$B$29)))</f>
        <v/>
      </c>
      <c r="E504">
        <f>INDEX(FactorTable!$B$2:$Y$301, MATCH(ROUND(MIN(300,MAX(1,D504)),0), FactorTable!$A$2:$A$301,0), Skills!M19+1)</f>
        <v/>
      </c>
      <c r="F504">
        <f>IF(Skills!N19=TRUE,(Skills!L19/10)*(E504/1000),Skills!L19/10)+Skills!O19</f>
        <v/>
      </c>
      <c r="G504">
        <f>Skills!G19*IF(Skills!H19&gt;0,Skills!I19/Skills!H19,1)</f>
        <v/>
      </c>
      <c r="H504">
        <f>1-(1-Skills!J19/100)^Skills!K19</f>
        <v/>
      </c>
      <c r="I504" t="inlineStr">
        <is>
          <t>1</t>
        </is>
      </c>
      <c r="J504" t="inlineStr"/>
      <c r="K504" t="inlineStr"/>
      <c r="L504" t="inlineStr"/>
      <c r="M504" t="inlineStr"/>
      <c r="N504" t="inlineStr"/>
      <c r="O504">
        <f>(1-Summary!$B$11)*T504+Summary!$B$11*V504</f>
        <v/>
      </c>
      <c r="P504">
        <f>IF(B528=0,0,O504/B528)</f>
        <v/>
      </c>
      <c r="Q504">
        <f>IFERROR(1/(IF(Inputs!$B$38="pvp",15,MAX(0.1,Skills!D19-IF(Skills!E19=TRUE,Inputs!$B$32,0)))*(1-IF(AND(ArtifactsInput!$M$27,Inputs!$B$4="Chapter Hunt"),CHOOSE(ArtifactsInput!$N$27+1,20,24,28,32,36,40),0)/100)),0)</f>
        <v/>
      </c>
      <c r="R504">
        <f>IF(AND(Inputs!$B$38&lt;&gt;"pvp",Inputs!$B$43&gt;0),IF(Inputs!$B$43&lt;=0,0,(INT(Inputs!$B$43/(IF(Inputs!$B$38="pvp",15,MAX(0.1,Skills!D19-IF(Skills!E19=TRUE,Inputs!$B$32,0)))*(1-IF(AND(ArtifactsInput!$M$27,Inputs!$B$4="Chapter Hunt"),CHOOSE(ArtifactsInput!$N$27+1,20,24,28,32,36,40),0)/100)))+1)),0)</f>
        <v/>
      </c>
      <c r="S504">
        <f>IFERROR(O504/N504,0)</f>
        <v/>
      </c>
      <c r="T504" t="n">
        <v>0</v>
      </c>
      <c r="V504" t="n">
        <v>0</v>
      </c>
    </row>
    <row r="505">
      <c r="A505">
        <f>Skills!A20</f>
        <v/>
      </c>
      <c r="B505">
        <f>Skills!B20</f>
        <v/>
      </c>
      <c r="C505">
        <f>Inputs!$B$3&gt;=15</f>
        <v/>
      </c>
      <c r="D505">
        <f>IF(Skills!C20=1,60+Inputs!$B$25+Inputs!$B$29,IF(Skills!C20=2,90+Inputs!$B$26+Inputs!$B$29,IF(Skills!C20=3,120+Inputs!$B$27+Inputs!$B$29,MAX(0,(Inputs!$B$3-100)*3)+Inputs!$B$28+Inputs!$B$29)))</f>
        <v/>
      </c>
      <c r="E505">
        <f>INDEX(FactorTable!$B$2:$Y$301, MATCH(ROUND(MIN(300,MAX(1,D505)),0), FactorTable!$A$2:$A$301,0), Skills!M20+1)</f>
        <v/>
      </c>
      <c r="F505">
        <f>IF(Skills!N20=TRUE,(Skills!L20/10)*(E505/1000),Skills!L20/10)+Skills!O20</f>
        <v/>
      </c>
      <c r="G505">
        <f>Skills!G20*IF(Skills!H20&gt;0,Skills!I20/Skills!H20,1)</f>
        <v/>
      </c>
      <c r="H505">
        <f>1-(1-Skills!J20/100)^Skills!K20</f>
        <v/>
      </c>
      <c r="I505" t="inlineStr">
        <is>
          <t>1</t>
        </is>
      </c>
      <c r="J505" t="inlineStr"/>
      <c r="K505" t="inlineStr"/>
      <c r="L505" t="inlineStr"/>
      <c r="M505" t="inlineStr"/>
      <c r="N505" t="inlineStr"/>
      <c r="O505">
        <f>(1-Summary!$B$11)*T505+Summary!$B$11*V505</f>
        <v/>
      </c>
      <c r="P505">
        <f>IF(B528=0,0,O505/B528)</f>
        <v/>
      </c>
      <c r="Q505" t="n">
        <v>0</v>
      </c>
      <c r="R505" t="n">
        <v>0</v>
      </c>
      <c r="S505">
        <f>IFERROR(O505/N505,0)</f>
        <v/>
      </c>
      <c r="T505" t="n">
        <v>0</v>
      </c>
      <c r="V505" t="n">
        <v>0</v>
      </c>
    </row>
    <row r="506">
      <c r="A506">
        <f>Skills!A21</f>
        <v/>
      </c>
      <c r="B506">
        <f>Skills!B21</f>
        <v/>
      </c>
      <c r="C506">
        <f>Inputs!$B$3&gt;=10</f>
        <v/>
      </c>
      <c r="D506">
        <f>IF(Skills!C21=1,60+Inputs!$B$25+Inputs!$B$29,IF(Skills!C21=2,90+Inputs!$B$26+Inputs!$B$29,IF(Skills!C21=3,120+Inputs!$B$27+Inputs!$B$29,MAX(0,(Inputs!$B$3-100)*3)+Inputs!$B$28+Inputs!$B$29)))</f>
        <v/>
      </c>
      <c r="E506">
        <f>INDEX(FactorTable!$B$2:$Y$301, MATCH(ROUND(MIN(300,MAX(1,D506)),0), FactorTable!$A$2:$A$301,0), Skills!M21+1)</f>
        <v/>
      </c>
      <c r="F506">
        <f>IF(Skills!N21=TRUE,(Skills!L21/10)*(E506/1000),Skills!L21/10)+Skills!O21</f>
        <v/>
      </c>
      <c r="G506">
        <f>Skills!G21*IF(Skills!H21&gt;0,Skills!I21/Skills!H21,1)</f>
        <v/>
      </c>
      <c r="H506">
        <f>1-(1-Skills!J21/100)^Skills!K21</f>
        <v/>
      </c>
      <c r="I506" t="inlineStr">
        <is>
          <t>1</t>
        </is>
      </c>
      <c r="J506" t="inlineStr"/>
      <c r="K506" t="inlineStr"/>
      <c r="L506" t="inlineStr"/>
      <c r="M506" t="inlineStr"/>
      <c r="N506" t="inlineStr"/>
      <c r="O506">
        <f>(1-Summary!$B$11)*T506+Summary!$B$11*V506</f>
        <v/>
      </c>
      <c r="P506">
        <f>IF(B528=0,0,O506/B528)</f>
        <v/>
      </c>
      <c r="Q506" t="n">
        <v>0</v>
      </c>
      <c r="R506" t="n">
        <v>0</v>
      </c>
      <c r="S506">
        <f>IFERROR(O506/N506,0)</f>
        <v/>
      </c>
      <c r="T506" t="n">
        <v>0</v>
      </c>
      <c r="V506" t="n">
        <v>0</v>
      </c>
    </row>
    <row r="507">
      <c r="A507">
        <f>Skills!A22</f>
        <v/>
      </c>
      <c r="B507">
        <f>Skills!B22</f>
        <v/>
      </c>
      <c r="C507">
        <f>Inputs!$B$3&gt;=33</f>
        <v/>
      </c>
      <c r="D507">
        <f>IF(Skills!C22=1,60+Inputs!$B$25+Inputs!$B$29,IF(Skills!C22=2,90+Inputs!$B$26+Inputs!$B$29,IF(Skills!C22=3,120+Inputs!$B$27+Inputs!$B$29,MAX(0,(Inputs!$B$3-100)*3)+Inputs!$B$28+Inputs!$B$29)))</f>
        <v/>
      </c>
      <c r="E507">
        <f>INDEX(FactorTable!$B$2:$Y$301, MATCH(ROUND(MIN(300,MAX(1,D507)),0), FactorTable!$A$2:$A$301,0), Skills!M22+1)</f>
        <v/>
      </c>
      <c r="F507">
        <f>IF(Skills!N22=TRUE,(Skills!L22/10)*(E507/1000),Skills!L22/10)+Skills!O22</f>
        <v/>
      </c>
      <c r="G507">
        <f>Skills!G22*IF(Skills!H22&gt;0,Skills!I22/Skills!H22,1)</f>
        <v/>
      </c>
      <c r="H507">
        <f>1-(1-Skills!J22/100)^Skills!K22</f>
        <v/>
      </c>
      <c r="I507" t="inlineStr">
        <is>
          <t>1</t>
        </is>
      </c>
      <c r="J507" t="inlineStr"/>
      <c r="K507" t="inlineStr"/>
      <c r="L507" t="inlineStr"/>
      <c r="M507" t="inlineStr"/>
      <c r="N507" t="inlineStr"/>
      <c r="O507">
        <f>(1-Summary!$B$11)*T507+Summary!$B$11*V507</f>
        <v/>
      </c>
      <c r="P507">
        <f>IF(B528=0,0,O507/B528)</f>
        <v/>
      </c>
      <c r="Q507" t="n">
        <v>0</v>
      </c>
      <c r="R507" t="n">
        <v>0</v>
      </c>
      <c r="S507">
        <f>IFERROR(O507/N507,0)</f>
        <v/>
      </c>
      <c r="T507" t="n">
        <v>0</v>
      </c>
      <c r="V507" t="n">
        <v>0</v>
      </c>
    </row>
    <row r="508">
      <c r="A508">
        <f>Skills!A23</f>
        <v/>
      </c>
      <c r="B508">
        <f>Skills!B23</f>
        <v/>
      </c>
      <c r="C508">
        <f>Inputs!$B$3&gt;=38</f>
        <v/>
      </c>
      <c r="D508">
        <f>IF(Skills!C23=1,60+Inputs!$B$25+Inputs!$B$29,IF(Skills!C23=2,90+Inputs!$B$26+Inputs!$B$29,IF(Skills!C23=3,120+Inputs!$B$27+Inputs!$B$29,MAX(0,(Inputs!$B$3-100)*3)+Inputs!$B$28+Inputs!$B$29)))</f>
        <v/>
      </c>
      <c r="E508">
        <f>INDEX(FactorTable!$B$2:$Y$301, MATCH(ROUND(MIN(300,MAX(1,D508)),0), FactorTable!$A$2:$A$301,0), Skills!M23+1)</f>
        <v/>
      </c>
      <c r="F508">
        <f>IF(Skills!N23=TRUE,(Skills!L23/10)*(E508/1000),Skills!L23/10)+Skills!O23</f>
        <v/>
      </c>
      <c r="G508">
        <f>Skills!G23*IF(Skills!H23&gt;0,Skills!I23/Skills!H23,1)</f>
        <v/>
      </c>
      <c r="H508">
        <f>1-(1-Skills!J23/100)^Skills!K23</f>
        <v/>
      </c>
      <c r="I508" t="inlineStr">
        <is>
          <t>1</t>
        </is>
      </c>
      <c r="J508" t="inlineStr"/>
      <c r="K508" t="inlineStr"/>
      <c r="L508" t="inlineStr"/>
      <c r="M508" t="inlineStr"/>
      <c r="N508" t="inlineStr"/>
      <c r="O508">
        <f>(1-Summary!$B$11)*T508+Summary!$B$11*V508</f>
        <v/>
      </c>
      <c r="P508">
        <f>IF(B528=0,0,O508/B528)</f>
        <v/>
      </c>
      <c r="Q508" t="n">
        <v>0</v>
      </c>
      <c r="R508" t="n">
        <v>0</v>
      </c>
      <c r="S508">
        <f>IFERROR(O508/N508,0)</f>
        <v/>
      </c>
      <c r="T508" t="n">
        <v>0</v>
      </c>
      <c r="V508" t="n">
        <v>0</v>
      </c>
    </row>
    <row r="509">
      <c r="A509">
        <f>Skills!A24</f>
        <v/>
      </c>
      <c r="B509">
        <f>Skills!B24</f>
        <v/>
      </c>
      <c r="C509">
        <f>Inputs!$B$3&gt;=43</f>
        <v/>
      </c>
      <c r="D509">
        <f>IF(Skills!C24=1,60+Inputs!$B$25+Inputs!$B$29,IF(Skills!C24=2,90+Inputs!$B$26+Inputs!$B$29,IF(Skills!C24=3,120+Inputs!$B$27+Inputs!$B$29,MAX(0,(Inputs!$B$3-100)*3)+Inputs!$B$28+Inputs!$B$29)))</f>
        <v/>
      </c>
      <c r="E509">
        <f>INDEX(FactorTable!$B$2:$Y$301, MATCH(ROUND(MIN(300,MAX(1,D509)),0), FactorTable!$A$2:$A$301,0), Skills!M24+1)</f>
        <v/>
      </c>
      <c r="F509">
        <f>IF(Skills!N24=TRUE,(Skills!L24/10)*(E509/1000),Skills!L24/10)+Skills!O24</f>
        <v/>
      </c>
      <c r="G509">
        <f>Skills!G24*IF(Skills!H24&gt;0,Skills!I24/Skills!H24,1)</f>
        <v/>
      </c>
      <c r="H509">
        <f>1-(1-Skills!J24/100)^Skills!K24</f>
        <v/>
      </c>
      <c r="I509" t="inlineStr">
        <is>
          <t>1</t>
        </is>
      </c>
      <c r="J509" t="inlineStr"/>
      <c r="K509" t="inlineStr"/>
      <c r="L509" t="inlineStr"/>
      <c r="M509" t="inlineStr"/>
      <c r="N509" t="inlineStr"/>
      <c r="O509">
        <f>(1-Summary!$B$11)*T509+Summary!$B$11*V509</f>
        <v/>
      </c>
      <c r="P509">
        <f>IF(B528=0,0,O509/B528)</f>
        <v/>
      </c>
      <c r="Q509" t="n">
        <v>0</v>
      </c>
      <c r="R509" t="n">
        <v>0</v>
      </c>
      <c r="S509">
        <f>IFERROR(O509/N509,0)</f>
        <v/>
      </c>
      <c r="T509" t="n">
        <v>0</v>
      </c>
      <c r="V509" t="n">
        <v>0</v>
      </c>
    </row>
    <row r="510">
      <c r="A510">
        <f>Skills!A25</f>
        <v/>
      </c>
      <c r="B510">
        <f>Skills!B25</f>
        <v/>
      </c>
      <c r="C510">
        <f>Inputs!$B$3&gt;=75</f>
        <v/>
      </c>
      <c r="D510">
        <f>IF(Skills!C25=1,60+Inputs!$B$25+Inputs!$B$29,IF(Skills!C25=2,90+Inputs!$B$26+Inputs!$B$29,IF(Skills!C25=3,120+Inputs!$B$27+Inputs!$B$29,MAX(0,(Inputs!$B$3-100)*3)+Inputs!$B$28+Inputs!$B$29)))</f>
        <v/>
      </c>
      <c r="E510">
        <f>INDEX(FactorTable!$B$2:$Y$301, MATCH(ROUND(MIN(300,MAX(1,D510)),0), FactorTable!$A$2:$A$301,0), Skills!M25+1)</f>
        <v/>
      </c>
      <c r="F510">
        <f>IF(Skills!N25=TRUE,(Skills!L25/10)*(E510/1000),Skills!L25/10)+Skills!O25</f>
        <v/>
      </c>
      <c r="G510">
        <f>Skills!G25*IF(Skills!H25&gt;0,Skills!I25/Skills!H25,1)</f>
        <v/>
      </c>
      <c r="H510">
        <f>1-(1-Skills!J25/100)^Skills!K25</f>
        <v/>
      </c>
      <c r="I510" t="inlineStr">
        <is>
          <t>1</t>
        </is>
      </c>
      <c r="J510" t="inlineStr"/>
      <c r="K510" t="inlineStr"/>
      <c r="L510" t="inlineStr"/>
      <c r="M510" t="inlineStr"/>
      <c r="N510" t="inlineStr"/>
      <c r="O510">
        <f>(1-Summary!$B$11)*T510+Summary!$B$11*V510</f>
        <v/>
      </c>
      <c r="P510">
        <f>IF(B528=0,0,O510/B528)</f>
        <v/>
      </c>
      <c r="Q510" t="n">
        <v>0</v>
      </c>
      <c r="R510" t="n">
        <v>0</v>
      </c>
      <c r="S510">
        <f>IFERROR(O510/N510,0)</f>
        <v/>
      </c>
      <c r="T510" t="n">
        <v>0</v>
      </c>
      <c r="V510" t="n">
        <v>0</v>
      </c>
    </row>
    <row r="511">
      <c r="A511">
        <f>Skills!A26</f>
        <v/>
      </c>
      <c r="B511">
        <f>Skills!B26</f>
        <v/>
      </c>
      <c r="C511">
        <f>Inputs!$B$3&gt;=125</f>
        <v/>
      </c>
      <c r="D511">
        <f>IF(Skills!C26=1,60+Inputs!$B$25+Inputs!$B$29,IF(Skills!C26=2,90+Inputs!$B$26+Inputs!$B$29,IF(Skills!C26=3,120+Inputs!$B$27+Inputs!$B$29,MAX(0,(Inputs!$B$3-100)*3)+Inputs!$B$28+Inputs!$B$29)))</f>
        <v/>
      </c>
      <c r="E511">
        <f>INDEX(FactorTable!$B$2:$Y$301, MATCH(ROUND(MIN(300,MAX(1,D511)),0), FactorTable!$A$2:$A$301,0), Skills!M26+1)</f>
        <v/>
      </c>
      <c r="F511">
        <f>IF(Skills!N26=TRUE,(Skills!L26/10)*(E511/1000),Skills!L26/10)+Skills!O26</f>
        <v/>
      </c>
      <c r="G511">
        <f>Skills!G26*IF(Skills!H26&gt;0,Skills!I26/Skills!H26,1)</f>
        <v/>
      </c>
      <c r="H511">
        <f>1-(1-Skills!J26/100)^Skills!K26</f>
        <v/>
      </c>
      <c r="I511" t="inlineStr">
        <is>
          <t>1</t>
        </is>
      </c>
      <c r="J511" t="inlineStr"/>
      <c r="K511" t="inlineStr"/>
      <c r="L511" t="inlineStr"/>
      <c r="M511" t="inlineStr"/>
      <c r="N511" t="inlineStr"/>
      <c r="O511">
        <f>(1-Summary!$B$11)*T511+Summary!$B$11*V511</f>
        <v/>
      </c>
      <c r="P511">
        <f>IF(B528=0,0,O511/B528)</f>
        <v/>
      </c>
      <c r="Q511" t="n">
        <v>0</v>
      </c>
      <c r="R511" t="n">
        <v>0</v>
      </c>
      <c r="S511">
        <f>IFERROR(O511/N511,0)</f>
        <v/>
      </c>
      <c r="T511" t="n">
        <v>0</v>
      </c>
      <c r="V511" t="n">
        <v>0</v>
      </c>
    </row>
    <row r="512">
      <c r="A512">
        <f>Skills!A27</f>
        <v/>
      </c>
      <c r="B512">
        <f>Skills!B27</f>
        <v/>
      </c>
      <c r="C512">
        <f>Inputs!$B$3&gt;=125</f>
        <v/>
      </c>
      <c r="D512">
        <f>IF(Skills!C27=1,60+Inputs!$B$25+Inputs!$B$29,IF(Skills!C27=2,90+Inputs!$B$26+Inputs!$B$29,IF(Skills!C27=3,120+Inputs!$B$27+Inputs!$B$29,MAX(0,(Inputs!$B$3-100)*3)+Inputs!$B$28+Inputs!$B$29)))</f>
        <v/>
      </c>
      <c r="E512">
        <f>INDEX(FactorTable!$B$2:$Y$301, MATCH(ROUND(MIN(300,MAX(1,D512)),0), FactorTable!$A$2:$A$301,0), Skills!M27+1)</f>
        <v/>
      </c>
      <c r="F512">
        <f>IF(Skills!N27=TRUE,(Skills!L27/10)*(E512/1000),Skills!L27/10)+Skills!O27</f>
        <v/>
      </c>
      <c r="G512">
        <f>Skills!G27*IF(Skills!H27&gt;0,Skills!I27/Skills!H27,1)</f>
        <v/>
      </c>
      <c r="H512">
        <f>1-(1-Skills!J27/100)^Skills!K27</f>
        <v/>
      </c>
      <c r="I512" t="inlineStr">
        <is>
          <t>1</t>
        </is>
      </c>
      <c r="J512" t="inlineStr"/>
      <c r="K512" t="inlineStr"/>
      <c r="L512" t="inlineStr"/>
      <c r="M512" t="inlineStr"/>
      <c r="N512" t="inlineStr"/>
      <c r="O512">
        <f>(1-Summary!$B$11)*T512+Summary!$B$11*V512</f>
        <v/>
      </c>
      <c r="P512">
        <f>IF(B528=0,0,O512/B528)</f>
        <v/>
      </c>
      <c r="Q512" t="n">
        <v>0</v>
      </c>
      <c r="R512" t="n">
        <v>0</v>
      </c>
      <c r="S512">
        <f>IFERROR(O512/N512,0)</f>
        <v/>
      </c>
      <c r="T512" t="n">
        <v>0</v>
      </c>
      <c r="V512" t="n">
        <v>0</v>
      </c>
    </row>
    <row r="513">
      <c r="A513">
        <f>Skills!A28</f>
        <v/>
      </c>
      <c r="B513">
        <f>Skills!B28</f>
        <v/>
      </c>
      <c r="C513">
        <f>Inputs!$B$3&gt;=120</f>
        <v/>
      </c>
      <c r="D513">
        <f>IF(Skills!C28=1,60+Inputs!$B$25+Inputs!$B$29,IF(Skills!C28=2,90+Inputs!$B$26+Inputs!$B$29,IF(Skills!C28=3,120+Inputs!$B$27+Inputs!$B$29,MAX(0,(Inputs!$B$3-100)*3)+Inputs!$B$28+Inputs!$B$29)))</f>
        <v/>
      </c>
      <c r="E513">
        <f>INDEX(FactorTable!$B$2:$Y$301, MATCH(ROUND(MIN(300,MAX(1,D513)),0), FactorTable!$A$2:$A$301,0), Skills!M28+1)</f>
        <v/>
      </c>
      <c r="F513">
        <f>IF(Skills!N28=TRUE,(Skills!L28/10)*(E513/1000),Skills!L28/10)+Skills!O28</f>
        <v/>
      </c>
      <c r="G513">
        <f>Skills!G28*IF(Skills!H28&gt;0,Skills!I28/Skills!H28,1)</f>
        <v/>
      </c>
      <c r="H513">
        <f>1-(1-Skills!J28/100)^Skills!K28</f>
        <v/>
      </c>
      <c r="I513" t="inlineStr">
        <is>
          <t>1</t>
        </is>
      </c>
      <c r="J513" t="inlineStr"/>
      <c r="K513" t="inlineStr"/>
      <c r="L513" t="inlineStr"/>
      <c r="M513" t="inlineStr"/>
      <c r="N513" t="inlineStr"/>
      <c r="O513">
        <f>(1-Summary!$B$11)*T513+Summary!$B$11*V513</f>
        <v/>
      </c>
      <c r="P513">
        <f>IF(B528=0,0,O513/B528)</f>
        <v/>
      </c>
      <c r="Q513" t="n">
        <v>0</v>
      </c>
      <c r="R513" t="n">
        <v>0</v>
      </c>
      <c r="S513">
        <f>IFERROR(O513/N513,0)</f>
        <v/>
      </c>
      <c r="T513" t="n">
        <v>0</v>
      </c>
      <c r="V513" t="n">
        <v>0</v>
      </c>
    </row>
    <row r="514">
      <c r="A514">
        <f>Skills!A29</f>
        <v/>
      </c>
      <c r="B514">
        <f>Skills!B29</f>
        <v/>
      </c>
      <c r="C514">
        <f>Inputs!$B$3&gt;=120</f>
        <v/>
      </c>
      <c r="D514">
        <f>IF(Skills!C29=1,60+Inputs!$B$25+Inputs!$B$29,IF(Skills!C29=2,90+Inputs!$B$26+Inputs!$B$29,IF(Skills!C29=3,120+Inputs!$B$27+Inputs!$B$29,MAX(0,(Inputs!$B$3-100)*3)+Inputs!$B$28+Inputs!$B$29)))</f>
        <v/>
      </c>
      <c r="E514">
        <f>INDEX(FactorTable!$B$2:$Y$301, MATCH(ROUND(MIN(300,MAX(1,D514)),0), FactorTable!$A$2:$A$301,0), Skills!M29+1)</f>
        <v/>
      </c>
      <c r="F514">
        <f>IF(Skills!N29=TRUE,(Skills!L29/10)*(E514/1000),Skills!L29/10)+Skills!O29</f>
        <v/>
      </c>
      <c r="G514">
        <f>Skills!G29*IF(Skills!H29&gt;0,Skills!I29/Skills!H29,1)</f>
        <v/>
      </c>
      <c r="H514">
        <f>1-(1-Skills!J29/100)^Skills!K29</f>
        <v/>
      </c>
      <c r="I514" t="inlineStr">
        <is>
          <t>1</t>
        </is>
      </c>
      <c r="J514" t="inlineStr"/>
      <c r="K514" t="inlineStr"/>
      <c r="L514" t="inlineStr"/>
      <c r="M514" t="inlineStr"/>
      <c r="N514" t="inlineStr"/>
      <c r="O514">
        <f>(1-Summary!$B$11)*T514+Summary!$B$11*V514</f>
        <v/>
      </c>
      <c r="P514">
        <f>IF(B528=0,0,O514/B528)</f>
        <v/>
      </c>
      <c r="Q514" t="n">
        <v>0</v>
      </c>
      <c r="R514" t="n">
        <v>0</v>
      </c>
      <c r="S514">
        <f>IFERROR(O514/N514,0)</f>
        <v/>
      </c>
      <c r="T514" t="n">
        <v>0</v>
      </c>
      <c r="V514" t="n">
        <v>0</v>
      </c>
    </row>
    <row r="515">
      <c r="A515">
        <f>Skills!A30</f>
        <v/>
      </c>
      <c r="B515">
        <f>Skills!B30</f>
        <v/>
      </c>
      <c r="C515">
        <f>Inputs!$B$3&gt;=45</f>
        <v/>
      </c>
      <c r="D515">
        <f>IF(Skills!C30=1,60+Inputs!$B$25+Inputs!$B$29,IF(Skills!C30=2,90+Inputs!$B$26+Inputs!$B$29,IF(Skills!C30=3,120+Inputs!$B$27+Inputs!$B$29,MAX(0,(Inputs!$B$3-100)*3)+Inputs!$B$28+Inputs!$B$29)))</f>
        <v/>
      </c>
      <c r="E515">
        <f>INDEX(FactorTable!$B$2:$Y$301, MATCH(ROUND(MIN(300,MAX(1,D515)),0), FactorTable!$A$2:$A$301,0), Skills!M30+1)</f>
        <v/>
      </c>
      <c r="F515">
        <f>IF(Skills!N30=TRUE,(Skills!L30/10)*(E515/1000),Skills!L30/10)+Skills!O30</f>
        <v/>
      </c>
      <c r="G515">
        <f>Skills!G30*IF(Skills!H30&gt;0,Skills!I30/Skills!H30,1)</f>
        <v/>
      </c>
      <c r="H515">
        <f>1-(1-Skills!J30/100)^Skills!K30</f>
        <v/>
      </c>
      <c r="I515" t="inlineStr">
        <is>
          <t>1</t>
        </is>
      </c>
      <c r="J515" t="inlineStr"/>
      <c r="K515" t="inlineStr"/>
      <c r="L515" t="inlineStr"/>
      <c r="M515" t="inlineStr"/>
      <c r="N515" t="inlineStr"/>
      <c r="O515">
        <f>(1-Summary!$B$11)*T515+Summary!$B$11*V515</f>
        <v/>
      </c>
      <c r="P515">
        <f>IF(B528=0,0,O515/B528)</f>
        <v/>
      </c>
      <c r="Q515" t="n">
        <v>0</v>
      </c>
      <c r="R515" t="n">
        <v>0</v>
      </c>
      <c r="S515">
        <f>IFERROR(O515/N515,0)</f>
        <v/>
      </c>
      <c r="T515" t="n">
        <v>0</v>
      </c>
      <c r="V515" t="n">
        <v>0</v>
      </c>
    </row>
    <row r="517">
      <c r="A517" t="inlineStr">
        <is>
          <t>Attack% Bucket Multiplier</t>
        </is>
      </c>
      <c r="B517">
        <f>(1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8">
      <c r="A518" t="inlineStr">
        <is>
          <t>Global Crit Rate Bonus %</t>
        </is>
      </c>
      <c r="B518">
        <f>(C501=TRUE)*20*IF(AND(Inputs!$B$38&lt;&gt;"pvp",Inputs!$B$43&gt;0),(((R501-1)*(Skills!T16*(1+Inputs!$B$34/100))+MIN((Skills!T16*(1+Inputs!$B$34/100)),MAX(0,Inputs!$B$43-((R501-1)*Skills!D16))))/Inputs!$B$43),IF(Inputs!$B$38="pvp",MIN((Skills!T16*(1+Inputs!$B$34/100)),15)/15,(Skills!T16*(1+Inputs!$B$34/100))/Skills!D16))</f>
        <v/>
      </c>
    </row>
    <row r="519">
      <c r="A519" t="inlineStr">
        <is>
          <t>Attack Speed Buff Bonus %</t>
        </is>
      </c>
      <c r="B519">
        <f>((C504=TRUE)*F504*IF(AND(Inputs!$B$38&lt;&gt;"pvp",Inputs!$B$43&gt;0),(((R504-1)*(Skills!T19*(1+Inputs!$B$34/100))+MIN((Skills!T19*(1+Inputs!$B$34/100)),MAX(0,Inputs!$B$43-((R504-1)*Skills!D19))))/Inputs!$B$43),IF(Inputs!$B$38="pvp",MIN((Skills!T19*(1+Inputs!$B$34/100)),15)/15,(Skills!T19*(1+Inputs!$B$34/100))/Skills!D19)))</f>
        <v/>
      </c>
    </row>
    <row r="520">
      <c r="A520" t="inlineStr">
        <is>
          <t>Actions Per Second</t>
        </is>
      </c>
      <c r="B520">
        <f>1+MIN(150,150*(1-(1-(Inputs!$B$11+((C506=TRUE)*(F506-Calc!F21))+((C507=TRUE)*(F507-Calc!F22)))/150)*(1-B519/150)))/100</f>
        <v/>
      </c>
    </row>
    <row r="521">
      <c r="A521" t="inlineStr">
        <is>
          <t>Skill + Buff Cast Rate</t>
        </is>
      </c>
      <c r="B521">
        <f>IF(AND(Inputs!$B$38&lt;&gt;"pvp",Inputs!$B$43&gt;0),SUMPRODUCT((Skills!E2:E30=TRUE)*(C487:C515=TRUE)*R487:R515*Skills!F2:F30)/Inputs!$B$43,SUMPRODUCT((Skills!E2:E30=TRUE)*(C487:C515=TRUE)*Q487:Q515*Skills!F2:F30))</f>
        <v/>
      </c>
    </row>
    <row r="522">
      <c r="A522" t="inlineStr">
        <is>
          <t>Arrow Stream Casts Per Second</t>
        </is>
      </c>
      <c r="B522">
        <f>MAX(0,B520-B521)</f>
        <v/>
      </c>
    </row>
    <row r="523">
      <c r="A523" t="inlineStr">
        <is>
          <t>Global Critical Damage Bonus % (Sharp Eyes + Concentration)</t>
        </is>
      </c>
      <c r="B523">
        <f>(C501=TRUE)*F501*IF(AND(Inputs!$B$38&lt;&gt;"pvp",Inputs!$B$43&gt;0),(((R501-1)*(Skills!T16*(1+Inputs!$B$34/100))+MIN((Skills!T16*(1+Inputs!$B$34/100)),MAX(0,Inputs!$B$43-((R501-1)*Skills!D16))))/Inputs!$B$43),IF(Inputs!$B$38="pvp",MIN((Skills!T16*(1+Inputs!$B$34/100)),15)/15,(Skills!T16*(1+Inputs!$B$34/100))/Skills!D16))+(C502=TRUE)*30</f>
        <v/>
      </c>
    </row>
    <row r="524">
      <c r="A524" t="inlineStr">
        <is>
          <t>Global Final Damage Bonus % (Mortal Blow)</t>
        </is>
      </c>
      <c r="B524">
        <f>(C503=TRUE)*F503</f>
        <v/>
      </c>
    </row>
    <row r="525">
      <c r="A525" t="inlineStr">
        <is>
          <t>Buff-Casting Startup Delay (s, fixed-duration only)</t>
        </is>
      </c>
      <c r="B525">
        <f>IF(AND(Inputs!$B$38&lt;&gt;"pvp",Inputs!$B$43&gt;0),SUMPRODUCT((Skills!T2:T30&gt;0)*(Skills!E2:E30=TRUE)*(C487:C515=TRUE))/B520,0)</f>
        <v/>
      </c>
    </row>
    <row r="526">
      <c r="A526" t="inlineStr">
        <is>
          <t>Boss-Only Total DPS (this block's swept value)</t>
        </is>
      </c>
      <c r="B526">
        <f>SUM(T487:T515)</f>
        <v/>
      </c>
    </row>
    <row r="527">
      <c r="A527" t="inlineStr">
        <is>
          <t>Normal-Only Total DPS (this block's swept value)</t>
        </is>
      </c>
      <c r="B527">
        <f>SUM(V487:V515)</f>
        <v/>
      </c>
    </row>
    <row r="528">
      <c r="A528" s="6" t="inlineStr">
        <is>
          <t>TOTAL DPS</t>
        </is>
      </c>
      <c r="B528" s="6">
        <f>SUM(O487:O515)</f>
        <v/>
      </c>
    </row>
    <row r="531">
      <c r="A531" s="6" t="inlineStr">
        <is>
          <t>Stat: CRIT_RATE %</t>
        </is>
      </c>
    </row>
    <row r="532">
      <c r="A532" s="5" t="inlineStr">
        <is>
          <t>Key</t>
        </is>
      </c>
      <c r="B532" s="5" t="inlineStr">
        <is>
          <t>Name</t>
        </is>
      </c>
      <c r="C532" s="5" t="inlineStr">
        <is>
          <t>Unlocked</t>
        </is>
      </c>
      <c r="D532" s="5" t="inlineStr">
        <is>
          <t>InputLevel</t>
        </is>
      </c>
      <c r="E532" s="5" t="inlineStr">
        <is>
          <t>Factor</t>
        </is>
      </c>
      <c r="F532" s="5" t="inlineStr">
        <is>
          <t>CoefficientPercent</t>
        </is>
      </c>
      <c r="G532" s="5" t="inlineStr">
        <is>
          <t>EffectiveHits</t>
        </is>
      </c>
      <c r="H532" s="5" t="inlineStr">
        <is>
          <t>ProcProbability</t>
        </is>
      </c>
      <c r="I532" s="5" t="inlineStr">
        <is>
          <t>MapleHeroMultiplier</t>
        </is>
      </c>
      <c r="J532" s="5" t="inlineStr">
        <is>
          <t>BaseDamage</t>
        </is>
      </c>
      <c r="K532" s="5" t="inlineStr">
        <is>
          <t>BaseHitDamage</t>
        </is>
      </c>
      <c r="L532" s="5" t="inlineStr">
        <is>
          <t>NonCritAvg</t>
        </is>
      </c>
      <c r="M532" s="5" t="inlineStr">
        <is>
          <t>CritAvg</t>
        </is>
      </c>
      <c r="N532" s="5" t="inlineStr">
        <is>
          <t>ExpectedDamage(perHit)</t>
        </is>
      </c>
      <c r="O532" s="5" t="inlineStr">
        <is>
          <t>DPS</t>
        </is>
      </c>
      <c r="P532" s="5" t="inlineStr">
        <is>
          <t>% of Total</t>
        </is>
      </c>
      <c r="Q532" s="5" t="inlineStr">
        <is>
          <t>InvCooldown</t>
        </is>
      </c>
      <c r="R532" s="5" t="inlineStr">
        <is>
          <t>CastsInFight</t>
        </is>
      </c>
      <c r="S532" s="5" t="inlineStr">
        <is>
          <t>HitRate(perSec)</t>
        </is>
      </c>
      <c r="U532" t="inlineStr">
        <is>
          <t>helpers</t>
        </is>
      </c>
    </row>
    <row r="533">
      <c r="A533">
        <f>Skills!A2</f>
        <v/>
      </c>
      <c r="B533">
        <f>Skills!B2</f>
        <v/>
      </c>
      <c r="C533">
        <f>Inputs!$B$3&gt;=100</f>
        <v/>
      </c>
      <c r="D533" t="inlineStr"/>
      <c r="E533" t="inlineStr"/>
      <c r="F533">
        <f>U535+Skills!O2</f>
        <v/>
      </c>
      <c r="G533">
        <f>Skills!G2*IF(Skills!H2&gt;0,Skills!I2/Skills!H2,1)</f>
        <v/>
      </c>
      <c r="H533">
        <f>1-(1-Skills!J2/100)^Skills!K2</f>
        <v/>
      </c>
      <c r="I533" t="inlineStr">
        <is>
          <t>1</t>
        </is>
      </c>
      <c r="J533">
        <f>((Inputs!$B$6*(1+Inputs!$B$7/100))+(((Inputs!$B$12*(1+Inputs!$B$13/100))-(Inputs!$B$12*(1+Inputs!$B$13/100)))+0.25*(Inputs!$B$14-Inputs!$B$14))*(1+Inputs!$B$7/100))*(F533/100)</f>
        <v/>
      </c>
      <c r="K533">
        <f>J533*(1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555=TRUE)*(F555-Calc!F24)),(Inputs!$B$23+((C560=TRUE)*(F560-Calc!F29))+(IF(ArtifactsInput!$M$15,CHOOSE(ArtifactsInput!$N$15+1,25,30,35,40,45,50)/100*(Inputs!$B$11-Inputs!$B$11),0))))/100+(Inputs!$B$23+((C560=TRUE)*(F560-Calc!F29))+(IF(ArtifactsInput!$M$15,CHOOSE(ArtifactsInput!$N$15+1,25,30,35,40,45,50)/100*(Inputs!$B$11-Inputs!$B$11),0)))/100)/2</f>
        <v/>
      </c>
      <c r="M533">
        <f>L533*(1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3">
        <f>L533*(1-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IF(B574=0,0,O533/B574)</f>
        <v/>
      </c>
      <c r="Q533" t="n">
        <v>0</v>
      </c>
      <c r="R533" t="n">
        <v>0</v>
      </c>
      <c r="S533">
        <f>IFERROR(O533/N533,0)</f>
        <v/>
      </c>
      <c r="T533">
        <f>IF(C533,(Skills!G2*N533*B568)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533*(1-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MAX(0,(Inputs!$B$3-100)*3)+Inputs!$B$28+Inputs!$B$29</f>
        <v/>
      </c>
      <c r="V533">
        <f>IF(C533,(Skills!G2*N533*B568)*IF(Inputs!$B$38="pvp",1,(1+(Inputs!$B$21+Skills!Q2+(IF(ArtifactsInput!$M$33,CHOOSE(ArtifactsInput!$N$33+1,30,36,42,48,54,60),0))+(IF(AND(ArtifactsInput!$M$35,Inputs!$B$4&lt;&gt;"Chapter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Skills!A3</f>
        <v/>
      </c>
      <c r="B534">
        <f>Skills!B3</f>
        <v/>
      </c>
      <c r="C534">
        <f>Inputs!$B$3&gt;=50</f>
        <v/>
      </c>
      <c r="D534">
        <f>IF(Skills!C3=1,60+Inputs!$B$25+Inputs!$B$29,IF(Skills!C3=2,90+Inputs!$B$26+Inputs!$B$29,IF(Skills!C3=3,120+Inputs!$B$27+Inputs!$B$29,MAX(0,(Inputs!$B$3-100)*3)+Inputs!$B$28+Inputs!$B$29)))</f>
        <v/>
      </c>
      <c r="E534">
        <f>INDEX(FactorTable!$B$2:$Y$301, MATCH(ROUND(MIN(300,MAX(1,D534)),0), FactorTable!$A$2:$A$301,0), Skills!M3+1)</f>
        <v/>
      </c>
      <c r="F534">
        <f>IF(Skills!N3=TRUE,(Skills!L3/10)*(E534/1000),Skills!L3/10)+Skills!O3</f>
        <v/>
      </c>
      <c r="G534" t="inlineStr"/>
      <c r="H534" t="inlineStr"/>
      <c r="I534" t="inlineStr">
        <is>
          <t>1</t>
        </is>
      </c>
      <c r="J534" t="inlineStr"/>
      <c r="K534" t="inlineStr"/>
      <c r="L534" t="inlineStr"/>
      <c r="M534" t="inlineStr"/>
      <c r="N534" t="inlineStr"/>
      <c r="O534" t="inlineStr"/>
      <c r="P534" t="inlineStr"/>
      <c r="Q534" t="inlineStr"/>
      <c r="R534" t="inlineStr"/>
      <c r="S534" t="inlineStr"/>
      <c r="T534" t="inlineStr"/>
      <c r="U534">
        <f>INDEX(FactorTable!$B$2:$Y$301, MATCH(ROUND(MIN(300,MAX(1,U533)),0), FactorTable!$A$2:$A$301,0), 22)</f>
        <v/>
      </c>
      <c r="V534" t="inlineStr"/>
    </row>
    <row r="535">
      <c r="A535">
        <f>Skills!A4</f>
        <v/>
      </c>
      <c r="B535">
        <f>Skills!B4</f>
        <v/>
      </c>
      <c r="C535">
        <f>Inputs!$B$3&gt;=105</f>
        <v/>
      </c>
      <c r="D535">
        <f>IF(Skills!C4=1,60+Inputs!$B$25+Inputs!$B$29,IF(Skills!C4=2,90+Inputs!$B$26+Inputs!$B$29,IF(Skills!C4=3,120+Inputs!$B$27+Inputs!$B$29,MAX(0,(Inputs!$B$3-100)*3)+Inputs!$B$28+Inputs!$B$29)))</f>
        <v/>
      </c>
      <c r="E535">
        <f>INDEX(FactorTable!$B$2:$Y$301, MATCH(ROUND(MIN(300,MAX(1,D535)),0), FactorTable!$A$2:$A$301,0), Skills!M4+1)</f>
        <v/>
      </c>
      <c r="F535">
        <f>IF(Skills!N4=TRUE,(Skills!L4/10)*(E535/1000),Skills!L4/10)+Skills!O4</f>
        <v/>
      </c>
      <c r="G535" t="inlineStr"/>
      <c r="H535" t="inlineStr"/>
      <c r="I535" t="inlineStr">
        <is>
          <t>1</t>
        </is>
      </c>
      <c r="J535" t="inlineStr"/>
      <c r="K535" t="inlineStr"/>
      <c r="L535" t="inlineStr"/>
      <c r="M535" t="inlineStr"/>
      <c r="N535" t="inlineStr"/>
      <c r="O535" t="inlineStr"/>
      <c r="P535" t="inlineStr"/>
      <c r="Q535" t="inlineStr"/>
      <c r="R535" t="inlineStr"/>
      <c r="S535" t="inlineStr"/>
      <c r="T535" t="inlineStr"/>
      <c r="U535">
        <f>290*U534/1000</f>
        <v/>
      </c>
      <c r="V535" t="inlineStr"/>
    </row>
    <row r="536">
      <c r="A536">
        <f>Skills!A5</f>
        <v/>
      </c>
      <c r="B536">
        <f>Skills!B5</f>
        <v/>
      </c>
      <c r="C536">
        <f>Inputs!$B$3&gt;=35</f>
        <v/>
      </c>
      <c r="D536">
        <f>IF(Skills!C5=1,60+Inputs!$B$25+Inputs!$B$29,IF(Skills!C5=2,90+Inputs!$B$26+Inputs!$B$29,IF(Skills!C5=3,120+Inputs!$B$27+Inputs!$B$29,MAX(0,(Inputs!$B$3-100)*3)+Inputs!$B$28+Inputs!$B$29)))</f>
        <v/>
      </c>
      <c r="E536">
        <f>INDEX(FactorTable!$B$2:$Y$301, MATCH(ROUND(MIN(300,MAX(1,D536)),0), FactorTable!$A$2:$A$301,0), Skills!M5+1)</f>
        <v/>
      </c>
      <c r="F536">
        <f>IF(Skills!N5=TRUE,(Skills!L5/10)*(E536/1000),Skills!L5/10)+Skills!O5</f>
        <v/>
      </c>
      <c r="G536">
        <f>Skills!G5*IF(Skills!H5&gt;0,Skills!I5/Skills!H5,1)</f>
        <v/>
      </c>
      <c r="H536">
        <f>1-(1-Skills!J5/100)^Skills!K5</f>
        <v/>
      </c>
      <c r="I536" t="inlineStr">
        <is>
          <t>1</t>
        </is>
      </c>
      <c r="J536">
        <f>((Inputs!$B$6*(1+Inputs!$B$7/100))+(((Inputs!$B$12*(1+Inputs!$B$13/100))-(Inputs!$B$12*(1+Inputs!$B$13/100)))+0.25*(Inputs!$B$14-Inputs!$B$14))*(1+Inputs!$B$7/100))*(F536/100)</f>
        <v/>
      </c>
      <c r="K536">
        <f>J536*(1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541=TRUE,F541,0)/100)*(1+(IF(Skills!A5="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555=TRUE)*(F555-Calc!F24)),(Inputs!$B$23+((C560=TRUE)*(F560-Calc!F29))+(IF(ArtifactsInput!$M$15,CHOOSE(ArtifactsInput!$N$15+1,25,30,35,40,45,50)/100*(Inputs!$B$11-Inputs!$B$11),0))))/100+(Inputs!$B$23+((C560=TRUE)*(F560-Calc!F29))+(IF(ArtifactsInput!$M$15,CHOOSE(ArtifactsInput!$N$15+1,25,30,35,40,45,50)/100*(Inputs!$B$11-Inputs!$B$11),0)))/100)/2</f>
        <v/>
      </c>
      <c r="M536">
        <f>L536*(1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6">
        <f>L536*(1-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IF(B574=0,0,O536/B574)</f>
        <v/>
      </c>
      <c r="Q536">
        <f>IFERROR(1/(IF(Inputs!$B$38="pvp",15,MAX(0.1,Skills!D5-IF(Skills!E5=TRUE,Inputs!$B$32,0)))*(1-IF(AND(ArtifactsInput!$M$27,Inputs!$B$4="Chapter Hunt"),CHOOSE(ArtifactsInput!$N$27+1,20,24,28,32,36,40),0)/100)),0)</f>
        <v/>
      </c>
      <c r="R536">
        <f>IF(AND(Inputs!$B$38&lt;&gt;"pvp",Inputs!$B$43&gt;0),IF(MAX(0,Inputs!$B$43-B571)&lt;=0,0,(INT(MAX(0,Inputs!$B$43-B571)/(IF(Inputs!$B$38="pvp",15,MAX(0.1,Skills!D5-IF(Skills!E5=TRUE,Inputs!$B$32,0)))*(1-IF(AND(ArtifactsInput!$M$27,Inputs!$B$4="Chapter Hunt"),CHOOSE(ArtifactsInput!$N$27+1,20,24,28,32,36,40),0)/100)))+1)),0)</f>
        <v/>
      </c>
      <c r="S536">
        <f>IFERROR(O536/N536,0)</f>
        <v/>
      </c>
      <c r="T536">
        <f>IF(C536,(H536*N536*IF(AND(Inputs!$B$38&lt;&gt;"pvp",Inputs!$B$43&gt;0),((Skills!G5*((R536-1)*IF(Skills!H5&gt;0,Skills!I5/Skills!H5,1)+IF(Skills!H5&gt;0,MIN(Skills!I5,MAX(0,MAX(0,Inputs!$B$43-B571)-((R536-1)*(IF(Inputs!$B$38="pvp",15,MAX(0.1,Skills!D5-IF(Skills!E5=TRUE,Inputs!$B$32,0)))*(1-IF(AND(ArtifactsInput!$M$27,Inputs!$B$4="Chapter Hunt"),CHOOSE(ArtifactsInput!$N$27+1,20,24,28,32,36,40),0)/100)))))/Skills!H5,1)))/Inputs!$B$43),G536*Q536)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536*(1-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5*((R536-1)*IF(Skills!H5&gt;0,Skills!I5/Skills!H5,1)+IF(Skills!H5&gt;0,MIN(Skills!I5,MAX(0,MAX(0,Inputs!$B$43-B571)-((R536-1)*(IF(Inputs!$B$38="pvp",15,MAX(0.1,Skills!D5-IF(Skills!E5=TRUE,Inputs!$B$32,0)))*(1-IF(AND(ArtifactsInput!$M$27,Inputs!$B$4="Chapter Hunt"),CHOOSE(ArtifactsInput!$N$27+1,20,24,28,32,36,40),0)/100)))))/Skills!H5,1)))/Inputs!$B$43),G536*Q536))*IF(Inputs!$B$38="pvp",1,(1+(Inputs!$B$21+Skills!Q5+(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Skills!A6</f>
        <v/>
      </c>
      <c r="B537">
        <f>Skills!B6</f>
        <v/>
      </c>
      <c r="C537">
        <f>Inputs!$B$3&gt;=40</f>
        <v/>
      </c>
      <c r="D537">
        <f>IF(Skills!C6=1,60+Inputs!$B$25+Inputs!$B$29,IF(Skills!C6=2,90+Inputs!$B$26+Inputs!$B$29,IF(Skills!C6=3,120+Inputs!$B$27+Inputs!$B$29,MAX(0,(Inputs!$B$3-100)*3)+Inputs!$B$28+Inputs!$B$29)))</f>
        <v/>
      </c>
      <c r="E537">
        <f>INDEX(FactorTable!$B$2:$Y$301, MATCH(ROUND(MIN(300,MAX(1,D537)),0), FactorTable!$A$2:$A$301,0), Skills!M6+1)</f>
        <v/>
      </c>
      <c r="F537">
        <f>IF(Skills!N6=TRUE,(Skills!L6/10)*(E537/1000),Skills!L6/10)+Skills!O6</f>
        <v/>
      </c>
      <c r="G537">
        <f>Skills!G6*IF(Skills!H6&gt;0,Skills!I6/Skills!H6,1)</f>
        <v/>
      </c>
      <c r="H537">
        <f>1-(1-Skills!J6/100)^Skills!K6</f>
        <v/>
      </c>
      <c r="I537" t="inlineStr">
        <is>
          <t>1</t>
        </is>
      </c>
      <c r="J537">
        <f>((Inputs!$B$6*(1+Inputs!$B$7/100))+(((Inputs!$B$12*(1+Inputs!$B$13/100))-(Inputs!$B$12*(1+Inputs!$B$13/100)))+0.25*(Inputs!$B$14-Inputs!$B$14))*(1+Inputs!$B$7/100))*(F537/100)</f>
        <v/>
      </c>
      <c r="K537">
        <f>J537*(1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538=TRUE,F538,0)/100)*(1+(IF(Skills!A6="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555=TRUE)*(F555-Calc!F24)),(Inputs!$B$23+((C560=TRUE)*(F560-Calc!F29))+(IF(ArtifactsInput!$M$15,CHOOSE(ArtifactsInput!$N$15+1,25,30,35,40,45,50)/100*(Inputs!$B$11-Inputs!$B$11),0))))/100+(Inputs!$B$23+((C560=TRUE)*(F560-Calc!F29))+(IF(ArtifactsInput!$M$15,CHOOSE(ArtifactsInput!$N$15+1,25,30,35,40,45,50)/100*(Inputs!$B$11-Inputs!$B$11),0)))/100)/2</f>
        <v/>
      </c>
      <c r="M537">
        <f>L537*(1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7">
        <f>L537*(1-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IF(B574=0,0,O537/B574)</f>
        <v/>
      </c>
      <c r="Q537">
        <f>IFERROR(1/(IF(Inputs!$B$38="pvp",15,MAX(0.1,Skills!D6-IF(Skills!E6=TRUE,Inputs!$B$32,0)))*(1-IF(AND(ArtifactsInput!$M$27,Inputs!$B$4="Chapter Hunt"),CHOOSE(ArtifactsInput!$N$27+1,20,24,28,32,36,40),0)/100)),0)</f>
        <v/>
      </c>
      <c r="R537">
        <f>IF(AND(Inputs!$B$38&lt;&gt;"pvp",Inputs!$B$43&gt;0),IF(MAX(0,Inputs!$B$43-B571)&lt;=0,0,(INT(MAX(0,Inputs!$B$43-B571)/(IF(Inputs!$B$38="pvp",15,MAX(0.1,Skills!D6-IF(Skills!E6=TRUE,Inputs!$B$32,0)))*(1-IF(AND(ArtifactsInput!$M$27,Inputs!$B$4="Chapter Hunt"),CHOOSE(ArtifactsInput!$N$27+1,20,24,28,32,36,40),0)/100)))+1)),0)</f>
        <v/>
      </c>
      <c r="S537">
        <f>IFERROR(O537/N537,0)</f>
        <v/>
      </c>
      <c r="T537">
        <f>IF(C537,(H537*N537*IF(AND(Inputs!$B$38&lt;&gt;"pvp",Inputs!$B$43&gt;0),((Skills!G6*((R537-1)*IF(Skills!H6&gt;0,Skills!I6/Skills!H6,1)+IF(Skills!H6&gt;0,MIN(Skills!I6,MAX(0,MAX(0,Inputs!$B$43-B571)-((R537-1)*(IF(Inputs!$B$38="pvp",15,MAX(0.1,Skills!D6-IF(Skills!E6=TRUE,Inputs!$B$32,0)))*(1-IF(AND(ArtifactsInput!$M$27,Inputs!$B$4="Chapter Hunt"),CHOOSE(ArtifactsInput!$N$27+1,20,24,28,32,36,40),0)/100)))))/Skills!H6,1)))/Inputs!$B$43),G537*Q537)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537*(1-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6*((R537-1)*IF(Skills!H6&gt;0,Skills!I6/Skills!H6,1)+IF(Skills!H6&gt;0,MIN(Skills!I6,MAX(0,MAX(0,Inputs!$B$43-B571)-((R537-1)*(IF(Inputs!$B$38="pvp",15,MAX(0.1,Skills!D6-IF(Skills!E6=TRUE,Inputs!$B$32,0)))*(1-IF(AND(ArtifactsInput!$M$27,Inputs!$B$4="Chapter Hunt"),CHOOSE(ArtifactsInput!$N$27+1,20,24,28,32,36,40),0)/100)))))/Skills!H6,1)))/Inputs!$B$43),G537*Q537))*IF(Inputs!$B$38="pvp",1,(1+(Inputs!$B$21+Skills!Q6+(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Skills!A7</f>
        <v/>
      </c>
      <c r="B538">
        <f>Skills!B7</f>
        <v/>
      </c>
      <c r="C538">
        <f>Inputs!$B$3&gt;=107</f>
        <v/>
      </c>
      <c r="D538">
        <f>IF(Skills!C7=1,60+Inputs!$B$25+Inputs!$B$29,IF(Skills!C7=2,90+Inputs!$B$26+Inputs!$B$29,IF(Skills!C7=3,120+Inputs!$B$27+Inputs!$B$29,MAX(0,(Inputs!$B$3-100)*3)+Inputs!$B$28+Inputs!$B$29)))</f>
        <v/>
      </c>
      <c r="E538">
        <f>INDEX(FactorTable!$B$2:$Y$301, MATCH(ROUND(MIN(300,MAX(1,D538)),0), FactorTable!$A$2:$A$301,0), Skills!M7+1)</f>
        <v/>
      </c>
      <c r="F538">
        <f>IF(Skills!N7=TRUE,(Skills!L7/10)*(E538/1000),Skills!L7/10)+Skills!O7</f>
        <v/>
      </c>
      <c r="G538" t="inlineStr"/>
      <c r="H538" t="inlineStr"/>
      <c r="I538" t="inlineStr">
        <is>
          <t>1</t>
        </is>
      </c>
      <c r="J538" t="inlineStr"/>
      <c r="K538" t="inlineStr"/>
      <c r="L538" t="inlineStr"/>
      <c r="M538" t="inlineStr"/>
      <c r="N538" t="inlineStr"/>
      <c r="O538" t="inlineStr"/>
      <c r="P538" t="inlineStr"/>
      <c r="Q538" t="inlineStr"/>
      <c r="R538" t="inlineStr"/>
      <c r="S538" t="inlineStr"/>
      <c r="T538" t="inlineStr"/>
      <c r="V538" t="inlineStr"/>
    </row>
    <row r="539">
      <c r="A539">
        <f>Skills!A8</f>
        <v/>
      </c>
      <c r="B539">
        <f>Skills!B8</f>
        <v/>
      </c>
      <c r="C539">
        <f>Inputs!$B$3&gt;=69</f>
        <v/>
      </c>
      <c r="D539">
        <f>IF(Skills!C8=1,60+Inputs!$B$25+Inputs!$B$29,IF(Skills!C8=2,90+Inputs!$B$26+Inputs!$B$29,IF(Skills!C8=3,120+Inputs!$B$27+Inputs!$B$29,MAX(0,(Inputs!$B$3-100)*3)+Inputs!$B$28+Inputs!$B$29)))</f>
        <v/>
      </c>
      <c r="E539">
        <f>INDEX(FactorTable!$B$2:$Y$301, MATCH(ROUND(MIN(300,MAX(1,D539)),0), FactorTable!$A$2:$A$301,0), Skills!M8+1)</f>
        <v/>
      </c>
      <c r="F539">
        <f>IF(Skills!N8=TRUE,(Skills!L8/10)*(E539/1000),Skills!L8/10)+Skills!O8</f>
        <v/>
      </c>
      <c r="G539">
        <f>Skills!G8*IF(Skills!H8&gt;0,Skills!I8/Skills!H8,1)</f>
        <v/>
      </c>
      <c r="H539">
        <f>1-(1-Skills!J8/100)^Skills!K8</f>
        <v/>
      </c>
      <c r="I539" t="inlineStr">
        <is>
          <t>1</t>
        </is>
      </c>
      <c r="J539">
        <f>((Inputs!$B$6*(1+Inputs!$B$7/100))+(((Inputs!$B$12*(1+Inputs!$B$13/100))-(Inputs!$B$12*(1+Inputs!$B$13/100)))+0.25*(Inputs!$B$14-Inputs!$B$14))*(1+Inputs!$B$7/100))*(F539/100)</f>
        <v/>
      </c>
      <c r="K539">
        <f>J539*(1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541=TRUE,F541,0)/100)*(1+(IF(Skills!A8="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555=TRUE)*(F555-Calc!F24)),(Inputs!$B$23+((C560=TRUE)*(F560-Calc!F29))+(IF(ArtifactsInput!$M$15,CHOOSE(ArtifactsInput!$N$15+1,25,30,35,40,45,50)/100*(Inputs!$B$11-Inputs!$B$11),0))))/100+(Inputs!$B$23+((C560=TRUE)*(F560-Calc!F29))+(IF(ArtifactsInput!$M$15,CHOOSE(ArtifactsInput!$N$15+1,25,30,35,40,45,50)/100*(Inputs!$B$11-Inputs!$B$11),0)))/100)/2</f>
        <v/>
      </c>
      <c r="M539">
        <f>L539*(1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9">
        <f>L539*(1-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IF(B574=0,0,O539/B574)</f>
        <v/>
      </c>
      <c r="Q539">
        <f>IFERROR(1/(IF(Inputs!$B$38="pvp",15,MAX(0.1,Skills!D8-IF(Skills!E8=TRUE,Inputs!$B$32,0)))*(1-IF(AND(ArtifactsInput!$M$27,Inputs!$B$4="Chapter Hunt"),CHOOSE(ArtifactsInput!$N$27+1,20,24,28,32,36,40),0)/100)),0)</f>
        <v/>
      </c>
      <c r="R539">
        <f>IF(AND(Inputs!$B$38&lt;&gt;"pvp",Inputs!$B$43&gt;0),IF(MAX(0,Inputs!$B$43-B571)&lt;=0,0,(INT(MAX(0,Inputs!$B$43-B571)/(IF(Inputs!$B$38="pvp",15,MAX(0.1,Skills!D8-IF(Skills!E8=TRUE,Inputs!$B$32,0)))*(1-IF(AND(ArtifactsInput!$M$27,Inputs!$B$4="Chapter Hunt"),CHOOSE(ArtifactsInput!$N$27+1,20,24,28,32,36,40),0)/100)))+1)),0)</f>
        <v/>
      </c>
      <c r="S539">
        <f>IFERROR(O539/N539,0)</f>
        <v/>
      </c>
      <c r="T539">
        <f>IF(C539,(H539*N539*IF(AND(Inputs!$B$38&lt;&gt;"pvp",Inputs!$B$43&gt;0),((Skills!G8*((R539-1)*IF(Skills!H8&gt;0,Skills!I8/Skills!H8,1)+IF(Skills!H8&gt;0,MIN(Skills!I8,MAX(0,MAX(0,Inputs!$B$43-B571)-((R539-1)*(IF(Inputs!$B$38="pvp",15,MAX(0.1,Skills!D8-IF(Skills!E8=TRUE,Inputs!$B$32,0)))*(1-IF(AND(ArtifactsInput!$M$27,Inputs!$B$4="Chapter Hunt"),CHOOSE(ArtifactsInput!$N$27+1,20,24,28,32,36,40),0)/100)))))/Skills!H8,1)))/Inputs!$B$43),G539*Q539)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539*(1-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8*((R539-1)*IF(Skills!H8&gt;0,Skills!I8/Skills!H8,1)+IF(Skills!H8&gt;0,MIN(Skills!I8,MAX(0,MAX(0,Inputs!$B$43-B571)-((R539-1)*(IF(Inputs!$B$38="pvp",15,MAX(0.1,Skills!D8-IF(Skills!E8=TRUE,Inputs!$B$32,0)))*(1-IF(AND(ArtifactsInput!$M$27,Inputs!$B$4="Chapter Hunt"),CHOOSE(ArtifactsInput!$N$27+1,20,24,28,32,36,40),0)/100)))))/Skills!H8,1)))/Inputs!$B$43),G539*Q539))*IF(Inputs!$B$38="pvp",1,(1+(Inputs!$B$21+Skills!Q8+(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Skills!A9</f>
        <v/>
      </c>
      <c r="B540">
        <f>Skills!B9</f>
        <v/>
      </c>
      <c r="C540">
        <f>Inputs!$B$3&gt;=63</f>
        <v/>
      </c>
      <c r="D540">
        <f>IF(Skills!C9=1,60+Inputs!$B$25+Inputs!$B$29,IF(Skills!C9=2,90+Inputs!$B$26+Inputs!$B$29,IF(Skills!C9=3,120+Inputs!$B$27+Inputs!$B$29,MAX(0,(Inputs!$B$3-100)*3)+Inputs!$B$28+Inputs!$B$29)))</f>
        <v/>
      </c>
      <c r="E540">
        <f>INDEX(FactorTable!$B$2:$Y$301, MATCH(ROUND(MIN(300,MAX(1,D540)),0), FactorTable!$A$2:$A$301,0), Skills!M9+1)</f>
        <v/>
      </c>
      <c r="F540">
        <f>IF(Skills!N9=TRUE,(Skills!L9/10)*(E540/1000),Skills!L9/10)+Skills!O9</f>
        <v/>
      </c>
      <c r="G540">
        <f>Skills!G9*IF(Skills!H9&gt;0,Skills!I9/Skills!H9,1)</f>
        <v/>
      </c>
      <c r="H540">
        <f>1-(1-Skills!J9/100)^Skills!K9</f>
        <v/>
      </c>
      <c r="I540" t="inlineStr">
        <is>
          <t>1</t>
        </is>
      </c>
      <c r="J540">
        <f>((Inputs!$B$6*(1+Inputs!$B$7/100))+(((Inputs!$B$12*(1+Inputs!$B$13/100))-(Inputs!$B$12*(1+Inputs!$B$13/100)))+0.25*(Inputs!$B$14-Inputs!$B$14))*(1+Inputs!$B$7/100))*(F540/100)</f>
        <v/>
      </c>
      <c r="K540">
        <f>J540*(1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541=TRUE,F541,0)/100)*(1+(IF(Skills!A9="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555=TRUE)*(F555-Calc!F24)),(Inputs!$B$23+((C560=TRUE)*(F560-Calc!F29))+(IF(ArtifactsInput!$M$15,CHOOSE(ArtifactsInput!$N$15+1,25,30,35,40,45,50)/100*(Inputs!$B$11-Inputs!$B$11),0))))/100+(Inputs!$B$23+((C560=TRUE)*(F560-Calc!F29))+(IF(ArtifactsInput!$M$15,CHOOSE(ArtifactsInput!$N$15+1,25,30,35,40,45,50)/100*(Inputs!$B$11-Inputs!$B$11),0)))/100)/2</f>
        <v/>
      </c>
      <c r="M540">
        <f>L540*(1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0">
        <f>L540*(1-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IF(B574=0,0,O540/B574)</f>
        <v/>
      </c>
      <c r="Q540">
        <f>IFERROR(1/(IF(Inputs!$B$38="pvp",15,MAX(0.1,Skills!D9-IF(Skills!E9=TRUE,Inputs!$B$32,0)))*(1-IF(AND(ArtifactsInput!$M$27,Inputs!$B$4="Chapter Hunt"),CHOOSE(ArtifactsInput!$N$27+1,20,24,28,32,36,40),0)/100)),0)</f>
        <v/>
      </c>
      <c r="R540">
        <f>IF(AND(Inputs!$B$38&lt;&gt;"pvp",Inputs!$B$43&gt;0),IF(MAX(0,Inputs!$B$43-B571)&lt;=0,0,(INT(MAX(0,Inputs!$B$43-B571)/(IF(Inputs!$B$38="pvp",15,MAX(0.1,Skills!D9-IF(Skills!E9=TRUE,Inputs!$B$32,0)))*(1-IF(AND(ArtifactsInput!$M$27,Inputs!$B$4="Chapter Hunt"),CHOOSE(ArtifactsInput!$N$27+1,20,24,28,32,36,40),0)/100)))+1)),0)</f>
        <v/>
      </c>
      <c r="S540">
        <f>IFERROR(O540/N540,0)</f>
        <v/>
      </c>
      <c r="T540">
        <f>IF(C540,(H540*N540*IF(AND(Inputs!$B$38&lt;&gt;"pvp",Inputs!$B$43&gt;0),((Skills!G9*((R540-1)*IF(Skills!H9&gt;0,Skills!I9/Skills!H9,1)+IF(Skills!H9&gt;0,MIN(Skills!I9,MAX(0,MAX(0,Inputs!$B$43-B571)-((R540-1)*(IF(Inputs!$B$38="pvp",15,MAX(0.1,Skills!D9-IF(Skills!E9=TRUE,Inputs!$B$32,0)))*(1-IF(AND(ArtifactsInput!$M$27,Inputs!$B$4="Chapter Hunt"),CHOOSE(ArtifactsInput!$N$27+1,20,24,28,32,36,40),0)/100)))))/Skills!H9,1)))/Inputs!$B$43),G540*Q540)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540*(1-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9*((R540-1)*IF(Skills!H9&gt;0,Skills!I9/Skills!H9,1)+IF(Skills!H9&gt;0,MIN(Skills!I9,MAX(0,MAX(0,Inputs!$B$43-B571)-((R540-1)*(IF(Inputs!$B$38="pvp",15,MAX(0.1,Skills!D9-IF(Skills!E9=TRUE,Inputs!$B$32,0)))*(1-IF(AND(ArtifactsInput!$M$27,Inputs!$B$4="Chapter Hunt"),CHOOSE(ArtifactsInput!$N$27+1,20,24,28,32,36,40),0)/100)))))/Skills!H9,1)))/Inputs!$B$43),G540*Q540))*IF(Inputs!$B$38="pvp",1,(1+(Inputs!$B$21+Skills!Q9+(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Skills!A10</f>
        <v/>
      </c>
      <c r="B541">
        <f>Skills!B10</f>
        <v/>
      </c>
      <c r="C541">
        <f>Inputs!$B$3&gt;=100</f>
        <v/>
      </c>
      <c r="D541">
        <f>IF(Skills!C10=1,60+Inputs!$B$25+Inputs!$B$29,IF(Skills!C10=2,90+Inputs!$B$26+Inputs!$B$29,IF(Skills!C10=3,120+Inputs!$B$27+Inputs!$B$29,MAX(0,(Inputs!$B$3-100)*3)+Inputs!$B$28+Inputs!$B$29)))</f>
        <v/>
      </c>
      <c r="E541">
        <f>INDEX(FactorTable!$B$2:$Y$301, MATCH(ROUND(MIN(300,MAX(1,D541)),0), FactorTable!$A$2:$A$301,0), Skills!M10+1)</f>
        <v/>
      </c>
      <c r="F541">
        <f>IF(Skills!N10=TRUE,(Skills!L10/10)*(E541/1000),Skills!L10/10)+Skills!O10</f>
        <v/>
      </c>
      <c r="G541" t="inlineStr"/>
      <c r="H541" t="inlineStr"/>
      <c r="I541" t="inlineStr">
        <is>
          <t>1</t>
        </is>
      </c>
      <c r="J541" t="inlineStr"/>
      <c r="K541" t="inlineStr"/>
      <c r="L541" t="inlineStr"/>
      <c r="M541" t="inlineStr"/>
      <c r="N541" t="inlineStr"/>
      <c r="O541" t="inlineStr"/>
      <c r="P541" t="inlineStr"/>
      <c r="Q541" t="inlineStr"/>
      <c r="R541" t="inlineStr"/>
      <c r="S541" t="inlineStr"/>
      <c r="T541" t="inlineStr"/>
      <c r="V541" t="inlineStr"/>
    </row>
    <row r="542">
      <c r="A542">
        <f>Skills!A11</f>
        <v/>
      </c>
      <c r="B542">
        <f>Skills!B11</f>
        <v/>
      </c>
      <c r="C542">
        <f>Inputs!$B$3&gt;=60</f>
        <v/>
      </c>
      <c r="D542">
        <f>IF(Skills!C11=1,60+Inputs!$B$25+Inputs!$B$29,IF(Skills!C11=2,90+Inputs!$B$26+Inputs!$B$29,IF(Skills!C11=3,120+Inputs!$B$27+Inputs!$B$29,MAX(0,(Inputs!$B$3-100)*3)+Inputs!$B$28+Inputs!$B$29)))</f>
        <v/>
      </c>
      <c r="E542">
        <f>INDEX(FactorTable!$B$2:$Y$301, MATCH(ROUND(MIN(300,MAX(1,D542)),0), FactorTable!$A$2:$A$301,0), Skills!M11+1)</f>
        <v/>
      </c>
      <c r="F542">
        <f>IF(Skills!N11=TRUE,(Skills!L11/10)*(E542/1000),Skills!L11/10)+Skills!O11</f>
        <v/>
      </c>
      <c r="G542">
        <f>Skills!G11*IF(Skills!H11&gt;0,Skills!I11/Skills!H11,1)</f>
        <v/>
      </c>
      <c r="H542">
        <f>1-(1-Skills!J11/100)^Skills!K11</f>
        <v/>
      </c>
      <c r="I542" t="inlineStr">
        <is>
          <t>1</t>
        </is>
      </c>
      <c r="J542">
        <f>((Inputs!$B$6*(1+Inputs!$B$7/100))+(((Inputs!$B$12*(1+Inputs!$B$13/100))-(Inputs!$B$12*(1+Inputs!$B$13/100)))+0.25*(Inputs!$B$14-Inputs!$B$14))*(1+Inputs!$B$7/100))*(F542/100)</f>
        <v/>
      </c>
      <c r="K542">
        <f>J542*(1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543=TRUE,F543,0)/100)*(1+(IF(Skills!A11="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555=TRUE)*(F555-Calc!F24)),(Inputs!$B$23+((C560=TRUE)*(F560-Calc!F29))+(IF(ArtifactsInput!$M$15,CHOOSE(ArtifactsInput!$N$15+1,25,30,35,40,45,50)/100*(Inputs!$B$11-Inputs!$B$11),0))))/100+(Inputs!$B$23+((C560=TRUE)*(F560-Calc!F29))+(IF(ArtifactsInput!$M$15,CHOOSE(ArtifactsInput!$N$15+1,25,30,35,40,45,50)/100*(Inputs!$B$11-Inputs!$B$11),0)))/100)/2</f>
        <v/>
      </c>
      <c r="M542">
        <f>L542*(1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2">
        <f>L542*(1-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IF(B574=0,0,O542/B574)</f>
        <v/>
      </c>
      <c r="Q542">
        <f>IFERROR(1/(IF(Inputs!$B$38="pvp",15,MAX(0.1,Skills!D11-IF(Skills!E11=TRUE,Inputs!$B$32,0)))*(1-IF(AND(ArtifactsInput!$M$27,Inputs!$B$4="Chapter Hunt"),CHOOSE(ArtifactsInput!$N$27+1,20,24,28,32,36,40),0)/100)),0)</f>
        <v/>
      </c>
      <c r="R542">
        <f>IF(AND(Inputs!$B$38&lt;&gt;"pvp",Inputs!$B$43&gt;0),IF(MAX(0,Inputs!$B$43-B571)&lt;=0,0,(INT(MAX(0,Inputs!$B$43-B571)/(IF(Inputs!$B$38="pvp",15,MAX(0.1,Skills!D11-IF(Skills!E11=TRUE,Inputs!$B$32,0)))*(1-IF(AND(ArtifactsInput!$M$27,Inputs!$B$4="Chapter Hunt"),CHOOSE(ArtifactsInput!$N$27+1,20,24,28,32,36,40),0)/100)))+1)),0)</f>
        <v/>
      </c>
      <c r="S542">
        <f>IFERROR(O542/N542,0)</f>
        <v/>
      </c>
      <c r="T542">
        <f>IF(C542,(H542*N542*IF(AND(Inputs!$B$38&lt;&gt;"pvp",Inputs!$B$43&gt;0),((Skills!G11*((R542-1)*IF(Skills!H11&gt;0,Skills!I11/Skills!H11,1)+IF(Skills!H11&gt;0,MIN(Skills!I11,MAX(0,MAX(0,Inputs!$B$43-B571)-((R542-1)*(IF(Inputs!$B$38="pvp",15,MAX(0.1,Skills!D11-IF(Skills!E11=TRUE,Inputs!$B$32,0)))*(1-IF(AND(ArtifactsInput!$M$27,Inputs!$B$4="Chapter Hunt"),CHOOSE(ArtifactsInput!$N$27+1,20,24,28,32,36,40),0)/100)))))/Skills!H11,1)))/Inputs!$B$43),G542*Q542)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542*(1-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11*((R542-1)*IF(Skills!H11&gt;0,Skills!I11/Skills!H11,1)+IF(Skills!H11&gt;0,MIN(Skills!I11,MAX(0,MAX(0,Inputs!$B$43-B571)-((R542-1)*(IF(Inputs!$B$38="pvp",15,MAX(0.1,Skills!D11-IF(Skills!E11=TRUE,Inputs!$B$32,0)))*(1-IF(AND(ArtifactsInput!$M$27,Inputs!$B$4="Chapter Hunt"),CHOOSE(ArtifactsInput!$N$27+1,20,24,28,32,36,40),0)/100)))))/Skills!H11,1)))/Inputs!$B$43),G542*Q542))*IF(Inputs!$B$38="pvp",1,(1+(Inputs!$B$21+Skills!Q11+(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Skills!A12</f>
        <v/>
      </c>
      <c r="B543">
        <f>Skills!B12</f>
        <v/>
      </c>
      <c r="C543">
        <f>Inputs!$B$3&gt;=110</f>
        <v/>
      </c>
      <c r="D543">
        <f>IF(Skills!C12=1,60+Inputs!$B$25+Inputs!$B$29,IF(Skills!C12=2,90+Inputs!$B$26+Inputs!$B$29,IF(Skills!C12=3,120+Inputs!$B$27+Inputs!$B$29,MAX(0,(Inputs!$B$3-100)*3)+Inputs!$B$28+Inputs!$B$29)))</f>
        <v/>
      </c>
      <c r="E543">
        <f>INDEX(FactorTable!$B$2:$Y$301, MATCH(ROUND(MIN(300,MAX(1,D543)),0), FactorTable!$A$2:$A$301,0), Skills!M12+1)</f>
        <v/>
      </c>
      <c r="F543">
        <f>IF(Skills!N12=TRUE,(Skills!L12/10)*(E543/1000),Skills!L12/10)+Skills!O12</f>
        <v/>
      </c>
      <c r="G543" t="inlineStr"/>
      <c r="H543" t="inlineStr"/>
      <c r="I543" t="inlineStr">
        <is>
          <t>1</t>
        </is>
      </c>
      <c r="J543" t="inlineStr"/>
      <c r="K543" t="inlineStr"/>
      <c r="L543" t="inlineStr"/>
      <c r="M543" t="inlineStr"/>
      <c r="N543" t="inlineStr"/>
      <c r="O543" t="inlineStr"/>
      <c r="P543" t="inlineStr"/>
      <c r="Q543" t="inlineStr"/>
      <c r="R543" t="inlineStr"/>
      <c r="S543" t="inlineStr"/>
      <c r="T543" t="inlineStr"/>
      <c r="V543" t="inlineStr"/>
    </row>
    <row r="544">
      <c r="A544">
        <f>Skills!A13</f>
        <v/>
      </c>
      <c r="B544">
        <f>Skills!B13</f>
        <v/>
      </c>
      <c r="C544">
        <f>Inputs!$B$3&gt;=74</f>
        <v/>
      </c>
      <c r="D544">
        <f>IF(Skills!C13=1,60+Inputs!$B$25+Inputs!$B$29,IF(Skills!C13=2,90+Inputs!$B$26+Inputs!$B$29,IF(Skills!C13=3,120+Inputs!$B$27+Inputs!$B$29,MAX(0,(Inputs!$B$3-100)*3)+Inputs!$B$28+Inputs!$B$29)))</f>
        <v/>
      </c>
      <c r="E544">
        <f>INDEX(FactorTable!$B$2:$Y$301, MATCH(ROUND(MIN(300,MAX(1,D544)),0), FactorTable!$A$2:$A$301,0), Skills!M13+1)</f>
        <v/>
      </c>
      <c r="F544">
        <f>IF(Skills!N13=TRUE,(Skills!L13/10)*(E544/1000),Skills!L13/10)+Skills!O13</f>
        <v/>
      </c>
      <c r="G544">
        <f>Skills!G13*IF(Skills!H13&gt;0,Skills!I13/Skills!H13,1)</f>
        <v/>
      </c>
      <c r="H544">
        <f>1-(1-Skills!J13/100)^Skills!K13</f>
        <v/>
      </c>
      <c r="I544" t="inlineStr">
        <is>
          <t>1</t>
        </is>
      </c>
      <c r="J544" t="inlineStr"/>
      <c r="K544" t="inlineStr"/>
      <c r="L544" t="inlineStr"/>
      <c r="M544" t="inlineStr"/>
      <c r="N544" t="inlineStr"/>
      <c r="O544">
        <f>(1-Summary!$B$11)*T544+Summary!$B$11*V544</f>
        <v/>
      </c>
      <c r="P544">
        <f>IF(B574=0,0,O544/B574)</f>
        <v/>
      </c>
      <c r="Q544" t="n">
        <v>0</v>
      </c>
      <c r="R544" t="n">
        <v>0</v>
      </c>
      <c r="S544">
        <f>IFERROR(O544/N544,0)</f>
        <v/>
      </c>
      <c r="T544" t="n">
        <v>0</v>
      </c>
      <c r="V544" t="n">
        <v>0</v>
      </c>
    </row>
    <row r="545">
      <c r="A545">
        <f>Skills!A14</f>
        <v/>
      </c>
      <c r="B545">
        <f>Skills!B14</f>
        <v/>
      </c>
      <c r="C545">
        <f>Inputs!$B$3&gt;=74</f>
        <v/>
      </c>
      <c r="D545">
        <f>IF(Skills!C14=1,60+Inputs!$B$25+Inputs!$B$29,IF(Skills!C14=2,90+Inputs!$B$26+Inputs!$B$29,IF(Skills!C14=3,120+Inputs!$B$27+Inputs!$B$29,MAX(0,(Inputs!$B$3-100)*3)+Inputs!$B$28+Inputs!$B$29)))</f>
        <v/>
      </c>
      <c r="E545">
        <f>INDEX(FactorTable!$B$2:$Y$301, MATCH(ROUND(MIN(300,MAX(1,D545)),0), FactorTable!$A$2:$A$301,0), Skills!M14+1)</f>
        <v/>
      </c>
      <c r="F545">
        <f>IF(Skills!N14=TRUE,(Skills!L14/10)*(E545/1000),Skills!L14/10)+Skills!O14</f>
        <v/>
      </c>
      <c r="G545">
        <f>Skills!G14*IF(Skills!H14&gt;0,Skills!I14/Skills!H14,1)</f>
        <v/>
      </c>
      <c r="H545">
        <f>1-(1-Skills!J14/100)^Skills!K14</f>
        <v/>
      </c>
      <c r="I545" t="inlineStr">
        <is>
          <t>1</t>
        </is>
      </c>
      <c r="J545" t="inlineStr"/>
      <c r="K545" t="inlineStr"/>
      <c r="L545" t="inlineStr"/>
      <c r="M545" t="inlineStr"/>
      <c r="N545" t="inlineStr"/>
      <c r="O545">
        <f>(1-Summary!$B$11)*T545+Summary!$B$11*V545</f>
        <v/>
      </c>
      <c r="P545">
        <f>IF(B574=0,0,O545/B574)</f>
        <v/>
      </c>
      <c r="Q545" t="n">
        <v>0</v>
      </c>
      <c r="R545" t="n">
        <v>0</v>
      </c>
      <c r="S545">
        <f>IFERROR(O545/N545,0)</f>
        <v/>
      </c>
      <c r="T545" t="n">
        <v>0</v>
      </c>
      <c r="V545" t="n">
        <v>0</v>
      </c>
    </row>
    <row r="546">
      <c r="A546">
        <f>Skills!A15</f>
        <v/>
      </c>
      <c r="B546">
        <f>Skills!B15</f>
        <v/>
      </c>
      <c r="C546">
        <f>Inputs!$B$3&gt;=117</f>
        <v/>
      </c>
      <c r="D546">
        <f>IF(Skills!C15=1,60+Inputs!$B$25+Inputs!$B$29,IF(Skills!C15=2,90+Inputs!$B$26+Inputs!$B$29,IF(Skills!C15=3,120+Inputs!$B$27+Inputs!$B$29,MAX(0,(Inputs!$B$3-100)*3)+Inputs!$B$28+Inputs!$B$29)))</f>
        <v/>
      </c>
      <c r="E546">
        <f>INDEX(FactorTable!$B$2:$Y$301, MATCH(ROUND(MIN(300,MAX(1,D546)),0), FactorTable!$A$2:$A$301,0), Skills!M15+1)</f>
        <v/>
      </c>
      <c r="F546">
        <f>IF(Skills!N15=TRUE,(Skills!L15/10)*(E546/1000),Skills!L15/10)+Skills!O15</f>
        <v/>
      </c>
      <c r="G546">
        <f>Skills!G15*IF(Skills!H15&gt;0,Skills!I15/Skills!H15,1)</f>
        <v/>
      </c>
      <c r="H546">
        <f>1-(1-Skills!J15/100)^Skills!K15</f>
        <v/>
      </c>
      <c r="I546" t="inlineStr">
        <is>
          <t>1</t>
        </is>
      </c>
      <c r="J546" t="inlineStr"/>
      <c r="K546" t="inlineStr"/>
      <c r="L546" t="inlineStr"/>
      <c r="M546" t="inlineStr"/>
      <c r="N546" t="inlineStr"/>
      <c r="O546">
        <f>(1-Summary!$B$11)*T546+Summary!$B$11*V546</f>
        <v/>
      </c>
      <c r="P546">
        <f>IF(B574=0,0,O546/B574)</f>
        <v/>
      </c>
      <c r="Q546">
        <f>IFERROR(1/(IF(Inputs!$B$38="pvp",15,MAX(0.1,Skills!D15-IF(Skills!E15=TRUE,Inputs!$B$32,0)))*(1-IF(AND(ArtifactsInput!$M$27,Inputs!$B$4="Chapter Hunt"),CHOOSE(ArtifactsInput!$N$27+1,20,24,28,32,36,40),0)/100)),0)</f>
        <v/>
      </c>
      <c r="R546">
        <f>IF(AND(Inputs!$B$38&lt;&gt;"pvp",Inputs!$B$43&gt;0),IF(Inputs!$B$43&lt;=0,0,(INT(Inputs!$B$43/(IF(Inputs!$B$38="pvp",15,MAX(0.1,Skills!D15-IF(Skills!E15=TRUE,Inputs!$B$32,0)))*(1-IF(AND(ArtifactsInput!$M$27,Inputs!$B$4="Chapter Hunt"),CHOOSE(ArtifactsInput!$N$27+1,20,24,28,32,36,40),0)/100)))+1)),0)</f>
        <v/>
      </c>
      <c r="S546">
        <f>IFERROR(O546/N546,0)</f>
        <v/>
      </c>
      <c r="T546" t="n">
        <v>0</v>
      </c>
      <c r="V546" t="n">
        <v>0</v>
      </c>
    </row>
    <row r="547">
      <c r="A547">
        <f>Skills!A16</f>
        <v/>
      </c>
      <c r="B547">
        <f>Skills!B16</f>
        <v/>
      </c>
      <c r="C547">
        <f>Inputs!$B$3&gt;=115</f>
        <v/>
      </c>
      <c r="D547">
        <f>IF(Skills!C16=1,60+Inputs!$B$25+Inputs!$B$29,IF(Skills!C16=2,90+Inputs!$B$26+Inputs!$B$29,IF(Skills!C16=3,120+Inputs!$B$27+Inputs!$B$29,MAX(0,(Inputs!$B$3-100)*3)+Inputs!$B$28+Inputs!$B$29)))</f>
        <v/>
      </c>
      <c r="E547">
        <f>INDEX(FactorTable!$B$2:$Y$301, MATCH(ROUND(MIN(300,MAX(1,D547)),0), FactorTable!$A$2:$A$301,0), Skills!M16+1)</f>
        <v/>
      </c>
      <c r="F547">
        <f>IF(Skills!N16=TRUE,(Skills!L16/10)*(E547/1000),Skills!L16/10)+Skills!O16</f>
        <v/>
      </c>
      <c r="G547">
        <f>Skills!G16*IF(Skills!H16&gt;0,Skills!I16/Skills!H16,1)</f>
        <v/>
      </c>
      <c r="H547">
        <f>1-(1-Skills!J16/100)^Skills!K16</f>
        <v/>
      </c>
      <c r="I547" t="inlineStr">
        <is>
          <t>1</t>
        </is>
      </c>
      <c r="J547" t="inlineStr"/>
      <c r="K547" t="inlineStr"/>
      <c r="L547" t="inlineStr"/>
      <c r="M547" t="inlineStr"/>
      <c r="N547" t="inlineStr"/>
      <c r="O547">
        <f>(1-Summary!$B$11)*T547+Summary!$B$11*V547</f>
        <v/>
      </c>
      <c r="P547">
        <f>IF(B574=0,0,O547/B574)</f>
        <v/>
      </c>
      <c r="Q547">
        <f>IFERROR(1/(IF(Inputs!$B$38="pvp",15,MAX(0.1,Skills!D16-IF(Skills!E16=TRUE,Inputs!$B$32,0)))*(1-IF(AND(ArtifactsInput!$M$27,Inputs!$B$4="Chapter Hunt"),CHOOSE(ArtifactsInput!$N$27+1,20,24,28,32,36,40),0)/100)),0)</f>
        <v/>
      </c>
      <c r="R547">
        <f>IF(AND(Inputs!$B$38&lt;&gt;"pvp",Inputs!$B$43&gt;0),IF(Inputs!$B$43&lt;=0,0,(INT(Inputs!$B$43/(IF(Inputs!$B$38="pvp",15,MAX(0.1,Skills!D16-IF(Skills!E16=TRUE,Inputs!$B$32,0)))*(1-IF(AND(ArtifactsInput!$M$27,Inputs!$B$4="Chapter Hunt"),CHOOSE(ArtifactsInput!$N$27+1,20,24,28,32,36,40),0)/100)))+1)),0)</f>
        <v/>
      </c>
      <c r="S547">
        <f>IFERROR(O547/N547,0)</f>
        <v/>
      </c>
      <c r="T547" t="n">
        <v>0</v>
      </c>
      <c r="V547" t="n">
        <v>0</v>
      </c>
    </row>
    <row r="548">
      <c r="A548">
        <f>Skills!A17</f>
        <v/>
      </c>
      <c r="B548">
        <f>Skills!B17</f>
        <v/>
      </c>
      <c r="C548">
        <f>Inputs!$B$3&gt;=66</f>
        <v/>
      </c>
      <c r="D548">
        <f>IF(Skills!C17=1,60+Inputs!$B$25+Inputs!$B$29,IF(Skills!C17=2,90+Inputs!$B$26+Inputs!$B$29,IF(Skills!C17=3,120+Inputs!$B$27+Inputs!$B$29,MAX(0,(Inputs!$B$3-100)*3)+Inputs!$B$28+Inputs!$B$29)))</f>
        <v/>
      </c>
      <c r="E548">
        <f>INDEX(FactorTable!$B$2:$Y$301, MATCH(ROUND(MIN(300,MAX(1,D548)),0), FactorTable!$A$2:$A$301,0), Skills!M17+1)</f>
        <v/>
      </c>
      <c r="F548">
        <f>IF(Skills!N17=TRUE,(Skills!L17/10)*(E548/1000),Skills!L17/10)+Skills!O17</f>
        <v/>
      </c>
      <c r="G548">
        <f>Skills!G17*IF(Skills!H17&gt;0,Skills!I17/Skills!H17,1)</f>
        <v/>
      </c>
      <c r="H548">
        <f>1-(1-Skills!J17/100)^Skills!K17</f>
        <v/>
      </c>
      <c r="I548" t="inlineStr">
        <is>
          <t>1</t>
        </is>
      </c>
      <c r="J548" t="inlineStr"/>
      <c r="K548" t="inlineStr"/>
      <c r="L548" t="inlineStr"/>
      <c r="M548" t="inlineStr"/>
      <c r="N548" t="inlineStr"/>
      <c r="O548">
        <f>(1-Summary!$B$11)*T548+Summary!$B$11*V548</f>
        <v/>
      </c>
      <c r="P548">
        <f>IF(B574=0,0,O548/B574)</f>
        <v/>
      </c>
      <c r="Q548" t="n">
        <v>0</v>
      </c>
      <c r="R548" t="n">
        <v>0</v>
      </c>
      <c r="S548">
        <f>IFERROR(O548/N548,0)</f>
        <v/>
      </c>
      <c r="T548" t="n">
        <v>0</v>
      </c>
      <c r="V548" t="n">
        <v>0</v>
      </c>
    </row>
    <row r="549">
      <c r="A549">
        <f>Skills!A18</f>
        <v/>
      </c>
      <c r="B549">
        <f>Skills!B18</f>
        <v/>
      </c>
      <c r="C549">
        <f>Inputs!$B$3&gt;=72</f>
        <v/>
      </c>
      <c r="D549">
        <f>IF(Skills!C18=1,60+Inputs!$B$25+Inputs!$B$29,IF(Skills!C18=2,90+Inputs!$B$26+Inputs!$B$29,IF(Skills!C18=3,120+Inputs!$B$27+Inputs!$B$29,MAX(0,(Inputs!$B$3-100)*3)+Inputs!$B$28+Inputs!$B$29)))</f>
        <v/>
      </c>
      <c r="E549">
        <f>INDEX(FactorTable!$B$2:$Y$301, MATCH(ROUND(MIN(300,MAX(1,D549)),0), FactorTable!$A$2:$A$301,0), Skills!M18+1)</f>
        <v/>
      </c>
      <c r="F549">
        <f>IF(Skills!N18=TRUE,(Skills!L18/10)*(E549/1000),Skills!L18/10)+Skills!O18</f>
        <v/>
      </c>
      <c r="G549">
        <f>Skills!G18*IF(Skills!H18&gt;0,Skills!I18/Skills!H18,1)</f>
        <v/>
      </c>
      <c r="H549">
        <f>1-(1-Skills!J18/100)^Skills!K18</f>
        <v/>
      </c>
      <c r="I549" t="inlineStr">
        <is>
          <t>1</t>
        </is>
      </c>
      <c r="J549" t="inlineStr"/>
      <c r="K549" t="inlineStr"/>
      <c r="L549" t="inlineStr"/>
      <c r="M549" t="inlineStr"/>
      <c r="N549" t="inlineStr"/>
      <c r="O549">
        <f>(1-Summary!$B$11)*T549+Summary!$B$11*V549</f>
        <v/>
      </c>
      <c r="P549">
        <f>IF(B574=0,0,O549/B574)</f>
        <v/>
      </c>
      <c r="Q549" t="n">
        <v>0</v>
      </c>
      <c r="R549" t="n">
        <v>0</v>
      </c>
      <c r="S549">
        <f>IFERROR(O549/N549,0)</f>
        <v/>
      </c>
      <c r="T549" t="n">
        <v>0</v>
      </c>
      <c r="V549" t="n">
        <v>0</v>
      </c>
    </row>
    <row r="550">
      <c r="A550">
        <f>Skills!A19</f>
        <v/>
      </c>
      <c r="B550">
        <f>Skills!B19</f>
        <v/>
      </c>
      <c r="C550">
        <f>TRUE</f>
        <v/>
      </c>
      <c r="D550">
        <f>IF(Skills!C19=1,60+Inputs!$B$25+Inputs!$B$29,IF(Skills!C19=2,90+Inputs!$B$26+Inputs!$B$29,IF(Skills!C19=3,120+Inputs!$B$27+Inputs!$B$29,MAX(0,(Inputs!$B$3-100)*3)+Inputs!$B$28+Inputs!$B$29)))</f>
        <v/>
      </c>
      <c r="E550">
        <f>INDEX(FactorTable!$B$2:$Y$301, MATCH(ROUND(MIN(300,MAX(1,D550)),0), FactorTable!$A$2:$A$301,0), Skills!M19+1)</f>
        <v/>
      </c>
      <c r="F550">
        <f>IF(Skills!N19=TRUE,(Skills!L19/10)*(E550/1000),Skills!L19/10)+Skills!O19</f>
        <v/>
      </c>
      <c r="G550">
        <f>Skills!G19*IF(Skills!H19&gt;0,Skills!I19/Skills!H19,1)</f>
        <v/>
      </c>
      <c r="H550">
        <f>1-(1-Skills!J19/100)^Skills!K19</f>
        <v/>
      </c>
      <c r="I550" t="inlineStr">
        <is>
          <t>1</t>
        </is>
      </c>
      <c r="J550" t="inlineStr"/>
      <c r="K550" t="inlineStr"/>
      <c r="L550" t="inlineStr"/>
      <c r="M550" t="inlineStr"/>
      <c r="N550" t="inlineStr"/>
      <c r="O550">
        <f>(1-Summary!$B$11)*T550+Summary!$B$11*V550</f>
        <v/>
      </c>
      <c r="P550">
        <f>IF(B574=0,0,O550/B574)</f>
        <v/>
      </c>
      <c r="Q550">
        <f>IFERROR(1/(IF(Inputs!$B$38="pvp",15,MAX(0.1,Skills!D19-IF(Skills!E19=TRUE,Inputs!$B$32,0)))*(1-IF(AND(ArtifactsInput!$M$27,Inputs!$B$4="Chapter Hunt"),CHOOSE(ArtifactsInput!$N$27+1,20,24,28,32,36,40),0)/100)),0)</f>
        <v/>
      </c>
      <c r="R550">
        <f>IF(AND(Inputs!$B$38&lt;&gt;"pvp",Inputs!$B$43&gt;0),IF(Inputs!$B$43&lt;=0,0,(INT(Inputs!$B$43/(IF(Inputs!$B$38="pvp",15,MAX(0.1,Skills!D19-IF(Skills!E19=TRUE,Inputs!$B$32,0)))*(1-IF(AND(ArtifactsInput!$M$27,Inputs!$B$4="Chapter Hunt"),CHOOSE(ArtifactsInput!$N$27+1,20,24,28,32,36,40),0)/100)))+1)),0)</f>
        <v/>
      </c>
      <c r="S550">
        <f>IFERROR(O550/N550,0)</f>
        <v/>
      </c>
      <c r="T550" t="n">
        <v>0</v>
      </c>
      <c r="V550" t="n">
        <v>0</v>
      </c>
    </row>
    <row r="551">
      <c r="A551">
        <f>Skills!A20</f>
        <v/>
      </c>
      <c r="B551">
        <f>Skills!B20</f>
        <v/>
      </c>
      <c r="C551">
        <f>Inputs!$B$3&gt;=15</f>
        <v/>
      </c>
      <c r="D551">
        <f>IF(Skills!C20=1,60+Inputs!$B$25+Inputs!$B$29,IF(Skills!C20=2,90+Inputs!$B$26+Inputs!$B$29,IF(Skills!C20=3,120+Inputs!$B$27+Inputs!$B$29,MAX(0,(Inputs!$B$3-100)*3)+Inputs!$B$28+Inputs!$B$29)))</f>
        <v/>
      </c>
      <c r="E551">
        <f>INDEX(FactorTable!$B$2:$Y$301, MATCH(ROUND(MIN(300,MAX(1,D551)),0), FactorTable!$A$2:$A$301,0), Skills!M20+1)</f>
        <v/>
      </c>
      <c r="F551">
        <f>IF(Skills!N20=TRUE,(Skills!L20/10)*(E551/1000),Skills!L20/10)+Skills!O20</f>
        <v/>
      </c>
      <c r="G551">
        <f>Skills!G20*IF(Skills!H20&gt;0,Skills!I20/Skills!H20,1)</f>
        <v/>
      </c>
      <c r="H551">
        <f>1-(1-Skills!J20/100)^Skills!K20</f>
        <v/>
      </c>
      <c r="I551" t="inlineStr">
        <is>
          <t>1</t>
        </is>
      </c>
      <c r="J551" t="inlineStr"/>
      <c r="K551" t="inlineStr"/>
      <c r="L551" t="inlineStr"/>
      <c r="M551" t="inlineStr"/>
      <c r="N551" t="inlineStr"/>
      <c r="O551">
        <f>(1-Summary!$B$11)*T551+Summary!$B$11*V551</f>
        <v/>
      </c>
      <c r="P551">
        <f>IF(B574=0,0,O551/B574)</f>
        <v/>
      </c>
      <c r="Q551" t="n">
        <v>0</v>
      </c>
      <c r="R551" t="n">
        <v>0</v>
      </c>
      <c r="S551">
        <f>IFERROR(O551/N551,0)</f>
        <v/>
      </c>
      <c r="T551" t="n">
        <v>0</v>
      </c>
      <c r="V551" t="n">
        <v>0</v>
      </c>
    </row>
    <row r="552">
      <c r="A552">
        <f>Skills!A21</f>
        <v/>
      </c>
      <c r="B552">
        <f>Skills!B21</f>
        <v/>
      </c>
      <c r="C552">
        <f>Inputs!$B$3&gt;=10</f>
        <v/>
      </c>
      <c r="D552">
        <f>IF(Skills!C21=1,60+Inputs!$B$25+Inputs!$B$29,IF(Skills!C21=2,90+Inputs!$B$26+Inputs!$B$29,IF(Skills!C21=3,120+Inputs!$B$27+Inputs!$B$29,MAX(0,(Inputs!$B$3-100)*3)+Inputs!$B$28+Inputs!$B$29)))</f>
        <v/>
      </c>
      <c r="E552">
        <f>INDEX(FactorTable!$B$2:$Y$301, MATCH(ROUND(MIN(300,MAX(1,D552)),0), FactorTable!$A$2:$A$301,0), Skills!M21+1)</f>
        <v/>
      </c>
      <c r="F552">
        <f>IF(Skills!N21=TRUE,(Skills!L21/10)*(E552/1000),Skills!L21/10)+Skills!O21</f>
        <v/>
      </c>
      <c r="G552">
        <f>Skills!G21*IF(Skills!H21&gt;0,Skills!I21/Skills!H21,1)</f>
        <v/>
      </c>
      <c r="H552">
        <f>1-(1-Skills!J21/100)^Skills!K21</f>
        <v/>
      </c>
      <c r="I552" t="inlineStr">
        <is>
          <t>1</t>
        </is>
      </c>
      <c r="J552" t="inlineStr"/>
      <c r="K552" t="inlineStr"/>
      <c r="L552" t="inlineStr"/>
      <c r="M552" t="inlineStr"/>
      <c r="N552" t="inlineStr"/>
      <c r="O552">
        <f>(1-Summary!$B$11)*T552+Summary!$B$11*V552</f>
        <v/>
      </c>
      <c r="P552">
        <f>IF(B574=0,0,O552/B574)</f>
        <v/>
      </c>
      <c r="Q552" t="n">
        <v>0</v>
      </c>
      <c r="R552" t="n">
        <v>0</v>
      </c>
      <c r="S552">
        <f>IFERROR(O552/N552,0)</f>
        <v/>
      </c>
      <c r="T552" t="n">
        <v>0</v>
      </c>
      <c r="V552" t="n">
        <v>0</v>
      </c>
    </row>
    <row r="553">
      <c r="A553">
        <f>Skills!A22</f>
        <v/>
      </c>
      <c r="B553">
        <f>Skills!B22</f>
        <v/>
      </c>
      <c r="C553">
        <f>Inputs!$B$3&gt;=33</f>
        <v/>
      </c>
      <c r="D553">
        <f>IF(Skills!C22=1,60+Inputs!$B$25+Inputs!$B$29,IF(Skills!C22=2,90+Inputs!$B$26+Inputs!$B$29,IF(Skills!C22=3,120+Inputs!$B$27+Inputs!$B$29,MAX(0,(Inputs!$B$3-100)*3)+Inputs!$B$28+Inputs!$B$29)))</f>
        <v/>
      </c>
      <c r="E553">
        <f>INDEX(FactorTable!$B$2:$Y$301, MATCH(ROUND(MIN(300,MAX(1,D553)),0), FactorTable!$A$2:$A$301,0), Skills!M22+1)</f>
        <v/>
      </c>
      <c r="F553">
        <f>IF(Skills!N22=TRUE,(Skills!L22/10)*(E553/1000),Skills!L22/10)+Skills!O22</f>
        <v/>
      </c>
      <c r="G553">
        <f>Skills!G22*IF(Skills!H22&gt;0,Skills!I22/Skills!H22,1)</f>
        <v/>
      </c>
      <c r="H553">
        <f>1-(1-Skills!J22/100)^Skills!K22</f>
        <v/>
      </c>
      <c r="I553" t="inlineStr">
        <is>
          <t>1</t>
        </is>
      </c>
      <c r="J553" t="inlineStr"/>
      <c r="K553" t="inlineStr"/>
      <c r="L553" t="inlineStr"/>
      <c r="M553" t="inlineStr"/>
      <c r="N553" t="inlineStr"/>
      <c r="O553">
        <f>(1-Summary!$B$11)*T553+Summary!$B$11*V553</f>
        <v/>
      </c>
      <c r="P553">
        <f>IF(B574=0,0,O553/B574)</f>
        <v/>
      </c>
      <c r="Q553" t="n">
        <v>0</v>
      </c>
      <c r="R553" t="n">
        <v>0</v>
      </c>
      <c r="S553">
        <f>IFERROR(O553/N553,0)</f>
        <v/>
      </c>
      <c r="T553" t="n">
        <v>0</v>
      </c>
      <c r="V553" t="n">
        <v>0</v>
      </c>
    </row>
    <row r="554">
      <c r="A554">
        <f>Skills!A23</f>
        <v/>
      </c>
      <c r="B554">
        <f>Skills!B23</f>
        <v/>
      </c>
      <c r="C554">
        <f>Inputs!$B$3&gt;=38</f>
        <v/>
      </c>
      <c r="D554">
        <f>IF(Skills!C23=1,60+Inputs!$B$25+Inputs!$B$29,IF(Skills!C23=2,90+Inputs!$B$26+Inputs!$B$29,IF(Skills!C23=3,120+Inputs!$B$27+Inputs!$B$29,MAX(0,(Inputs!$B$3-100)*3)+Inputs!$B$28+Inputs!$B$29)))</f>
        <v/>
      </c>
      <c r="E554">
        <f>INDEX(FactorTable!$B$2:$Y$301, MATCH(ROUND(MIN(300,MAX(1,D554)),0), FactorTable!$A$2:$A$301,0), Skills!M23+1)</f>
        <v/>
      </c>
      <c r="F554">
        <f>IF(Skills!N23=TRUE,(Skills!L23/10)*(E554/1000),Skills!L23/10)+Skills!O23</f>
        <v/>
      </c>
      <c r="G554">
        <f>Skills!G23*IF(Skills!H23&gt;0,Skills!I23/Skills!H23,1)</f>
        <v/>
      </c>
      <c r="H554">
        <f>1-(1-Skills!J23/100)^Skills!K23</f>
        <v/>
      </c>
      <c r="I554" t="inlineStr">
        <is>
          <t>1</t>
        </is>
      </c>
      <c r="J554" t="inlineStr"/>
      <c r="K554" t="inlineStr"/>
      <c r="L554" t="inlineStr"/>
      <c r="M554" t="inlineStr"/>
      <c r="N554" t="inlineStr"/>
      <c r="O554">
        <f>(1-Summary!$B$11)*T554+Summary!$B$11*V554</f>
        <v/>
      </c>
      <c r="P554">
        <f>IF(B574=0,0,O554/B574)</f>
        <v/>
      </c>
      <c r="Q554" t="n">
        <v>0</v>
      </c>
      <c r="R554" t="n">
        <v>0</v>
      </c>
      <c r="S554">
        <f>IFERROR(O554/N554,0)</f>
        <v/>
      </c>
      <c r="T554" t="n">
        <v>0</v>
      </c>
      <c r="V554" t="n">
        <v>0</v>
      </c>
    </row>
    <row r="555">
      <c r="A555">
        <f>Skills!A24</f>
        <v/>
      </c>
      <c r="B555">
        <f>Skills!B24</f>
        <v/>
      </c>
      <c r="C555">
        <f>Inputs!$B$3&gt;=43</f>
        <v/>
      </c>
      <c r="D555">
        <f>IF(Skills!C24=1,60+Inputs!$B$25+Inputs!$B$29,IF(Skills!C24=2,90+Inputs!$B$26+Inputs!$B$29,IF(Skills!C24=3,120+Inputs!$B$27+Inputs!$B$29,MAX(0,(Inputs!$B$3-100)*3)+Inputs!$B$28+Inputs!$B$29)))</f>
        <v/>
      </c>
      <c r="E555">
        <f>INDEX(FactorTable!$B$2:$Y$301, MATCH(ROUND(MIN(300,MAX(1,D555)),0), FactorTable!$A$2:$A$301,0), Skills!M24+1)</f>
        <v/>
      </c>
      <c r="F555">
        <f>IF(Skills!N24=TRUE,(Skills!L24/10)*(E555/1000),Skills!L24/10)+Skills!O24</f>
        <v/>
      </c>
      <c r="G555">
        <f>Skills!G24*IF(Skills!H24&gt;0,Skills!I24/Skills!H24,1)</f>
        <v/>
      </c>
      <c r="H555">
        <f>1-(1-Skills!J24/100)^Skills!K24</f>
        <v/>
      </c>
      <c r="I555" t="inlineStr">
        <is>
          <t>1</t>
        </is>
      </c>
      <c r="J555" t="inlineStr"/>
      <c r="K555" t="inlineStr"/>
      <c r="L555" t="inlineStr"/>
      <c r="M555" t="inlineStr"/>
      <c r="N555" t="inlineStr"/>
      <c r="O555">
        <f>(1-Summary!$B$11)*T555+Summary!$B$11*V555</f>
        <v/>
      </c>
      <c r="P555">
        <f>IF(B574=0,0,O555/B574)</f>
        <v/>
      </c>
      <c r="Q555" t="n">
        <v>0</v>
      </c>
      <c r="R555" t="n">
        <v>0</v>
      </c>
      <c r="S555">
        <f>IFERROR(O555/N555,0)</f>
        <v/>
      </c>
      <c r="T555" t="n">
        <v>0</v>
      </c>
      <c r="V555" t="n">
        <v>0</v>
      </c>
    </row>
    <row r="556">
      <c r="A556">
        <f>Skills!A25</f>
        <v/>
      </c>
      <c r="B556">
        <f>Skills!B25</f>
        <v/>
      </c>
      <c r="C556">
        <f>Inputs!$B$3&gt;=75</f>
        <v/>
      </c>
      <c r="D556">
        <f>IF(Skills!C25=1,60+Inputs!$B$25+Inputs!$B$29,IF(Skills!C25=2,90+Inputs!$B$26+Inputs!$B$29,IF(Skills!C25=3,120+Inputs!$B$27+Inputs!$B$29,MAX(0,(Inputs!$B$3-100)*3)+Inputs!$B$28+Inputs!$B$29)))</f>
        <v/>
      </c>
      <c r="E556">
        <f>INDEX(FactorTable!$B$2:$Y$301, MATCH(ROUND(MIN(300,MAX(1,D556)),0), FactorTable!$A$2:$A$301,0), Skills!M25+1)</f>
        <v/>
      </c>
      <c r="F556">
        <f>IF(Skills!N25=TRUE,(Skills!L25/10)*(E556/1000),Skills!L25/10)+Skills!O25</f>
        <v/>
      </c>
      <c r="G556">
        <f>Skills!G25*IF(Skills!H25&gt;0,Skills!I25/Skills!H25,1)</f>
        <v/>
      </c>
      <c r="H556">
        <f>1-(1-Skills!J25/100)^Skills!K25</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Skills!A26</f>
        <v/>
      </c>
      <c r="B557">
        <f>Skills!B26</f>
        <v/>
      </c>
      <c r="C557">
        <f>Inputs!$B$3&gt;=125</f>
        <v/>
      </c>
      <c r="D557">
        <f>IF(Skills!C26=1,60+Inputs!$B$25+Inputs!$B$29,IF(Skills!C26=2,90+Inputs!$B$26+Inputs!$B$29,IF(Skills!C26=3,120+Inputs!$B$27+Inputs!$B$29,MAX(0,(Inputs!$B$3-100)*3)+Inputs!$B$28+Inputs!$B$29)))</f>
        <v/>
      </c>
      <c r="E557">
        <f>INDEX(FactorTable!$B$2:$Y$301, MATCH(ROUND(MIN(300,MAX(1,D557)),0), FactorTable!$A$2:$A$301,0), Skills!M26+1)</f>
        <v/>
      </c>
      <c r="F557">
        <f>IF(Skills!N26=TRUE,(Skills!L26/10)*(E557/1000),Skills!L26/10)+Skills!O26</f>
        <v/>
      </c>
      <c r="G557">
        <f>Skills!G26*IF(Skills!H26&gt;0,Skills!I26/Skills!H26,1)</f>
        <v/>
      </c>
      <c r="H557">
        <f>1-(1-Skills!J26/100)^Skills!K26</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Skills!A27</f>
        <v/>
      </c>
      <c r="B558">
        <f>Skills!B27</f>
        <v/>
      </c>
      <c r="C558">
        <f>Inputs!$B$3&gt;=125</f>
        <v/>
      </c>
      <c r="D558">
        <f>IF(Skills!C27=1,60+Inputs!$B$25+Inputs!$B$29,IF(Skills!C27=2,90+Inputs!$B$26+Inputs!$B$29,IF(Skills!C27=3,120+Inputs!$B$27+Inputs!$B$29,MAX(0,(Inputs!$B$3-100)*3)+Inputs!$B$28+Inputs!$B$29)))</f>
        <v/>
      </c>
      <c r="E558">
        <f>INDEX(FactorTable!$B$2:$Y$301, MATCH(ROUND(MIN(300,MAX(1,D558)),0), FactorTable!$A$2:$A$301,0), Skills!M27+1)</f>
        <v/>
      </c>
      <c r="F558">
        <f>IF(Skills!N27=TRUE,(Skills!L27/10)*(E558/1000),Skills!L27/10)+Skills!O27</f>
        <v/>
      </c>
      <c r="G558">
        <f>Skills!G27*IF(Skills!H27&gt;0,Skills!I27/Skills!H27,1)</f>
        <v/>
      </c>
      <c r="H558">
        <f>1-(1-Skills!J27/100)^Skills!K27</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Skills!A28</f>
        <v/>
      </c>
      <c r="B559">
        <f>Skills!B28</f>
        <v/>
      </c>
      <c r="C559">
        <f>Inputs!$B$3&gt;=120</f>
        <v/>
      </c>
      <c r="D559">
        <f>IF(Skills!C28=1,60+Inputs!$B$25+Inputs!$B$29,IF(Skills!C28=2,90+Inputs!$B$26+Inputs!$B$29,IF(Skills!C28=3,120+Inputs!$B$27+Inputs!$B$29,MAX(0,(Inputs!$B$3-100)*3)+Inputs!$B$28+Inputs!$B$29)))</f>
        <v/>
      </c>
      <c r="E559">
        <f>INDEX(FactorTable!$B$2:$Y$301, MATCH(ROUND(MIN(300,MAX(1,D559)),0), FactorTable!$A$2:$A$301,0), Skills!M28+1)</f>
        <v/>
      </c>
      <c r="F559">
        <f>IF(Skills!N28=TRUE,(Skills!L28/10)*(E559/1000),Skills!L28/10)+Skills!O28</f>
        <v/>
      </c>
      <c r="G559">
        <f>Skills!G28*IF(Skills!H28&gt;0,Skills!I28/Skills!H28,1)</f>
        <v/>
      </c>
      <c r="H559">
        <f>1-(1-Skills!J28/100)^Skills!K28</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Skills!A29</f>
        <v/>
      </c>
      <c r="B560">
        <f>Skills!B29</f>
        <v/>
      </c>
      <c r="C560">
        <f>Inputs!$B$3&gt;=120</f>
        <v/>
      </c>
      <c r="D560">
        <f>IF(Skills!C29=1,60+Inputs!$B$25+Inputs!$B$29,IF(Skills!C29=2,90+Inputs!$B$26+Inputs!$B$29,IF(Skills!C29=3,120+Inputs!$B$27+Inputs!$B$29,MAX(0,(Inputs!$B$3-100)*3)+Inputs!$B$28+Inputs!$B$29)))</f>
        <v/>
      </c>
      <c r="E560">
        <f>INDEX(FactorTable!$B$2:$Y$301, MATCH(ROUND(MIN(300,MAX(1,D560)),0), FactorTable!$A$2:$A$301,0), Skills!M29+1)</f>
        <v/>
      </c>
      <c r="F560">
        <f>IF(Skills!N29=TRUE,(Skills!L29/10)*(E560/1000),Skills!L29/10)+Skills!O29</f>
        <v/>
      </c>
      <c r="G560">
        <f>Skills!G29*IF(Skills!H29&gt;0,Skills!I29/Skills!H29,1)</f>
        <v/>
      </c>
      <c r="H560">
        <f>1-(1-Skills!J29/100)^Skills!K29</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Skills!A30</f>
        <v/>
      </c>
      <c r="B561">
        <f>Skills!B30</f>
        <v/>
      </c>
      <c r="C561">
        <f>Inputs!$B$3&gt;=45</f>
        <v/>
      </c>
      <c r="D561">
        <f>IF(Skills!C30=1,60+Inputs!$B$25+Inputs!$B$29,IF(Skills!C30=2,90+Inputs!$B$26+Inputs!$B$29,IF(Skills!C30=3,120+Inputs!$B$27+Inputs!$B$29,MAX(0,(Inputs!$B$3-100)*3)+Inputs!$B$28+Inputs!$B$29)))</f>
        <v/>
      </c>
      <c r="E561">
        <f>INDEX(FactorTable!$B$2:$Y$301, MATCH(ROUND(MIN(300,MAX(1,D561)),0), FactorTable!$A$2:$A$301,0), Skills!M30+1)</f>
        <v/>
      </c>
      <c r="F561">
        <f>IF(Skills!N30=TRUE,(Skills!L30/10)*(E561/1000),Skills!L30/10)+Skills!O30</f>
        <v/>
      </c>
      <c r="G561">
        <f>Skills!G30*IF(Skills!H30&gt;0,Skills!I30/Skills!H30,1)</f>
        <v/>
      </c>
      <c r="H561">
        <f>1-(1-Skills!J30/100)^Skills!K30</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4">
      <c r="A564" t="inlineStr">
        <is>
          <t>Global Crit Rate Bonus %</t>
        </is>
      </c>
      <c r="B564">
        <f>(C547=TRUE)*20*IF(AND(Inputs!$B$38&lt;&gt;"pvp",Inputs!$B$43&gt;0),(((R547-1)*(Skills!T16*(1+Inputs!$B$34/100))+MIN((Skills!T16*(1+Inputs!$B$34/100)),MAX(0,Inputs!$B$43-((R547-1)*Skills!D16))))/Inputs!$B$43),IF(Inputs!$B$38="pvp",MIN((Skills!T16*(1+Inputs!$B$34/100)),15)/15,(Skills!T16*(1+Inputs!$B$34/100))/Skills!D16))</f>
        <v/>
      </c>
    </row>
    <row r="565">
      <c r="A565" t="inlineStr">
        <is>
          <t>Attack Speed Buff Bonus %</t>
        </is>
      </c>
      <c r="B565">
        <f>((C550=TRUE)*F550*IF(AND(Inputs!$B$38&lt;&gt;"pvp",Inputs!$B$43&gt;0),(((R550-1)*(Skills!T19*(1+Inputs!$B$34/100))+MIN((Skills!T19*(1+Inputs!$B$34/100)),MAX(0,Inputs!$B$43-((R550-1)*Skills!D19))))/Inputs!$B$43),IF(Inputs!$B$38="pvp",MIN((Skills!T19*(1+Inputs!$B$34/100)),15)/15,(Skills!T19*(1+Inputs!$B$34/100))/Skills!D19)))</f>
        <v/>
      </c>
    </row>
    <row r="566">
      <c r="A566" t="inlineStr">
        <is>
          <t>Actions Per Second</t>
        </is>
      </c>
      <c r="B566">
        <f>1+MIN(150,150*(1-(1-(Inputs!$B$11+((C552=TRUE)*(F552-Calc!F21))+((C553=TRUE)*(F553-Calc!F22)))/150)*(1-B565/150)))/100</f>
        <v/>
      </c>
    </row>
    <row r="567">
      <c r="A567" t="inlineStr">
        <is>
          <t>Skill + Buff Cast Rate</t>
        </is>
      </c>
      <c r="B567">
        <f>IF(AND(Inputs!$B$38&lt;&gt;"pvp",Inputs!$B$43&gt;0),SUMPRODUCT((Skills!E2:E30=TRUE)*(C533:C561=TRUE)*R533:R561*Skills!F2:F30)/Inputs!$B$43,SUMPRODUCT((Skills!E2:E30=TRUE)*(C533:C561=TRUE)*Q533:Q561*Skills!F2:F30))</f>
        <v/>
      </c>
    </row>
    <row r="568">
      <c r="A568" t="inlineStr">
        <is>
          <t>Arrow Stream Casts Per Second</t>
        </is>
      </c>
      <c r="B568">
        <f>MAX(0,B566-B567)</f>
        <v/>
      </c>
    </row>
    <row r="569">
      <c r="A569" t="inlineStr">
        <is>
          <t>Global Critical Damage Bonus % (Sharp Eyes + Concentration)</t>
        </is>
      </c>
      <c r="B569">
        <f>(C547=TRUE)*F547*IF(AND(Inputs!$B$38&lt;&gt;"pvp",Inputs!$B$43&gt;0),(((R547-1)*(Skills!T16*(1+Inputs!$B$34/100))+MIN((Skills!T16*(1+Inputs!$B$34/100)),MAX(0,Inputs!$B$43-((R547-1)*Skills!D16))))/Inputs!$B$43),IF(Inputs!$B$38="pvp",MIN((Skills!T16*(1+Inputs!$B$34/100)),15)/15,(Skills!T16*(1+Inputs!$B$34/100))/Skills!D16))+(C548=TRUE)*30</f>
        <v/>
      </c>
    </row>
    <row r="570">
      <c r="A570" t="inlineStr">
        <is>
          <t>Global Final Damage Bonus % (Mortal Blow)</t>
        </is>
      </c>
      <c r="B570">
        <f>(C549=TRUE)*F549</f>
        <v/>
      </c>
    </row>
    <row r="571">
      <c r="A571" t="inlineStr">
        <is>
          <t>Buff-Casting Startup Delay (s, fixed-duration only)</t>
        </is>
      </c>
      <c r="B571">
        <f>IF(AND(Inputs!$B$38&lt;&gt;"pvp",Inputs!$B$43&gt;0),SUMPRODUCT((Skills!T2:T30&gt;0)*(Skills!E2:E30=TRUE)*(C533:C561=TRUE))/B566,0)</f>
        <v/>
      </c>
    </row>
    <row r="572">
      <c r="A572" t="inlineStr">
        <is>
          <t>Boss-Only Total DPS (this block's swept value)</t>
        </is>
      </c>
      <c r="B572">
        <f>SUM(T533:T561)</f>
        <v/>
      </c>
    </row>
    <row r="573">
      <c r="A573" t="inlineStr">
        <is>
          <t>Normal-Only Total DPS (this block's swept value)</t>
        </is>
      </c>
      <c r="B573">
        <f>SUM(V533:V561)</f>
        <v/>
      </c>
    </row>
    <row r="574">
      <c r="A574" s="6" t="inlineStr">
        <is>
          <t>TOTAL DPS</t>
        </is>
      </c>
      <c r="B574" s="6">
        <f>SUM(O533:O561)</f>
        <v/>
      </c>
    </row>
    <row r="577">
      <c r="A577" s="6" t="inlineStr">
        <is>
          <t>Stat: CRIT_DAMAGE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((Inputs!$B$6*(1+Inputs!$B$7/100))+(((Inputs!$B$12*(1+Inputs!$B$13/100))-(Inputs!$B$12*(1+Inputs!$B$13/100)))+0.25*(Inputs!$B$14-Inputs!$B$14))*(1+Inputs!$B$7/100))*(F579/100)</f>
        <v/>
      </c>
      <c r="K579">
        <f>J579*(1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601=TRUE)*(F601-Calc!F24)),(Inputs!$B$23+((C606=TRUE)*(F606-Calc!F29))+(IF(ArtifactsInput!$M$15,CHOOSE(ArtifactsInput!$N$15+1,25,30,35,40,45,50)/100*(Inputs!$B$11-Inputs!$B$11),0))))/100+(Inputs!$B$23+((C606=TRUE)*(F606-Calc!F29))+(IF(ArtifactsInput!$M$15,CHOOSE(ArtifactsInput!$N$15+1,25,30,35,40,45,50)/100*(Inputs!$B$11-Inputs!$B$11),0)))/100)/2</f>
        <v/>
      </c>
      <c r="M579">
        <f>L579*(1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IF(B620=0,0,O579/B620)</f>
        <v/>
      </c>
      <c r="Q579" t="n">
        <v>0</v>
      </c>
      <c r="R579" t="n">
        <v>0</v>
      </c>
      <c r="S579">
        <f>IFERROR(O579/N579,0)</f>
        <v/>
      </c>
      <c r="T579">
        <f>IF(C579,(Skills!G2*N579*B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579*(1-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MAX(0,(Inputs!$B$3-100)*3)+Inputs!$B$28+Inputs!$B$29</f>
        <v/>
      </c>
      <c r="V579">
        <f>IF(C579,(Skills!G2*N579*B614)*IF(Inputs!$B$38="pvp",1,(1+(Inputs!$B$21+Skills!Q2+(IF(ArtifactsInput!$M$33,CHOOSE(ArtifactsInput!$N$33+1,30,36,42,48,54,60),0))+(IF(AND(ArtifactsInput!$M$35,Inputs!$B$4&lt;&gt;"Chapter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Skills!A3</f>
        <v/>
      </c>
      <c r="B580">
        <f>Skills!B3</f>
        <v/>
      </c>
      <c r="C580">
        <f>Inputs!$B$3&gt;=50</f>
        <v/>
      </c>
      <c r="D580">
        <f>IF(Skills!C3=1,60+Inputs!$B$25+Inputs!$B$29,IF(Skills!C3=2,90+Inputs!$B$26+Inputs!$B$29,IF(Skills!C3=3,120+Inputs!$B$27+Inputs!$B$29,MAX(0,(Inputs!$B$3-100)*3)+Inputs!$B$28+Inputs!$B$29)))</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T580" t="inlineStr"/>
      <c r="U580">
        <f>INDEX(FactorTable!$B$2:$Y$301, MATCH(ROUND(MIN(300,MAX(1,U579)),0), FactorTable!$A$2:$A$301,0), 22)</f>
        <v/>
      </c>
      <c r="V580" t="inlineStr"/>
    </row>
    <row r="581">
      <c r="A581">
        <f>Skills!A4</f>
        <v/>
      </c>
      <c r="B581">
        <f>Skills!B4</f>
        <v/>
      </c>
      <c r="C581">
        <f>Inputs!$B$3&gt;=105</f>
        <v/>
      </c>
      <c r="D581">
        <f>IF(Skills!C4=1,60+Inputs!$B$25+Inputs!$B$29,IF(Skills!C4=2,90+Inputs!$B$26+Inputs!$B$29,IF(Skills!C4=3,120+Inputs!$B$27+Inputs!$B$29,MAX(0,(Inputs!$B$3-100)*3)+Inputs!$B$28+Inputs!$B$29)))</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T581" t="inlineStr"/>
      <c r="U581">
        <f>290*U580/1000</f>
        <v/>
      </c>
      <c r="V581" t="inlineStr"/>
    </row>
    <row r="582">
      <c r="A582">
        <f>Skills!A5</f>
        <v/>
      </c>
      <c r="B582">
        <f>Skills!B5</f>
        <v/>
      </c>
      <c r="C582">
        <f>Inputs!$B$3&gt;=35</f>
        <v/>
      </c>
      <c r="D582">
        <f>IF(Skills!C5=1,60+Inputs!$B$25+Inputs!$B$29,IF(Skills!C5=2,90+Inputs!$B$26+Inputs!$B$29,IF(Skills!C5=3,120+Inputs!$B$27+Inputs!$B$29,MAX(0,(Inputs!$B$3-100)*3)+Inputs!$B$28+Inputs!$B$29)))</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((Inputs!$B$6*(1+Inputs!$B$7/100))+(((Inputs!$B$12*(1+Inputs!$B$13/100))-(Inputs!$B$12*(1+Inputs!$B$13/100)))+0.25*(Inputs!$B$14-Inputs!$B$14))*(1+Inputs!$B$7/100))*(F582/100)</f>
        <v/>
      </c>
      <c r="K582">
        <f>J582*(1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587=TRUE,F587,0)/100)*(1+(IF(Skills!A5="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601=TRUE)*(F601-Calc!F24)),(Inputs!$B$23+((C606=TRUE)*(F606-Calc!F29))+(IF(ArtifactsInput!$M$15,CHOOSE(ArtifactsInput!$N$15+1,25,30,35,40,45,50)/100*(Inputs!$B$11-Inputs!$B$11),0))))/100+(Inputs!$B$23+((C606=TRUE)*(F606-Calc!F29))+(IF(ArtifactsInput!$M$15,CHOOSE(ArtifactsInput!$N$15+1,25,30,35,40,45,50)/100*(Inputs!$B$11-Inputs!$B$11),0)))/100)/2</f>
        <v/>
      </c>
      <c r="M582">
        <f>L582*(1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IF(B620=0,0,O582/B620)</f>
        <v/>
      </c>
      <c r="Q582">
        <f>IFERROR(1/(IF(Inputs!$B$38="pvp",15,MAX(0.1,Skills!D5-IF(Skills!E5=TRUE,Inputs!$B$32,0)))*(1-IF(AND(ArtifactsInput!$M$27,Inputs!$B$4="Chapter Hunt"),CHOOSE(ArtifactsInput!$N$27+1,20,24,28,32,36,40),0)/100)),0)</f>
        <v/>
      </c>
      <c r="R582">
        <f>IF(AND(Inputs!$B$38&lt;&gt;"pvp",Inputs!$B$43&gt;0),IF(MAX(0,Inputs!$B$43-B617)&lt;=0,0,(INT(MAX(0,Inputs!$B$43-B617)/(IF(Inputs!$B$38="pvp",15,MAX(0.1,Skills!D5-IF(Skills!E5=TRUE,Inputs!$B$32,0)))*(1-IF(AND(ArtifactsInput!$M$27,Inputs!$B$4="Chapter Hunt"),CHOOSE(ArtifactsInput!$N$27+1,20,24,28,32,36,40),0)/100)))+1)),0)</f>
        <v/>
      </c>
      <c r="S582">
        <f>IFERROR(O582/N582,0)</f>
        <v/>
      </c>
      <c r="T582">
        <f>IF(C582,(H582*N582*IF(AND(Inputs!$B$38&lt;&gt;"pvp",Inputs!$B$43&gt;0),((Skills!G5*((R582-1)*IF(Skills!H5&gt;0,Skills!I5/Skills!H5,1)+IF(Skills!H5&gt;0,MIN(Skills!I5,MAX(0,MAX(0,Inputs!$B$43-B617)-((R582-1)*(IF(Inputs!$B$38="pvp",15,MAX(0.1,Skills!D5-IF(Skills!E5=TRUE,Inputs!$B$32,0)))*(1-IF(AND(ArtifactsInput!$M$27,Inputs!$B$4="Chapter Hunt"),CHOOSE(ArtifactsInput!$N$27+1,20,24,28,32,36,40),0)/100)))))/Skills!H5,1)))/Inputs!$B$43),G582*Q582)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582*(1-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5*((R582-1)*IF(Skills!H5&gt;0,Skills!I5/Skills!H5,1)+IF(Skills!H5&gt;0,MIN(Skills!I5,MAX(0,MAX(0,Inputs!$B$43-B617)-((R582-1)*(IF(Inputs!$B$38="pvp",15,MAX(0.1,Skills!D5-IF(Skills!E5=TRUE,Inputs!$B$32,0)))*(1-IF(AND(ArtifactsInput!$M$27,Inputs!$B$4="Chapter Hunt"),CHOOSE(ArtifactsInput!$N$27+1,20,24,28,32,36,40),0)/100)))))/Skills!H5,1)))/Inputs!$B$43),G582*Q582))*IF(Inputs!$B$38="pvp",1,(1+(Inputs!$B$21+Skills!Q5+(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Inputs!$B$3&gt;=40</f>
        <v/>
      </c>
      <c r="D583">
        <f>IF(Skills!C6=1,60+Inputs!$B$25+Inputs!$B$29,IF(Skills!C6=2,90+Inputs!$B$26+Inputs!$B$29,IF(Skills!C6=3,120+Inputs!$B$27+Inputs!$B$29,MAX(0,(Inputs!$B$3-100)*3)+Inputs!$B$28+Inputs!$B$29)))</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((Inputs!$B$6*(1+Inputs!$B$7/100))+(((Inputs!$B$12*(1+Inputs!$B$13/100))-(Inputs!$B$12*(1+Inputs!$B$13/100)))+0.25*(Inputs!$B$14-Inputs!$B$14))*(1+Inputs!$B$7/100))*(F583/100)</f>
        <v/>
      </c>
      <c r="K583">
        <f>J583*(1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584=TRUE,F584,0)/100)*(1+(IF(Skills!A6="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601=TRUE)*(F601-Calc!F24)),(Inputs!$B$23+((C606=TRUE)*(F606-Calc!F29))+(IF(ArtifactsInput!$M$15,CHOOSE(ArtifactsInput!$N$15+1,25,30,35,40,45,50)/100*(Inputs!$B$11-Inputs!$B$11),0))))/100+(Inputs!$B$23+((C606=TRUE)*(F606-Calc!F29))+(IF(ArtifactsInput!$M$15,CHOOSE(ArtifactsInput!$N$15+1,25,30,35,40,45,50)/100*(Inputs!$B$11-Inputs!$B$11),0)))/100)/2</f>
        <v/>
      </c>
      <c r="M583">
        <f>L583*(1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IF(B620=0,0,O583/B620)</f>
        <v/>
      </c>
      <c r="Q583">
        <f>IFERROR(1/(IF(Inputs!$B$38="pvp",15,MAX(0.1,Skills!D6-IF(Skills!E6=TRUE,Inputs!$B$32,0)))*(1-IF(AND(ArtifactsInput!$M$27,Inputs!$B$4="Chapter Hunt"),CHOOSE(ArtifactsInput!$N$27+1,20,24,28,32,36,40),0)/100)),0)</f>
        <v/>
      </c>
      <c r="R583">
        <f>IF(AND(Inputs!$B$38&lt;&gt;"pvp",Inputs!$B$43&gt;0),IF(MAX(0,Inputs!$B$43-B617)&lt;=0,0,(INT(MAX(0,Inputs!$B$43-B617)/(IF(Inputs!$B$38="pvp",15,MAX(0.1,Skills!D6-IF(Skills!E6=TRUE,Inputs!$B$32,0)))*(1-IF(AND(ArtifactsInput!$M$27,Inputs!$B$4="Chapter Hunt"),CHOOSE(ArtifactsInput!$N$27+1,20,24,28,32,36,40),0)/100)))+1)),0)</f>
        <v/>
      </c>
      <c r="S583">
        <f>IFERROR(O583/N583,0)</f>
        <v/>
      </c>
      <c r="T583">
        <f>IF(C583,(H583*N583*IF(AND(Inputs!$B$38&lt;&gt;"pvp",Inputs!$B$43&gt;0),((Skills!G6*((R583-1)*IF(Skills!H6&gt;0,Skills!I6/Skills!H6,1)+IF(Skills!H6&gt;0,MIN(Skills!I6,MAX(0,MAX(0,Inputs!$B$43-B617)-((R583-1)*(IF(Inputs!$B$38="pvp",15,MAX(0.1,Skills!D6-IF(Skills!E6=TRUE,Inputs!$B$32,0)))*(1-IF(AND(ArtifactsInput!$M$27,Inputs!$B$4="Chapter Hunt"),CHOOSE(ArtifactsInput!$N$27+1,20,24,28,32,36,40),0)/100)))))/Skills!H6,1)))/Inputs!$B$43),G583*Q583)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583*(1-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6*((R583-1)*IF(Skills!H6&gt;0,Skills!I6/Skills!H6,1)+IF(Skills!H6&gt;0,MIN(Skills!I6,MAX(0,MAX(0,Inputs!$B$43-B617)-((R583-1)*(IF(Inputs!$B$38="pvp",15,MAX(0.1,Skills!D6-IF(Skills!E6=TRUE,Inputs!$B$32,0)))*(1-IF(AND(ArtifactsInput!$M$27,Inputs!$B$4="Chapter Hunt"),CHOOSE(ArtifactsInput!$N$27+1,20,24,28,32,36,40),0)/100)))))/Skills!H6,1)))/Inputs!$B$43),G583*Q583))*IF(Inputs!$B$38="pvp",1,(1+(Inputs!$B$21+Skills!Q6+(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Inputs!$B$3&gt;=107</f>
        <v/>
      </c>
      <c r="D584">
        <f>IF(Skills!C7=1,60+Inputs!$B$25+Inputs!$B$29,IF(Skills!C7=2,90+Inputs!$B$26+Inputs!$B$29,IF(Skills!C7=3,120+Inputs!$B$27+Inputs!$B$29,MAX(0,(Inputs!$B$3-100)*3)+Inputs!$B$28+Inputs!$B$29)))</f>
        <v/>
      </c>
      <c r="E584">
        <f>INDEX(FactorTable!$B$2:$Y$301, MATCH(ROUND(MIN(300,MAX(1,D584)),0), FactorTable!$A$2:$A$301,0), Skills!M7+1)</f>
        <v/>
      </c>
      <c r="F584">
        <f>IF(Skills!N7=TRUE,(Skills!L7/10)*(E584/1000),Skills!L7/10)+Skills!O7</f>
        <v/>
      </c>
      <c r="G584" t="inlineStr"/>
      <c r="H584" t="inlineStr"/>
      <c r="I584" t="inlineStr">
        <is>
          <t>1</t>
        </is>
      </c>
      <c r="J584" t="inlineStr"/>
      <c r="K584" t="inlineStr"/>
      <c r="L584" t="inlineStr"/>
      <c r="M584" t="inlineStr"/>
      <c r="N584" t="inlineStr"/>
      <c r="O584" t="inlineStr"/>
      <c r="P584" t="inlineStr"/>
      <c r="Q584" t="inlineStr"/>
      <c r="R584" t="inlineStr"/>
      <c r="S584" t="inlineStr"/>
      <c r="T584" t="inlineStr"/>
      <c r="V584" t="inlineStr"/>
    </row>
    <row r="585">
      <c r="A585">
        <f>Skills!A8</f>
        <v/>
      </c>
      <c r="B585">
        <f>Skills!B8</f>
        <v/>
      </c>
      <c r="C585">
        <f>Inputs!$B$3&gt;=69</f>
        <v/>
      </c>
      <c r="D585">
        <f>IF(Skills!C8=1,60+Inputs!$B$25+Inputs!$B$29,IF(Skills!C8=2,90+Inputs!$B$26+Inputs!$B$29,IF(Skills!C8=3,120+Inputs!$B$27+Inputs!$B$29,MAX(0,(Inputs!$B$3-100)*3)+Inputs!$B$28+Inputs!$B$29)))</f>
        <v/>
      </c>
      <c r="E585">
        <f>INDEX(FactorTable!$B$2:$Y$301, MATCH(ROUND(MIN(300,MAX(1,D585)),0), FactorTable!$A$2:$A$301,0), Skills!M8+1)</f>
        <v/>
      </c>
      <c r="F585">
        <f>IF(Skills!N8=TRUE,(Skills!L8/10)*(E585/1000),Skills!L8/10)+Skills!O8</f>
        <v/>
      </c>
      <c r="G585">
        <f>Skills!G8*IF(Skills!H8&gt;0,Skills!I8/Skills!H8,1)</f>
        <v/>
      </c>
      <c r="H585">
        <f>1-(1-Skills!J8/100)^Skills!K8</f>
        <v/>
      </c>
      <c r="I585" t="inlineStr">
        <is>
          <t>1</t>
        </is>
      </c>
      <c r="J585">
        <f>((Inputs!$B$6*(1+Inputs!$B$7/100))+(((Inputs!$B$12*(1+Inputs!$B$13/100))-(Inputs!$B$12*(1+Inputs!$B$13/100)))+0.25*(Inputs!$B$14-Inputs!$B$14))*(1+Inputs!$B$7/100))*(F585/100)</f>
        <v/>
      </c>
      <c r="K585">
        <f>J585*(1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587=TRUE,F587,0)/100)*(1+(IF(Skills!A8="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601=TRUE)*(F601-Calc!F24)),(Inputs!$B$23+((C606=TRUE)*(F606-Calc!F29))+(IF(ArtifactsInput!$M$15,CHOOSE(ArtifactsInput!$N$15+1,25,30,35,40,45,50)/100*(Inputs!$B$11-Inputs!$B$11),0))))/100+(Inputs!$B$23+((C606=TRUE)*(F606-Calc!F29))+(IF(ArtifactsInput!$M$15,CHOOSE(ArtifactsInput!$N$15+1,25,30,35,40,45,50)/100*(Inputs!$B$11-Inputs!$B$11),0)))/100)/2</f>
        <v/>
      </c>
      <c r="M585">
        <f>L585*(1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IF(B620=0,0,O585/B620)</f>
        <v/>
      </c>
      <c r="Q585">
        <f>IFERROR(1/(IF(Inputs!$B$38="pvp",15,MAX(0.1,Skills!D8-IF(Skills!E8=TRUE,Inputs!$B$32,0)))*(1-IF(AND(ArtifactsInput!$M$27,Inputs!$B$4="Chapter Hunt"),CHOOSE(ArtifactsInput!$N$27+1,20,24,28,32,36,40),0)/100)),0)</f>
        <v/>
      </c>
      <c r="R585">
        <f>IF(AND(Inputs!$B$38&lt;&gt;"pvp",Inputs!$B$43&gt;0),IF(MAX(0,Inputs!$B$43-B617)&lt;=0,0,(INT(MAX(0,Inputs!$B$43-B617)/(IF(Inputs!$B$38="pvp",15,MAX(0.1,Skills!D8-IF(Skills!E8=TRUE,Inputs!$B$32,0)))*(1-IF(AND(ArtifactsInput!$M$27,Inputs!$B$4="Chapter Hunt"),CHOOSE(ArtifactsInput!$N$27+1,20,24,28,32,36,40),0)/100)))+1)),0)</f>
        <v/>
      </c>
      <c r="S585">
        <f>IFERROR(O585/N585,0)</f>
        <v/>
      </c>
      <c r="T585">
        <f>IF(C585,(H585*N585*IF(AND(Inputs!$B$38&lt;&gt;"pvp",Inputs!$B$43&gt;0),((Skills!G8*((R585-1)*IF(Skills!H8&gt;0,Skills!I8/Skills!H8,1)+IF(Skills!H8&gt;0,MIN(Skills!I8,MAX(0,MAX(0,Inputs!$B$43-B617)-((R585-1)*(IF(Inputs!$B$38="pvp",15,MAX(0.1,Skills!D8-IF(Skills!E8=TRUE,Inputs!$B$32,0)))*(1-IF(AND(ArtifactsInput!$M$27,Inputs!$B$4="Chapter Hunt"),CHOOSE(ArtifactsInput!$N$27+1,20,24,28,32,36,40),0)/100)))))/Skills!H8,1)))/Inputs!$B$43),G585*Q585)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585*(1-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8*((R585-1)*IF(Skills!H8&gt;0,Skills!I8/Skills!H8,1)+IF(Skills!H8&gt;0,MIN(Skills!I8,MAX(0,MAX(0,Inputs!$B$43-B617)-((R585-1)*(IF(Inputs!$B$38="pvp",15,MAX(0.1,Skills!D8-IF(Skills!E8=TRUE,Inputs!$B$32,0)))*(1-IF(AND(ArtifactsInput!$M$27,Inputs!$B$4="Chapter Hunt"),CHOOSE(ArtifactsInput!$N$27+1,20,24,28,32,36,40),0)/100)))))/Skills!H8,1)))/Inputs!$B$43),G585*Q585))*IF(Inputs!$B$38="pvp",1,(1+(Inputs!$B$21+Skills!Q8+(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Inputs!$B$3&gt;=63</f>
        <v/>
      </c>
      <c r="D586">
        <f>IF(Skills!C9=1,60+Inputs!$B$25+Inputs!$B$29,IF(Skills!C9=2,90+Inputs!$B$26+Inputs!$B$29,IF(Skills!C9=3,120+Inputs!$B$27+Inputs!$B$29,MAX(0,(Inputs!$B$3-100)*3)+Inputs!$B$28+Inputs!$B$29)))</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((Inputs!$B$6*(1+Inputs!$B$7/100))+(((Inputs!$B$12*(1+Inputs!$B$13/100))-(Inputs!$B$12*(1+Inputs!$B$13/100)))+0.25*(Inputs!$B$14-Inputs!$B$14))*(1+Inputs!$B$7/100))*(F586/100)</f>
        <v/>
      </c>
      <c r="K586">
        <f>J586*(1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587=TRUE,F587,0)/100)*(1+(IF(Skills!A9="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601=TRUE)*(F601-Calc!F24)),(Inputs!$B$23+((C606=TRUE)*(F606-Calc!F29))+(IF(ArtifactsInput!$M$15,CHOOSE(ArtifactsInput!$N$15+1,25,30,35,40,45,50)/100*(Inputs!$B$11-Inputs!$B$11),0))))/100+(Inputs!$B$23+((C606=TRUE)*(F606-Calc!F29))+(IF(ArtifactsInput!$M$15,CHOOSE(ArtifactsInput!$N$15+1,25,30,35,40,45,50)/100*(Inputs!$B$11-Inputs!$B$11),0)))/100)/2</f>
        <v/>
      </c>
      <c r="M586">
        <f>L586*(1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IF(B620=0,0,O586/B620)</f>
        <v/>
      </c>
      <c r="Q586">
        <f>IFERROR(1/(IF(Inputs!$B$38="pvp",15,MAX(0.1,Skills!D9-IF(Skills!E9=TRUE,Inputs!$B$32,0)))*(1-IF(AND(ArtifactsInput!$M$27,Inputs!$B$4="Chapter Hunt"),CHOOSE(ArtifactsInput!$N$27+1,20,24,28,32,36,40),0)/100)),0)</f>
        <v/>
      </c>
      <c r="R586">
        <f>IF(AND(Inputs!$B$38&lt;&gt;"pvp",Inputs!$B$43&gt;0),IF(MAX(0,Inputs!$B$43-B617)&lt;=0,0,(INT(MAX(0,Inputs!$B$43-B617)/(IF(Inputs!$B$38="pvp",15,MAX(0.1,Skills!D9-IF(Skills!E9=TRUE,Inputs!$B$32,0)))*(1-IF(AND(ArtifactsInput!$M$27,Inputs!$B$4="Chapter Hunt"),CHOOSE(ArtifactsInput!$N$27+1,20,24,28,32,36,40),0)/100)))+1)),0)</f>
        <v/>
      </c>
      <c r="S586">
        <f>IFERROR(O586/N586,0)</f>
        <v/>
      </c>
      <c r="T586">
        <f>IF(C586,(H586*N586*IF(AND(Inputs!$B$38&lt;&gt;"pvp",Inputs!$B$43&gt;0),((Skills!G9*((R586-1)*IF(Skills!H9&gt;0,Skills!I9/Skills!H9,1)+IF(Skills!H9&gt;0,MIN(Skills!I9,MAX(0,MAX(0,Inputs!$B$43-B617)-((R586-1)*(IF(Inputs!$B$38="pvp",15,MAX(0.1,Skills!D9-IF(Skills!E9=TRUE,Inputs!$B$32,0)))*(1-IF(AND(ArtifactsInput!$M$27,Inputs!$B$4="Chapter Hunt"),CHOOSE(ArtifactsInput!$N$27+1,20,24,28,32,36,40),0)/100)))))/Skills!H9,1)))/Inputs!$B$43),G586*Q586)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586*(1-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9*((R586-1)*IF(Skills!H9&gt;0,Skills!I9/Skills!H9,1)+IF(Skills!H9&gt;0,MIN(Skills!I9,MAX(0,MAX(0,Inputs!$B$43-B617)-((R586-1)*(IF(Inputs!$B$38="pvp",15,MAX(0.1,Skills!D9-IF(Skills!E9=TRUE,Inputs!$B$32,0)))*(1-IF(AND(ArtifactsInput!$M$27,Inputs!$B$4="Chapter Hunt"),CHOOSE(ArtifactsInput!$N$27+1,20,24,28,32,36,40),0)/100)))))/Skills!H9,1)))/Inputs!$B$43),G586*Q586))*IF(Inputs!$B$38="pvp",1,(1+(Inputs!$B$21+Skills!Q9+(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Inputs!$B$3&gt;=100</f>
        <v/>
      </c>
      <c r="D587">
        <f>IF(Skills!C10=1,60+Inputs!$B$25+Inputs!$B$29,IF(Skills!C10=2,90+Inputs!$B$26+Inputs!$B$29,IF(Skills!C10=3,120+Inputs!$B$27+Inputs!$B$29,MAX(0,(Inputs!$B$3-100)*3)+Inputs!$B$28+Inputs!$B$29)))</f>
        <v/>
      </c>
      <c r="E587">
        <f>INDEX(FactorTable!$B$2:$Y$301, MATCH(ROUND(MIN(300,MAX(1,D587)),0), FactorTable!$A$2:$A$301,0), Skills!M10+1)</f>
        <v/>
      </c>
      <c r="F587">
        <f>IF(Skills!N10=TRUE,(Skills!L10/10)*(E587/1000),Skills!L10/10)+Skills!O10</f>
        <v/>
      </c>
      <c r="G587" t="inlineStr"/>
      <c r="H587" t="inlineStr"/>
      <c r="I587" t="inlineStr">
        <is>
          <t>1</t>
        </is>
      </c>
      <c r="J587" t="inlineStr"/>
      <c r="K587" t="inlineStr"/>
      <c r="L587" t="inlineStr"/>
      <c r="M587" t="inlineStr"/>
      <c r="N587" t="inlineStr"/>
      <c r="O587" t="inlineStr"/>
      <c r="P587" t="inlineStr"/>
      <c r="Q587" t="inlineStr"/>
      <c r="R587" t="inlineStr"/>
      <c r="S587" t="inlineStr"/>
      <c r="T587" t="inlineStr"/>
      <c r="V587" t="inlineStr"/>
    </row>
    <row r="588">
      <c r="A588">
        <f>Skills!A11</f>
        <v/>
      </c>
      <c r="B588">
        <f>Skills!B11</f>
        <v/>
      </c>
      <c r="C588">
        <f>Inputs!$B$3&gt;=60</f>
        <v/>
      </c>
      <c r="D588">
        <f>IF(Skills!C11=1,60+Inputs!$B$25+Inputs!$B$29,IF(Skills!C11=2,90+Inputs!$B$26+Inputs!$B$29,IF(Skills!C11=3,120+Inputs!$B$27+Inputs!$B$29,MAX(0,(Inputs!$B$3-100)*3)+Inputs!$B$28+Inputs!$B$29)))</f>
        <v/>
      </c>
      <c r="E588">
        <f>INDEX(FactorTable!$B$2:$Y$301, MATCH(ROUND(MIN(300,MAX(1,D588)),0), FactorTable!$A$2:$A$301,0), Skills!M11+1)</f>
        <v/>
      </c>
      <c r="F588">
        <f>IF(Skills!N11=TRUE,(Skills!L11/10)*(E588/1000),Skills!L11/10)+Skills!O11</f>
        <v/>
      </c>
      <c r="G588">
        <f>Skills!G11*IF(Skills!H11&gt;0,Skills!I11/Skills!H11,1)</f>
        <v/>
      </c>
      <c r="H588">
        <f>1-(1-Skills!J11/100)^Skills!K11</f>
        <v/>
      </c>
      <c r="I588" t="inlineStr">
        <is>
          <t>1</t>
        </is>
      </c>
      <c r="J588">
        <f>((Inputs!$B$6*(1+Inputs!$B$7/100))+(((Inputs!$B$12*(1+Inputs!$B$13/100))-(Inputs!$B$12*(1+Inputs!$B$13/100)))+0.25*(Inputs!$B$14-Inputs!$B$14))*(1+Inputs!$B$7/100))*(F588/100)</f>
        <v/>
      </c>
      <c r="K588">
        <f>J588*(1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589=TRUE,F589,0)/100)*(1+(IF(Skills!A11="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601=TRUE)*(F601-Calc!F24)),(Inputs!$B$23+((C606=TRUE)*(F606-Calc!F29))+(IF(ArtifactsInput!$M$15,CHOOSE(ArtifactsInput!$N$15+1,25,30,35,40,45,50)/100*(Inputs!$B$11-Inputs!$B$11),0))))/100+(Inputs!$B$23+((C606=TRUE)*(F606-Calc!F29))+(IF(ArtifactsInput!$M$15,CHOOSE(ArtifactsInput!$N$15+1,25,30,35,40,45,50)/100*(Inputs!$B$11-Inputs!$B$11),0)))/100)/2</f>
        <v/>
      </c>
      <c r="M588">
        <f>L588*(1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IF(B620=0,0,O588/B620)</f>
        <v/>
      </c>
      <c r="Q588">
        <f>IFERROR(1/(IF(Inputs!$B$38="pvp",15,MAX(0.1,Skills!D11-IF(Skills!E11=TRUE,Inputs!$B$32,0)))*(1-IF(AND(ArtifactsInput!$M$27,Inputs!$B$4="Chapter Hunt"),CHOOSE(ArtifactsInput!$N$27+1,20,24,28,32,36,40),0)/100)),0)</f>
        <v/>
      </c>
      <c r="R588">
        <f>IF(AND(Inputs!$B$38&lt;&gt;"pvp",Inputs!$B$43&gt;0),IF(MAX(0,Inputs!$B$43-B617)&lt;=0,0,(INT(MAX(0,Inputs!$B$43-B617)/(IF(Inputs!$B$38="pvp",15,MAX(0.1,Skills!D11-IF(Skills!E11=TRUE,Inputs!$B$32,0)))*(1-IF(AND(ArtifactsInput!$M$27,Inputs!$B$4="Chapter Hunt"),CHOOSE(ArtifactsInput!$N$27+1,20,24,28,32,36,40),0)/100)))+1)),0)</f>
        <v/>
      </c>
      <c r="S588">
        <f>IFERROR(O588/N588,0)</f>
        <v/>
      </c>
      <c r="T588">
        <f>IF(C588,(H588*N588*IF(AND(Inputs!$B$38&lt;&gt;"pvp",Inputs!$B$43&gt;0),((Skills!G11*((R588-1)*IF(Skills!H11&gt;0,Skills!I11/Skills!H11,1)+IF(Skills!H11&gt;0,MIN(Skills!I11,MAX(0,MAX(0,Inputs!$B$43-B617)-((R588-1)*(IF(Inputs!$B$38="pvp",15,MAX(0.1,Skills!D11-IF(Skills!E11=TRUE,Inputs!$B$32,0)))*(1-IF(AND(ArtifactsInput!$M$27,Inputs!$B$4="Chapter Hunt"),CHOOSE(ArtifactsInput!$N$27+1,20,24,28,32,36,40),0)/100)))))/Skills!H11,1)))/Inputs!$B$43),G588*Q588)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588*(1-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11*((R588-1)*IF(Skills!H11&gt;0,Skills!I11/Skills!H11,1)+IF(Skills!H11&gt;0,MIN(Skills!I11,MAX(0,MAX(0,Inputs!$B$43-B617)-((R588-1)*(IF(Inputs!$B$38="pvp",15,MAX(0.1,Skills!D11-IF(Skills!E11=TRUE,Inputs!$B$32,0)))*(1-IF(AND(ArtifactsInput!$M$27,Inputs!$B$4="Chapter Hunt"),CHOOSE(ArtifactsInput!$N$27+1,20,24,28,32,36,40),0)/100)))))/Skills!H11,1)))/Inputs!$B$43),G588*Q588))*IF(Inputs!$B$38="pvp",1,(1+(Inputs!$B$21+Skills!Q11+(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Inputs!$B$3&gt;=110</f>
        <v/>
      </c>
      <c r="D589">
        <f>IF(Skills!C12=1,60+Inputs!$B$25+Inputs!$B$29,IF(Skills!C12=2,90+Inputs!$B$26+Inputs!$B$29,IF(Skills!C12=3,120+Inputs!$B$27+Inputs!$B$29,MAX(0,(Inputs!$B$3-100)*3)+Inputs!$B$28+Inputs!$B$29)))</f>
        <v/>
      </c>
      <c r="E589">
        <f>INDEX(FactorTable!$B$2:$Y$301, MATCH(ROUND(MIN(300,MAX(1,D589)),0), FactorTable!$A$2:$A$301,0), Skills!M12+1)</f>
        <v/>
      </c>
      <c r="F589">
        <f>IF(Skills!N12=TRUE,(Skills!L12/10)*(E589/1000),Skills!L12/10)+Skills!O12</f>
        <v/>
      </c>
      <c r="G589" t="inlineStr"/>
      <c r="H589" t="inlineStr"/>
      <c r="I589" t="inlineStr">
        <is>
          <t>1</t>
        </is>
      </c>
      <c r="J589" t="inlineStr"/>
      <c r="K589" t="inlineStr"/>
      <c r="L589" t="inlineStr"/>
      <c r="M589" t="inlineStr"/>
      <c r="N589" t="inlineStr"/>
      <c r="O589" t="inlineStr"/>
      <c r="P589" t="inlineStr"/>
      <c r="Q589" t="inlineStr"/>
      <c r="R589" t="inlineStr"/>
      <c r="S589" t="inlineStr"/>
      <c r="T589" t="inlineStr"/>
      <c r="V589" t="inlineStr"/>
    </row>
    <row r="590">
      <c r="A590">
        <f>Skills!A13</f>
        <v/>
      </c>
      <c r="B590">
        <f>Skills!B13</f>
        <v/>
      </c>
      <c r="C590">
        <f>Inputs!$B$3&gt;=74</f>
        <v/>
      </c>
      <c r="D590">
        <f>IF(Skills!C13=1,60+Inputs!$B$25+Inputs!$B$29,IF(Skills!C13=2,90+Inputs!$B$26+Inputs!$B$29,IF(Skills!C13=3,120+Inputs!$B$27+Inputs!$B$29,MAX(0,(Inputs!$B$3-100)*3)+Inputs!$B$28+Inputs!$B$29)))</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IF(B620=0,0,O590/B620)</f>
        <v/>
      </c>
      <c r="Q590" t="n">
        <v>0</v>
      </c>
      <c r="R590" t="n">
        <v>0</v>
      </c>
      <c r="S590">
        <f>IFERROR(O590/N590,0)</f>
        <v/>
      </c>
      <c r="T590" t="n">
        <v>0</v>
      </c>
      <c r="V590" t="n">
        <v>0</v>
      </c>
    </row>
    <row r="591">
      <c r="A591">
        <f>Skills!A14</f>
        <v/>
      </c>
      <c r="B591">
        <f>Skills!B14</f>
        <v/>
      </c>
      <c r="C591">
        <f>Inputs!$B$3&gt;=74</f>
        <v/>
      </c>
      <c r="D591">
        <f>IF(Skills!C14=1,60+Inputs!$B$25+Inputs!$B$29,IF(Skills!C14=2,90+Inputs!$B$26+Inputs!$B$29,IF(Skills!C14=3,120+Inputs!$B$27+Inputs!$B$29,MAX(0,(Inputs!$B$3-100)*3)+Inputs!$B$28+Inputs!$B$29)))</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IF(B620=0,0,O591/B620)</f>
        <v/>
      </c>
      <c r="Q591" t="n">
        <v>0</v>
      </c>
      <c r="R591" t="n">
        <v>0</v>
      </c>
      <c r="S591">
        <f>IFERROR(O591/N591,0)</f>
        <v/>
      </c>
      <c r="T591" t="n">
        <v>0</v>
      </c>
      <c r="V591" t="n">
        <v>0</v>
      </c>
    </row>
    <row r="592">
      <c r="A592">
        <f>Skills!A15</f>
        <v/>
      </c>
      <c r="B592">
        <f>Skills!B15</f>
        <v/>
      </c>
      <c r="C592">
        <f>Inputs!$B$3&gt;=117</f>
        <v/>
      </c>
      <c r="D592">
        <f>IF(Skills!C15=1,60+Inputs!$B$25+Inputs!$B$29,IF(Skills!C15=2,90+Inputs!$B$26+Inputs!$B$29,IF(Skills!C15=3,120+Inputs!$B$27+Inputs!$B$29,MAX(0,(Inputs!$B$3-100)*3)+Inputs!$B$28+Inputs!$B$29)))</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IF(B620=0,0,O592/B620)</f>
        <v/>
      </c>
      <c r="Q592">
        <f>IFERROR(1/(IF(Inputs!$B$38="pvp",15,MAX(0.1,Skills!D15-IF(Skills!E15=TRUE,Inputs!$B$32,0)))*(1-IF(AND(ArtifactsInput!$M$27,Inputs!$B$4="Chapter Hunt"),CHOOSE(ArtifactsInput!$N$27+1,20,24,28,32,36,40),0)/100)),0)</f>
        <v/>
      </c>
      <c r="R592">
        <f>IF(AND(Inputs!$B$38&lt;&gt;"pvp",Inputs!$B$43&gt;0),IF(Inputs!$B$43&lt;=0,0,(INT(Inputs!$B$43/(IF(Inputs!$B$38="pvp",15,MAX(0.1,Skills!D15-IF(Skills!E15=TRUE,Inputs!$B$32,0)))*(1-IF(AND(ArtifactsInput!$M$27,Inputs!$B$4="Chapter Hunt"),CHOOSE(ArtifactsInput!$N$27+1,20,24,28,32,36,40),0)/100)))+1)),0)</f>
        <v/>
      </c>
      <c r="S592">
        <f>IFERROR(O592/N592,0)</f>
        <v/>
      </c>
      <c r="T592" t="n">
        <v>0</v>
      </c>
      <c r="V592" t="n">
        <v>0</v>
      </c>
    </row>
    <row r="593">
      <c r="A593">
        <f>Skills!A16</f>
        <v/>
      </c>
      <c r="B593">
        <f>Skills!B16</f>
        <v/>
      </c>
      <c r="C593">
        <f>Inputs!$B$3&gt;=115</f>
        <v/>
      </c>
      <c r="D593">
        <f>IF(Skills!C16=1,60+Inputs!$B$25+Inputs!$B$29,IF(Skills!C16=2,90+Inputs!$B$26+Inputs!$B$29,IF(Skills!C16=3,120+Inputs!$B$27+Inputs!$B$29,MAX(0,(Inputs!$B$3-100)*3)+Inputs!$B$28+Inputs!$B$29)))</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IF(B620=0,0,O593/B620)</f>
        <v/>
      </c>
      <c r="Q593">
        <f>IFERROR(1/(IF(Inputs!$B$38="pvp",15,MAX(0.1,Skills!D16-IF(Skills!E16=TRUE,Inputs!$B$32,0)))*(1-IF(AND(ArtifactsInput!$M$27,Inputs!$B$4="Chapter Hunt"),CHOOSE(ArtifactsInput!$N$27+1,20,24,28,32,36,40),0)/100)),0)</f>
        <v/>
      </c>
      <c r="R593">
        <f>IF(AND(Inputs!$B$38&lt;&gt;"pvp",Inputs!$B$43&gt;0),IF(Inputs!$B$43&lt;=0,0,(INT(Inputs!$B$43/(IF(Inputs!$B$38="pvp",15,MAX(0.1,Skills!D16-IF(Skills!E16=TRUE,Inputs!$B$32,0)))*(1-IF(AND(ArtifactsInput!$M$27,Inputs!$B$4="Chapter Hunt"),CHOOSE(ArtifactsInput!$N$27+1,20,24,28,32,36,40),0)/100)))+1)),0)</f>
        <v/>
      </c>
      <c r="S593">
        <f>IFERROR(O593/N593,0)</f>
        <v/>
      </c>
      <c r="T593" t="n">
        <v>0</v>
      </c>
      <c r="V593" t="n">
        <v>0</v>
      </c>
    </row>
    <row r="594">
      <c r="A594">
        <f>Skills!A17</f>
        <v/>
      </c>
      <c r="B594">
        <f>Skills!B17</f>
        <v/>
      </c>
      <c r="C594">
        <f>Inputs!$B$3&gt;=66</f>
        <v/>
      </c>
      <c r="D594">
        <f>IF(Skills!C17=1,60+Inputs!$B$25+Inputs!$B$29,IF(Skills!C17=2,90+Inputs!$B$26+Inputs!$B$29,IF(Skills!C17=3,120+Inputs!$B$27+Inputs!$B$29,MAX(0,(Inputs!$B$3-100)*3)+Inputs!$B$28+Inputs!$B$29)))</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IF(B620=0,0,O594/B620)</f>
        <v/>
      </c>
      <c r="Q594" t="n">
        <v>0</v>
      </c>
      <c r="R594" t="n">
        <v>0</v>
      </c>
      <c r="S594">
        <f>IFERROR(O594/N594,0)</f>
        <v/>
      </c>
      <c r="T594" t="n">
        <v>0</v>
      </c>
      <c r="V594" t="n">
        <v>0</v>
      </c>
    </row>
    <row r="595">
      <c r="A595">
        <f>Skills!A18</f>
        <v/>
      </c>
      <c r="B595">
        <f>Skills!B18</f>
        <v/>
      </c>
      <c r="C595">
        <f>Inputs!$B$3&gt;=72</f>
        <v/>
      </c>
      <c r="D595">
        <f>IF(Skills!C18=1,60+Inputs!$B$25+Inputs!$B$29,IF(Skills!C18=2,90+Inputs!$B$26+Inputs!$B$29,IF(Skills!C18=3,120+Inputs!$B$27+Inputs!$B$29,MAX(0,(Inputs!$B$3-100)*3)+Inputs!$B$28+Inputs!$B$29)))</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IF(B620=0,0,O595/B620)</f>
        <v/>
      </c>
      <c r="Q595" t="n">
        <v>0</v>
      </c>
      <c r="R595" t="n">
        <v>0</v>
      </c>
      <c r="S595">
        <f>IFERROR(O595/N595,0)</f>
        <v/>
      </c>
      <c r="T595" t="n">
        <v>0</v>
      </c>
      <c r="V595" t="n">
        <v>0</v>
      </c>
    </row>
    <row r="596">
      <c r="A596">
        <f>Skills!A19</f>
        <v/>
      </c>
      <c r="B596">
        <f>Skills!B19</f>
        <v/>
      </c>
      <c r="C596">
        <f>TRUE</f>
        <v/>
      </c>
      <c r="D596">
        <f>IF(Skills!C19=1,60+Inputs!$B$25+Inputs!$B$29,IF(Skills!C19=2,90+Inputs!$B$26+Inputs!$B$29,IF(Skills!C19=3,120+Inputs!$B$27+Inputs!$B$29,MAX(0,(Inputs!$B$3-100)*3)+Inputs!$B$28+Inputs!$B$29)))</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IF(B620=0,0,O596/B620)</f>
        <v/>
      </c>
      <c r="Q596">
        <f>IFERROR(1/(IF(Inputs!$B$38="pvp",15,MAX(0.1,Skills!D19-IF(Skills!E19=TRUE,Inputs!$B$32,0)))*(1-IF(AND(ArtifactsInput!$M$27,Inputs!$B$4="Chapter Hunt"),CHOOSE(ArtifactsInput!$N$27+1,20,24,28,32,36,40),0)/100)),0)</f>
        <v/>
      </c>
      <c r="R596">
        <f>IF(AND(Inputs!$B$38&lt;&gt;"pvp",Inputs!$B$43&gt;0),IF(Inputs!$B$43&lt;=0,0,(INT(Inputs!$B$43/(IF(Inputs!$B$38="pvp",15,MAX(0.1,Skills!D19-IF(Skills!E19=TRUE,Inputs!$B$32,0)))*(1-IF(AND(ArtifactsInput!$M$27,Inputs!$B$4="Chapter Hunt"),CHOOSE(ArtifactsInput!$N$27+1,20,24,28,32,36,40),0)/100)))+1)),0)</f>
        <v/>
      </c>
      <c r="S596">
        <f>IFERROR(O596/N596,0)</f>
        <v/>
      </c>
      <c r="T596" t="n">
        <v>0</v>
      </c>
      <c r="V596" t="n">
        <v>0</v>
      </c>
    </row>
    <row r="597">
      <c r="A597">
        <f>Skills!A20</f>
        <v/>
      </c>
      <c r="B597">
        <f>Skills!B20</f>
        <v/>
      </c>
      <c r="C597">
        <f>Inputs!$B$3&gt;=15</f>
        <v/>
      </c>
      <c r="D597">
        <f>IF(Skills!C20=1,60+Inputs!$B$25+Inputs!$B$29,IF(Skills!C20=2,90+Inputs!$B$26+Inputs!$B$29,IF(Skills!C20=3,120+Inputs!$B$27+Inputs!$B$29,MAX(0,(Inputs!$B$3-100)*3)+Inputs!$B$28+Inputs!$B$29)))</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IF(B620=0,0,O597/B620)</f>
        <v/>
      </c>
      <c r="Q597" t="n">
        <v>0</v>
      </c>
      <c r="R597" t="n">
        <v>0</v>
      </c>
      <c r="S597">
        <f>IFERROR(O597/N597,0)</f>
        <v/>
      </c>
      <c r="T597" t="n">
        <v>0</v>
      </c>
      <c r="V597" t="n">
        <v>0</v>
      </c>
    </row>
    <row r="598">
      <c r="A598">
        <f>Skills!A21</f>
        <v/>
      </c>
      <c r="B598">
        <f>Skills!B21</f>
        <v/>
      </c>
      <c r="C598">
        <f>Inputs!$B$3&gt;=10</f>
        <v/>
      </c>
      <c r="D598">
        <f>IF(Skills!C21=1,60+Inputs!$B$25+Inputs!$B$29,IF(Skills!C21=2,90+Inputs!$B$26+Inputs!$B$29,IF(Skills!C21=3,120+Inputs!$B$27+Inputs!$B$29,MAX(0,(Inputs!$B$3-100)*3)+Inputs!$B$28+Inputs!$B$29)))</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IF(B620=0,0,O598/B620)</f>
        <v/>
      </c>
      <c r="Q598" t="n">
        <v>0</v>
      </c>
      <c r="R598" t="n">
        <v>0</v>
      </c>
      <c r="S598">
        <f>IFERROR(O598/N598,0)</f>
        <v/>
      </c>
      <c r="T598" t="n">
        <v>0</v>
      </c>
      <c r="V598" t="n">
        <v>0</v>
      </c>
    </row>
    <row r="599">
      <c r="A599">
        <f>Skills!A22</f>
        <v/>
      </c>
      <c r="B599">
        <f>Skills!B22</f>
        <v/>
      </c>
      <c r="C599">
        <f>Inputs!$B$3&gt;=33</f>
        <v/>
      </c>
      <c r="D599">
        <f>IF(Skills!C22=1,60+Inputs!$B$25+Inputs!$B$29,IF(Skills!C22=2,90+Inputs!$B$26+Inputs!$B$29,IF(Skills!C22=3,120+Inputs!$B$27+Inputs!$B$29,MAX(0,(Inputs!$B$3-100)*3)+Inputs!$B$28+Inputs!$B$29)))</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IF(B620=0,0,O599/B620)</f>
        <v/>
      </c>
      <c r="Q599" t="n">
        <v>0</v>
      </c>
      <c r="R599" t="n">
        <v>0</v>
      </c>
      <c r="S599">
        <f>IFERROR(O599/N599,0)</f>
        <v/>
      </c>
      <c r="T599" t="n">
        <v>0</v>
      </c>
      <c r="V599" t="n">
        <v>0</v>
      </c>
    </row>
    <row r="600">
      <c r="A600">
        <f>Skills!A23</f>
        <v/>
      </c>
      <c r="B600">
        <f>Skills!B23</f>
        <v/>
      </c>
      <c r="C600">
        <f>Inputs!$B$3&gt;=38</f>
        <v/>
      </c>
      <c r="D600">
        <f>IF(Skills!C23=1,60+Inputs!$B$25+Inputs!$B$29,IF(Skills!C23=2,90+Inputs!$B$26+Inputs!$B$29,IF(Skills!C23=3,120+Inputs!$B$27+Inputs!$B$29,MAX(0,(Inputs!$B$3-100)*3)+Inputs!$B$28+Inputs!$B$29)))</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IF(B620=0,0,O600/B620)</f>
        <v/>
      </c>
      <c r="Q600" t="n">
        <v>0</v>
      </c>
      <c r="R600" t="n">
        <v>0</v>
      </c>
      <c r="S600">
        <f>IFERROR(O600/N600,0)</f>
        <v/>
      </c>
      <c r="T600" t="n">
        <v>0</v>
      </c>
      <c r="V600" t="n">
        <v>0</v>
      </c>
    </row>
    <row r="601">
      <c r="A601">
        <f>Skills!A24</f>
        <v/>
      </c>
      <c r="B601">
        <f>Skills!B24</f>
        <v/>
      </c>
      <c r="C601">
        <f>Inputs!$B$3&gt;=43</f>
        <v/>
      </c>
      <c r="D601">
        <f>IF(Skills!C24=1,60+Inputs!$B$25+Inputs!$B$29,IF(Skills!C24=2,90+Inputs!$B$26+Inputs!$B$29,IF(Skills!C24=3,120+Inputs!$B$27+Inputs!$B$29,MAX(0,(Inputs!$B$3-100)*3)+Inputs!$B$28+Inputs!$B$29)))</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IF(B620=0,0,O601/B620)</f>
        <v/>
      </c>
      <c r="Q601" t="n">
        <v>0</v>
      </c>
      <c r="R601" t="n">
        <v>0</v>
      </c>
      <c r="S601">
        <f>IFERROR(O601/N601,0)</f>
        <v/>
      </c>
      <c r="T601" t="n">
        <v>0</v>
      </c>
      <c r="V601" t="n">
        <v>0</v>
      </c>
    </row>
    <row r="602">
      <c r="A602">
        <f>Skills!A25</f>
        <v/>
      </c>
      <c r="B602">
        <f>Skills!B25</f>
        <v/>
      </c>
      <c r="C602">
        <f>Inputs!$B$3&gt;=75</f>
        <v/>
      </c>
      <c r="D602">
        <f>IF(Skills!C25=1,60+Inputs!$B$25+Inputs!$B$29,IF(Skills!C25=2,90+Inputs!$B$26+Inputs!$B$29,IF(Skills!C25=3,120+Inputs!$B$27+Inputs!$B$29,MAX(0,(Inputs!$B$3-100)*3)+Inputs!$B$28+Inputs!$B$29)))</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IF(B620=0,0,O602/B620)</f>
        <v/>
      </c>
      <c r="Q602" t="n">
        <v>0</v>
      </c>
      <c r="R602" t="n">
        <v>0</v>
      </c>
      <c r="S602">
        <f>IFERROR(O602/N602,0)</f>
        <v/>
      </c>
      <c r="T602" t="n">
        <v>0</v>
      </c>
      <c r="V602" t="n">
        <v>0</v>
      </c>
    </row>
    <row r="603">
      <c r="A603">
        <f>Skills!A26</f>
        <v/>
      </c>
      <c r="B603">
        <f>Skills!B26</f>
        <v/>
      </c>
      <c r="C603">
        <f>Inputs!$B$3&gt;=125</f>
        <v/>
      </c>
      <c r="D603">
        <f>IF(Skills!C26=1,60+Inputs!$B$25+Inputs!$B$29,IF(Skills!C26=2,90+Inputs!$B$26+Inputs!$B$29,IF(Skills!C26=3,120+Inputs!$B$27+Inputs!$B$29,MAX(0,(Inputs!$B$3-100)*3)+Inputs!$B$28+Inputs!$B$29)))</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IF(B620=0,0,O603/B620)</f>
        <v/>
      </c>
      <c r="Q603" t="n">
        <v>0</v>
      </c>
      <c r="R603" t="n">
        <v>0</v>
      </c>
      <c r="S603">
        <f>IFERROR(O603/N603,0)</f>
        <v/>
      </c>
      <c r="T603" t="n">
        <v>0</v>
      </c>
      <c r="V603" t="n">
        <v>0</v>
      </c>
    </row>
    <row r="604">
      <c r="A604">
        <f>Skills!A27</f>
        <v/>
      </c>
      <c r="B604">
        <f>Skills!B27</f>
        <v/>
      </c>
      <c r="C604">
        <f>Inputs!$B$3&gt;=125</f>
        <v/>
      </c>
      <c r="D604">
        <f>IF(Skills!C27=1,60+Inputs!$B$25+Inputs!$B$29,IF(Skills!C27=2,90+Inputs!$B$26+Inputs!$B$29,IF(Skills!C27=3,120+Inputs!$B$27+Inputs!$B$29,MAX(0,(Inputs!$B$3-100)*3)+Inputs!$B$28+Inputs!$B$29)))</f>
        <v/>
      </c>
      <c r="E604">
        <f>INDEX(FactorTable!$B$2:$Y$301, MATCH(ROUND(MIN(300,MAX(1,D604)),0), FactorTable!$A$2:$A$301,0), Skills!M27+1)</f>
        <v/>
      </c>
      <c r="F604">
        <f>IF(Skills!N27=TRUE,(Skills!L27/10)*(E604/1000),Skills!L27/10)+Skills!O27</f>
        <v/>
      </c>
      <c r="G604">
        <f>Skills!G27*IF(Skills!H27&gt;0,Skills!I27/Skills!H27,1)</f>
        <v/>
      </c>
      <c r="H604">
        <f>1-(1-Skills!J27/100)^Skills!K27</f>
        <v/>
      </c>
      <c r="I604" t="inlineStr">
        <is>
          <t>1</t>
        </is>
      </c>
      <c r="J604" t="inlineStr"/>
      <c r="K604" t="inlineStr"/>
      <c r="L604" t="inlineStr"/>
      <c r="M604" t="inlineStr"/>
      <c r="N604" t="inlineStr"/>
      <c r="O604">
        <f>(1-Summary!$B$11)*T604+Summary!$B$11*V604</f>
        <v/>
      </c>
      <c r="P604">
        <f>IF(B620=0,0,O604/B620)</f>
        <v/>
      </c>
      <c r="Q604" t="n">
        <v>0</v>
      </c>
      <c r="R604" t="n">
        <v>0</v>
      </c>
      <c r="S604">
        <f>IFERROR(O604/N604,0)</f>
        <v/>
      </c>
      <c r="T604" t="n">
        <v>0</v>
      </c>
      <c r="V604" t="n">
        <v>0</v>
      </c>
    </row>
    <row r="605">
      <c r="A605">
        <f>Skills!A28</f>
        <v/>
      </c>
      <c r="B605">
        <f>Skills!B28</f>
        <v/>
      </c>
      <c r="C605">
        <f>Inputs!$B$3&gt;=120</f>
        <v/>
      </c>
      <c r="D605">
        <f>IF(Skills!C28=1,60+Inputs!$B$25+Inputs!$B$29,IF(Skills!C28=2,90+Inputs!$B$26+Inputs!$B$29,IF(Skills!C28=3,120+Inputs!$B$27+Inputs!$B$29,MAX(0,(Inputs!$B$3-100)*3)+Inputs!$B$28+Inputs!$B$29)))</f>
        <v/>
      </c>
      <c r="E605">
        <f>INDEX(FactorTable!$B$2:$Y$301, MATCH(ROUND(MIN(300,MAX(1,D605)),0), FactorTable!$A$2:$A$301,0), Skills!M28+1)</f>
        <v/>
      </c>
      <c r="F605">
        <f>IF(Skills!N28=TRUE,(Skills!L28/10)*(E605/1000),Skills!L28/10)+Skills!O28</f>
        <v/>
      </c>
      <c r="G605">
        <f>Skills!G28*IF(Skills!H28&gt;0,Skills!I28/Skills!H28,1)</f>
        <v/>
      </c>
      <c r="H605">
        <f>1-(1-Skills!J28/100)^Skills!K28</f>
        <v/>
      </c>
      <c r="I605" t="inlineStr">
        <is>
          <t>1</t>
        </is>
      </c>
      <c r="J605" t="inlineStr"/>
      <c r="K605" t="inlineStr"/>
      <c r="L605" t="inlineStr"/>
      <c r="M605" t="inlineStr"/>
      <c r="N605" t="inlineStr"/>
      <c r="O605">
        <f>(1-Summary!$B$11)*T605+Summary!$B$11*V605</f>
        <v/>
      </c>
      <c r="P605">
        <f>IF(B620=0,0,O605/B620)</f>
        <v/>
      </c>
      <c r="Q605" t="n">
        <v>0</v>
      </c>
      <c r="R605" t="n">
        <v>0</v>
      </c>
      <c r="S605">
        <f>IFERROR(O605/N605,0)</f>
        <v/>
      </c>
      <c r="T605" t="n">
        <v>0</v>
      </c>
      <c r="V605" t="n">
        <v>0</v>
      </c>
    </row>
    <row r="606">
      <c r="A606">
        <f>Skills!A29</f>
        <v/>
      </c>
      <c r="B606">
        <f>Skills!B29</f>
        <v/>
      </c>
      <c r="C606">
        <f>Inputs!$B$3&gt;=120</f>
        <v/>
      </c>
      <c r="D606">
        <f>IF(Skills!C29=1,60+Inputs!$B$25+Inputs!$B$29,IF(Skills!C29=2,90+Inputs!$B$26+Inputs!$B$29,IF(Skills!C29=3,120+Inputs!$B$27+Inputs!$B$29,MAX(0,(Inputs!$B$3-100)*3)+Inputs!$B$28+Inputs!$B$29)))</f>
        <v/>
      </c>
      <c r="E606">
        <f>INDEX(FactorTable!$B$2:$Y$301, MATCH(ROUND(MIN(300,MAX(1,D606)),0), FactorTable!$A$2:$A$301,0), Skills!M29+1)</f>
        <v/>
      </c>
      <c r="F606">
        <f>IF(Skills!N29=TRUE,(Skills!L29/10)*(E606/1000),Skills!L29/10)+Skills!O29</f>
        <v/>
      </c>
      <c r="G606">
        <f>Skills!G29*IF(Skills!H29&gt;0,Skills!I29/Skills!H29,1)</f>
        <v/>
      </c>
      <c r="H606">
        <f>1-(1-Skills!J29/100)^Skills!K29</f>
        <v/>
      </c>
      <c r="I606" t="inlineStr">
        <is>
          <t>1</t>
        </is>
      </c>
      <c r="J606" t="inlineStr"/>
      <c r="K606" t="inlineStr"/>
      <c r="L606" t="inlineStr"/>
      <c r="M606" t="inlineStr"/>
      <c r="N606" t="inlineStr"/>
      <c r="O606">
        <f>(1-Summary!$B$11)*T606+Summary!$B$11*V606</f>
        <v/>
      </c>
      <c r="P606">
        <f>IF(B620=0,0,O606/B620)</f>
        <v/>
      </c>
      <c r="Q606" t="n">
        <v>0</v>
      </c>
      <c r="R606" t="n">
        <v>0</v>
      </c>
      <c r="S606">
        <f>IFERROR(O606/N606,0)</f>
        <v/>
      </c>
      <c r="T606" t="n">
        <v>0</v>
      </c>
      <c r="V606" t="n">
        <v>0</v>
      </c>
    </row>
    <row r="607">
      <c r="A607">
        <f>Skills!A30</f>
        <v/>
      </c>
      <c r="B607">
        <f>Skills!B30</f>
        <v/>
      </c>
      <c r="C607">
        <f>Inputs!$B$3&gt;=45</f>
        <v/>
      </c>
      <c r="D607">
        <f>IF(Skills!C30=1,60+Inputs!$B$25+Inputs!$B$29,IF(Skills!C30=2,90+Inputs!$B$26+Inputs!$B$29,IF(Skills!C30=3,120+Inputs!$B$27+Inputs!$B$29,MAX(0,(Inputs!$B$3-100)*3)+Inputs!$B$28+Inputs!$B$29)))</f>
        <v/>
      </c>
      <c r="E607">
        <f>INDEX(FactorTable!$B$2:$Y$301, MATCH(ROUND(MIN(300,MAX(1,D607)),0), FactorTable!$A$2:$A$301,0), Skills!M30+1)</f>
        <v/>
      </c>
      <c r="F607">
        <f>IF(Skills!N30=TRUE,(Skills!L30/10)*(E607/1000),Skills!L30/10)+Skills!O30</f>
        <v/>
      </c>
      <c r="G607">
        <f>Skills!G30*IF(Skills!H30&gt;0,Skills!I30/Skills!H30,1)</f>
        <v/>
      </c>
      <c r="H607">
        <f>1-(1-Skills!J30/100)^Skills!K30</f>
        <v/>
      </c>
      <c r="I607" t="inlineStr">
        <is>
          <t>1</t>
        </is>
      </c>
      <c r="J607" t="inlineStr"/>
      <c r="K607" t="inlineStr"/>
      <c r="L607" t="inlineStr"/>
      <c r="M607" t="inlineStr"/>
      <c r="N607" t="inlineStr"/>
      <c r="O607">
        <f>(1-Summary!$B$11)*T607+Summary!$B$11*V607</f>
        <v/>
      </c>
      <c r="P607">
        <f>IF(B620=0,0,O607/B620)</f>
        <v/>
      </c>
      <c r="Q607" t="n">
        <v>0</v>
      </c>
      <c r="R607" t="n">
        <v>0</v>
      </c>
      <c r="S607">
        <f>IFERROR(O607/N607,0)</f>
        <v/>
      </c>
      <c r="T607" t="n">
        <v>0</v>
      </c>
      <c r="V607" t="n">
        <v>0</v>
      </c>
    </row>
    <row r="609">
      <c r="A609" t="inlineStr">
        <is>
          <t>Attack% Bucket Multiplier</t>
        </is>
      </c>
      <c r="B609">
        <f>(1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0">
      <c r="A610" t="inlineStr">
        <is>
          <t>Global Crit Rate Bonus %</t>
        </is>
      </c>
      <c r="B610">
        <f>(C593=TRUE)*20*IF(AND(Inputs!$B$38&lt;&gt;"pvp",Inputs!$B$43&gt;0),(((R593-1)*(Skills!T16*(1+Inputs!$B$34/100))+MIN((Skills!T16*(1+Inputs!$B$34/100)),MAX(0,Inputs!$B$43-((R593-1)*Skills!D16))))/Inputs!$B$43),IF(Inputs!$B$38="pvp",MIN((Skills!T16*(1+Inputs!$B$34/100)),15)/15,(Skills!T16*(1+Inputs!$B$34/100))/Skills!D16))</f>
        <v/>
      </c>
    </row>
    <row r="611">
      <c r="A611" t="inlineStr">
        <is>
          <t>Attack Speed Buff Bonus %</t>
        </is>
      </c>
      <c r="B611">
        <f>((C596=TRUE)*F596*IF(AND(Inputs!$B$38&lt;&gt;"pvp",Inputs!$B$43&gt;0),(((R596-1)*(Skills!T19*(1+Inputs!$B$34/100))+MIN((Skills!T19*(1+Inputs!$B$34/100)),MAX(0,Inputs!$B$43-((R596-1)*Skills!D19))))/Inputs!$B$43),IF(Inputs!$B$38="pvp",MIN((Skills!T19*(1+Inputs!$B$34/100)),15)/15,(Skills!T19*(1+Inputs!$B$34/100))/Skills!D19)))</f>
        <v/>
      </c>
    </row>
    <row r="612">
      <c r="A612" t="inlineStr">
        <is>
          <t>Actions Per Second</t>
        </is>
      </c>
      <c r="B612">
        <f>1+MIN(150,150*(1-(1-(Inputs!$B$11+((C598=TRUE)*(F598-Calc!F21))+((C599=TRUE)*(F599-Calc!F22)))/150)*(1-B611/150)))/100</f>
        <v/>
      </c>
    </row>
    <row r="613">
      <c r="A613" t="inlineStr">
        <is>
          <t>Skill + Buff Cast Rate</t>
        </is>
      </c>
      <c r="B613">
        <f>IF(AND(Inputs!$B$38&lt;&gt;"pvp",Inputs!$B$43&gt;0),SUMPRODUCT((Skills!E2:E30=TRUE)*(C579:C607=TRUE)*R579:R607*Skills!F2:F30)/Inputs!$B$43,SUMPRODUCT((Skills!E2:E30=TRUE)*(C579:C607=TRUE)*Q579:Q607*Skills!F2:F30))</f>
        <v/>
      </c>
    </row>
    <row r="614">
      <c r="A614" t="inlineStr">
        <is>
          <t>Arrow Stream Casts Per Second</t>
        </is>
      </c>
      <c r="B614">
        <f>MAX(0,B612-B613)</f>
        <v/>
      </c>
    </row>
    <row r="615">
      <c r="A615" t="inlineStr">
        <is>
          <t>Global Critical Damage Bonus % (Sharp Eyes + Concentration)</t>
        </is>
      </c>
      <c r="B615">
        <f>(C593=TRUE)*F593*IF(AND(Inputs!$B$38&lt;&gt;"pvp",Inputs!$B$43&gt;0),(((R593-1)*(Skills!T16*(1+Inputs!$B$34/100))+MIN((Skills!T16*(1+Inputs!$B$34/100)),MAX(0,Inputs!$B$43-((R593-1)*Skills!D16))))/Inputs!$B$43),IF(Inputs!$B$38="pvp",MIN((Skills!T16*(1+Inputs!$B$34/100)),15)/15,(Skills!T16*(1+Inputs!$B$34/100))/Skills!D16))+(C594=TRUE)*30</f>
        <v/>
      </c>
    </row>
    <row r="616">
      <c r="A616" t="inlineStr">
        <is>
          <t>Global Final Damage Bonus % (Mortal Blow)</t>
        </is>
      </c>
      <c r="B616">
        <f>(C595=TRUE)*F595</f>
        <v/>
      </c>
    </row>
    <row r="617">
      <c r="A617" t="inlineStr">
        <is>
          <t>Buff-Casting Startup Delay (s, fixed-duration only)</t>
        </is>
      </c>
      <c r="B617">
        <f>IF(AND(Inputs!$B$38&lt;&gt;"pvp",Inputs!$B$43&gt;0),SUMPRODUCT((Skills!T2:T30&gt;0)*(Skills!E2:E30=TRUE)*(C579:C607=TRUE))/B612,0)</f>
        <v/>
      </c>
    </row>
    <row r="618">
      <c r="A618" t="inlineStr">
        <is>
          <t>Boss-Only Total DPS (this block's swept value)</t>
        </is>
      </c>
      <c r="B618">
        <f>SUM(T579:T607)</f>
        <v/>
      </c>
    </row>
    <row r="619">
      <c r="A619" t="inlineStr">
        <is>
          <t>Normal-Only Total DPS (this block's swept value)</t>
        </is>
      </c>
      <c r="B619">
        <f>SUM(V579:V607)</f>
        <v/>
      </c>
    </row>
    <row r="620">
      <c r="A620" s="6" t="inlineStr">
        <is>
          <t>TOTAL DPS</t>
        </is>
      </c>
      <c r="B620" s="6">
        <f>SUM(O579:O607)</f>
        <v/>
      </c>
    </row>
    <row r="623">
      <c r="A623" s="6" t="inlineStr">
        <is>
          <t>Stat: ATTACK_SPEED % (diminishing returns, factor 150)</t>
        </is>
      </c>
    </row>
    <row r="624">
      <c r="A624" s="5" t="inlineStr">
        <is>
          <t>Key</t>
        </is>
      </c>
      <c r="B624" s="5" t="inlineStr">
        <is>
          <t>Name</t>
        </is>
      </c>
      <c r="C624" s="5" t="inlineStr">
        <is>
          <t>Unlocked</t>
        </is>
      </c>
      <c r="D624" s="5" t="inlineStr">
        <is>
          <t>InputLevel</t>
        </is>
      </c>
      <c r="E624" s="5" t="inlineStr">
        <is>
          <t>Factor</t>
        </is>
      </c>
      <c r="F624" s="5" t="inlineStr">
        <is>
          <t>CoefficientPercent</t>
        </is>
      </c>
      <c r="G624" s="5" t="inlineStr">
        <is>
          <t>EffectiveHits</t>
        </is>
      </c>
      <c r="H624" s="5" t="inlineStr">
        <is>
          <t>ProcProbability</t>
        </is>
      </c>
      <c r="I624" s="5" t="inlineStr">
        <is>
          <t>MapleHeroMultiplier</t>
        </is>
      </c>
      <c r="J624" s="5" t="inlineStr">
        <is>
          <t>BaseDamage</t>
        </is>
      </c>
      <c r="K624" s="5" t="inlineStr">
        <is>
          <t>BaseHitDamage</t>
        </is>
      </c>
      <c r="L624" s="5" t="inlineStr">
        <is>
          <t>NonCritAvg</t>
        </is>
      </c>
      <c r="M624" s="5" t="inlineStr">
        <is>
          <t>CritAvg</t>
        </is>
      </c>
      <c r="N624" s="5" t="inlineStr">
        <is>
          <t>ExpectedDamage(perHit)</t>
        </is>
      </c>
      <c r="O624" s="5" t="inlineStr">
        <is>
          <t>DPS</t>
        </is>
      </c>
      <c r="P624" s="5" t="inlineStr">
        <is>
          <t>% of Total</t>
        </is>
      </c>
      <c r="Q624" s="5" t="inlineStr">
        <is>
          <t>InvCooldown</t>
        </is>
      </c>
      <c r="R624" s="5" t="inlineStr">
        <is>
          <t>CastsInFight</t>
        </is>
      </c>
      <c r="S624" s="5" t="inlineStr">
        <is>
          <t>HitRate(perSec)</t>
        </is>
      </c>
      <c r="U624" t="inlineStr">
        <is>
          <t>helpers</t>
        </is>
      </c>
    </row>
    <row r="625">
      <c r="A625">
        <f>Skills!A2</f>
        <v/>
      </c>
      <c r="B625">
        <f>Skills!B2</f>
        <v/>
      </c>
      <c r="C625">
        <f>Inputs!$B$3&gt;=100</f>
        <v/>
      </c>
      <c r="D625" t="inlineStr"/>
      <c r="E625" t="inlineStr"/>
      <c r="F625">
        <f>U627+Skills!O2</f>
        <v/>
      </c>
      <c r="G625">
        <f>Skills!G2*IF(Skills!H2&gt;0,Skills!I2/Skills!H2,1)</f>
        <v/>
      </c>
      <c r="H625">
        <f>1-(1-Skills!J2/100)^Skills!K2</f>
        <v/>
      </c>
      <c r="I625" t="inlineStr">
        <is>
          <t>1</t>
        </is>
      </c>
      <c r="J625">
        <f>((Inputs!$B$6*(1+Inputs!$B$7/100))+(((Inputs!$B$12*(1+Inputs!$B$13/100))-(Inputs!$B$12*(1+Inputs!$B$13/100)))+0.25*(Inputs!$B$14-Inputs!$B$14))*(1+Inputs!$B$7/100))*(F625/100)</f>
        <v/>
      </c>
      <c r="K625">
        <f>J625*(1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5">
        <f>L625*(1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IF(B666=0,0,O625/B666)</f>
        <v/>
      </c>
      <c r="Q625" t="n">
        <v>0</v>
      </c>
      <c r="R625" t="n">
        <v>0</v>
      </c>
      <c r="S625">
        <f>IFERROR(O625/N625,0)</f>
        <v/>
      </c>
      <c r="T625">
        <f>IF(C625,(Skills!G2*N625*B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625*(1-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MAX(0,(Inputs!$B$3-100)*3)+Inputs!$B$28+Inputs!$B$29</f>
        <v/>
      </c>
      <c r="V625">
        <f>IF(C625,(Skills!G2*N625*B660)*IF(Inputs!$B$38="pvp",1,(1+(Inputs!$B$21+Skills!Q2+(IF(ArtifactsInput!$M$33,CHOOSE(ArtifactsInput!$N$33+1,30,36,42,48,54,60),0))+(IF(AND(ArtifactsInput!$M$35,Inputs!$B$4&lt;&gt;"Chapter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Skills!A3</f>
        <v/>
      </c>
      <c r="B626">
        <f>Skills!B3</f>
        <v/>
      </c>
      <c r="C626">
        <f>Inputs!$B$3&gt;=50</f>
        <v/>
      </c>
      <c r="D626">
        <f>IF(Skills!C3=1,60+Inputs!$B$25+Inputs!$B$29,IF(Skills!C3=2,90+Inputs!$B$26+Inputs!$B$29,IF(Skills!C3=3,120+Inputs!$B$27+Inputs!$B$29,MAX(0,(Inputs!$B$3-100)*3)+Inputs!$B$28+Inputs!$B$29)))</f>
        <v/>
      </c>
      <c r="E626">
        <f>INDEX(FactorTable!$B$2:$Y$301, MATCH(ROUND(MIN(300,MAX(1,D626)),0), FactorTable!$A$2:$A$301,0), Skills!M3+1)</f>
        <v/>
      </c>
      <c r="F626">
        <f>IF(Skills!N3=TRUE,(Skills!L3/10)*(E626/1000),Skills!L3/10)+Skills!O3</f>
        <v/>
      </c>
      <c r="G626" t="inlineStr"/>
      <c r="H626" t="inlineStr"/>
      <c r="I626" t="inlineStr">
        <is>
          <t>1</t>
        </is>
      </c>
      <c r="J626" t="inlineStr"/>
      <c r="K626" t="inlineStr"/>
      <c r="L626" t="inlineStr"/>
      <c r="M626" t="inlineStr"/>
      <c r="N626" t="inlineStr"/>
      <c r="O626" t="inlineStr"/>
      <c r="P626" t="inlineStr"/>
      <c r="Q626" t="inlineStr"/>
      <c r="R626" t="inlineStr"/>
      <c r="S626" t="inlineStr"/>
      <c r="T626" t="inlineStr"/>
      <c r="U626">
        <f>INDEX(FactorTable!$B$2:$Y$301, MATCH(ROUND(MIN(300,MAX(1,U625)),0), FactorTable!$A$2:$A$301,0), 22)</f>
        <v/>
      </c>
      <c r="V626" t="inlineStr"/>
    </row>
    <row r="627">
      <c r="A627">
        <f>Skills!A4</f>
        <v/>
      </c>
      <c r="B627">
        <f>Skills!B4</f>
        <v/>
      </c>
      <c r="C627">
        <f>Inputs!$B$3&gt;=105</f>
        <v/>
      </c>
      <c r="D627">
        <f>IF(Skills!C4=1,60+Inputs!$B$25+Inputs!$B$29,IF(Skills!C4=2,90+Inputs!$B$26+Inputs!$B$29,IF(Skills!C4=3,120+Inputs!$B$27+Inputs!$B$29,MAX(0,(Inputs!$B$3-100)*3)+Inputs!$B$28+Inputs!$B$29)))</f>
        <v/>
      </c>
      <c r="E627">
        <f>INDEX(FactorTable!$B$2:$Y$301, MATCH(ROUND(MIN(300,MAX(1,D627)),0), FactorTable!$A$2:$A$301,0), Skills!M4+1)</f>
        <v/>
      </c>
      <c r="F627">
        <f>IF(Skills!N4=TRUE,(Skills!L4/10)*(E627/1000),Skills!L4/10)+Skills!O4</f>
        <v/>
      </c>
      <c r="G627" t="inlineStr"/>
      <c r="H627" t="inlineStr"/>
      <c r="I627" t="inlineStr">
        <is>
          <t>1</t>
        </is>
      </c>
      <c r="J627" t="inlineStr"/>
      <c r="K627" t="inlineStr"/>
      <c r="L627" t="inlineStr"/>
      <c r="M627" t="inlineStr"/>
      <c r="N627" t="inlineStr"/>
      <c r="O627" t="inlineStr"/>
      <c r="P627" t="inlineStr"/>
      <c r="Q627" t="inlineStr"/>
      <c r="R627" t="inlineStr"/>
      <c r="S627" t="inlineStr"/>
      <c r="T627" t="inlineStr"/>
      <c r="U627">
        <f>290*U626/1000</f>
        <v/>
      </c>
      <c r="V627" t="inlineStr"/>
    </row>
    <row r="628">
      <c r="A628">
        <f>Skills!A5</f>
        <v/>
      </c>
      <c r="B628">
        <f>Skills!B5</f>
        <v/>
      </c>
      <c r="C628">
        <f>Inputs!$B$3&gt;=35</f>
        <v/>
      </c>
      <c r="D628">
        <f>IF(Skills!C5=1,60+Inputs!$B$25+Inputs!$B$29,IF(Skills!C5=2,90+Inputs!$B$26+Inputs!$B$29,IF(Skills!C5=3,120+Inputs!$B$27+Inputs!$B$29,MAX(0,(Inputs!$B$3-100)*3)+Inputs!$B$28+Inputs!$B$29)))</f>
        <v/>
      </c>
      <c r="E628">
        <f>INDEX(FactorTable!$B$2:$Y$301, MATCH(ROUND(MIN(300,MAX(1,D628)),0), FactorTable!$A$2:$A$301,0), Skills!M5+1)</f>
        <v/>
      </c>
      <c r="F628">
        <f>IF(Skills!N5=TRUE,(Skills!L5/10)*(E628/1000),Skills!L5/10)+Skills!O5</f>
        <v/>
      </c>
      <c r="G628">
        <f>Skills!G5*IF(Skills!H5&gt;0,Skills!I5/Skills!H5,1)</f>
        <v/>
      </c>
      <c r="H628">
        <f>1-(1-Skills!J5/100)^Skills!K5</f>
        <v/>
      </c>
      <c r="I628" t="inlineStr">
        <is>
          <t>1</t>
        </is>
      </c>
      <c r="J628">
        <f>((Inputs!$B$6*(1+Inputs!$B$7/100))+(((Inputs!$B$12*(1+Inputs!$B$13/100))-(Inputs!$B$12*(1+Inputs!$B$13/100)))+0.25*(Inputs!$B$14-Inputs!$B$14))*(1+Inputs!$B$7/100))*(F628/100)</f>
        <v/>
      </c>
      <c r="K628">
        <f>J628*(1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633=TRUE,F633,0)/100)*(1+(IF(Skills!A5="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8">
        <f>L628*(1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IF(B666=0,0,O628/B666)</f>
        <v/>
      </c>
      <c r="Q628">
        <f>IFERROR(1/(IF(Inputs!$B$38="pvp",15,MAX(0.1,Skills!D5-IF(Skills!E5=TRUE,Inputs!$B$32,0)))*(1-IF(AND(ArtifactsInput!$M$27,Inputs!$B$4="Chapter Hunt"),CHOOSE(ArtifactsInput!$N$27+1,20,24,28,32,36,40),0)/100)),0)</f>
        <v/>
      </c>
      <c r="R628">
        <f>IF(AND(Inputs!$B$38&lt;&gt;"pvp",Inputs!$B$43&gt;0),IF(MAX(0,Inputs!$B$43-B663)&lt;=0,0,(INT(MAX(0,Inputs!$B$43-B663)/(IF(Inputs!$B$38="pvp",15,MAX(0.1,Skills!D5-IF(Skills!E5=TRUE,Inputs!$B$32,0)))*(1-IF(AND(ArtifactsInput!$M$27,Inputs!$B$4="Chapter Hunt"),CHOOSE(ArtifactsInput!$N$27+1,20,24,28,32,36,40),0)/100)))+1)),0)</f>
        <v/>
      </c>
      <c r="S628">
        <f>IFERROR(O628/N628,0)</f>
        <v/>
      </c>
      <c r="T628">
        <f>IF(C628,(H628*N628*IF(AND(Inputs!$B$38&lt;&gt;"pvp",Inputs!$B$43&gt;0),((Skills!G5*((R628-1)*IF(Skills!H5&gt;0,Skills!I5/Skills!H5,1)+IF(Skills!H5&gt;0,MIN(Skills!I5,MAX(0,MAX(0,Inputs!$B$43-B663)-((R628-1)*(IF(Inputs!$B$38="pvp",15,MAX(0.1,Skills!D5-IF(Skills!E5=TRUE,Inputs!$B$32,0)))*(1-IF(AND(ArtifactsInput!$M$27,Inputs!$B$4="Chapter Hunt"),CHOOSE(ArtifactsInput!$N$27+1,20,24,28,32,36,40),0)/100)))))/Skills!H5,1)))/Inputs!$B$43),G628*Q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628*(1-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5*((R628-1)*IF(Skills!H5&gt;0,Skills!I5/Skills!H5,1)+IF(Skills!H5&gt;0,MIN(Skills!I5,MAX(0,MAX(0,Inputs!$B$43-B663)-((R628-1)*(IF(Inputs!$B$38="pvp",15,MAX(0.1,Skills!D5-IF(Skills!E5=TRUE,Inputs!$B$32,0)))*(1-IF(AND(ArtifactsInput!$M$27,Inputs!$B$4="Chapter Hunt"),CHOOSE(ArtifactsInput!$N$27+1,20,24,28,32,36,40),0)/100)))))/Skills!H5,1)))/Inputs!$B$43),G628*Q628))*IF(Inputs!$B$38="pvp",1,(1+(Inputs!$B$21+Skills!Q5+(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Skills!A6</f>
        <v/>
      </c>
      <c r="B629">
        <f>Skills!B6</f>
        <v/>
      </c>
      <c r="C629">
        <f>Inputs!$B$3&gt;=40</f>
        <v/>
      </c>
      <c r="D629">
        <f>IF(Skills!C6=1,60+Inputs!$B$25+Inputs!$B$29,IF(Skills!C6=2,90+Inputs!$B$26+Inputs!$B$29,IF(Skills!C6=3,120+Inputs!$B$27+Inputs!$B$29,MAX(0,(Inputs!$B$3-100)*3)+Inputs!$B$28+Inputs!$B$29)))</f>
        <v/>
      </c>
      <c r="E629">
        <f>INDEX(FactorTable!$B$2:$Y$301, MATCH(ROUND(MIN(300,MAX(1,D629)),0), FactorTable!$A$2:$A$301,0), Skills!M6+1)</f>
        <v/>
      </c>
      <c r="F629">
        <f>IF(Skills!N6=TRUE,(Skills!L6/10)*(E629/1000),Skills!L6/10)+Skills!O6</f>
        <v/>
      </c>
      <c r="G629">
        <f>Skills!G6*IF(Skills!H6&gt;0,Skills!I6/Skills!H6,1)</f>
        <v/>
      </c>
      <c r="H629">
        <f>1-(1-Skills!J6/100)^Skills!K6</f>
        <v/>
      </c>
      <c r="I629" t="inlineStr">
        <is>
          <t>1</t>
        </is>
      </c>
      <c r="J629">
        <f>((Inputs!$B$6*(1+Inputs!$B$7/100))+(((Inputs!$B$12*(1+Inputs!$B$13/100))-(Inputs!$B$12*(1+Inputs!$B$13/100)))+0.25*(Inputs!$B$14-Inputs!$B$14))*(1+Inputs!$B$7/100))*(F629/100)</f>
        <v/>
      </c>
      <c r="K629">
        <f>J629*(1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630=TRUE,F630,0)/100)*(1+(IF(Skills!A6="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629)</f>
        <v/>
      </c>
      <c r="L629">
        <f>K629*(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9">
        <f>L629*(1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9">
        <f>L629*(1-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629*(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9">
        <f>(1-Summary!$B$11)*T629+Summary!$B$11*V629</f>
        <v/>
      </c>
      <c r="P629">
        <f>IF(B666=0,0,O629/B666)</f>
        <v/>
      </c>
      <c r="Q629">
        <f>IFERROR(1/(IF(Inputs!$B$38="pvp",15,MAX(0.1,Skills!D6-IF(Skills!E6=TRUE,Inputs!$B$32,0)))*(1-IF(AND(ArtifactsInput!$M$27,Inputs!$B$4="Chapter Hunt"),CHOOSE(ArtifactsInput!$N$27+1,20,24,28,32,36,40),0)/100)),0)</f>
        <v/>
      </c>
      <c r="R629">
        <f>IF(AND(Inputs!$B$38&lt;&gt;"pvp",Inputs!$B$43&gt;0),IF(MAX(0,Inputs!$B$43-B663)&lt;=0,0,(INT(MAX(0,Inputs!$B$43-B663)/(IF(Inputs!$B$38="pvp",15,MAX(0.1,Skills!D6-IF(Skills!E6=TRUE,Inputs!$B$32,0)))*(1-IF(AND(ArtifactsInput!$M$27,Inputs!$B$4="Chapter Hunt"),CHOOSE(ArtifactsInput!$N$27+1,20,24,28,32,36,40),0)/100)))+1)),0)</f>
        <v/>
      </c>
      <c r="S629">
        <f>IFERROR(O629/N629,0)</f>
        <v/>
      </c>
      <c r="T629">
        <f>IF(C629,(H629*N629*IF(AND(Inputs!$B$38&lt;&gt;"pvp",Inputs!$B$43&gt;0),((Skills!G6*((R629-1)*IF(Skills!H6&gt;0,Skills!I6/Skills!H6,1)+IF(Skills!H6&gt;0,MIN(Skills!I6,MAX(0,MAX(0,Inputs!$B$43-B663)-((R629-1)*(IF(Inputs!$B$38="pvp",15,MAX(0.1,Skills!D6-IF(Skills!E6=TRUE,Inputs!$B$32,0)))*(1-IF(AND(ArtifactsInput!$M$27,Inputs!$B$4="Chapter Hunt"),CHOOSE(ArtifactsInput!$N$27+1,20,24,28,32,36,40),0)/100)))))/Skills!H6,1)))/Inputs!$B$43),G629*Q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629*(1-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629*(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629*(1-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629*(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9">
        <f>IF(C629,(H629*N629*IF(AND(Inputs!$B$38&lt;&gt;"pvp",Inputs!$B$43&gt;0),((Skills!G6*((R629-1)*IF(Skills!H6&gt;0,Skills!I6/Skills!H6,1)+IF(Skills!H6&gt;0,MIN(Skills!I6,MAX(0,MAX(0,Inputs!$B$43-B663)-((R629-1)*(IF(Inputs!$B$38="pvp",15,MAX(0.1,Skills!D6-IF(Skills!E6=TRUE,Inputs!$B$32,0)))*(1-IF(AND(ArtifactsInput!$M$27,Inputs!$B$4="Chapter Hunt"),CHOOSE(ArtifactsInput!$N$27+1,20,24,28,32,36,40),0)/100)))))/Skills!H6,1)))/Inputs!$B$43),G629*Q629))*IF(Inputs!$B$38="pvp",1,(1+(Inputs!$B$21+Skills!Q6+(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0">
      <c r="A630">
        <f>Skills!A7</f>
        <v/>
      </c>
      <c r="B630">
        <f>Skills!B7</f>
        <v/>
      </c>
      <c r="C630">
        <f>Inputs!$B$3&gt;=107</f>
        <v/>
      </c>
      <c r="D630">
        <f>IF(Skills!C7=1,60+Inputs!$B$25+Inputs!$B$29,IF(Skills!C7=2,90+Inputs!$B$26+Inputs!$B$29,IF(Skills!C7=3,120+Inputs!$B$27+Inputs!$B$29,MAX(0,(Inputs!$B$3-100)*3)+Inputs!$B$28+Inputs!$B$29)))</f>
        <v/>
      </c>
      <c r="E630">
        <f>INDEX(FactorTable!$B$2:$Y$301, MATCH(ROUND(MIN(300,MAX(1,D630)),0), FactorTable!$A$2:$A$301,0), Skills!M7+1)</f>
        <v/>
      </c>
      <c r="F630">
        <f>IF(Skills!N7=TRUE,(Skills!L7/10)*(E630/1000),Skills!L7/10)+Skills!O7</f>
        <v/>
      </c>
      <c r="G630" t="inlineStr"/>
      <c r="H630" t="inlineStr"/>
      <c r="I630" t="inlineStr">
        <is>
          <t>1</t>
        </is>
      </c>
      <c r="J630" t="inlineStr"/>
      <c r="K630" t="inlineStr"/>
      <c r="L630" t="inlineStr"/>
      <c r="M630" t="inlineStr"/>
      <c r="N630" t="inlineStr"/>
      <c r="O630" t="inlineStr"/>
      <c r="P630" t="inlineStr"/>
      <c r="Q630" t="inlineStr"/>
      <c r="R630" t="inlineStr"/>
      <c r="S630" t="inlineStr"/>
      <c r="T630" t="inlineStr"/>
      <c r="V630" t="inlineStr"/>
    </row>
    <row r="631">
      <c r="A631">
        <f>Skills!A8</f>
        <v/>
      </c>
      <c r="B631">
        <f>Skills!B8</f>
        <v/>
      </c>
      <c r="C631">
        <f>Inputs!$B$3&gt;=69</f>
        <v/>
      </c>
      <c r="D631">
        <f>IF(Skills!C8=1,60+Inputs!$B$25+Inputs!$B$29,IF(Skills!C8=2,90+Inputs!$B$26+Inputs!$B$29,IF(Skills!C8=3,120+Inputs!$B$27+Inputs!$B$29,MAX(0,(Inputs!$B$3-100)*3)+Inputs!$B$28+Inputs!$B$29)))</f>
        <v/>
      </c>
      <c r="E631">
        <f>INDEX(FactorTable!$B$2:$Y$301, MATCH(ROUND(MIN(300,MAX(1,D631)),0), FactorTable!$A$2:$A$301,0), Skills!M8+1)</f>
        <v/>
      </c>
      <c r="F631">
        <f>IF(Skills!N8=TRUE,(Skills!L8/10)*(E631/1000),Skills!L8/10)+Skills!O8</f>
        <v/>
      </c>
      <c r="G631">
        <f>Skills!G8*IF(Skills!H8&gt;0,Skills!I8/Skills!H8,1)</f>
        <v/>
      </c>
      <c r="H631">
        <f>1-(1-Skills!J8/100)^Skills!K8</f>
        <v/>
      </c>
      <c r="I631" t="inlineStr">
        <is>
          <t>1</t>
        </is>
      </c>
      <c r="J631">
        <f>((Inputs!$B$6*(1+Inputs!$B$7/100))+(((Inputs!$B$12*(1+Inputs!$B$13/100))-(Inputs!$B$12*(1+Inputs!$B$13/100)))+0.25*(Inputs!$B$14-Inputs!$B$14))*(1+Inputs!$B$7/100))*(F631/100)</f>
        <v/>
      </c>
      <c r="K631">
        <f>J631*(1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633=TRUE,F633,0)/100)*(1+(IF(Skills!A8="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631)</f>
        <v/>
      </c>
      <c r="L631">
        <f>K631*(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1">
        <f>L631*(1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1">
        <f>L631*(1-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1">
        <f>(1-Summary!$B$11)*T631+Summary!$B$11*V631</f>
        <v/>
      </c>
      <c r="P631">
        <f>IF(B666=0,0,O631/B666)</f>
        <v/>
      </c>
      <c r="Q631">
        <f>IFERROR(1/(IF(Inputs!$B$38="pvp",15,MAX(0.1,Skills!D8-IF(Skills!E8=TRUE,Inputs!$B$32,0)))*(1-IF(AND(ArtifactsInput!$M$27,Inputs!$B$4="Chapter Hunt"),CHOOSE(ArtifactsInput!$N$27+1,20,24,28,32,36,40),0)/100)),0)</f>
        <v/>
      </c>
      <c r="R631">
        <f>IF(AND(Inputs!$B$38&lt;&gt;"pvp",Inputs!$B$43&gt;0),IF(MAX(0,Inputs!$B$43-B663)&lt;=0,0,(INT(MAX(0,Inputs!$B$43-B663)/(IF(Inputs!$B$38="pvp",15,MAX(0.1,Skills!D8-IF(Skills!E8=TRUE,Inputs!$B$32,0)))*(1-IF(AND(ArtifactsInput!$M$27,Inputs!$B$4="Chapter Hunt"),CHOOSE(ArtifactsInput!$N$27+1,20,24,28,32,36,40),0)/100)))+1)),0)</f>
        <v/>
      </c>
      <c r="S631">
        <f>IFERROR(O631/N631,0)</f>
        <v/>
      </c>
      <c r="T631">
        <f>IF(C631,(H631*N631*IF(AND(Inputs!$B$38&lt;&gt;"pvp",Inputs!$B$43&gt;0),((Skills!G8*((R631-1)*IF(Skills!H8&gt;0,Skills!I8/Skills!H8,1)+IF(Skills!H8&gt;0,MIN(Skills!I8,MAX(0,MAX(0,Inputs!$B$43-B663)-((R631-1)*(IF(Inputs!$B$38="pvp",15,MAX(0.1,Skills!D8-IF(Skills!E8=TRUE,Inputs!$B$32,0)))*(1-IF(AND(ArtifactsInput!$M$27,Inputs!$B$4="Chapter Hunt"),CHOOSE(ArtifactsInput!$N$27+1,20,24,28,32,36,40),0)/100)))))/Skills!H8,1)))/Inputs!$B$43),G631*Q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631*(1-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631*(1-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1">
        <f>IF(C631,(H631*N631*IF(AND(Inputs!$B$38&lt;&gt;"pvp",Inputs!$B$43&gt;0),((Skills!G8*((R631-1)*IF(Skills!H8&gt;0,Skills!I8/Skills!H8,1)+IF(Skills!H8&gt;0,MIN(Skills!I8,MAX(0,MAX(0,Inputs!$B$43-B663)-((R631-1)*(IF(Inputs!$B$38="pvp",15,MAX(0.1,Skills!D8-IF(Skills!E8=TRUE,Inputs!$B$32,0)))*(1-IF(AND(ArtifactsInput!$M$27,Inputs!$B$4="Chapter Hunt"),CHOOSE(ArtifactsInput!$N$27+1,20,24,28,32,36,40),0)/100)))))/Skills!H8,1)))/Inputs!$B$43),G631*Q631))*IF(Inputs!$B$38="pvp",1,(1+(Inputs!$B$21+Skills!Q8+(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2">
      <c r="A632">
        <f>Skills!A9</f>
        <v/>
      </c>
      <c r="B632">
        <f>Skills!B9</f>
        <v/>
      </c>
      <c r="C632">
        <f>Inputs!$B$3&gt;=63</f>
        <v/>
      </c>
      <c r="D632">
        <f>IF(Skills!C9=1,60+Inputs!$B$25+Inputs!$B$29,IF(Skills!C9=2,90+Inputs!$B$26+Inputs!$B$29,IF(Skills!C9=3,120+Inputs!$B$27+Inputs!$B$29,MAX(0,(Inputs!$B$3-100)*3)+Inputs!$B$28+Inputs!$B$29)))</f>
        <v/>
      </c>
      <c r="E632">
        <f>INDEX(FactorTable!$B$2:$Y$301, MATCH(ROUND(MIN(300,MAX(1,D632)),0), FactorTable!$A$2:$A$301,0), Skills!M9+1)</f>
        <v/>
      </c>
      <c r="F632">
        <f>IF(Skills!N9=TRUE,(Skills!L9/10)*(E632/1000),Skills!L9/10)+Skills!O9</f>
        <v/>
      </c>
      <c r="G632">
        <f>Skills!G9*IF(Skills!H9&gt;0,Skills!I9/Skills!H9,1)</f>
        <v/>
      </c>
      <c r="H632">
        <f>1-(1-Skills!J9/100)^Skills!K9</f>
        <v/>
      </c>
      <c r="I632" t="inlineStr">
        <is>
          <t>1</t>
        </is>
      </c>
      <c r="J632">
        <f>((Inputs!$B$6*(1+Inputs!$B$7/100))+(((Inputs!$B$12*(1+Inputs!$B$13/100))-(Inputs!$B$12*(1+Inputs!$B$13/100)))+0.25*(Inputs!$B$14-Inputs!$B$14))*(1+Inputs!$B$7/100))*(F632/100)</f>
        <v/>
      </c>
      <c r="K632">
        <f>J632*(1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633=TRUE,F633,0)/100)*(1+(IF(Skills!A9="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2">
        <f>L632*(1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IF(B666=0,0,O632/B666)</f>
        <v/>
      </c>
      <c r="Q632">
        <f>IFERROR(1/(IF(Inputs!$B$38="pvp",15,MAX(0.1,Skills!D9-IF(Skills!E9=TRUE,Inputs!$B$32,0)))*(1-IF(AND(ArtifactsInput!$M$27,Inputs!$B$4="Chapter Hunt"),CHOOSE(ArtifactsInput!$N$27+1,20,24,28,32,36,40),0)/100)),0)</f>
        <v/>
      </c>
      <c r="R632">
        <f>IF(AND(Inputs!$B$38&lt;&gt;"pvp",Inputs!$B$43&gt;0),IF(MAX(0,Inputs!$B$43-B663)&lt;=0,0,(INT(MAX(0,Inputs!$B$43-B663)/(IF(Inputs!$B$38="pvp",15,MAX(0.1,Skills!D9-IF(Skills!E9=TRUE,Inputs!$B$32,0)))*(1-IF(AND(ArtifactsInput!$M$27,Inputs!$B$4="Chapter Hunt"),CHOOSE(ArtifactsInput!$N$27+1,20,24,28,32,36,40),0)/100)))+1)),0)</f>
        <v/>
      </c>
      <c r="S632">
        <f>IFERROR(O632/N632,0)</f>
        <v/>
      </c>
      <c r="T632">
        <f>IF(C632,(H632*N632*IF(AND(Inputs!$B$38&lt;&gt;"pvp",Inputs!$B$43&gt;0),((Skills!G9*((R632-1)*IF(Skills!H9&gt;0,Skills!I9/Skills!H9,1)+IF(Skills!H9&gt;0,MIN(Skills!I9,MAX(0,MAX(0,Inputs!$B$43-B663)-((R632-1)*(IF(Inputs!$B$38="pvp",15,MAX(0.1,Skills!D9-IF(Skills!E9=TRUE,Inputs!$B$32,0)))*(1-IF(AND(ArtifactsInput!$M$27,Inputs!$B$4="Chapter Hunt"),CHOOSE(ArtifactsInput!$N$27+1,20,24,28,32,36,40),0)/100)))))/Skills!H9,1)))/Inputs!$B$43),G632*Q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632*(1-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2">
        <f>IF(C632,(H632*N632*IF(AND(Inputs!$B$38&lt;&gt;"pvp",Inputs!$B$43&gt;0),((Skills!G9*((R632-1)*IF(Skills!H9&gt;0,Skills!I9/Skills!H9,1)+IF(Skills!H9&gt;0,MIN(Skills!I9,MAX(0,MAX(0,Inputs!$B$43-B663)-((R632-1)*(IF(Inputs!$B$38="pvp",15,MAX(0.1,Skills!D9-IF(Skills!E9=TRUE,Inputs!$B$32,0)))*(1-IF(AND(ArtifactsInput!$M$27,Inputs!$B$4="Chapter Hunt"),CHOOSE(ArtifactsInput!$N$27+1,20,24,28,32,36,40),0)/100)))))/Skills!H9,1)))/Inputs!$B$43),G632*Q632))*IF(Inputs!$B$38="pvp",1,(1+(Inputs!$B$21+Skills!Q9+(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Skills!A10</f>
        <v/>
      </c>
      <c r="B633">
        <f>Skills!B10</f>
        <v/>
      </c>
      <c r="C633">
        <f>Inputs!$B$3&gt;=100</f>
        <v/>
      </c>
      <c r="D633">
        <f>IF(Skills!C10=1,60+Inputs!$B$25+Inputs!$B$29,IF(Skills!C10=2,90+Inputs!$B$26+Inputs!$B$29,IF(Skills!C10=3,120+Inputs!$B$27+Inputs!$B$29,MAX(0,(Inputs!$B$3-100)*3)+Inputs!$B$28+Inputs!$B$29)))</f>
        <v/>
      </c>
      <c r="E633">
        <f>INDEX(FactorTable!$B$2:$Y$301, MATCH(ROUND(MIN(300,MAX(1,D633)),0), FactorTable!$A$2:$A$301,0), Skills!M10+1)</f>
        <v/>
      </c>
      <c r="F633">
        <f>IF(Skills!N10=TRUE,(Skills!L10/10)*(E633/1000),Skills!L10/10)+Skills!O10</f>
        <v/>
      </c>
      <c r="G633" t="inlineStr"/>
      <c r="H633" t="inlineStr"/>
      <c r="I633" t="inlineStr">
        <is>
          <t>1</t>
        </is>
      </c>
      <c r="J633" t="inlineStr"/>
      <c r="K633" t="inlineStr"/>
      <c r="L633" t="inlineStr"/>
      <c r="M633" t="inlineStr"/>
      <c r="N633" t="inlineStr"/>
      <c r="O633" t="inlineStr"/>
      <c r="P633" t="inlineStr"/>
      <c r="Q633" t="inlineStr"/>
      <c r="R633" t="inlineStr"/>
      <c r="S633" t="inlineStr"/>
      <c r="T633" t="inlineStr"/>
      <c r="V633" t="inlineStr"/>
    </row>
    <row r="634">
      <c r="A634">
        <f>Skills!A11</f>
        <v/>
      </c>
      <c r="B634">
        <f>Skills!B11</f>
        <v/>
      </c>
      <c r="C634">
        <f>Inputs!$B$3&gt;=60</f>
        <v/>
      </c>
      <c r="D634">
        <f>IF(Skills!C11=1,60+Inputs!$B$25+Inputs!$B$29,IF(Skills!C11=2,90+Inputs!$B$26+Inputs!$B$29,IF(Skills!C11=3,120+Inputs!$B$27+Inputs!$B$29,MAX(0,(Inputs!$B$3-100)*3)+Inputs!$B$28+Inputs!$B$29)))</f>
        <v/>
      </c>
      <c r="E634">
        <f>INDEX(FactorTable!$B$2:$Y$301, MATCH(ROUND(MIN(300,MAX(1,D634)),0), FactorTable!$A$2:$A$301,0), Skills!M11+1)</f>
        <v/>
      </c>
      <c r="F634">
        <f>IF(Skills!N11=TRUE,(Skills!L11/10)*(E634/1000),Skills!L11/10)+Skills!O11</f>
        <v/>
      </c>
      <c r="G634">
        <f>Skills!G11*IF(Skills!H11&gt;0,Skills!I11/Skills!H11,1)</f>
        <v/>
      </c>
      <c r="H634">
        <f>1-(1-Skills!J11/100)^Skills!K11</f>
        <v/>
      </c>
      <c r="I634" t="inlineStr">
        <is>
          <t>1</t>
        </is>
      </c>
      <c r="J634">
        <f>((Inputs!$B$6*(1+Inputs!$B$7/100))+(((Inputs!$B$12*(1+Inputs!$B$13/100))-(Inputs!$B$12*(1+Inputs!$B$13/100)))+0.25*(Inputs!$B$14-Inputs!$B$14))*(1+Inputs!$B$7/100))*(F634/100)</f>
        <v/>
      </c>
      <c r="K634">
        <f>J634*(1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635=TRUE,F635,0)/100)*(1+(IF(Skills!A11="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4">
        <f>L634*(1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IF(B666=0,0,O634/B666)</f>
        <v/>
      </c>
      <c r="Q634">
        <f>IFERROR(1/(IF(Inputs!$B$38="pvp",15,MAX(0.1,Skills!D11-IF(Skills!E11=TRUE,Inputs!$B$32,0)))*(1-IF(AND(ArtifactsInput!$M$27,Inputs!$B$4="Chapter Hunt"),CHOOSE(ArtifactsInput!$N$27+1,20,24,28,32,36,40),0)/100)),0)</f>
        <v/>
      </c>
      <c r="R634">
        <f>IF(AND(Inputs!$B$38&lt;&gt;"pvp",Inputs!$B$43&gt;0),IF(MAX(0,Inputs!$B$43-B663)&lt;=0,0,(INT(MAX(0,Inputs!$B$43-B663)/(IF(Inputs!$B$38="pvp",15,MAX(0.1,Skills!D11-IF(Skills!E11=TRUE,Inputs!$B$32,0)))*(1-IF(AND(ArtifactsInput!$M$27,Inputs!$B$4="Chapter Hunt"),CHOOSE(ArtifactsInput!$N$27+1,20,24,28,32,36,40),0)/100)))+1)),0)</f>
        <v/>
      </c>
      <c r="S634">
        <f>IFERROR(O634/N634,0)</f>
        <v/>
      </c>
      <c r="T634">
        <f>IF(C634,(H634*N634*IF(AND(Inputs!$B$38&lt;&gt;"pvp",Inputs!$B$43&gt;0),((Skills!G11*((R634-1)*IF(Skills!H11&gt;0,Skills!I11/Skills!H11,1)+IF(Skills!H11&gt;0,MIN(Skills!I11,MAX(0,MAX(0,Inputs!$B$43-B663)-((R634-1)*(IF(Inputs!$B$38="pvp",15,MAX(0.1,Skills!D11-IF(Skills!E11=TRUE,Inputs!$B$32,0)))*(1-IF(AND(ArtifactsInput!$M$27,Inputs!$B$4="Chapter Hunt"),CHOOSE(ArtifactsInput!$N$27+1,20,24,28,32,36,40),0)/100)))))/Skills!H11,1)))/Inputs!$B$43),G634*Q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634*(1-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4">
        <f>IF(C634,(H634*N634*IF(AND(Inputs!$B$38&lt;&gt;"pvp",Inputs!$B$43&gt;0),((Skills!G11*((R634-1)*IF(Skills!H11&gt;0,Skills!I11/Skills!H11,1)+IF(Skills!H11&gt;0,MIN(Skills!I11,MAX(0,MAX(0,Inputs!$B$43-B663)-((R634-1)*(IF(Inputs!$B$38="pvp",15,MAX(0.1,Skills!D11-IF(Skills!E11=TRUE,Inputs!$B$32,0)))*(1-IF(AND(ArtifactsInput!$M$27,Inputs!$B$4="Chapter Hunt"),CHOOSE(ArtifactsInput!$N$27+1,20,24,28,32,36,40),0)/100)))))/Skills!H11,1)))/Inputs!$B$43),G634*Q634))*IF(Inputs!$B$38="pvp",1,(1+(Inputs!$B$21+Skills!Q11+(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Skills!A12</f>
        <v/>
      </c>
      <c r="B635">
        <f>Skills!B12</f>
        <v/>
      </c>
      <c r="C635">
        <f>Inputs!$B$3&gt;=110</f>
        <v/>
      </c>
      <c r="D635">
        <f>IF(Skills!C12=1,60+Inputs!$B$25+Inputs!$B$29,IF(Skills!C12=2,90+Inputs!$B$26+Inputs!$B$29,IF(Skills!C12=3,120+Inputs!$B$27+Inputs!$B$29,MAX(0,(Inputs!$B$3-100)*3)+Inputs!$B$28+Inputs!$B$29)))</f>
        <v/>
      </c>
      <c r="E635">
        <f>INDEX(FactorTable!$B$2:$Y$301, MATCH(ROUND(MIN(300,MAX(1,D635)),0), FactorTable!$A$2:$A$301,0), Skills!M12+1)</f>
        <v/>
      </c>
      <c r="F635">
        <f>IF(Skills!N12=TRUE,(Skills!L12/10)*(E635/1000),Skills!L12/10)+Skills!O12</f>
        <v/>
      </c>
      <c r="G635" t="inlineStr"/>
      <c r="H635" t="inlineStr"/>
      <c r="I635" t="inlineStr">
        <is>
          <t>1</t>
        </is>
      </c>
      <c r="J635" t="inlineStr"/>
      <c r="K635" t="inlineStr"/>
      <c r="L635" t="inlineStr"/>
      <c r="M635" t="inlineStr"/>
      <c r="N635" t="inlineStr"/>
      <c r="O635" t="inlineStr"/>
      <c r="P635" t="inlineStr"/>
      <c r="Q635" t="inlineStr"/>
      <c r="R635" t="inlineStr"/>
      <c r="S635" t="inlineStr"/>
      <c r="T635" t="inlineStr"/>
      <c r="V635" t="inlineStr"/>
    </row>
    <row r="636">
      <c r="A636">
        <f>Skills!A13</f>
        <v/>
      </c>
      <c r="B636">
        <f>Skills!B13</f>
        <v/>
      </c>
      <c r="C636">
        <f>Inputs!$B$3&gt;=74</f>
        <v/>
      </c>
      <c r="D636">
        <f>IF(Skills!C13=1,60+Inputs!$B$25+Inputs!$B$29,IF(Skills!C13=2,90+Inputs!$B$26+Inputs!$B$29,IF(Skills!C13=3,120+Inputs!$B$27+Inputs!$B$29,MAX(0,(Inputs!$B$3-100)*3)+Inputs!$B$28+Inputs!$B$29)))</f>
        <v/>
      </c>
      <c r="E636">
        <f>INDEX(FactorTable!$B$2:$Y$301, MATCH(ROUND(MIN(300,MAX(1,D636)),0), FactorTable!$A$2:$A$301,0), Skills!M13+1)</f>
        <v/>
      </c>
      <c r="F636">
        <f>IF(Skills!N13=TRUE,(Skills!L13/10)*(E636/1000),Skills!L13/10)+Skills!O13</f>
        <v/>
      </c>
      <c r="G636">
        <f>Skills!G13*IF(Skills!H13&gt;0,Skills!I13/Skills!H13,1)</f>
        <v/>
      </c>
      <c r="H636">
        <f>1-(1-Skills!J13/100)^Skills!K13</f>
        <v/>
      </c>
      <c r="I636" t="inlineStr">
        <is>
          <t>1</t>
        </is>
      </c>
      <c r="J636" t="inlineStr"/>
      <c r="K636" t="inlineStr"/>
      <c r="L636" t="inlineStr"/>
      <c r="M636" t="inlineStr"/>
      <c r="N636" t="inlineStr"/>
      <c r="O636">
        <f>(1-Summary!$B$11)*T636+Summary!$B$11*V636</f>
        <v/>
      </c>
      <c r="P636">
        <f>IF(B666=0,0,O636/B666)</f>
        <v/>
      </c>
      <c r="Q636" t="n">
        <v>0</v>
      </c>
      <c r="R636" t="n">
        <v>0</v>
      </c>
      <c r="S636">
        <f>IFERROR(O636/N636,0)</f>
        <v/>
      </c>
      <c r="T636" t="n">
        <v>0</v>
      </c>
      <c r="V636" t="n">
        <v>0</v>
      </c>
    </row>
    <row r="637">
      <c r="A637">
        <f>Skills!A14</f>
        <v/>
      </c>
      <c r="B637">
        <f>Skills!B14</f>
        <v/>
      </c>
      <c r="C637">
        <f>Inputs!$B$3&gt;=74</f>
        <v/>
      </c>
      <c r="D637">
        <f>IF(Skills!C14=1,60+Inputs!$B$25+Inputs!$B$29,IF(Skills!C14=2,90+Inputs!$B$26+Inputs!$B$29,IF(Skills!C14=3,120+Inputs!$B$27+Inputs!$B$29,MAX(0,(Inputs!$B$3-100)*3)+Inputs!$B$28+Inputs!$B$29)))</f>
        <v/>
      </c>
      <c r="E637">
        <f>INDEX(FactorTable!$B$2:$Y$301, MATCH(ROUND(MIN(300,MAX(1,D637)),0), FactorTable!$A$2:$A$301,0), Skills!M14+1)</f>
        <v/>
      </c>
      <c r="F637">
        <f>IF(Skills!N14=TRUE,(Skills!L14/10)*(E637/1000),Skills!L14/10)+Skills!O14</f>
        <v/>
      </c>
      <c r="G637">
        <f>Skills!G14*IF(Skills!H14&gt;0,Skills!I14/Skills!H14,1)</f>
        <v/>
      </c>
      <c r="H637">
        <f>1-(1-Skills!J14/100)^Skills!K14</f>
        <v/>
      </c>
      <c r="I637" t="inlineStr">
        <is>
          <t>1</t>
        </is>
      </c>
      <c r="J637" t="inlineStr"/>
      <c r="K637" t="inlineStr"/>
      <c r="L637" t="inlineStr"/>
      <c r="M637" t="inlineStr"/>
      <c r="N637" t="inlineStr"/>
      <c r="O637">
        <f>(1-Summary!$B$11)*T637+Summary!$B$11*V637</f>
        <v/>
      </c>
      <c r="P637">
        <f>IF(B666=0,0,O637/B666)</f>
        <v/>
      </c>
      <c r="Q637" t="n">
        <v>0</v>
      </c>
      <c r="R637" t="n">
        <v>0</v>
      </c>
      <c r="S637">
        <f>IFERROR(O637/N637,0)</f>
        <v/>
      </c>
      <c r="T637" t="n">
        <v>0</v>
      </c>
      <c r="V637" t="n">
        <v>0</v>
      </c>
    </row>
    <row r="638">
      <c r="A638">
        <f>Skills!A15</f>
        <v/>
      </c>
      <c r="B638">
        <f>Skills!B15</f>
        <v/>
      </c>
      <c r="C638">
        <f>Inputs!$B$3&gt;=117</f>
        <v/>
      </c>
      <c r="D638">
        <f>IF(Skills!C15=1,60+Inputs!$B$25+Inputs!$B$29,IF(Skills!C15=2,90+Inputs!$B$26+Inputs!$B$29,IF(Skills!C15=3,120+Inputs!$B$27+Inputs!$B$29,MAX(0,(Inputs!$B$3-100)*3)+Inputs!$B$28+Inputs!$B$29)))</f>
        <v/>
      </c>
      <c r="E638">
        <f>INDEX(FactorTable!$B$2:$Y$301, MATCH(ROUND(MIN(300,MAX(1,D638)),0), FactorTable!$A$2:$A$301,0), Skills!M15+1)</f>
        <v/>
      </c>
      <c r="F638">
        <f>IF(Skills!N15=TRUE,(Skills!L15/10)*(E638/1000),Skills!L15/10)+Skills!O15</f>
        <v/>
      </c>
      <c r="G638">
        <f>Skills!G15*IF(Skills!H15&gt;0,Skills!I15/Skills!H15,1)</f>
        <v/>
      </c>
      <c r="H638">
        <f>1-(1-Skills!J15/100)^Skills!K15</f>
        <v/>
      </c>
      <c r="I638" t="inlineStr">
        <is>
          <t>1</t>
        </is>
      </c>
      <c r="J638" t="inlineStr"/>
      <c r="K638" t="inlineStr"/>
      <c r="L638" t="inlineStr"/>
      <c r="M638" t="inlineStr"/>
      <c r="N638" t="inlineStr"/>
      <c r="O638">
        <f>(1-Summary!$B$11)*T638+Summary!$B$11*V638</f>
        <v/>
      </c>
      <c r="P638">
        <f>IF(B666=0,0,O638/B666)</f>
        <v/>
      </c>
      <c r="Q638">
        <f>IFERROR(1/(IF(Inputs!$B$38="pvp",15,MAX(0.1,Skills!D15-IF(Skills!E15=TRUE,Inputs!$B$32,0)))*(1-IF(AND(ArtifactsInput!$M$27,Inputs!$B$4="Chapter Hunt"),CHOOSE(ArtifactsInput!$N$27+1,20,24,28,32,36,40),0)/100)),0)</f>
        <v/>
      </c>
      <c r="R638">
        <f>IF(AND(Inputs!$B$38&lt;&gt;"pvp",Inputs!$B$43&gt;0),IF(Inputs!$B$43&lt;=0,0,(INT(Inputs!$B$43/(IF(Inputs!$B$38="pvp",15,MAX(0.1,Skills!D15-IF(Skills!E15=TRUE,Inputs!$B$32,0)))*(1-IF(AND(ArtifactsInput!$M$27,Inputs!$B$4="Chapter Hunt"),CHOOSE(ArtifactsInput!$N$27+1,20,24,28,32,36,40),0)/100)))+1)),0)</f>
        <v/>
      </c>
      <c r="S638">
        <f>IFERROR(O638/N638,0)</f>
        <v/>
      </c>
      <c r="T638" t="n">
        <v>0</v>
      </c>
      <c r="V638" t="n">
        <v>0</v>
      </c>
    </row>
    <row r="639">
      <c r="A639">
        <f>Skills!A16</f>
        <v/>
      </c>
      <c r="B639">
        <f>Skills!B16</f>
        <v/>
      </c>
      <c r="C639">
        <f>Inputs!$B$3&gt;=115</f>
        <v/>
      </c>
      <c r="D639">
        <f>IF(Skills!C16=1,60+Inputs!$B$25+Inputs!$B$29,IF(Skills!C16=2,90+Inputs!$B$26+Inputs!$B$29,IF(Skills!C16=3,120+Inputs!$B$27+Inputs!$B$29,MAX(0,(Inputs!$B$3-100)*3)+Inputs!$B$28+Inputs!$B$29)))</f>
        <v/>
      </c>
      <c r="E639">
        <f>INDEX(FactorTable!$B$2:$Y$301, MATCH(ROUND(MIN(300,MAX(1,D639)),0), FactorTable!$A$2:$A$301,0), Skills!M16+1)</f>
        <v/>
      </c>
      <c r="F639">
        <f>IF(Skills!N16=TRUE,(Skills!L16/10)*(E639/1000),Skills!L16/10)+Skills!O16</f>
        <v/>
      </c>
      <c r="G639">
        <f>Skills!G16*IF(Skills!H16&gt;0,Skills!I16/Skills!H16,1)</f>
        <v/>
      </c>
      <c r="H639">
        <f>1-(1-Skills!J16/100)^Skills!K16</f>
        <v/>
      </c>
      <c r="I639" t="inlineStr">
        <is>
          <t>1</t>
        </is>
      </c>
      <c r="J639" t="inlineStr"/>
      <c r="K639" t="inlineStr"/>
      <c r="L639" t="inlineStr"/>
      <c r="M639" t="inlineStr"/>
      <c r="N639" t="inlineStr"/>
      <c r="O639">
        <f>(1-Summary!$B$11)*T639+Summary!$B$11*V639</f>
        <v/>
      </c>
      <c r="P639">
        <f>IF(B666=0,0,O639/B666)</f>
        <v/>
      </c>
      <c r="Q639">
        <f>IFERROR(1/(IF(Inputs!$B$38="pvp",15,MAX(0.1,Skills!D16-IF(Skills!E16=TRUE,Inputs!$B$32,0)))*(1-IF(AND(ArtifactsInput!$M$27,Inputs!$B$4="Chapter Hunt"),CHOOSE(ArtifactsInput!$N$27+1,20,24,28,32,36,40),0)/100)),0)</f>
        <v/>
      </c>
      <c r="R639">
        <f>IF(AND(Inputs!$B$38&lt;&gt;"pvp",Inputs!$B$43&gt;0),IF(Inputs!$B$43&lt;=0,0,(INT(Inputs!$B$43/(IF(Inputs!$B$38="pvp",15,MAX(0.1,Skills!D16-IF(Skills!E16=TRUE,Inputs!$B$32,0)))*(1-IF(AND(ArtifactsInput!$M$27,Inputs!$B$4="Chapter Hunt"),CHOOSE(ArtifactsInput!$N$27+1,20,24,28,32,36,40),0)/100)))+1)),0)</f>
        <v/>
      </c>
      <c r="S639">
        <f>IFERROR(O639/N639,0)</f>
        <v/>
      </c>
      <c r="T639" t="n">
        <v>0</v>
      </c>
      <c r="V639" t="n">
        <v>0</v>
      </c>
    </row>
    <row r="640">
      <c r="A640">
        <f>Skills!A17</f>
        <v/>
      </c>
      <c r="B640">
        <f>Skills!B17</f>
        <v/>
      </c>
      <c r="C640">
        <f>Inputs!$B$3&gt;=66</f>
        <v/>
      </c>
      <c r="D640">
        <f>IF(Skills!C17=1,60+Inputs!$B$25+Inputs!$B$29,IF(Skills!C17=2,90+Inputs!$B$26+Inputs!$B$29,IF(Skills!C17=3,120+Inputs!$B$27+Inputs!$B$29,MAX(0,(Inputs!$B$3-100)*3)+Inputs!$B$28+Inputs!$B$29)))</f>
        <v/>
      </c>
      <c r="E640">
        <f>INDEX(FactorTable!$B$2:$Y$301, MATCH(ROUND(MIN(300,MAX(1,D640)),0), FactorTable!$A$2:$A$301,0), Skills!M17+1)</f>
        <v/>
      </c>
      <c r="F640">
        <f>IF(Skills!N17=TRUE,(Skills!L17/10)*(E640/1000),Skills!L17/10)+Skills!O17</f>
        <v/>
      </c>
      <c r="G640">
        <f>Skills!G17*IF(Skills!H17&gt;0,Skills!I17/Skills!H17,1)</f>
        <v/>
      </c>
      <c r="H640">
        <f>1-(1-Skills!J17/100)^Skills!K17</f>
        <v/>
      </c>
      <c r="I640" t="inlineStr">
        <is>
          <t>1</t>
        </is>
      </c>
      <c r="J640" t="inlineStr"/>
      <c r="K640" t="inlineStr"/>
      <c r="L640" t="inlineStr"/>
      <c r="M640" t="inlineStr"/>
      <c r="N640" t="inlineStr"/>
      <c r="O640">
        <f>(1-Summary!$B$11)*T640+Summary!$B$11*V640</f>
        <v/>
      </c>
      <c r="P640">
        <f>IF(B666=0,0,O640/B666)</f>
        <v/>
      </c>
      <c r="Q640" t="n">
        <v>0</v>
      </c>
      <c r="R640" t="n">
        <v>0</v>
      </c>
      <c r="S640">
        <f>IFERROR(O640/N640,0)</f>
        <v/>
      </c>
      <c r="T640" t="n">
        <v>0</v>
      </c>
      <c r="V640" t="n">
        <v>0</v>
      </c>
    </row>
    <row r="641">
      <c r="A641">
        <f>Skills!A18</f>
        <v/>
      </c>
      <c r="B641">
        <f>Skills!B18</f>
        <v/>
      </c>
      <c r="C641">
        <f>Inputs!$B$3&gt;=72</f>
        <v/>
      </c>
      <c r="D641">
        <f>IF(Skills!C18=1,60+Inputs!$B$25+Inputs!$B$29,IF(Skills!C18=2,90+Inputs!$B$26+Inputs!$B$29,IF(Skills!C18=3,120+Inputs!$B$27+Inputs!$B$29,MAX(0,(Inputs!$B$3-100)*3)+Inputs!$B$28+Inputs!$B$29)))</f>
        <v/>
      </c>
      <c r="E641">
        <f>INDEX(FactorTable!$B$2:$Y$301, MATCH(ROUND(MIN(300,MAX(1,D641)),0), FactorTable!$A$2:$A$301,0), Skills!M18+1)</f>
        <v/>
      </c>
      <c r="F641">
        <f>IF(Skills!N18=TRUE,(Skills!L18/10)*(E641/1000),Skills!L18/10)+Skills!O18</f>
        <v/>
      </c>
      <c r="G641">
        <f>Skills!G18*IF(Skills!H18&gt;0,Skills!I18/Skills!H18,1)</f>
        <v/>
      </c>
      <c r="H641">
        <f>1-(1-Skills!J18/100)^Skills!K18</f>
        <v/>
      </c>
      <c r="I641" t="inlineStr">
        <is>
          <t>1</t>
        </is>
      </c>
      <c r="J641" t="inlineStr"/>
      <c r="K641" t="inlineStr"/>
      <c r="L641" t="inlineStr"/>
      <c r="M641" t="inlineStr"/>
      <c r="N641" t="inlineStr"/>
      <c r="O641">
        <f>(1-Summary!$B$11)*T641+Summary!$B$11*V641</f>
        <v/>
      </c>
      <c r="P641">
        <f>IF(B666=0,0,O641/B666)</f>
        <v/>
      </c>
      <c r="Q641" t="n">
        <v>0</v>
      </c>
      <c r="R641" t="n">
        <v>0</v>
      </c>
      <c r="S641">
        <f>IFERROR(O641/N641,0)</f>
        <v/>
      </c>
      <c r="T641" t="n">
        <v>0</v>
      </c>
      <c r="V641" t="n">
        <v>0</v>
      </c>
    </row>
    <row r="642">
      <c r="A642">
        <f>Skills!A19</f>
        <v/>
      </c>
      <c r="B642">
        <f>Skills!B19</f>
        <v/>
      </c>
      <c r="C642">
        <f>TRUE</f>
        <v/>
      </c>
      <c r="D642">
        <f>IF(Skills!C19=1,60+Inputs!$B$25+Inputs!$B$29,IF(Skills!C19=2,90+Inputs!$B$26+Inputs!$B$29,IF(Skills!C19=3,120+Inputs!$B$27+Inputs!$B$29,MAX(0,(Inputs!$B$3-100)*3)+Inputs!$B$28+Inputs!$B$29)))</f>
        <v/>
      </c>
      <c r="E642">
        <f>INDEX(FactorTable!$B$2:$Y$301, MATCH(ROUND(MIN(300,MAX(1,D642)),0), FactorTable!$A$2:$A$301,0), Skills!M19+1)</f>
        <v/>
      </c>
      <c r="F642">
        <f>IF(Skills!N19=TRUE,(Skills!L19/10)*(E642/1000),Skills!L19/10)+Skills!O19</f>
        <v/>
      </c>
      <c r="G642">
        <f>Skills!G19*IF(Skills!H19&gt;0,Skills!I19/Skills!H19,1)</f>
        <v/>
      </c>
      <c r="H642">
        <f>1-(1-Skills!J19/100)^Skills!K19</f>
        <v/>
      </c>
      <c r="I642" t="inlineStr">
        <is>
          <t>1</t>
        </is>
      </c>
      <c r="J642" t="inlineStr"/>
      <c r="K642" t="inlineStr"/>
      <c r="L642" t="inlineStr"/>
      <c r="M642" t="inlineStr"/>
      <c r="N642" t="inlineStr"/>
      <c r="O642">
        <f>(1-Summary!$B$11)*T642+Summary!$B$11*V642</f>
        <v/>
      </c>
      <c r="P642">
        <f>IF(B666=0,0,O642/B666)</f>
        <v/>
      </c>
      <c r="Q642">
        <f>IFERROR(1/(IF(Inputs!$B$38="pvp",15,MAX(0.1,Skills!D19-IF(Skills!E19=TRUE,Inputs!$B$32,0)))*(1-IF(AND(ArtifactsInput!$M$27,Inputs!$B$4="Chapter Hunt"),CHOOSE(ArtifactsInput!$N$27+1,20,24,28,32,36,40),0)/100)),0)</f>
        <v/>
      </c>
      <c r="R642">
        <f>IF(AND(Inputs!$B$38&lt;&gt;"pvp",Inputs!$B$43&gt;0),IF(Inputs!$B$43&lt;=0,0,(INT(Inputs!$B$43/(IF(Inputs!$B$38="pvp",15,MAX(0.1,Skills!D19-IF(Skills!E19=TRUE,Inputs!$B$32,0)))*(1-IF(AND(ArtifactsInput!$M$27,Inputs!$B$4="Chapter Hunt"),CHOOSE(ArtifactsInput!$N$27+1,20,24,28,32,36,40),0)/100)))+1)),0)</f>
        <v/>
      </c>
      <c r="S642">
        <f>IFERROR(O642/N642,0)</f>
        <v/>
      </c>
      <c r="T642" t="n">
        <v>0</v>
      </c>
      <c r="V642" t="n">
        <v>0</v>
      </c>
    </row>
    <row r="643">
      <c r="A643">
        <f>Skills!A20</f>
        <v/>
      </c>
      <c r="B643">
        <f>Skills!B20</f>
        <v/>
      </c>
      <c r="C643">
        <f>Inputs!$B$3&gt;=15</f>
        <v/>
      </c>
      <c r="D643">
        <f>IF(Skills!C20=1,60+Inputs!$B$25+Inputs!$B$29,IF(Skills!C20=2,90+Inputs!$B$26+Inputs!$B$29,IF(Skills!C20=3,120+Inputs!$B$27+Inputs!$B$29,MAX(0,(Inputs!$B$3-100)*3)+Inputs!$B$28+Inputs!$B$29)))</f>
        <v/>
      </c>
      <c r="E643">
        <f>INDEX(FactorTable!$B$2:$Y$301, MATCH(ROUND(MIN(300,MAX(1,D643)),0), FactorTable!$A$2:$A$301,0), Skills!M20+1)</f>
        <v/>
      </c>
      <c r="F643">
        <f>IF(Skills!N20=TRUE,(Skills!L20/10)*(E643/1000),Skills!L20/10)+Skills!O20</f>
        <v/>
      </c>
      <c r="G643">
        <f>Skills!G20*IF(Skills!H20&gt;0,Skills!I20/Skills!H20,1)</f>
        <v/>
      </c>
      <c r="H643">
        <f>1-(1-Skills!J20/100)^Skills!K20</f>
        <v/>
      </c>
      <c r="I643" t="inlineStr">
        <is>
          <t>1</t>
        </is>
      </c>
      <c r="J643" t="inlineStr"/>
      <c r="K643" t="inlineStr"/>
      <c r="L643" t="inlineStr"/>
      <c r="M643" t="inlineStr"/>
      <c r="N643" t="inlineStr"/>
      <c r="O643">
        <f>(1-Summary!$B$11)*T643+Summary!$B$11*V643</f>
        <v/>
      </c>
      <c r="P643">
        <f>IF(B666=0,0,O643/B666)</f>
        <v/>
      </c>
      <c r="Q643" t="n">
        <v>0</v>
      </c>
      <c r="R643" t="n">
        <v>0</v>
      </c>
      <c r="S643">
        <f>IFERROR(O643/N643,0)</f>
        <v/>
      </c>
      <c r="T643" t="n">
        <v>0</v>
      </c>
      <c r="V643" t="n">
        <v>0</v>
      </c>
    </row>
    <row r="644">
      <c r="A644">
        <f>Skills!A21</f>
        <v/>
      </c>
      <c r="B644">
        <f>Skills!B21</f>
        <v/>
      </c>
      <c r="C644">
        <f>Inputs!$B$3&gt;=10</f>
        <v/>
      </c>
      <c r="D644">
        <f>IF(Skills!C21=1,60+Inputs!$B$25+Inputs!$B$29,IF(Skills!C21=2,90+Inputs!$B$26+Inputs!$B$29,IF(Skills!C21=3,120+Inputs!$B$27+Inputs!$B$29,MAX(0,(Inputs!$B$3-100)*3)+Inputs!$B$28+Inputs!$B$29)))</f>
        <v/>
      </c>
      <c r="E644">
        <f>INDEX(FactorTable!$B$2:$Y$301, MATCH(ROUND(MIN(300,MAX(1,D644)),0), FactorTable!$A$2:$A$301,0), Skills!M21+1)</f>
        <v/>
      </c>
      <c r="F644">
        <f>IF(Skills!N21=TRUE,(Skills!L21/10)*(E644/1000),Skills!L21/10)+Skills!O21</f>
        <v/>
      </c>
      <c r="G644">
        <f>Skills!G21*IF(Skills!H21&gt;0,Skills!I21/Skills!H21,1)</f>
        <v/>
      </c>
      <c r="H644">
        <f>1-(1-Skills!J21/100)^Skills!K21</f>
        <v/>
      </c>
      <c r="I644" t="inlineStr">
        <is>
          <t>1</t>
        </is>
      </c>
      <c r="J644" t="inlineStr"/>
      <c r="K644" t="inlineStr"/>
      <c r="L644" t="inlineStr"/>
      <c r="M644" t="inlineStr"/>
      <c r="N644" t="inlineStr"/>
      <c r="O644">
        <f>(1-Summary!$B$11)*T644+Summary!$B$11*V644</f>
        <v/>
      </c>
      <c r="P644">
        <f>IF(B666=0,0,O644/B666)</f>
        <v/>
      </c>
      <c r="Q644" t="n">
        <v>0</v>
      </c>
      <c r="R644" t="n">
        <v>0</v>
      </c>
      <c r="S644">
        <f>IFERROR(O644/N644,0)</f>
        <v/>
      </c>
      <c r="T644" t="n">
        <v>0</v>
      </c>
      <c r="V644" t="n">
        <v>0</v>
      </c>
    </row>
    <row r="645">
      <c r="A645">
        <f>Skills!A22</f>
        <v/>
      </c>
      <c r="B645">
        <f>Skills!B22</f>
        <v/>
      </c>
      <c r="C645">
        <f>Inputs!$B$3&gt;=33</f>
        <v/>
      </c>
      <c r="D645">
        <f>IF(Skills!C22=1,60+Inputs!$B$25+Inputs!$B$29,IF(Skills!C22=2,90+Inputs!$B$26+Inputs!$B$29,IF(Skills!C22=3,120+Inputs!$B$27+Inputs!$B$29,MAX(0,(Inputs!$B$3-100)*3)+Inputs!$B$28+Inputs!$B$29)))</f>
        <v/>
      </c>
      <c r="E645">
        <f>INDEX(FactorTable!$B$2:$Y$301, MATCH(ROUND(MIN(300,MAX(1,D645)),0), FactorTable!$A$2:$A$301,0), Skills!M22+1)</f>
        <v/>
      </c>
      <c r="F645">
        <f>IF(Skills!N22=TRUE,(Skills!L22/10)*(E645/1000),Skills!L22/10)+Skills!O22</f>
        <v/>
      </c>
      <c r="G645">
        <f>Skills!G22*IF(Skills!H22&gt;0,Skills!I22/Skills!H22,1)</f>
        <v/>
      </c>
      <c r="H645">
        <f>1-(1-Skills!J22/100)^Skills!K22</f>
        <v/>
      </c>
      <c r="I645" t="inlineStr">
        <is>
          <t>1</t>
        </is>
      </c>
      <c r="J645" t="inlineStr"/>
      <c r="K645" t="inlineStr"/>
      <c r="L645" t="inlineStr"/>
      <c r="M645" t="inlineStr"/>
      <c r="N645" t="inlineStr"/>
      <c r="O645">
        <f>(1-Summary!$B$11)*T645+Summary!$B$11*V645</f>
        <v/>
      </c>
      <c r="P645">
        <f>IF(B666=0,0,O645/B666)</f>
        <v/>
      </c>
      <c r="Q645" t="n">
        <v>0</v>
      </c>
      <c r="R645" t="n">
        <v>0</v>
      </c>
      <c r="S645">
        <f>IFERROR(O645/N645,0)</f>
        <v/>
      </c>
      <c r="T645" t="n">
        <v>0</v>
      </c>
      <c r="V645" t="n">
        <v>0</v>
      </c>
    </row>
    <row r="646">
      <c r="A646">
        <f>Skills!A23</f>
        <v/>
      </c>
      <c r="B646">
        <f>Skills!B23</f>
        <v/>
      </c>
      <c r="C646">
        <f>Inputs!$B$3&gt;=38</f>
        <v/>
      </c>
      <c r="D646">
        <f>IF(Skills!C23=1,60+Inputs!$B$25+Inputs!$B$29,IF(Skills!C23=2,90+Inputs!$B$26+Inputs!$B$29,IF(Skills!C23=3,120+Inputs!$B$27+Inputs!$B$29,MAX(0,(Inputs!$B$3-100)*3)+Inputs!$B$28+Inputs!$B$29)))</f>
        <v/>
      </c>
      <c r="E646">
        <f>INDEX(FactorTable!$B$2:$Y$301, MATCH(ROUND(MIN(300,MAX(1,D646)),0), FactorTable!$A$2:$A$301,0), Skills!M23+1)</f>
        <v/>
      </c>
      <c r="F646">
        <f>IF(Skills!N23=TRUE,(Skills!L23/10)*(E646/1000),Skills!L23/10)+Skills!O23</f>
        <v/>
      </c>
      <c r="G646">
        <f>Skills!G23*IF(Skills!H23&gt;0,Skills!I23/Skills!H23,1)</f>
        <v/>
      </c>
      <c r="H646">
        <f>1-(1-Skills!J23/100)^Skills!K23</f>
        <v/>
      </c>
      <c r="I646" t="inlineStr">
        <is>
          <t>1</t>
        </is>
      </c>
      <c r="J646" t="inlineStr"/>
      <c r="K646" t="inlineStr"/>
      <c r="L646" t="inlineStr"/>
      <c r="M646" t="inlineStr"/>
      <c r="N646" t="inlineStr"/>
      <c r="O646">
        <f>(1-Summary!$B$11)*T646+Summary!$B$11*V646</f>
        <v/>
      </c>
      <c r="P646">
        <f>IF(B666=0,0,O646/B666)</f>
        <v/>
      </c>
      <c r="Q646" t="n">
        <v>0</v>
      </c>
      <c r="R646" t="n">
        <v>0</v>
      </c>
      <c r="S646">
        <f>IFERROR(O646/N646,0)</f>
        <v/>
      </c>
      <c r="T646" t="n">
        <v>0</v>
      </c>
      <c r="V646" t="n">
        <v>0</v>
      </c>
    </row>
    <row r="647">
      <c r="A647">
        <f>Skills!A24</f>
        <v/>
      </c>
      <c r="B647">
        <f>Skills!B24</f>
        <v/>
      </c>
      <c r="C647">
        <f>Inputs!$B$3&gt;=43</f>
        <v/>
      </c>
      <c r="D647">
        <f>IF(Skills!C24=1,60+Inputs!$B$25+Inputs!$B$29,IF(Skills!C24=2,90+Inputs!$B$26+Inputs!$B$29,IF(Skills!C24=3,120+Inputs!$B$27+Inputs!$B$29,MAX(0,(Inputs!$B$3-100)*3)+Inputs!$B$28+Inputs!$B$29)))</f>
        <v/>
      </c>
      <c r="E647">
        <f>INDEX(FactorTable!$B$2:$Y$301, MATCH(ROUND(MIN(300,MAX(1,D647)),0), FactorTable!$A$2:$A$301,0), Skills!M24+1)</f>
        <v/>
      </c>
      <c r="F647">
        <f>IF(Skills!N24=TRUE,(Skills!L24/10)*(E647/1000),Skills!L24/10)+Skills!O24</f>
        <v/>
      </c>
      <c r="G647">
        <f>Skills!G24*IF(Skills!H24&gt;0,Skills!I24/Skills!H24,1)</f>
        <v/>
      </c>
      <c r="H647">
        <f>1-(1-Skills!J24/100)^Skills!K24</f>
        <v/>
      </c>
      <c r="I647" t="inlineStr">
        <is>
          <t>1</t>
        </is>
      </c>
      <c r="J647" t="inlineStr"/>
      <c r="K647" t="inlineStr"/>
      <c r="L647" t="inlineStr"/>
      <c r="M647" t="inlineStr"/>
      <c r="N647" t="inlineStr"/>
      <c r="O647">
        <f>(1-Summary!$B$11)*T647+Summary!$B$11*V647</f>
        <v/>
      </c>
      <c r="P647">
        <f>IF(B666=0,0,O647/B666)</f>
        <v/>
      </c>
      <c r="Q647" t="n">
        <v>0</v>
      </c>
      <c r="R647" t="n">
        <v>0</v>
      </c>
      <c r="S647">
        <f>IFERROR(O647/N647,0)</f>
        <v/>
      </c>
      <c r="T647" t="n">
        <v>0</v>
      </c>
      <c r="V647" t="n">
        <v>0</v>
      </c>
    </row>
    <row r="648">
      <c r="A648">
        <f>Skills!A25</f>
        <v/>
      </c>
      <c r="B648">
        <f>Skills!B25</f>
        <v/>
      </c>
      <c r="C648">
        <f>Inputs!$B$3&gt;=75</f>
        <v/>
      </c>
      <c r="D648">
        <f>IF(Skills!C25=1,60+Inputs!$B$25+Inputs!$B$29,IF(Skills!C25=2,90+Inputs!$B$26+Inputs!$B$29,IF(Skills!C25=3,120+Inputs!$B$27+Inputs!$B$29,MAX(0,(Inputs!$B$3-100)*3)+Inputs!$B$28+Inputs!$B$29)))</f>
        <v/>
      </c>
      <c r="E648">
        <f>INDEX(FactorTable!$B$2:$Y$301, MATCH(ROUND(MIN(300,MAX(1,D648)),0), FactorTable!$A$2:$A$301,0), Skills!M25+1)</f>
        <v/>
      </c>
      <c r="F648">
        <f>IF(Skills!N25=TRUE,(Skills!L25/10)*(E648/1000),Skills!L25/10)+Skills!O25</f>
        <v/>
      </c>
      <c r="G648">
        <f>Skills!G25*IF(Skills!H25&gt;0,Skills!I25/Skills!H25,1)</f>
        <v/>
      </c>
      <c r="H648">
        <f>1-(1-Skills!J25/100)^Skills!K25</f>
        <v/>
      </c>
      <c r="I648" t="inlineStr">
        <is>
          <t>1</t>
        </is>
      </c>
      <c r="J648" t="inlineStr"/>
      <c r="K648" t="inlineStr"/>
      <c r="L648" t="inlineStr"/>
      <c r="M648" t="inlineStr"/>
      <c r="N648" t="inlineStr"/>
      <c r="O648">
        <f>(1-Summary!$B$11)*T648+Summary!$B$11*V648</f>
        <v/>
      </c>
      <c r="P648">
        <f>IF(B666=0,0,O648/B666)</f>
        <v/>
      </c>
      <c r="Q648" t="n">
        <v>0</v>
      </c>
      <c r="R648" t="n">
        <v>0</v>
      </c>
      <c r="S648">
        <f>IFERROR(O648/N648,0)</f>
        <v/>
      </c>
      <c r="T648" t="n">
        <v>0</v>
      </c>
      <c r="V648" t="n">
        <v>0</v>
      </c>
    </row>
    <row r="649">
      <c r="A649">
        <f>Skills!A26</f>
        <v/>
      </c>
      <c r="B649">
        <f>Skills!B26</f>
        <v/>
      </c>
      <c r="C649">
        <f>Inputs!$B$3&gt;=125</f>
        <v/>
      </c>
      <c r="D649">
        <f>IF(Skills!C26=1,60+Inputs!$B$25+Inputs!$B$29,IF(Skills!C26=2,90+Inputs!$B$26+Inputs!$B$29,IF(Skills!C26=3,120+Inputs!$B$27+Inputs!$B$29,MAX(0,(Inputs!$B$3-100)*3)+Inputs!$B$28+Inputs!$B$29)))</f>
        <v/>
      </c>
      <c r="E649">
        <f>INDEX(FactorTable!$B$2:$Y$301, MATCH(ROUND(MIN(300,MAX(1,D649)),0), FactorTable!$A$2:$A$301,0), Skills!M26+1)</f>
        <v/>
      </c>
      <c r="F649">
        <f>IF(Skills!N26=TRUE,(Skills!L26/10)*(E649/1000),Skills!L26/10)+Skills!O26</f>
        <v/>
      </c>
      <c r="G649">
        <f>Skills!G26*IF(Skills!H26&gt;0,Skills!I26/Skills!H26,1)</f>
        <v/>
      </c>
      <c r="H649">
        <f>1-(1-Skills!J26/100)^Skills!K26</f>
        <v/>
      </c>
      <c r="I649" t="inlineStr">
        <is>
          <t>1</t>
        </is>
      </c>
      <c r="J649" t="inlineStr"/>
      <c r="K649" t="inlineStr"/>
      <c r="L649" t="inlineStr"/>
      <c r="M649" t="inlineStr"/>
      <c r="N649" t="inlineStr"/>
      <c r="O649">
        <f>(1-Summary!$B$11)*T649+Summary!$B$11*V649</f>
        <v/>
      </c>
      <c r="P649">
        <f>IF(B666=0,0,O649/B666)</f>
        <v/>
      </c>
      <c r="Q649" t="n">
        <v>0</v>
      </c>
      <c r="R649" t="n">
        <v>0</v>
      </c>
      <c r="S649">
        <f>IFERROR(O649/N649,0)</f>
        <v/>
      </c>
      <c r="T649" t="n">
        <v>0</v>
      </c>
      <c r="V649" t="n">
        <v>0</v>
      </c>
    </row>
    <row r="650">
      <c r="A650">
        <f>Skills!A27</f>
        <v/>
      </c>
      <c r="B650">
        <f>Skills!B27</f>
        <v/>
      </c>
      <c r="C650">
        <f>Inputs!$B$3&gt;=125</f>
        <v/>
      </c>
      <c r="D650">
        <f>IF(Skills!C27=1,60+Inputs!$B$25+Inputs!$B$29,IF(Skills!C27=2,90+Inputs!$B$26+Inputs!$B$29,IF(Skills!C27=3,120+Inputs!$B$27+Inputs!$B$29,MAX(0,(Inputs!$B$3-100)*3)+Inputs!$B$28+Inputs!$B$29)))</f>
        <v/>
      </c>
      <c r="E650">
        <f>INDEX(FactorTable!$B$2:$Y$301, MATCH(ROUND(MIN(300,MAX(1,D650)),0), FactorTable!$A$2:$A$301,0), Skills!M27+1)</f>
        <v/>
      </c>
      <c r="F650">
        <f>IF(Skills!N27=TRUE,(Skills!L27/10)*(E650/1000),Skills!L27/10)+Skills!O27</f>
        <v/>
      </c>
      <c r="G650">
        <f>Skills!G27*IF(Skills!H27&gt;0,Skills!I27/Skills!H27,1)</f>
        <v/>
      </c>
      <c r="H650">
        <f>1-(1-Skills!J27/100)^Skills!K27</f>
        <v/>
      </c>
      <c r="I650" t="inlineStr">
        <is>
          <t>1</t>
        </is>
      </c>
      <c r="J650" t="inlineStr"/>
      <c r="K650" t="inlineStr"/>
      <c r="L650" t="inlineStr"/>
      <c r="M650" t="inlineStr"/>
      <c r="N650" t="inlineStr"/>
      <c r="O650">
        <f>(1-Summary!$B$11)*T650+Summary!$B$11*V650</f>
        <v/>
      </c>
      <c r="P650">
        <f>IF(B666=0,0,O650/B666)</f>
        <v/>
      </c>
      <c r="Q650" t="n">
        <v>0</v>
      </c>
      <c r="R650" t="n">
        <v>0</v>
      </c>
      <c r="S650">
        <f>IFERROR(O650/N650,0)</f>
        <v/>
      </c>
      <c r="T650" t="n">
        <v>0</v>
      </c>
      <c r="V650" t="n">
        <v>0</v>
      </c>
    </row>
    <row r="651">
      <c r="A651">
        <f>Skills!A28</f>
        <v/>
      </c>
      <c r="B651">
        <f>Skills!B28</f>
        <v/>
      </c>
      <c r="C651">
        <f>Inputs!$B$3&gt;=120</f>
        <v/>
      </c>
      <c r="D651">
        <f>IF(Skills!C28=1,60+Inputs!$B$25+Inputs!$B$29,IF(Skills!C28=2,90+Inputs!$B$26+Inputs!$B$29,IF(Skills!C28=3,120+Inputs!$B$27+Inputs!$B$29,MAX(0,(Inputs!$B$3-100)*3)+Inputs!$B$28+Inputs!$B$29)))</f>
        <v/>
      </c>
      <c r="E651">
        <f>INDEX(FactorTable!$B$2:$Y$301, MATCH(ROUND(MIN(300,MAX(1,D651)),0), FactorTable!$A$2:$A$301,0), Skills!M28+1)</f>
        <v/>
      </c>
      <c r="F651">
        <f>IF(Skills!N28=TRUE,(Skills!L28/10)*(E651/1000),Skills!L28/10)+Skills!O28</f>
        <v/>
      </c>
      <c r="G651">
        <f>Skills!G28*IF(Skills!H28&gt;0,Skills!I28/Skills!H28,1)</f>
        <v/>
      </c>
      <c r="H651">
        <f>1-(1-Skills!J28/100)^Skills!K28</f>
        <v/>
      </c>
      <c r="I651" t="inlineStr">
        <is>
          <t>1</t>
        </is>
      </c>
      <c r="J651" t="inlineStr"/>
      <c r="K651" t="inlineStr"/>
      <c r="L651" t="inlineStr"/>
      <c r="M651" t="inlineStr"/>
      <c r="N651" t="inlineStr"/>
      <c r="O651">
        <f>(1-Summary!$B$11)*T651+Summary!$B$11*V651</f>
        <v/>
      </c>
      <c r="P651">
        <f>IF(B666=0,0,O651/B666)</f>
        <v/>
      </c>
      <c r="Q651" t="n">
        <v>0</v>
      </c>
      <c r="R651" t="n">
        <v>0</v>
      </c>
      <c r="S651">
        <f>IFERROR(O651/N651,0)</f>
        <v/>
      </c>
      <c r="T651" t="n">
        <v>0</v>
      </c>
      <c r="V651" t="n">
        <v>0</v>
      </c>
    </row>
    <row r="652">
      <c r="A652">
        <f>Skills!A29</f>
        <v/>
      </c>
      <c r="B652">
        <f>Skills!B29</f>
        <v/>
      </c>
      <c r="C652">
        <f>Inputs!$B$3&gt;=120</f>
        <v/>
      </c>
      <c r="D652">
        <f>IF(Skills!C29=1,60+Inputs!$B$25+Inputs!$B$29,IF(Skills!C29=2,90+Inputs!$B$26+Inputs!$B$29,IF(Skills!C29=3,120+Inputs!$B$27+Inputs!$B$29,MAX(0,(Inputs!$B$3-100)*3)+Inputs!$B$28+Inputs!$B$29)))</f>
        <v/>
      </c>
      <c r="E652">
        <f>INDEX(FactorTable!$B$2:$Y$301, MATCH(ROUND(MIN(300,MAX(1,D652)),0), FactorTable!$A$2:$A$301,0), Skills!M29+1)</f>
        <v/>
      </c>
      <c r="F652">
        <f>IF(Skills!N29=TRUE,(Skills!L29/10)*(E652/1000),Skills!L29/10)+Skills!O29</f>
        <v/>
      </c>
      <c r="G652">
        <f>Skills!G29*IF(Skills!H29&gt;0,Skills!I29/Skills!H29,1)</f>
        <v/>
      </c>
      <c r="H652">
        <f>1-(1-Skills!J29/100)^Skills!K29</f>
        <v/>
      </c>
      <c r="I652" t="inlineStr">
        <is>
          <t>1</t>
        </is>
      </c>
      <c r="J652" t="inlineStr"/>
      <c r="K652" t="inlineStr"/>
      <c r="L652" t="inlineStr"/>
      <c r="M652" t="inlineStr"/>
      <c r="N652" t="inlineStr"/>
      <c r="O652">
        <f>(1-Summary!$B$11)*T652+Summary!$B$11*V652</f>
        <v/>
      </c>
      <c r="P652">
        <f>IF(B666=0,0,O652/B666)</f>
        <v/>
      </c>
      <c r="Q652" t="n">
        <v>0</v>
      </c>
      <c r="R652" t="n">
        <v>0</v>
      </c>
      <c r="S652">
        <f>IFERROR(O652/N652,0)</f>
        <v/>
      </c>
      <c r="T652" t="n">
        <v>0</v>
      </c>
      <c r="V652" t="n">
        <v>0</v>
      </c>
    </row>
    <row r="653">
      <c r="A653">
        <f>Skills!A30</f>
        <v/>
      </c>
      <c r="B653">
        <f>Skills!B30</f>
        <v/>
      </c>
      <c r="C653">
        <f>Inputs!$B$3&gt;=45</f>
        <v/>
      </c>
      <c r="D653">
        <f>IF(Skills!C30=1,60+Inputs!$B$25+Inputs!$B$29,IF(Skills!C30=2,90+Inputs!$B$26+Inputs!$B$29,IF(Skills!C30=3,120+Inputs!$B$27+Inputs!$B$29,MAX(0,(Inputs!$B$3-100)*3)+Inputs!$B$28+Inputs!$B$29)))</f>
        <v/>
      </c>
      <c r="E653">
        <f>INDEX(FactorTable!$B$2:$Y$301, MATCH(ROUND(MIN(300,MAX(1,D653)),0), FactorTable!$A$2:$A$301,0), Skills!M30+1)</f>
        <v/>
      </c>
      <c r="F653">
        <f>IF(Skills!N30=TRUE,(Skills!L30/10)*(E653/1000),Skills!L30/10)+Skills!O30</f>
        <v/>
      </c>
      <c r="G653">
        <f>Skills!G30*IF(Skills!H30&gt;0,Skills!I30/Skills!H30,1)</f>
        <v/>
      </c>
      <c r="H653">
        <f>1-(1-Skills!J30/100)^Skills!K30</f>
        <v/>
      </c>
      <c r="I653" t="inlineStr">
        <is>
          <t>1</t>
        </is>
      </c>
      <c r="J653" t="inlineStr"/>
      <c r="K653" t="inlineStr"/>
      <c r="L653" t="inlineStr"/>
      <c r="M653" t="inlineStr"/>
      <c r="N653" t="inlineStr"/>
      <c r="O653">
        <f>(1-Summary!$B$11)*T653+Summary!$B$11*V653</f>
        <v/>
      </c>
      <c r="P653">
        <f>IF(B666=0,0,O653/B666)</f>
        <v/>
      </c>
      <c r="Q653" t="n">
        <v>0</v>
      </c>
      <c r="R653" t="n">
        <v>0</v>
      </c>
      <c r="S653">
        <f>IFERROR(O653/N653,0)</f>
        <v/>
      </c>
      <c r="T653" t="n">
        <v>0</v>
      </c>
      <c r="V653" t="n">
        <v>0</v>
      </c>
    </row>
    <row r="655">
      <c r="A655" t="inlineStr">
        <is>
          <t>Attack% Bucket Multiplier</t>
        </is>
      </c>
      <c r="B655">
        <f>(1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6">
      <c r="A656" t="inlineStr">
        <is>
          <t>Global Crit Rate Bonus %</t>
        </is>
      </c>
      <c r="B656">
        <f>(C639=TRUE)*20*IF(AND(Inputs!$B$38&lt;&gt;"pvp",Inputs!$B$43&gt;0),(((R639-1)*(Skills!T16*(1+Inputs!$B$34/100))+MIN((Skills!T16*(1+Inputs!$B$34/100)),MAX(0,Inputs!$B$43-((R639-1)*Skills!D16))))/Inputs!$B$43),IF(Inputs!$B$38="pvp",MIN((Skills!T16*(1+Inputs!$B$34/100)),15)/15,(Skills!T16*(1+Inputs!$B$34/100))/Skills!D16))</f>
        <v/>
      </c>
    </row>
    <row r="657">
      <c r="A657" t="inlineStr">
        <is>
          <t>Attack Speed Buff Bonus %</t>
        </is>
      </c>
      <c r="B657">
        <f>((C642=TRUE)*F642*IF(AND(Inputs!$B$38&lt;&gt;"pvp",Inputs!$B$43&gt;0),(((R642-1)*(Skills!T19*(1+Inputs!$B$34/100))+MIN((Skills!T19*(1+Inputs!$B$34/100)),MAX(0,Inputs!$B$43-((R642-1)*Skills!D19))))/Inputs!$B$43),IF(Inputs!$B$38="pvp",MIN((Skills!T19*(1+Inputs!$B$34/100)),15)/15,(Skills!T19*(1+Inputs!$B$34/100))/Skills!D19)))</f>
        <v/>
      </c>
    </row>
    <row r="658">
      <c r="A658" t="inlineStr">
        <is>
          <t>Actions Per Second</t>
        </is>
      </c>
      <c r="B658">
        <f>1+MIN(150,150*(1-(1-(((1-(1-Inputs!$B$11/150)*(1-1/150))*150)+((C644=TRUE)*(F644-Calc!F21))+((C645=TRUE)*(F645-Calc!F22)))/150)*(1-B657/150)))/100</f>
        <v/>
      </c>
    </row>
    <row r="659">
      <c r="A659" t="inlineStr">
        <is>
          <t>Skill + Buff Cast Rate</t>
        </is>
      </c>
      <c r="B659">
        <f>IF(AND(Inputs!$B$38&lt;&gt;"pvp",Inputs!$B$43&gt;0),SUMPRODUCT((Skills!E2:E30=TRUE)*(C625:C653=TRUE)*R625:R653*Skills!F2:F30)/Inputs!$B$43,SUMPRODUCT((Skills!E2:E30=TRUE)*(C625:C653=TRUE)*Q625:Q653*Skills!F2:F30))</f>
        <v/>
      </c>
    </row>
    <row r="660">
      <c r="A660" t="inlineStr">
        <is>
          <t>Arrow Stream Casts Per Second</t>
        </is>
      </c>
      <c r="B660">
        <f>MAX(0,B658-B659)</f>
        <v/>
      </c>
    </row>
    <row r="661">
      <c r="A661" t="inlineStr">
        <is>
          <t>Global Critical Damage Bonus % (Sharp Eyes + Concentration)</t>
        </is>
      </c>
      <c r="B661">
        <f>(C639=TRUE)*F639*IF(AND(Inputs!$B$38&lt;&gt;"pvp",Inputs!$B$43&gt;0),(((R639-1)*(Skills!T16*(1+Inputs!$B$34/100))+MIN((Skills!T16*(1+Inputs!$B$34/100)),MAX(0,Inputs!$B$43-((R639-1)*Skills!D16))))/Inputs!$B$43),IF(Inputs!$B$38="pvp",MIN((Skills!T16*(1+Inputs!$B$34/100)),15)/15,(Skills!T16*(1+Inputs!$B$34/100))/Skills!D16))+(C640=TRUE)*30</f>
        <v/>
      </c>
    </row>
    <row r="662">
      <c r="A662" t="inlineStr">
        <is>
          <t>Global Final Damage Bonus % (Mortal Blow)</t>
        </is>
      </c>
      <c r="B662">
        <f>(C641=TRUE)*F641</f>
        <v/>
      </c>
    </row>
    <row r="663">
      <c r="A663" t="inlineStr">
        <is>
          <t>Buff-Casting Startup Delay (s, fixed-duration only)</t>
        </is>
      </c>
      <c r="B663">
        <f>IF(AND(Inputs!$B$38&lt;&gt;"pvp",Inputs!$B$43&gt;0),SUMPRODUCT((Skills!T2:T30&gt;0)*(Skills!E2:E30=TRUE)*(C625:C653=TRUE))/B658,0)</f>
        <v/>
      </c>
    </row>
    <row r="664">
      <c r="A664" t="inlineStr">
        <is>
          <t>Boss-Only Total DPS (this block's swept value)</t>
        </is>
      </c>
      <c r="B664">
        <f>SUM(T625:T653)</f>
        <v/>
      </c>
    </row>
    <row r="665">
      <c r="A665" t="inlineStr">
        <is>
          <t>Normal-Only Total DPS (this block's swept value)</t>
        </is>
      </c>
      <c r="B665">
        <f>SUM(V625:V653)</f>
        <v/>
      </c>
    </row>
    <row r="666">
      <c r="A666" s="6" t="inlineStr">
        <is>
          <t>TOTAL DPS</t>
        </is>
      </c>
      <c r="B666" s="6">
        <f>SUM(O625:O653)</f>
        <v/>
      </c>
    </row>
    <row r="669">
      <c r="A669" s="6" t="inlineStr">
        <is>
          <t>Stat: DEF_PEN % (diminishing returns, factor 100)</t>
        </is>
      </c>
    </row>
    <row r="670">
      <c r="A670" s="5" t="inlineStr">
        <is>
          <t>Key</t>
        </is>
      </c>
      <c r="B670" s="5" t="inlineStr">
        <is>
          <t>Name</t>
        </is>
      </c>
      <c r="C670" s="5" t="inlineStr">
        <is>
          <t>Unlocked</t>
        </is>
      </c>
      <c r="D670" s="5" t="inlineStr">
        <is>
          <t>InputLevel</t>
        </is>
      </c>
      <c r="E670" s="5" t="inlineStr">
        <is>
          <t>Factor</t>
        </is>
      </c>
      <c r="F670" s="5" t="inlineStr">
        <is>
          <t>CoefficientPercent</t>
        </is>
      </c>
      <c r="G670" s="5" t="inlineStr">
        <is>
          <t>EffectiveHits</t>
        </is>
      </c>
      <c r="H670" s="5" t="inlineStr">
        <is>
          <t>ProcProbability</t>
        </is>
      </c>
      <c r="I670" s="5" t="inlineStr">
        <is>
          <t>MapleHeroMultiplier</t>
        </is>
      </c>
      <c r="J670" s="5" t="inlineStr">
        <is>
          <t>BaseDamage</t>
        </is>
      </c>
      <c r="K670" s="5" t="inlineStr">
        <is>
          <t>BaseHitDamage</t>
        </is>
      </c>
      <c r="L670" s="5" t="inlineStr">
        <is>
          <t>NonCritAvg</t>
        </is>
      </c>
      <c r="M670" s="5" t="inlineStr">
        <is>
          <t>CritAvg</t>
        </is>
      </c>
      <c r="N670" s="5" t="inlineStr">
        <is>
          <t>ExpectedDamage(perHit)</t>
        </is>
      </c>
      <c r="O670" s="5" t="inlineStr">
        <is>
          <t>DPS</t>
        </is>
      </c>
      <c r="P670" s="5" t="inlineStr">
        <is>
          <t>% of Total</t>
        </is>
      </c>
      <c r="Q670" s="5" t="inlineStr">
        <is>
          <t>InvCooldown</t>
        </is>
      </c>
      <c r="R670" s="5" t="inlineStr">
        <is>
          <t>CastsInFight</t>
        </is>
      </c>
      <c r="S670" s="5" t="inlineStr">
        <is>
          <t>HitRate(perSec)</t>
        </is>
      </c>
      <c r="U670" t="inlineStr">
        <is>
          <t>helpers</t>
        </is>
      </c>
    </row>
    <row r="671">
      <c r="A671">
        <f>Skills!A2</f>
        <v/>
      </c>
      <c r="B671">
        <f>Skills!B2</f>
        <v/>
      </c>
      <c r="C671">
        <f>Inputs!$B$3&gt;=100</f>
        <v/>
      </c>
      <c r="D671" t="inlineStr"/>
      <c r="E671" t="inlineStr"/>
      <c r="F671">
        <f>U673+Skills!O2</f>
        <v/>
      </c>
      <c r="G671">
        <f>Skills!G2*IF(Skills!H2&gt;0,Skills!I2/Skills!H2,1)</f>
        <v/>
      </c>
      <c r="H671">
        <f>1-(1-Skills!J2/100)^Skills!K2</f>
        <v/>
      </c>
      <c r="I671" t="inlineStr">
        <is>
          <t>1</t>
        </is>
      </c>
      <c r="J671">
        <f>((Inputs!$B$6*(1+Inputs!$B$7/100))+(((Inputs!$B$12*(1+Inputs!$B$13/100))-(Inputs!$B$12*(1+Inputs!$B$13/100)))+0.25*(Inputs!$B$14-Inputs!$B$14))*(1+Inputs!$B$7/100))*(F671/100)</f>
        <v/>
      </c>
      <c r="K671">
        <f>J671*(1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671)</f>
        <v/>
      </c>
      <c r="L671">
        <f>K671*(MIN(Inputs!$B$22+((C693=TRUE)*(F693-Calc!F24)),(Inputs!$B$23+((C698=TRUE)*(F698-Calc!F29))+(IF(ArtifactsInput!$M$15,CHOOSE(ArtifactsInput!$N$15+1,25,30,35,40,45,50)/100*(Inputs!$B$11-Inputs!$B$11),0))))/100+(Inputs!$B$23+((C698=TRUE)*(F698-Calc!F29))+(IF(ArtifactsInput!$M$15,CHOOSE(ArtifactsInput!$N$15+1,25,30,35,40,45,50)/100*(Inputs!$B$11-Inputs!$B$11),0)))/100)/2</f>
        <v/>
      </c>
      <c r="M671">
        <f>L671*(1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1">
        <f>L671*(1-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1">
        <f>(1-Summary!$B$11)*T671+Summary!$B$11*V671</f>
        <v/>
      </c>
      <c r="P671">
        <f>IF(B712=0,0,O671/B712)</f>
        <v/>
      </c>
      <c r="Q671" t="n">
        <v>0</v>
      </c>
      <c r="R671" t="n">
        <v>0</v>
      </c>
      <c r="S671">
        <f>IFERROR(O671/N671,0)</f>
        <v/>
      </c>
      <c r="T671">
        <f>IF(C671,(Skills!G2*N671*B706)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671*(1-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671*(1-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1">
        <f>MAX(0,(Inputs!$B$3-100)*3)+Inputs!$B$28+Inputs!$B$29</f>
        <v/>
      </c>
      <c r="V671">
        <f>IF(C671,(Skills!G2*N671*B706)*IF(Inputs!$B$38="pvp",1,(1+(Inputs!$B$21+Skills!Q2+(IF(ArtifactsInput!$M$33,CHOOSE(ArtifactsInput!$N$33+1,30,36,42,48,54,60),0))+(IF(AND(ArtifactsInput!$M$35,Inputs!$B$4&lt;&gt;"Chapter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f>Skills!A3</f>
        <v/>
      </c>
      <c r="B672">
        <f>Skills!B3</f>
        <v/>
      </c>
      <c r="C672">
        <f>Inputs!$B$3&gt;=50</f>
        <v/>
      </c>
      <c r="D672">
        <f>IF(Skills!C3=1,60+Inputs!$B$25+Inputs!$B$29,IF(Skills!C3=2,90+Inputs!$B$26+Inputs!$B$29,IF(Skills!C3=3,120+Inputs!$B$27+Inputs!$B$29,MAX(0,(Inputs!$B$3-100)*3)+Inputs!$B$28+Inputs!$B$29)))</f>
        <v/>
      </c>
      <c r="E672">
        <f>INDEX(FactorTable!$B$2:$Y$301, MATCH(ROUND(MIN(300,MAX(1,D672)),0), FactorTable!$A$2:$A$301,0), Skills!M3+1)</f>
        <v/>
      </c>
      <c r="F672">
        <f>IF(Skills!N3=TRUE,(Skills!L3/10)*(E672/1000),Skills!L3/10)+Skills!O3</f>
        <v/>
      </c>
      <c r="G672" t="inlineStr"/>
      <c r="H672" t="inlineStr"/>
      <c r="I672" t="inlineStr">
        <is>
          <t>1</t>
        </is>
      </c>
      <c r="J672" t="inlineStr"/>
      <c r="K672" t="inlineStr"/>
      <c r="L672" t="inlineStr"/>
      <c r="M672" t="inlineStr"/>
      <c r="N672" t="inlineStr"/>
      <c r="O672" t="inlineStr"/>
      <c r="P672" t="inlineStr"/>
      <c r="Q672" t="inlineStr"/>
      <c r="R672" t="inlineStr"/>
      <c r="S672" t="inlineStr"/>
      <c r="T672" t="inlineStr"/>
      <c r="U672">
        <f>INDEX(FactorTable!$B$2:$Y$301, MATCH(ROUND(MIN(300,MAX(1,U671)),0), FactorTable!$A$2:$A$301,0), 22)</f>
        <v/>
      </c>
      <c r="V672" t="inlineStr"/>
    </row>
    <row r="673">
      <c r="A673">
        <f>Skills!A4</f>
        <v/>
      </c>
      <c r="B673">
        <f>Skills!B4</f>
        <v/>
      </c>
      <c r="C673">
        <f>Inputs!$B$3&gt;=105</f>
        <v/>
      </c>
      <c r="D673">
        <f>IF(Skills!C4=1,60+Inputs!$B$25+Inputs!$B$29,IF(Skills!C4=2,90+Inputs!$B$26+Inputs!$B$29,IF(Skills!C4=3,120+Inputs!$B$27+Inputs!$B$29,MAX(0,(Inputs!$B$3-100)*3)+Inputs!$B$28+Inputs!$B$29)))</f>
        <v/>
      </c>
      <c r="E673">
        <f>INDEX(FactorTable!$B$2:$Y$301, MATCH(ROUND(MIN(300,MAX(1,D673)),0), FactorTable!$A$2:$A$301,0), Skills!M4+1)</f>
        <v/>
      </c>
      <c r="F673">
        <f>IF(Skills!N4=TRUE,(Skills!L4/10)*(E673/1000),Skills!L4/10)+Skills!O4</f>
        <v/>
      </c>
      <c r="G673" t="inlineStr"/>
      <c r="H673" t="inlineStr"/>
      <c r="I673" t="inlineStr">
        <is>
          <t>1</t>
        </is>
      </c>
      <c r="J673" t="inlineStr"/>
      <c r="K673" t="inlineStr"/>
      <c r="L673" t="inlineStr"/>
      <c r="M673" t="inlineStr"/>
      <c r="N673" t="inlineStr"/>
      <c r="O673" t="inlineStr"/>
      <c r="P673" t="inlineStr"/>
      <c r="Q673" t="inlineStr"/>
      <c r="R673" t="inlineStr"/>
      <c r="S673" t="inlineStr"/>
      <c r="T673" t="inlineStr"/>
      <c r="U673">
        <f>290*U672/1000</f>
        <v/>
      </c>
      <c r="V673" t="inlineStr"/>
    </row>
    <row r="674">
      <c r="A674">
        <f>Skills!A5</f>
        <v/>
      </c>
      <c r="B674">
        <f>Skills!B5</f>
        <v/>
      </c>
      <c r="C674">
        <f>Inputs!$B$3&gt;=35</f>
        <v/>
      </c>
      <c r="D674">
        <f>IF(Skills!C5=1,60+Inputs!$B$25+Inputs!$B$29,IF(Skills!C5=2,90+Inputs!$B$26+Inputs!$B$29,IF(Skills!C5=3,120+Inputs!$B$27+Inputs!$B$29,MAX(0,(Inputs!$B$3-100)*3)+Inputs!$B$28+Inputs!$B$29)))</f>
        <v/>
      </c>
      <c r="E674">
        <f>INDEX(FactorTable!$B$2:$Y$301, MATCH(ROUND(MIN(300,MAX(1,D674)),0), FactorTable!$A$2:$A$301,0), Skills!M5+1)</f>
        <v/>
      </c>
      <c r="F674">
        <f>IF(Skills!N5=TRUE,(Skills!L5/10)*(E674/1000),Skills!L5/10)+Skills!O5</f>
        <v/>
      </c>
      <c r="G674">
        <f>Skills!G5*IF(Skills!H5&gt;0,Skills!I5/Skills!H5,1)</f>
        <v/>
      </c>
      <c r="H674">
        <f>1-(1-Skills!J5/100)^Skills!K5</f>
        <v/>
      </c>
      <c r="I674" t="inlineStr">
        <is>
          <t>1</t>
        </is>
      </c>
      <c r="J674">
        <f>((Inputs!$B$6*(1+Inputs!$B$7/100))+(((Inputs!$B$12*(1+Inputs!$B$13/100))-(Inputs!$B$12*(1+Inputs!$B$13/100)))+0.25*(Inputs!$B$14-Inputs!$B$14))*(1+Inputs!$B$7/100))*(F674/100)</f>
        <v/>
      </c>
      <c r="K674">
        <f>J674*(1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679=TRUE,F679,0)/100)*(1+(IF(Skills!A5="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674)</f>
        <v/>
      </c>
      <c r="L674">
        <f>K674*(MIN(Inputs!$B$22+((C693=TRUE)*(F693-Calc!F24)),(Inputs!$B$23+((C698=TRUE)*(F698-Calc!F29))+(IF(ArtifactsInput!$M$15,CHOOSE(ArtifactsInput!$N$15+1,25,30,35,40,45,50)/100*(Inputs!$B$11-Inputs!$B$11),0))))/100+(Inputs!$B$23+((C698=TRUE)*(F698-Calc!F29))+(IF(ArtifactsInput!$M$15,CHOOSE(ArtifactsInput!$N$15+1,25,30,35,40,45,50)/100*(Inputs!$B$11-Inputs!$B$11),0)))/100)/2</f>
        <v/>
      </c>
      <c r="M674">
        <f>L674*(1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4">
        <f>L674*(1-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674*(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4">
        <f>(1-Summary!$B$11)*T674+Summary!$B$11*V674</f>
        <v/>
      </c>
      <c r="P674">
        <f>IF(B712=0,0,O674/B712)</f>
        <v/>
      </c>
      <c r="Q674">
        <f>IFERROR(1/(IF(Inputs!$B$38="pvp",15,MAX(0.1,Skills!D5-IF(Skills!E5=TRUE,Inputs!$B$32,0)))*(1-IF(AND(ArtifactsInput!$M$27,Inputs!$B$4="Chapter Hunt"),CHOOSE(ArtifactsInput!$N$27+1,20,24,28,32,36,40),0)/100)),0)</f>
        <v/>
      </c>
      <c r="R674">
        <f>IF(AND(Inputs!$B$38&lt;&gt;"pvp",Inputs!$B$43&gt;0),IF(MAX(0,Inputs!$B$43-B709)&lt;=0,0,(INT(MAX(0,Inputs!$B$43-B709)/(IF(Inputs!$B$38="pvp",15,MAX(0.1,Skills!D5-IF(Skills!E5=TRUE,Inputs!$B$32,0)))*(1-IF(AND(ArtifactsInput!$M$27,Inputs!$B$4="Chapter Hunt"),CHOOSE(ArtifactsInput!$N$27+1,20,24,28,32,36,40),0)/100)))+1)),0)</f>
        <v/>
      </c>
      <c r="S674">
        <f>IFERROR(O674/N674,0)</f>
        <v/>
      </c>
      <c r="T674">
        <f>IF(C674,(H674*N674*IF(AND(Inputs!$B$38&lt;&gt;"pvp",Inputs!$B$43&gt;0),((Skills!G5*((R674-1)*IF(Skills!H5&gt;0,Skills!I5/Skills!H5,1)+IF(Skills!H5&gt;0,MIN(Skills!I5,MAX(0,MAX(0,Inputs!$B$43-B709)-((R674-1)*(IF(Inputs!$B$38="pvp",15,MAX(0.1,Skills!D5-IF(Skills!E5=TRUE,Inputs!$B$32,0)))*(1-IF(AND(ArtifactsInput!$M$27,Inputs!$B$4="Chapter Hunt"),CHOOSE(ArtifactsInput!$N$27+1,20,24,28,32,36,40),0)/100)))))/Skills!H5,1)))/Inputs!$B$43),G674*Q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674*(1-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674*(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674*(1-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674*(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4">
        <f>IF(C674,(H674*N674*IF(AND(Inputs!$B$38&lt;&gt;"pvp",Inputs!$B$43&gt;0),((Skills!G5*((R674-1)*IF(Skills!H5&gt;0,Skills!I5/Skills!H5,1)+IF(Skills!H5&gt;0,MIN(Skills!I5,MAX(0,MAX(0,Inputs!$B$43-B709)-((R674-1)*(IF(Inputs!$B$38="pvp",15,MAX(0.1,Skills!D5-IF(Skills!E5=TRUE,Inputs!$B$32,0)))*(1-IF(AND(ArtifactsInput!$M$27,Inputs!$B$4="Chapter Hunt"),CHOOSE(ArtifactsInput!$N$27+1,20,24,28,32,36,40),0)/100)))))/Skills!H5,1)))/Inputs!$B$43),G674*Q674))*IF(Inputs!$B$38="pvp",1,(1+(Inputs!$B$21+Skills!Q5+(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5">
      <c r="A675">
        <f>Skills!A6</f>
        <v/>
      </c>
      <c r="B675">
        <f>Skills!B6</f>
        <v/>
      </c>
      <c r="C675">
        <f>Inputs!$B$3&gt;=40</f>
        <v/>
      </c>
      <c r="D675">
        <f>IF(Skills!C6=1,60+Inputs!$B$25+Inputs!$B$29,IF(Skills!C6=2,90+Inputs!$B$26+Inputs!$B$29,IF(Skills!C6=3,120+Inputs!$B$27+Inputs!$B$29,MAX(0,(Inputs!$B$3-100)*3)+Inputs!$B$28+Inputs!$B$29)))</f>
        <v/>
      </c>
      <c r="E675">
        <f>INDEX(FactorTable!$B$2:$Y$301, MATCH(ROUND(MIN(300,MAX(1,D675)),0), FactorTable!$A$2:$A$301,0), Skills!M6+1)</f>
        <v/>
      </c>
      <c r="F675">
        <f>IF(Skills!N6=TRUE,(Skills!L6/10)*(E675/1000),Skills!L6/10)+Skills!O6</f>
        <v/>
      </c>
      <c r="G675">
        <f>Skills!G6*IF(Skills!H6&gt;0,Skills!I6/Skills!H6,1)</f>
        <v/>
      </c>
      <c r="H675">
        <f>1-(1-Skills!J6/100)^Skills!K6</f>
        <v/>
      </c>
      <c r="I675" t="inlineStr">
        <is>
          <t>1</t>
        </is>
      </c>
      <c r="J675">
        <f>((Inputs!$B$6*(1+Inputs!$B$7/100))+(((Inputs!$B$12*(1+Inputs!$B$13/100))-(Inputs!$B$12*(1+Inputs!$B$13/100)))+0.25*(Inputs!$B$14-Inputs!$B$14))*(1+Inputs!$B$7/100))*(F675/100)</f>
        <v/>
      </c>
      <c r="K675">
        <f>J675*(1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676=TRUE,F676,0)/100)*(1+(IF(Skills!A6="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24)),(Inputs!$B$23+((C698=TRUE)*(F698-Calc!F29))+(IF(ArtifactsInput!$M$15,CHOOSE(ArtifactsInput!$N$15+1,25,30,35,40,45,50)/100*(Inputs!$B$11-Inputs!$B$11),0))))/100+(Inputs!$B$23+((C698=TRUE)*(F698-Calc!F29))+(IF(ArtifactsInput!$M$15,CHOOSE(ArtifactsInput!$N$15+1,25,30,35,40,45,50)/100*(Inputs!$B$11-Inputs!$B$11),0)))/100)/2</f>
        <v/>
      </c>
      <c r="M675">
        <f>L675*(1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IF(B712=0,0,O675/B712)</f>
        <v/>
      </c>
      <c r="Q675">
        <f>IFERROR(1/(IF(Inputs!$B$38="pvp",15,MAX(0.1,Skills!D6-IF(Skills!E6=TRUE,Inputs!$B$32,0)))*(1-IF(AND(ArtifactsInput!$M$27,Inputs!$B$4="Chapter Hunt"),CHOOSE(ArtifactsInput!$N$27+1,20,24,28,32,36,40),0)/100)),0)</f>
        <v/>
      </c>
      <c r="R675">
        <f>IF(AND(Inputs!$B$38&lt;&gt;"pvp",Inputs!$B$43&gt;0),IF(MAX(0,Inputs!$B$43-B709)&lt;=0,0,(INT(MAX(0,Inputs!$B$43-B709)/(IF(Inputs!$B$38="pvp",15,MAX(0.1,Skills!D6-IF(Skills!E6=TRUE,Inputs!$B$32,0)))*(1-IF(AND(ArtifactsInput!$M$27,Inputs!$B$4="Chapter Hunt"),CHOOSE(ArtifactsInput!$N$27+1,20,24,28,32,36,40),0)/100)))+1)),0)</f>
        <v/>
      </c>
      <c r="S675">
        <f>IFERROR(O675/N675,0)</f>
        <v/>
      </c>
      <c r="T675">
        <f>IF(C675,(H675*N675*IF(AND(Inputs!$B$38&lt;&gt;"pvp",Inputs!$B$43&gt;0),((Skills!G6*((R675-1)*IF(Skills!H6&gt;0,Skills!I6/Skills!H6,1)+IF(Skills!H6&gt;0,MIN(Skills!I6,MAX(0,MAX(0,Inputs!$B$43-B709)-((R675-1)*(IF(Inputs!$B$38="pvp",15,MAX(0.1,Skills!D6-IF(Skills!E6=TRUE,Inputs!$B$32,0)))*(1-IF(AND(ArtifactsInput!$M$27,Inputs!$B$4="Chapter Hunt"),CHOOSE(ArtifactsInput!$N$27+1,20,24,28,32,36,40),0)/100)))))/Skills!H6,1)))/Inputs!$B$43),G675*Q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675*(1-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5">
        <f>IF(C675,(H675*N675*IF(AND(Inputs!$B$38&lt;&gt;"pvp",Inputs!$B$43&gt;0),((Skills!G6*((R675-1)*IF(Skills!H6&gt;0,Skills!I6/Skills!H6,1)+IF(Skills!H6&gt;0,MIN(Skills!I6,MAX(0,MAX(0,Inputs!$B$43-B709)-((R675-1)*(IF(Inputs!$B$38="pvp",15,MAX(0.1,Skills!D6-IF(Skills!E6=TRUE,Inputs!$B$32,0)))*(1-IF(AND(ArtifactsInput!$M$27,Inputs!$B$4="Chapter Hunt"),CHOOSE(ArtifactsInput!$N$27+1,20,24,28,32,36,40),0)/100)))))/Skills!H6,1)))/Inputs!$B$43),G675*Q675))*IF(Inputs!$B$38="pvp",1,(1+(Inputs!$B$21+Skills!Q6+(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Skills!A7</f>
        <v/>
      </c>
      <c r="B676">
        <f>Skills!B7</f>
        <v/>
      </c>
      <c r="C676">
        <f>Inputs!$B$3&gt;=107</f>
        <v/>
      </c>
      <c r="D676">
        <f>IF(Skills!C7=1,60+Inputs!$B$25+Inputs!$B$29,IF(Skills!C7=2,90+Inputs!$B$26+Inputs!$B$29,IF(Skills!C7=3,120+Inputs!$B$27+Inputs!$B$29,MAX(0,(Inputs!$B$3-100)*3)+Inputs!$B$28+Inputs!$B$29)))</f>
        <v/>
      </c>
      <c r="E676">
        <f>INDEX(FactorTable!$B$2:$Y$301, MATCH(ROUND(MIN(300,MAX(1,D676)),0), FactorTable!$A$2:$A$301,0), Skills!M7+1)</f>
        <v/>
      </c>
      <c r="F676">
        <f>IF(Skills!N7=TRUE,(Skills!L7/10)*(E676/1000),Skills!L7/10)+Skills!O7</f>
        <v/>
      </c>
      <c r="G676" t="inlineStr"/>
      <c r="H676" t="inlineStr"/>
      <c r="I676" t="inlineStr">
        <is>
          <t>1</t>
        </is>
      </c>
      <c r="J676" t="inlineStr"/>
      <c r="K676" t="inlineStr"/>
      <c r="L676" t="inlineStr"/>
      <c r="M676" t="inlineStr"/>
      <c r="N676" t="inlineStr"/>
      <c r="O676" t="inlineStr"/>
      <c r="P676" t="inlineStr"/>
      <c r="Q676" t="inlineStr"/>
      <c r="R676" t="inlineStr"/>
      <c r="S676" t="inlineStr"/>
      <c r="T676" t="inlineStr"/>
      <c r="V676" t="inlineStr"/>
    </row>
    <row r="677">
      <c r="A677">
        <f>Skills!A8</f>
        <v/>
      </c>
      <c r="B677">
        <f>Skills!B8</f>
        <v/>
      </c>
      <c r="C677">
        <f>Inputs!$B$3&gt;=69</f>
        <v/>
      </c>
      <c r="D677">
        <f>IF(Skills!C8=1,60+Inputs!$B$25+Inputs!$B$29,IF(Skills!C8=2,90+Inputs!$B$26+Inputs!$B$29,IF(Skills!C8=3,120+Inputs!$B$27+Inputs!$B$29,MAX(0,(Inputs!$B$3-100)*3)+Inputs!$B$28+Inputs!$B$29)))</f>
        <v/>
      </c>
      <c r="E677">
        <f>INDEX(FactorTable!$B$2:$Y$301, MATCH(ROUND(MIN(300,MAX(1,D677)),0), FactorTable!$A$2:$A$301,0), Skills!M8+1)</f>
        <v/>
      </c>
      <c r="F677">
        <f>IF(Skills!N8=TRUE,(Skills!L8/10)*(E677/1000),Skills!L8/10)+Skills!O8</f>
        <v/>
      </c>
      <c r="G677">
        <f>Skills!G8*IF(Skills!H8&gt;0,Skills!I8/Skills!H8,1)</f>
        <v/>
      </c>
      <c r="H677">
        <f>1-(1-Skills!J8/100)^Skills!K8</f>
        <v/>
      </c>
      <c r="I677" t="inlineStr">
        <is>
          <t>1</t>
        </is>
      </c>
      <c r="J677">
        <f>((Inputs!$B$6*(1+Inputs!$B$7/100))+(((Inputs!$B$12*(1+Inputs!$B$13/100))-(Inputs!$B$12*(1+Inputs!$B$13/100)))+0.25*(Inputs!$B$14-Inputs!$B$14))*(1+Inputs!$B$7/100))*(F677/100)</f>
        <v/>
      </c>
      <c r="K677">
        <f>J677*(1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679=TRUE,F679,0)/100)*(1+(IF(Skills!A8="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24)),(Inputs!$B$23+((C698=TRUE)*(F698-Calc!F29))+(IF(ArtifactsInput!$M$15,CHOOSE(ArtifactsInput!$N$15+1,25,30,35,40,45,50)/100*(Inputs!$B$11-Inputs!$B$11),0))))/100+(Inputs!$B$23+((C698=TRUE)*(F698-Calc!F29))+(IF(ArtifactsInput!$M$15,CHOOSE(ArtifactsInput!$N$15+1,25,30,35,40,45,50)/100*(Inputs!$B$11-Inputs!$B$11),0)))/100)/2</f>
        <v/>
      </c>
      <c r="M677">
        <f>L677*(1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IF(B712=0,0,O677/B712)</f>
        <v/>
      </c>
      <c r="Q677">
        <f>IFERROR(1/(IF(Inputs!$B$38="pvp",15,MAX(0.1,Skills!D8-IF(Skills!E8=TRUE,Inputs!$B$32,0)))*(1-IF(AND(ArtifactsInput!$M$27,Inputs!$B$4="Chapter Hunt"),CHOOSE(ArtifactsInput!$N$27+1,20,24,28,32,36,40),0)/100)),0)</f>
        <v/>
      </c>
      <c r="R677">
        <f>IF(AND(Inputs!$B$38&lt;&gt;"pvp",Inputs!$B$43&gt;0),IF(MAX(0,Inputs!$B$43-B709)&lt;=0,0,(INT(MAX(0,Inputs!$B$43-B709)/(IF(Inputs!$B$38="pvp",15,MAX(0.1,Skills!D8-IF(Skills!E8=TRUE,Inputs!$B$32,0)))*(1-IF(AND(ArtifactsInput!$M$27,Inputs!$B$4="Chapter Hunt"),CHOOSE(ArtifactsInput!$N$27+1,20,24,28,32,36,40),0)/100)))+1)),0)</f>
        <v/>
      </c>
      <c r="S677">
        <f>IFERROR(O677/N677,0)</f>
        <v/>
      </c>
      <c r="T677">
        <f>IF(C677,(H677*N677*IF(AND(Inputs!$B$38&lt;&gt;"pvp",Inputs!$B$43&gt;0),((Skills!G8*((R677-1)*IF(Skills!H8&gt;0,Skills!I8/Skills!H8,1)+IF(Skills!H8&gt;0,MIN(Skills!I8,MAX(0,MAX(0,Inputs!$B$43-B709)-((R677-1)*(IF(Inputs!$B$38="pvp",15,MAX(0.1,Skills!D8-IF(Skills!E8=TRUE,Inputs!$B$32,0)))*(1-IF(AND(ArtifactsInput!$M$27,Inputs!$B$4="Chapter Hunt"),CHOOSE(ArtifactsInput!$N$27+1,20,24,28,32,36,40),0)/100)))))/Skills!H8,1)))/Inputs!$B$43),G677*Q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8*((R677-1)*IF(Skills!H8&gt;0,Skills!I8/Skills!H8,1)+IF(Skills!H8&gt;0,MIN(Skills!I8,MAX(0,MAX(0,Inputs!$B$43-B709)-((R677-1)*(IF(Inputs!$B$38="pvp",15,MAX(0.1,Skills!D8-IF(Skills!E8=TRUE,Inputs!$B$32,0)))*(1-IF(AND(ArtifactsInput!$M$27,Inputs!$B$4="Chapter Hunt"),CHOOSE(ArtifactsInput!$N$27+1,20,24,28,32,36,40),0)/100)))))/Skills!H8,1)))/Inputs!$B$43),G677*Q677))*IF(Inputs!$B$38="pvp",1,(1+(Inputs!$B$21+Skills!Q8+(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Skills!A9</f>
        <v/>
      </c>
      <c r="B678">
        <f>Skills!B9</f>
        <v/>
      </c>
      <c r="C678">
        <f>Inputs!$B$3&gt;=63</f>
        <v/>
      </c>
      <c r="D678">
        <f>IF(Skills!C9=1,60+Inputs!$B$25+Inputs!$B$29,IF(Skills!C9=2,90+Inputs!$B$26+Inputs!$B$29,IF(Skills!C9=3,120+Inputs!$B$27+Inputs!$B$29,MAX(0,(Inputs!$B$3-100)*3)+Inputs!$B$28+Inputs!$B$29)))</f>
        <v/>
      </c>
      <c r="E678">
        <f>INDEX(FactorTable!$B$2:$Y$301, MATCH(ROUND(MIN(300,MAX(1,D678)),0), FactorTable!$A$2:$A$301,0), Skills!M9+1)</f>
        <v/>
      </c>
      <c r="F678">
        <f>IF(Skills!N9=TRUE,(Skills!L9/10)*(E678/1000),Skills!L9/10)+Skills!O9</f>
        <v/>
      </c>
      <c r="G678">
        <f>Skills!G9*IF(Skills!H9&gt;0,Skills!I9/Skills!H9,1)</f>
        <v/>
      </c>
      <c r="H678">
        <f>1-(1-Skills!J9/100)^Skills!K9</f>
        <v/>
      </c>
      <c r="I678" t="inlineStr">
        <is>
          <t>1</t>
        </is>
      </c>
      <c r="J678">
        <f>((Inputs!$B$6*(1+Inputs!$B$7/100))+(((Inputs!$B$12*(1+Inputs!$B$13/100))-(Inputs!$B$12*(1+Inputs!$B$13/100)))+0.25*(Inputs!$B$14-Inputs!$B$14))*(1+Inputs!$B$7/100))*(F678/100)</f>
        <v/>
      </c>
      <c r="K678">
        <f>J678*(1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679=TRUE,F679,0)/100)*(1+(IF(Skills!A9="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24)),(Inputs!$B$23+((C698=TRUE)*(F698-Calc!F29))+(IF(ArtifactsInput!$M$15,CHOOSE(ArtifactsInput!$N$15+1,25,30,35,40,45,50)/100*(Inputs!$B$11-Inputs!$B$11),0))))/100+(Inputs!$B$23+((C698=TRUE)*(F698-Calc!F29))+(IF(ArtifactsInput!$M$15,CHOOSE(ArtifactsInput!$N$15+1,25,30,35,40,45,50)/100*(Inputs!$B$11-Inputs!$B$11),0)))/100)/2</f>
        <v/>
      </c>
      <c r="M678">
        <f>L678*(1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IF(B712=0,0,O678/B712)</f>
        <v/>
      </c>
      <c r="Q678">
        <f>IFERROR(1/(IF(Inputs!$B$38="pvp",15,MAX(0.1,Skills!D9-IF(Skills!E9=TRUE,Inputs!$B$32,0)))*(1-IF(AND(ArtifactsInput!$M$27,Inputs!$B$4="Chapter Hunt"),CHOOSE(ArtifactsInput!$N$27+1,20,24,28,32,36,40),0)/100)),0)</f>
        <v/>
      </c>
      <c r="R678">
        <f>IF(AND(Inputs!$B$38&lt;&gt;"pvp",Inputs!$B$43&gt;0),IF(MAX(0,Inputs!$B$43-B709)&lt;=0,0,(INT(MAX(0,Inputs!$B$43-B709)/(IF(Inputs!$B$38="pvp",15,MAX(0.1,Skills!D9-IF(Skills!E9=TRUE,Inputs!$B$32,0)))*(1-IF(AND(ArtifactsInput!$M$27,Inputs!$B$4="Chapter Hunt"),CHOOSE(ArtifactsInput!$N$27+1,20,24,28,32,36,40),0)/100)))+1)),0)</f>
        <v/>
      </c>
      <c r="S678">
        <f>IFERROR(O678/N678,0)</f>
        <v/>
      </c>
      <c r="T678">
        <f>IF(C678,(H678*N678*IF(AND(Inputs!$B$38&lt;&gt;"pvp",Inputs!$B$43&gt;0),((Skills!G9*((R678-1)*IF(Skills!H9&gt;0,Skills!I9/Skills!H9,1)+IF(Skills!H9&gt;0,MIN(Skills!I9,MAX(0,MAX(0,Inputs!$B$43-B709)-((R678-1)*(IF(Inputs!$B$38="pvp",15,MAX(0.1,Skills!D9-IF(Skills!E9=TRUE,Inputs!$B$32,0)))*(1-IF(AND(ArtifactsInput!$M$27,Inputs!$B$4="Chapter Hunt"),CHOOSE(ArtifactsInput!$N$27+1,20,24,28,32,36,40),0)/100)))))/Skills!H9,1)))/Inputs!$B$43),G678*Q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678*(1-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9*((R678-1)*IF(Skills!H9&gt;0,Skills!I9/Skills!H9,1)+IF(Skills!H9&gt;0,MIN(Skills!I9,MAX(0,MAX(0,Inputs!$B$43-B709)-((R678-1)*(IF(Inputs!$B$38="pvp",15,MAX(0.1,Skills!D9-IF(Skills!E9=TRUE,Inputs!$B$32,0)))*(1-IF(AND(ArtifactsInput!$M$27,Inputs!$B$4="Chapter Hunt"),CHOOSE(ArtifactsInput!$N$27+1,20,24,28,32,36,40),0)/100)))))/Skills!H9,1)))/Inputs!$B$43),G678*Q678))*IF(Inputs!$B$38="pvp",1,(1+(Inputs!$B$21+Skills!Q9+(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Skills!A10</f>
        <v/>
      </c>
      <c r="B679">
        <f>Skills!B10</f>
        <v/>
      </c>
      <c r="C679">
        <f>Inputs!$B$3&gt;=100</f>
        <v/>
      </c>
      <c r="D679">
        <f>IF(Skills!C10=1,60+Inputs!$B$25+Inputs!$B$29,IF(Skills!C10=2,90+Inputs!$B$26+Inputs!$B$29,IF(Skills!C10=3,120+Inputs!$B$27+Inputs!$B$29,MAX(0,(Inputs!$B$3-100)*3)+Inputs!$B$28+Inputs!$B$29)))</f>
        <v/>
      </c>
      <c r="E679">
        <f>INDEX(FactorTable!$B$2:$Y$301, MATCH(ROUND(MIN(300,MAX(1,D679)),0), FactorTable!$A$2:$A$301,0), Skills!M10+1)</f>
        <v/>
      </c>
      <c r="F679">
        <f>IF(Skills!N10=TRUE,(Skills!L10/10)*(E679/1000),Skills!L10/10)+Skills!O10</f>
        <v/>
      </c>
      <c r="G679" t="inlineStr"/>
      <c r="H679" t="inlineStr"/>
      <c r="I679" t="inlineStr">
        <is>
          <t>1</t>
        </is>
      </c>
      <c r="J679" t="inlineStr"/>
      <c r="K679" t="inlineStr"/>
      <c r="L679" t="inlineStr"/>
      <c r="M679" t="inlineStr"/>
      <c r="N679" t="inlineStr"/>
      <c r="O679" t="inlineStr"/>
      <c r="P679" t="inlineStr"/>
      <c r="Q679" t="inlineStr"/>
      <c r="R679" t="inlineStr"/>
      <c r="S679" t="inlineStr"/>
      <c r="T679" t="inlineStr"/>
      <c r="V679" t="inlineStr"/>
    </row>
    <row r="680">
      <c r="A680">
        <f>Skills!A11</f>
        <v/>
      </c>
      <c r="B680">
        <f>Skills!B11</f>
        <v/>
      </c>
      <c r="C680">
        <f>Inputs!$B$3&gt;=60</f>
        <v/>
      </c>
      <c r="D680">
        <f>IF(Skills!C11=1,60+Inputs!$B$25+Inputs!$B$29,IF(Skills!C11=2,90+Inputs!$B$26+Inputs!$B$29,IF(Skills!C11=3,120+Inputs!$B$27+Inputs!$B$29,MAX(0,(Inputs!$B$3-100)*3)+Inputs!$B$28+Inputs!$B$29)))</f>
        <v/>
      </c>
      <c r="E680">
        <f>INDEX(FactorTable!$B$2:$Y$301, MATCH(ROUND(MIN(300,MAX(1,D680)),0), FactorTable!$A$2:$A$301,0), Skills!M11+1)</f>
        <v/>
      </c>
      <c r="F680">
        <f>IF(Skills!N11=TRUE,(Skills!L11/10)*(E680/1000),Skills!L11/10)+Skills!O11</f>
        <v/>
      </c>
      <c r="G680">
        <f>Skills!G11*IF(Skills!H11&gt;0,Skills!I11/Skills!H11,1)</f>
        <v/>
      </c>
      <c r="H680">
        <f>1-(1-Skills!J11/100)^Skills!K11</f>
        <v/>
      </c>
      <c r="I680" t="inlineStr">
        <is>
          <t>1</t>
        </is>
      </c>
      <c r="J680">
        <f>((Inputs!$B$6*(1+Inputs!$B$7/100))+(((Inputs!$B$12*(1+Inputs!$B$13/100))-(Inputs!$B$12*(1+Inputs!$B$13/100)))+0.25*(Inputs!$B$14-Inputs!$B$14))*(1+Inputs!$B$7/100))*(F680/100)</f>
        <v/>
      </c>
      <c r="K680">
        <f>J680*(1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681=TRUE,F681,0)/100)*(1+(IF(Skills!A11="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24)),(Inputs!$B$23+((C698=TRUE)*(F698-Calc!F29))+(IF(ArtifactsInput!$M$15,CHOOSE(ArtifactsInput!$N$15+1,25,30,35,40,45,50)/100*(Inputs!$B$11-Inputs!$B$11),0))))/100+(Inputs!$B$23+((C698=TRUE)*(F698-Calc!F29))+(IF(ArtifactsInput!$M$15,CHOOSE(ArtifactsInput!$N$15+1,25,30,35,40,45,50)/100*(Inputs!$B$11-Inputs!$B$11),0)))/100)/2</f>
        <v/>
      </c>
      <c r="M680">
        <f>L680*(1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IF(B712=0,0,O680/B712)</f>
        <v/>
      </c>
      <c r="Q680">
        <f>IFERROR(1/(IF(Inputs!$B$38="pvp",15,MAX(0.1,Skills!D11-IF(Skills!E11=TRUE,Inputs!$B$32,0)))*(1-IF(AND(ArtifactsInput!$M$27,Inputs!$B$4="Chapter Hunt"),CHOOSE(ArtifactsInput!$N$27+1,20,24,28,32,36,40),0)/100)),0)</f>
        <v/>
      </c>
      <c r="R680">
        <f>IF(AND(Inputs!$B$38&lt;&gt;"pvp",Inputs!$B$43&gt;0),IF(MAX(0,Inputs!$B$43-B709)&lt;=0,0,(INT(MAX(0,Inputs!$B$43-B709)/(IF(Inputs!$B$38="pvp",15,MAX(0.1,Skills!D11-IF(Skills!E11=TRUE,Inputs!$B$32,0)))*(1-IF(AND(ArtifactsInput!$M$27,Inputs!$B$4="Chapter Hunt"),CHOOSE(ArtifactsInput!$N$27+1,20,24,28,32,36,40),0)/100)))+1)),0)</f>
        <v/>
      </c>
      <c r="S680">
        <f>IFERROR(O680/N680,0)</f>
        <v/>
      </c>
      <c r="T680">
        <f>IF(C680,(H680*N680*IF(AND(Inputs!$B$38&lt;&gt;"pvp",Inputs!$B$43&gt;0),((Skills!G11*((R680-1)*IF(Skills!H11&gt;0,Skills!I11/Skills!H11,1)+IF(Skills!H11&gt;0,MIN(Skills!I11,MAX(0,MAX(0,Inputs!$B$43-B709)-((R680-1)*(IF(Inputs!$B$38="pvp",15,MAX(0.1,Skills!D11-IF(Skills!E11=TRUE,Inputs!$B$32,0)))*(1-IF(AND(ArtifactsInput!$M$27,Inputs!$B$4="Chapter Hunt"),CHOOSE(ArtifactsInput!$N$27+1,20,24,28,32,36,40),0)/100)))))/Skills!H11,1)))/Inputs!$B$43),G680*Q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680*(1-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11*((R680-1)*IF(Skills!H11&gt;0,Skills!I11/Skills!H11,1)+IF(Skills!H11&gt;0,MIN(Skills!I11,MAX(0,MAX(0,Inputs!$B$43-B709)-((R680-1)*(IF(Inputs!$B$38="pvp",15,MAX(0.1,Skills!D11-IF(Skills!E11=TRUE,Inputs!$B$32,0)))*(1-IF(AND(ArtifactsInput!$M$27,Inputs!$B$4="Chapter Hunt"),CHOOSE(ArtifactsInput!$N$27+1,20,24,28,32,36,40),0)/100)))))/Skills!H11,1)))/Inputs!$B$43),G680*Q680))*IF(Inputs!$B$38="pvp",1,(1+(Inputs!$B$21+Skills!Q11+(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Skills!A12</f>
        <v/>
      </c>
      <c r="B681">
        <f>Skills!B12</f>
        <v/>
      </c>
      <c r="C681">
        <f>Inputs!$B$3&gt;=110</f>
        <v/>
      </c>
      <c r="D681">
        <f>IF(Skills!C12=1,60+Inputs!$B$25+Inputs!$B$29,IF(Skills!C12=2,90+Inputs!$B$26+Inputs!$B$29,IF(Skills!C12=3,120+Inputs!$B$27+Inputs!$B$29,MAX(0,(Inputs!$B$3-100)*3)+Inputs!$B$28+Inputs!$B$29)))</f>
        <v/>
      </c>
      <c r="E681">
        <f>INDEX(FactorTable!$B$2:$Y$301, MATCH(ROUND(MIN(300,MAX(1,D681)),0), FactorTable!$A$2:$A$301,0), Skills!M12+1)</f>
        <v/>
      </c>
      <c r="F681">
        <f>IF(Skills!N12=TRUE,(Skills!L12/10)*(E681/1000),Skills!L12/10)+Skills!O12</f>
        <v/>
      </c>
      <c r="G681" t="inlineStr"/>
      <c r="H681" t="inlineStr"/>
      <c r="I681" t="inlineStr">
        <is>
          <t>1</t>
        </is>
      </c>
      <c r="J681" t="inlineStr"/>
      <c r="K681" t="inlineStr"/>
      <c r="L681" t="inlineStr"/>
      <c r="M681" t="inlineStr"/>
      <c r="N681" t="inlineStr"/>
      <c r="O681" t="inlineStr"/>
      <c r="P681" t="inlineStr"/>
      <c r="Q681" t="inlineStr"/>
      <c r="R681" t="inlineStr"/>
      <c r="S681" t="inlineStr"/>
      <c r="T681" t="inlineStr"/>
      <c r="V681" t="inlineStr"/>
    </row>
    <row r="682">
      <c r="A682">
        <f>Skills!A13</f>
        <v/>
      </c>
      <c r="B682">
        <f>Skills!B13</f>
        <v/>
      </c>
      <c r="C682">
        <f>Inputs!$B$3&gt;=74</f>
        <v/>
      </c>
      <c r="D682">
        <f>IF(Skills!C13=1,60+Inputs!$B$25+Inputs!$B$29,IF(Skills!C13=2,90+Inputs!$B$26+Inputs!$B$29,IF(Skills!C13=3,120+Inputs!$B$27+Inputs!$B$29,MAX(0,(Inputs!$B$3-100)*3)+Inputs!$B$28+Inputs!$B$29)))</f>
        <v/>
      </c>
      <c r="E682">
        <f>INDEX(FactorTable!$B$2:$Y$301, MATCH(ROUND(MIN(300,MAX(1,D682)),0), FactorTable!$A$2:$A$301,0), Skills!M13+1)</f>
        <v/>
      </c>
      <c r="F682">
        <f>IF(Skills!N13=TRUE,(Skills!L13/10)*(E682/1000),Skills!L13/10)+Skills!O13</f>
        <v/>
      </c>
      <c r="G682">
        <f>Skills!G13*IF(Skills!H13&gt;0,Skills!I13/Skills!H13,1)</f>
        <v/>
      </c>
      <c r="H682">
        <f>1-(1-Skills!J13/100)^Skills!K13</f>
        <v/>
      </c>
      <c r="I682" t="inlineStr">
        <is>
          <t>1</t>
        </is>
      </c>
      <c r="J682" t="inlineStr"/>
      <c r="K682" t="inlineStr"/>
      <c r="L682" t="inlineStr"/>
      <c r="M682" t="inlineStr"/>
      <c r="N682" t="inlineStr"/>
      <c r="O682">
        <f>(1-Summary!$B$11)*T682+Summary!$B$11*V682</f>
        <v/>
      </c>
      <c r="P682">
        <f>IF(B712=0,0,O682/B712)</f>
        <v/>
      </c>
      <c r="Q682" t="n">
        <v>0</v>
      </c>
      <c r="R682" t="n">
        <v>0</v>
      </c>
      <c r="S682">
        <f>IFERROR(O682/N682,0)</f>
        <v/>
      </c>
      <c r="T682" t="n">
        <v>0</v>
      </c>
      <c r="V682" t="n">
        <v>0</v>
      </c>
    </row>
    <row r="683">
      <c r="A683">
        <f>Skills!A14</f>
        <v/>
      </c>
      <c r="B683">
        <f>Skills!B14</f>
        <v/>
      </c>
      <c r="C683">
        <f>Inputs!$B$3&gt;=74</f>
        <v/>
      </c>
      <c r="D683">
        <f>IF(Skills!C14=1,60+Inputs!$B$25+Inputs!$B$29,IF(Skills!C14=2,90+Inputs!$B$26+Inputs!$B$29,IF(Skills!C14=3,120+Inputs!$B$27+Inputs!$B$29,MAX(0,(Inputs!$B$3-100)*3)+Inputs!$B$28+Inputs!$B$29)))</f>
        <v/>
      </c>
      <c r="E683">
        <f>INDEX(FactorTable!$B$2:$Y$301, MATCH(ROUND(MIN(300,MAX(1,D683)),0), FactorTable!$A$2:$A$301,0), Skills!M14+1)</f>
        <v/>
      </c>
      <c r="F683">
        <f>IF(Skills!N14=TRUE,(Skills!L14/10)*(E683/1000),Skills!L14/10)+Skills!O14</f>
        <v/>
      </c>
      <c r="G683">
        <f>Skills!G14*IF(Skills!H14&gt;0,Skills!I14/Skills!H14,1)</f>
        <v/>
      </c>
      <c r="H683">
        <f>1-(1-Skills!J14/100)^Skills!K14</f>
        <v/>
      </c>
      <c r="I683" t="inlineStr">
        <is>
          <t>1</t>
        </is>
      </c>
      <c r="J683" t="inlineStr"/>
      <c r="K683" t="inlineStr"/>
      <c r="L683" t="inlineStr"/>
      <c r="M683" t="inlineStr"/>
      <c r="N683" t="inlineStr"/>
      <c r="O683">
        <f>(1-Summary!$B$11)*T683+Summary!$B$11*V683</f>
        <v/>
      </c>
      <c r="P683">
        <f>IF(B712=0,0,O683/B712)</f>
        <v/>
      </c>
      <c r="Q683" t="n">
        <v>0</v>
      </c>
      <c r="R683" t="n">
        <v>0</v>
      </c>
      <c r="S683">
        <f>IFERROR(O683/N683,0)</f>
        <v/>
      </c>
      <c r="T683" t="n">
        <v>0</v>
      </c>
      <c r="V683" t="n">
        <v>0</v>
      </c>
    </row>
    <row r="684">
      <c r="A684">
        <f>Skills!A15</f>
        <v/>
      </c>
      <c r="B684">
        <f>Skills!B15</f>
        <v/>
      </c>
      <c r="C684">
        <f>Inputs!$B$3&gt;=117</f>
        <v/>
      </c>
      <c r="D684">
        <f>IF(Skills!C15=1,60+Inputs!$B$25+Inputs!$B$29,IF(Skills!C15=2,90+Inputs!$B$26+Inputs!$B$29,IF(Skills!C15=3,120+Inputs!$B$27+Inputs!$B$29,MAX(0,(Inputs!$B$3-100)*3)+Inputs!$B$28+Inputs!$B$29)))</f>
        <v/>
      </c>
      <c r="E684">
        <f>INDEX(FactorTable!$B$2:$Y$301, MATCH(ROUND(MIN(300,MAX(1,D684)),0), FactorTable!$A$2:$A$301,0), Skills!M15+1)</f>
        <v/>
      </c>
      <c r="F684">
        <f>IF(Skills!N15=TRUE,(Skills!L15/10)*(E684/1000),Skills!L15/10)+Skills!O15</f>
        <v/>
      </c>
      <c r="G684">
        <f>Skills!G15*IF(Skills!H15&gt;0,Skills!I15/Skills!H15,1)</f>
        <v/>
      </c>
      <c r="H684">
        <f>1-(1-Skills!J15/100)^Skills!K15</f>
        <v/>
      </c>
      <c r="I684" t="inlineStr">
        <is>
          <t>1</t>
        </is>
      </c>
      <c r="J684" t="inlineStr"/>
      <c r="K684" t="inlineStr"/>
      <c r="L684" t="inlineStr"/>
      <c r="M684" t="inlineStr"/>
      <c r="N684" t="inlineStr"/>
      <c r="O684">
        <f>(1-Summary!$B$11)*T684+Summary!$B$11*V684</f>
        <v/>
      </c>
      <c r="P684">
        <f>IF(B712=0,0,O684/B712)</f>
        <v/>
      </c>
      <c r="Q684">
        <f>IFERROR(1/(IF(Inputs!$B$38="pvp",15,MAX(0.1,Skills!D15-IF(Skills!E15=TRUE,Inputs!$B$32,0)))*(1-IF(AND(ArtifactsInput!$M$27,Inputs!$B$4="Chapter Hunt"),CHOOSE(ArtifactsInput!$N$27+1,20,24,28,32,36,40),0)/100)),0)</f>
        <v/>
      </c>
      <c r="R684">
        <f>IF(AND(Inputs!$B$38&lt;&gt;"pvp",Inputs!$B$43&gt;0),IF(Inputs!$B$43&lt;=0,0,(INT(Inputs!$B$43/(IF(Inputs!$B$38="pvp",15,MAX(0.1,Skills!D15-IF(Skills!E15=TRUE,Inputs!$B$32,0)))*(1-IF(AND(ArtifactsInput!$M$27,Inputs!$B$4="Chapter Hunt"),CHOOSE(ArtifactsInput!$N$27+1,20,24,28,32,36,40),0)/100)))+1)),0)</f>
        <v/>
      </c>
      <c r="S684">
        <f>IFERROR(O684/N684,0)</f>
        <v/>
      </c>
      <c r="T684" t="n">
        <v>0</v>
      </c>
      <c r="V684" t="n">
        <v>0</v>
      </c>
    </row>
    <row r="685">
      <c r="A685">
        <f>Skills!A16</f>
        <v/>
      </c>
      <c r="B685">
        <f>Skills!B16</f>
        <v/>
      </c>
      <c r="C685">
        <f>Inputs!$B$3&gt;=115</f>
        <v/>
      </c>
      <c r="D685">
        <f>IF(Skills!C16=1,60+Inputs!$B$25+Inputs!$B$29,IF(Skills!C16=2,90+Inputs!$B$26+Inputs!$B$29,IF(Skills!C16=3,120+Inputs!$B$27+Inputs!$B$29,MAX(0,(Inputs!$B$3-100)*3)+Inputs!$B$28+Inputs!$B$29)))</f>
        <v/>
      </c>
      <c r="E685">
        <f>INDEX(FactorTable!$B$2:$Y$301, MATCH(ROUND(MIN(300,MAX(1,D685)),0), FactorTable!$A$2:$A$301,0), Skills!M16+1)</f>
        <v/>
      </c>
      <c r="F685">
        <f>IF(Skills!N16=TRUE,(Skills!L16/10)*(E685/1000),Skills!L16/10)+Skills!O16</f>
        <v/>
      </c>
      <c r="G685">
        <f>Skills!G16*IF(Skills!H16&gt;0,Skills!I16/Skills!H16,1)</f>
        <v/>
      </c>
      <c r="H685">
        <f>1-(1-Skills!J16/100)^Skills!K16</f>
        <v/>
      </c>
      <c r="I685" t="inlineStr">
        <is>
          <t>1</t>
        </is>
      </c>
      <c r="J685" t="inlineStr"/>
      <c r="K685" t="inlineStr"/>
      <c r="L685" t="inlineStr"/>
      <c r="M685" t="inlineStr"/>
      <c r="N685" t="inlineStr"/>
      <c r="O685">
        <f>(1-Summary!$B$11)*T685+Summary!$B$11*V685</f>
        <v/>
      </c>
      <c r="P685">
        <f>IF(B712=0,0,O685/B712)</f>
        <v/>
      </c>
      <c r="Q685">
        <f>IFERROR(1/(IF(Inputs!$B$38="pvp",15,MAX(0.1,Skills!D16-IF(Skills!E16=TRUE,Inputs!$B$32,0)))*(1-IF(AND(ArtifactsInput!$M$27,Inputs!$B$4="Chapter Hunt"),CHOOSE(ArtifactsInput!$N$27+1,20,24,28,32,36,40),0)/100)),0)</f>
        <v/>
      </c>
      <c r="R685">
        <f>IF(AND(Inputs!$B$38&lt;&gt;"pvp",Inputs!$B$43&gt;0),IF(Inputs!$B$43&lt;=0,0,(INT(Inputs!$B$43/(IF(Inputs!$B$38="pvp",15,MAX(0.1,Skills!D16-IF(Skills!E16=TRUE,Inputs!$B$32,0)))*(1-IF(AND(ArtifactsInput!$M$27,Inputs!$B$4="Chapter Hunt"),CHOOSE(ArtifactsInput!$N$27+1,20,24,28,32,36,40),0)/100)))+1)),0)</f>
        <v/>
      </c>
      <c r="S685">
        <f>IFERROR(O685/N685,0)</f>
        <v/>
      </c>
      <c r="T685" t="n">
        <v>0</v>
      </c>
      <c r="V685" t="n">
        <v>0</v>
      </c>
    </row>
    <row r="686">
      <c r="A686">
        <f>Skills!A17</f>
        <v/>
      </c>
      <c r="B686">
        <f>Skills!B17</f>
        <v/>
      </c>
      <c r="C686">
        <f>Inputs!$B$3&gt;=66</f>
        <v/>
      </c>
      <c r="D686">
        <f>IF(Skills!C17=1,60+Inputs!$B$25+Inputs!$B$29,IF(Skills!C17=2,90+Inputs!$B$26+Inputs!$B$29,IF(Skills!C17=3,120+Inputs!$B$27+Inputs!$B$29,MAX(0,(Inputs!$B$3-100)*3)+Inputs!$B$28+Inputs!$B$29)))</f>
        <v/>
      </c>
      <c r="E686">
        <f>INDEX(FactorTable!$B$2:$Y$301, MATCH(ROUND(MIN(300,MAX(1,D686)),0), FactorTable!$A$2:$A$301,0), Skills!M17+1)</f>
        <v/>
      </c>
      <c r="F686">
        <f>IF(Skills!N17=TRUE,(Skills!L17/10)*(E686/1000),Skills!L17/10)+Skills!O17</f>
        <v/>
      </c>
      <c r="G686">
        <f>Skills!G17*IF(Skills!H17&gt;0,Skills!I17/Skills!H17,1)</f>
        <v/>
      </c>
      <c r="H686">
        <f>1-(1-Skills!J17/100)^Skills!K17</f>
        <v/>
      </c>
      <c r="I686" t="inlineStr">
        <is>
          <t>1</t>
        </is>
      </c>
      <c r="J686" t="inlineStr"/>
      <c r="K686" t="inlineStr"/>
      <c r="L686" t="inlineStr"/>
      <c r="M686" t="inlineStr"/>
      <c r="N686" t="inlineStr"/>
      <c r="O686">
        <f>(1-Summary!$B$11)*T686+Summary!$B$11*V686</f>
        <v/>
      </c>
      <c r="P686">
        <f>IF(B712=0,0,O686/B712)</f>
        <v/>
      </c>
      <c r="Q686" t="n">
        <v>0</v>
      </c>
      <c r="R686" t="n">
        <v>0</v>
      </c>
      <c r="S686">
        <f>IFERROR(O686/N686,0)</f>
        <v/>
      </c>
      <c r="T686" t="n">
        <v>0</v>
      </c>
      <c r="V686" t="n">
        <v>0</v>
      </c>
    </row>
    <row r="687">
      <c r="A687">
        <f>Skills!A18</f>
        <v/>
      </c>
      <c r="B687">
        <f>Skills!B18</f>
        <v/>
      </c>
      <c r="C687">
        <f>Inputs!$B$3&gt;=72</f>
        <v/>
      </c>
      <c r="D687">
        <f>IF(Skills!C18=1,60+Inputs!$B$25+Inputs!$B$29,IF(Skills!C18=2,90+Inputs!$B$26+Inputs!$B$29,IF(Skills!C18=3,120+Inputs!$B$27+Inputs!$B$29,MAX(0,(Inputs!$B$3-100)*3)+Inputs!$B$28+Inputs!$B$29)))</f>
        <v/>
      </c>
      <c r="E687">
        <f>INDEX(FactorTable!$B$2:$Y$301, MATCH(ROUND(MIN(300,MAX(1,D687)),0), FactorTable!$A$2:$A$301,0), Skills!M18+1)</f>
        <v/>
      </c>
      <c r="F687">
        <f>IF(Skills!N18=TRUE,(Skills!L18/10)*(E687/1000),Skills!L18/10)+Skills!O18</f>
        <v/>
      </c>
      <c r="G687">
        <f>Skills!G18*IF(Skills!H18&gt;0,Skills!I18/Skills!H18,1)</f>
        <v/>
      </c>
      <c r="H687">
        <f>1-(1-Skills!J18/100)^Skills!K18</f>
        <v/>
      </c>
      <c r="I687" t="inlineStr">
        <is>
          <t>1</t>
        </is>
      </c>
      <c r="J687" t="inlineStr"/>
      <c r="K687" t="inlineStr"/>
      <c r="L687" t="inlineStr"/>
      <c r="M687" t="inlineStr"/>
      <c r="N687" t="inlineStr"/>
      <c r="O687">
        <f>(1-Summary!$B$11)*T687+Summary!$B$11*V687</f>
        <v/>
      </c>
      <c r="P687">
        <f>IF(B712=0,0,O687/B712)</f>
        <v/>
      </c>
      <c r="Q687" t="n">
        <v>0</v>
      </c>
      <c r="R687" t="n">
        <v>0</v>
      </c>
      <c r="S687">
        <f>IFERROR(O687/N687,0)</f>
        <v/>
      </c>
      <c r="T687" t="n">
        <v>0</v>
      </c>
      <c r="V687" t="n">
        <v>0</v>
      </c>
    </row>
    <row r="688">
      <c r="A688">
        <f>Skills!A19</f>
        <v/>
      </c>
      <c r="B688">
        <f>Skills!B19</f>
        <v/>
      </c>
      <c r="C688">
        <f>TRUE</f>
        <v/>
      </c>
      <c r="D688">
        <f>IF(Skills!C19=1,60+Inputs!$B$25+Inputs!$B$29,IF(Skills!C19=2,90+Inputs!$B$26+Inputs!$B$29,IF(Skills!C19=3,120+Inputs!$B$27+Inputs!$B$29,MAX(0,(Inputs!$B$3-100)*3)+Inputs!$B$28+Inputs!$B$29)))</f>
        <v/>
      </c>
      <c r="E688">
        <f>INDEX(FactorTable!$B$2:$Y$301, MATCH(ROUND(MIN(300,MAX(1,D688)),0), FactorTable!$A$2:$A$301,0), Skills!M19+1)</f>
        <v/>
      </c>
      <c r="F688">
        <f>IF(Skills!N19=TRUE,(Skills!L19/10)*(E688/1000),Skills!L19/10)+Skills!O19</f>
        <v/>
      </c>
      <c r="G688">
        <f>Skills!G19*IF(Skills!H19&gt;0,Skills!I19/Skills!H19,1)</f>
        <v/>
      </c>
      <c r="H688">
        <f>1-(1-Skills!J19/100)^Skills!K19</f>
        <v/>
      </c>
      <c r="I688" t="inlineStr">
        <is>
          <t>1</t>
        </is>
      </c>
      <c r="J688" t="inlineStr"/>
      <c r="K688" t="inlineStr"/>
      <c r="L688" t="inlineStr"/>
      <c r="M688" t="inlineStr"/>
      <c r="N688" t="inlineStr"/>
      <c r="O688">
        <f>(1-Summary!$B$11)*T688+Summary!$B$11*V688</f>
        <v/>
      </c>
      <c r="P688">
        <f>IF(B712=0,0,O688/B712)</f>
        <v/>
      </c>
      <c r="Q688">
        <f>IFERROR(1/(IF(Inputs!$B$38="pvp",15,MAX(0.1,Skills!D19-IF(Skills!E19=TRUE,Inputs!$B$32,0)))*(1-IF(AND(ArtifactsInput!$M$27,Inputs!$B$4="Chapter Hunt"),CHOOSE(ArtifactsInput!$N$27+1,20,24,28,32,36,40),0)/100)),0)</f>
        <v/>
      </c>
      <c r="R688">
        <f>IF(AND(Inputs!$B$38&lt;&gt;"pvp",Inputs!$B$43&gt;0),IF(Inputs!$B$43&lt;=0,0,(INT(Inputs!$B$43/(IF(Inputs!$B$38="pvp",15,MAX(0.1,Skills!D19-IF(Skills!E19=TRUE,Inputs!$B$32,0)))*(1-IF(AND(ArtifactsInput!$M$27,Inputs!$B$4="Chapter Hunt"),CHOOSE(ArtifactsInput!$N$27+1,20,24,28,32,36,40),0)/100)))+1)),0)</f>
        <v/>
      </c>
      <c r="S688">
        <f>IFERROR(O688/N688,0)</f>
        <v/>
      </c>
      <c r="T688" t="n">
        <v>0</v>
      </c>
      <c r="V688" t="n">
        <v>0</v>
      </c>
    </row>
    <row r="689">
      <c r="A689">
        <f>Skills!A20</f>
        <v/>
      </c>
      <c r="B689">
        <f>Skills!B20</f>
        <v/>
      </c>
      <c r="C689">
        <f>Inputs!$B$3&gt;=15</f>
        <v/>
      </c>
      <c r="D689">
        <f>IF(Skills!C20=1,60+Inputs!$B$25+Inputs!$B$29,IF(Skills!C20=2,90+Inputs!$B$26+Inputs!$B$29,IF(Skills!C20=3,120+Inputs!$B$27+Inputs!$B$29,MAX(0,(Inputs!$B$3-100)*3)+Inputs!$B$28+Inputs!$B$29)))</f>
        <v/>
      </c>
      <c r="E689">
        <f>INDEX(FactorTable!$B$2:$Y$301, MATCH(ROUND(MIN(300,MAX(1,D689)),0), FactorTable!$A$2:$A$301,0), Skills!M20+1)</f>
        <v/>
      </c>
      <c r="F689">
        <f>IF(Skills!N20=TRUE,(Skills!L20/10)*(E689/1000),Skills!L20/10)+Skills!O20</f>
        <v/>
      </c>
      <c r="G689">
        <f>Skills!G20*IF(Skills!H20&gt;0,Skills!I20/Skills!H20,1)</f>
        <v/>
      </c>
      <c r="H689">
        <f>1-(1-Skills!J20/100)^Skills!K20</f>
        <v/>
      </c>
      <c r="I689" t="inlineStr">
        <is>
          <t>1</t>
        </is>
      </c>
      <c r="J689" t="inlineStr"/>
      <c r="K689" t="inlineStr"/>
      <c r="L689" t="inlineStr"/>
      <c r="M689" t="inlineStr"/>
      <c r="N689" t="inlineStr"/>
      <c r="O689">
        <f>(1-Summary!$B$11)*T689+Summary!$B$11*V689</f>
        <v/>
      </c>
      <c r="P689">
        <f>IF(B712=0,0,O689/B712)</f>
        <v/>
      </c>
      <c r="Q689" t="n">
        <v>0</v>
      </c>
      <c r="R689" t="n">
        <v>0</v>
      </c>
      <c r="S689">
        <f>IFERROR(O689/N689,0)</f>
        <v/>
      </c>
      <c r="T689" t="n">
        <v>0</v>
      </c>
      <c r="V689" t="n">
        <v>0</v>
      </c>
    </row>
    <row r="690">
      <c r="A690">
        <f>Skills!A21</f>
        <v/>
      </c>
      <c r="B690">
        <f>Skills!B21</f>
        <v/>
      </c>
      <c r="C690">
        <f>Inputs!$B$3&gt;=10</f>
        <v/>
      </c>
      <c r="D690">
        <f>IF(Skills!C21=1,60+Inputs!$B$25+Inputs!$B$29,IF(Skills!C21=2,90+Inputs!$B$26+Inputs!$B$29,IF(Skills!C21=3,120+Inputs!$B$27+Inputs!$B$29,MAX(0,(Inputs!$B$3-100)*3)+Inputs!$B$28+Inputs!$B$29)))</f>
        <v/>
      </c>
      <c r="E690">
        <f>INDEX(FactorTable!$B$2:$Y$301, MATCH(ROUND(MIN(300,MAX(1,D690)),0), FactorTable!$A$2:$A$301,0), Skills!M21+1)</f>
        <v/>
      </c>
      <c r="F690">
        <f>IF(Skills!N21=TRUE,(Skills!L21/10)*(E690/1000),Skills!L21/10)+Skills!O21</f>
        <v/>
      </c>
      <c r="G690">
        <f>Skills!G21*IF(Skills!H21&gt;0,Skills!I21/Skills!H21,1)</f>
        <v/>
      </c>
      <c r="H690">
        <f>1-(1-Skills!J21/100)^Skills!K21</f>
        <v/>
      </c>
      <c r="I690" t="inlineStr">
        <is>
          <t>1</t>
        </is>
      </c>
      <c r="J690" t="inlineStr"/>
      <c r="K690" t="inlineStr"/>
      <c r="L690" t="inlineStr"/>
      <c r="M690" t="inlineStr"/>
      <c r="N690" t="inlineStr"/>
      <c r="O690">
        <f>(1-Summary!$B$11)*T690+Summary!$B$11*V690</f>
        <v/>
      </c>
      <c r="P690">
        <f>IF(B712=0,0,O690/B712)</f>
        <v/>
      </c>
      <c r="Q690" t="n">
        <v>0</v>
      </c>
      <c r="R690" t="n">
        <v>0</v>
      </c>
      <c r="S690">
        <f>IFERROR(O690/N690,0)</f>
        <v/>
      </c>
      <c r="T690" t="n">
        <v>0</v>
      </c>
      <c r="V690" t="n">
        <v>0</v>
      </c>
    </row>
    <row r="691">
      <c r="A691">
        <f>Skills!A22</f>
        <v/>
      </c>
      <c r="B691">
        <f>Skills!B22</f>
        <v/>
      </c>
      <c r="C691">
        <f>Inputs!$B$3&gt;=33</f>
        <v/>
      </c>
      <c r="D691">
        <f>IF(Skills!C22=1,60+Inputs!$B$25+Inputs!$B$29,IF(Skills!C22=2,90+Inputs!$B$26+Inputs!$B$29,IF(Skills!C22=3,120+Inputs!$B$27+Inputs!$B$29,MAX(0,(Inputs!$B$3-100)*3)+Inputs!$B$28+Inputs!$B$29)))</f>
        <v/>
      </c>
      <c r="E691">
        <f>INDEX(FactorTable!$B$2:$Y$301, MATCH(ROUND(MIN(300,MAX(1,D691)),0), FactorTable!$A$2:$A$301,0), Skills!M22+1)</f>
        <v/>
      </c>
      <c r="F691">
        <f>IF(Skills!N22=TRUE,(Skills!L22/10)*(E691/1000),Skills!L22/10)+Skills!O22</f>
        <v/>
      </c>
      <c r="G691">
        <f>Skills!G22*IF(Skills!H22&gt;0,Skills!I22/Skills!H22,1)</f>
        <v/>
      </c>
      <c r="H691">
        <f>1-(1-Skills!J22/100)^Skills!K22</f>
        <v/>
      </c>
      <c r="I691" t="inlineStr">
        <is>
          <t>1</t>
        </is>
      </c>
      <c r="J691" t="inlineStr"/>
      <c r="K691" t="inlineStr"/>
      <c r="L691" t="inlineStr"/>
      <c r="M691" t="inlineStr"/>
      <c r="N691" t="inlineStr"/>
      <c r="O691">
        <f>(1-Summary!$B$11)*T691+Summary!$B$11*V691</f>
        <v/>
      </c>
      <c r="P691">
        <f>IF(B712=0,0,O691/B712)</f>
        <v/>
      </c>
      <c r="Q691" t="n">
        <v>0</v>
      </c>
      <c r="R691" t="n">
        <v>0</v>
      </c>
      <c r="S691">
        <f>IFERROR(O691/N691,0)</f>
        <v/>
      </c>
      <c r="T691" t="n">
        <v>0</v>
      </c>
      <c r="V691" t="n">
        <v>0</v>
      </c>
    </row>
    <row r="692">
      <c r="A692">
        <f>Skills!A23</f>
        <v/>
      </c>
      <c r="B692">
        <f>Skills!B23</f>
        <v/>
      </c>
      <c r="C692">
        <f>Inputs!$B$3&gt;=38</f>
        <v/>
      </c>
      <c r="D692">
        <f>IF(Skills!C23=1,60+Inputs!$B$25+Inputs!$B$29,IF(Skills!C23=2,90+Inputs!$B$26+Inputs!$B$29,IF(Skills!C23=3,120+Inputs!$B$27+Inputs!$B$29,MAX(0,(Inputs!$B$3-100)*3)+Inputs!$B$28+Inputs!$B$29)))</f>
        <v/>
      </c>
      <c r="E692">
        <f>INDEX(FactorTable!$B$2:$Y$301, MATCH(ROUND(MIN(300,MAX(1,D692)),0), FactorTable!$A$2:$A$301,0), Skills!M23+1)</f>
        <v/>
      </c>
      <c r="F692">
        <f>IF(Skills!N23=TRUE,(Skills!L23/10)*(E692/1000),Skills!L23/10)+Skills!O23</f>
        <v/>
      </c>
      <c r="G692">
        <f>Skills!G23*IF(Skills!H23&gt;0,Skills!I23/Skills!H23,1)</f>
        <v/>
      </c>
      <c r="H692">
        <f>1-(1-Skills!J23/100)^Skills!K23</f>
        <v/>
      </c>
      <c r="I692" t="inlineStr">
        <is>
          <t>1</t>
        </is>
      </c>
      <c r="J692" t="inlineStr"/>
      <c r="K692" t="inlineStr"/>
      <c r="L692" t="inlineStr"/>
      <c r="M692" t="inlineStr"/>
      <c r="N692" t="inlineStr"/>
      <c r="O692">
        <f>(1-Summary!$B$11)*T692+Summary!$B$11*V692</f>
        <v/>
      </c>
      <c r="P692">
        <f>IF(B712=0,0,O692/B712)</f>
        <v/>
      </c>
      <c r="Q692" t="n">
        <v>0</v>
      </c>
      <c r="R692" t="n">
        <v>0</v>
      </c>
      <c r="S692">
        <f>IFERROR(O692/N692,0)</f>
        <v/>
      </c>
      <c r="T692" t="n">
        <v>0</v>
      </c>
      <c r="V692" t="n">
        <v>0</v>
      </c>
    </row>
    <row r="693">
      <c r="A693">
        <f>Skills!A24</f>
        <v/>
      </c>
      <c r="B693">
        <f>Skills!B24</f>
        <v/>
      </c>
      <c r="C693">
        <f>Inputs!$B$3&gt;=43</f>
        <v/>
      </c>
      <c r="D693">
        <f>IF(Skills!C24=1,60+Inputs!$B$25+Inputs!$B$29,IF(Skills!C24=2,90+Inputs!$B$26+Inputs!$B$29,IF(Skills!C24=3,120+Inputs!$B$27+Inputs!$B$29,MAX(0,(Inputs!$B$3-100)*3)+Inputs!$B$28+Inputs!$B$29)))</f>
        <v/>
      </c>
      <c r="E693">
        <f>INDEX(FactorTable!$B$2:$Y$301, MATCH(ROUND(MIN(300,MAX(1,D693)),0), FactorTable!$A$2:$A$301,0), Skills!M24+1)</f>
        <v/>
      </c>
      <c r="F693">
        <f>IF(Skills!N24=TRUE,(Skills!L24/10)*(E693/1000),Skills!L24/10)+Skills!O24</f>
        <v/>
      </c>
      <c r="G693">
        <f>Skills!G24*IF(Skills!H24&gt;0,Skills!I24/Skills!H24,1)</f>
        <v/>
      </c>
      <c r="H693">
        <f>1-(1-Skills!J24/100)^Skills!K24</f>
        <v/>
      </c>
      <c r="I693" t="inlineStr">
        <is>
          <t>1</t>
        </is>
      </c>
      <c r="J693" t="inlineStr"/>
      <c r="K693" t="inlineStr"/>
      <c r="L693" t="inlineStr"/>
      <c r="M693" t="inlineStr"/>
      <c r="N693" t="inlineStr"/>
      <c r="O693">
        <f>(1-Summary!$B$11)*T693+Summary!$B$11*V693</f>
        <v/>
      </c>
      <c r="P693">
        <f>IF(B712=0,0,O693/B712)</f>
        <v/>
      </c>
      <c r="Q693" t="n">
        <v>0</v>
      </c>
      <c r="R693" t="n">
        <v>0</v>
      </c>
      <c r="S693">
        <f>IFERROR(O693/N693,0)</f>
        <v/>
      </c>
      <c r="T693" t="n">
        <v>0</v>
      </c>
      <c r="V693" t="n">
        <v>0</v>
      </c>
    </row>
    <row r="694">
      <c r="A694">
        <f>Skills!A25</f>
        <v/>
      </c>
      <c r="B694">
        <f>Skills!B25</f>
        <v/>
      </c>
      <c r="C694">
        <f>Inputs!$B$3&gt;=75</f>
        <v/>
      </c>
      <c r="D694">
        <f>IF(Skills!C25=1,60+Inputs!$B$25+Inputs!$B$29,IF(Skills!C25=2,90+Inputs!$B$26+Inputs!$B$29,IF(Skills!C25=3,120+Inputs!$B$27+Inputs!$B$29,MAX(0,(Inputs!$B$3-100)*3)+Inputs!$B$28+Inputs!$B$29)))</f>
        <v/>
      </c>
      <c r="E694">
        <f>INDEX(FactorTable!$B$2:$Y$301, MATCH(ROUND(MIN(300,MAX(1,D694)),0), FactorTable!$A$2:$A$301,0), Skills!M25+1)</f>
        <v/>
      </c>
      <c r="F694">
        <f>IF(Skills!N25=TRUE,(Skills!L25/10)*(E694/1000),Skills!L25/10)+Skills!O25</f>
        <v/>
      </c>
      <c r="G694">
        <f>Skills!G25*IF(Skills!H25&gt;0,Skills!I25/Skills!H25,1)</f>
        <v/>
      </c>
      <c r="H694">
        <f>1-(1-Skills!J25/100)^Skills!K25</f>
        <v/>
      </c>
      <c r="I694" t="inlineStr">
        <is>
          <t>1</t>
        </is>
      </c>
      <c r="J694" t="inlineStr"/>
      <c r="K694" t="inlineStr"/>
      <c r="L694" t="inlineStr"/>
      <c r="M694" t="inlineStr"/>
      <c r="N694" t="inlineStr"/>
      <c r="O694">
        <f>(1-Summary!$B$11)*T694+Summary!$B$11*V694</f>
        <v/>
      </c>
      <c r="P694">
        <f>IF(B712=0,0,O694/B712)</f>
        <v/>
      </c>
      <c r="Q694" t="n">
        <v>0</v>
      </c>
      <c r="R694" t="n">
        <v>0</v>
      </c>
      <c r="S694">
        <f>IFERROR(O694/N694,0)</f>
        <v/>
      </c>
      <c r="T694" t="n">
        <v>0</v>
      </c>
      <c r="V694" t="n">
        <v>0</v>
      </c>
    </row>
    <row r="695">
      <c r="A695">
        <f>Skills!A26</f>
        <v/>
      </c>
      <c r="B695">
        <f>Skills!B26</f>
        <v/>
      </c>
      <c r="C695">
        <f>Inputs!$B$3&gt;=125</f>
        <v/>
      </c>
      <c r="D695">
        <f>IF(Skills!C26=1,60+Inputs!$B$25+Inputs!$B$29,IF(Skills!C26=2,90+Inputs!$B$26+Inputs!$B$29,IF(Skills!C26=3,120+Inputs!$B$27+Inputs!$B$29,MAX(0,(Inputs!$B$3-100)*3)+Inputs!$B$28+Inputs!$B$29)))</f>
        <v/>
      </c>
      <c r="E695">
        <f>INDEX(FactorTable!$B$2:$Y$301, MATCH(ROUND(MIN(300,MAX(1,D695)),0), FactorTable!$A$2:$A$301,0), Skills!M26+1)</f>
        <v/>
      </c>
      <c r="F695">
        <f>IF(Skills!N26=TRUE,(Skills!L26/10)*(E695/1000),Skills!L26/10)+Skills!O26</f>
        <v/>
      </c>
      <c r="G695">
        <f>Skills!G26*IF(Skills!H26&gt;0,Skills!I26/Skills!H26,1)</f>
        <v/>
      </c>
      <c r="H695">
        <f>1-(1-Skills!J26/100)^Skills!K26</f>
        <v/>
      </c>
      <c r="I695" t="inlineStr">
        <is>
          <t>1</t>
        </is>
      </c>
      <c r="J695" t="inlineStr"/>
      <c r="K695" t="inlineStr"/>
      <c r="L695" t="inlineStr"/>
      <c r="M695" t="inlineStr"/>
      <c r="N695" t="inlineStr"/>
      <c r="O695">
        <f>(1-Summary!$B$11)*T695+Summary!$B$11*V695</f>
        <v/>
      </c>
      <c r="P695">
        <f>IF(B712=0,0,O695/B712)</f>
        <v/>
      </c>
      <c r="Q695" t="n">
        <v>0</v>
      </c>
      <c r="R695" t="n">
        <v>0</v>
      </c>
      <c r="S695">
        <f>IFERROR(O695/N695,0)</f>
        <v/>
      </c>
      <c r="T695" t="n">
        <v>0</v>
      </c>
      <c r="V695" t="n">
        <v>0</v>
      </c>
    </row>
    <row r="696">
      <c r="A696">
        <f>Skills!A27</f>
        <v/>
      </c>
      <c r="B696">
        <f>Skills!B27</f>
        <v/>
      </c>
      <c r="C696">
        <f>Inputs!$B$3&gt;=125</f>
        <v/>
      </c>
      <c r="D696">
        <f>IF(Skills!C27=1,60+Inputs!$B$25+Inputs!$B$29,IF(Skills!C27=2,90+Inputs!$B$26+Inputs!$B$29,IF(Skills!C27=3,120+Inputs!$B$27+Inputs!$B$29,MAX(0,(Inputs!$B$3-100)*3)+Inputs!$B$28+Inputs!$B$29)))</f>
        <v/>
      </c>
      <c r="E696">
        <f>INDEX(FactorTable!$B$2:$Y$301, MATCH(ROUND(MIN(300,MAX(1,D696)),0), FactorTable!$A$2:$A$301,0), Skills!M27+1)</f>
        <v/>
      </c>
      <c r="F696">
        <f>IF(Skills!N27=TRUE,(Skills!L27/10)*(E696/1000),Skills!L27/10)+Skills!O27</f>
        <v/>
      </c>
      <c r="G696">
        <f>Skills!G27*IF(Skills!H27&gt;0,Skills!I27/Skills!H27,1)</f>
        <v/>
      </c>
      <c r="H696">
        <f>1-(1-Skills!J27/100)^Skills!K27</f>
        <v/>
      </c>
      <c r="I696" t="inlineStr">
        <is>
          <t>1</t>
        </is>
      </c>
      <c r="J696" t="inlineStr"/>
      <c r="K696" t="inlineStr"/>
      <c r="L696" t="inlineStr"/>
      <c r="M696" t="inlineStr"/>
      <c r="N696" t="inlineStr"/>
      <c r="O696">
        <f>(1-Summary!$B$11)*T696+Summary!$B$11*V696</f>
        <v/>
      </c>
      <c r="P696">
        <f>IF(B712=0,0,O696/B712)</f>
        <v/>
      </c>
      <c r="Q696" t="n">
        <v>0</v>
      </c>
      <c r="R696" t="n">
        <v>0</v>
      </c>
      <c r="S696">
        <f>IFERROR(O696/N696,0)</f>
        <v/>
      </c>
      <c r="T696" t="n">
        <v>0</v>
      </c>
      <c r="V696" t="n">
        <v>0</v>
      </c>
    </row>
    <row r="697">
      <c r="A697">
        <f>Skills!A28</f>
        <v/>
      </c>
      <c r="B697">
        <f>Skills!B28</f>
        <v/>
      </c>
      <c r="C697">
        <f>Inputs!$B$3&gt;=120</f>
        <v/>
      </c>
      <c r="D697">
        <f>IF(Skills!C28=1,60+Inputs!$B$25+Inputs!$B$29,IF(Skills!C28=2,90+Inputs!$B$26+Inputs!$B$29,IF(Skills!C28=3,120+Inputs!$B$27+Inputs!$B$29,MAX(0,(Inputs!$B$3-100)*3)+Inputs!$B$28+Inputs!$B$29)))</f>
        <v/>
      </c>
      <c r="E697">
        <f>INDEX(FactorTable!$B$2:$Y$301, MATCH(ROUND(MIN(300,MAX(1,D697)),0), FactorTable!$A$2:$A$301,0), Skills!M28+1)</f>
        <v/>
      </c>
      <c r="F697">
        <f>IF(Skills!N28=TRUE,(Skills!L28/10)*(E697/1000),Skills!L28/10)+Skills!O28</f>
        <v/>
      </c>
      <c r="G697">
        <f>Skills!G28*IF(Skills!H28&gt;0,Skills!I28/Skills!H28,1)</f>
        <v/>
      </c>
      <c r="H697">
        <f>1-(1-Skills!J28/100)^Skills!K28</f>
        <v/>
      </c>
      <c r="I697" t="inlineStr">
        <is>
          <t>1</t>
        </is>
      </c>
      <c r="J697" t="inlineStr"/>
      <c r="K697" t="inlineStr"/>
      <c r="L697" t="inlineStr"/>
      <c r="M697" t="inlineStr"/>
      <c r="N697" t="inlineStr"/>
      <c r="O697">
        <f>(1-Summary!$B$11)*T697+Summary!$B$11*V697</f>
        <v/>
      </c>
      <c r="P697">
        <f>IF(B712=0,0,O697/B712)</f>
        <v/>
      </c>
      <c r="Q697" t="n">
        <v>0</v>
      </c>
      <c r="R697" t="n">
        <v>0</v>
      </c>
      <c r="S697">
        <f>IFERROR(O697/N697,0)</f>
        <v/>
      </c>
      <c r="T697" t="n">
        <v>0</v>
      </c>
      <c r="V697" t="n">
        <v>0</v>
      </c>
    </row>
    <row r="698">
      <c r="A698">
        <f>Skills!A29</f>
        <v/>
      </c>
      <c r="B698">
        <f>Skills!B29</f>
        <v/>
      </c>
      <c r="C698">
        <f>Inputs!$B$3&gt;=120</f>
        <v/>
      </c>
      <c r="D698">
        <f>IF(Skills!C29=1,60+Inputs!$B$25+Inputs!$B$29,IF(Skills!C29=2,90+Inputs!$B$26+Inputs!$B$29,IF(Skills!C29=3,120+Inputs!$B$27+Inputs!$B$29,MAX(0,(Inputs!$B$3-100)*3)+Inputs!$B$28+Inputs!$B$29)))</f>
        <v/>
      </c>
      <c r="E698">
        <f>INDEX(FactorTable!$B$2:$Y$301, MATCH(ROUND(MIN(300,MAX(1,D698)),0), FactorTable!$A$2:$A$301,0), Skills!M29+1)</f>
        <v/>
      </c>
      <c r="F698">
        <f>IF(Skills!N29=TRUE,(Skills!L29/10)*(E698/1000),Skills!L29/10)+Skills!O29</f>
        <v/>
      </c>
      <c r="G698">
        <f>Skills!G29*IF(Skills!H29&gt;0,Skills!I29/Skills!H29,1)</f>
        <v/>
      </c>
      <c r="H698">
        <f>1-(1-Skills!J29/100)^Skills!K29</f>
        <v/>
      </c>
      <c r="I698" t="inlineStr">
        <is>
          <t>1</t>
        </is>
      </c>
      <c r="J698" t="inlineStr"/>
      <c r="K698" t="inlineStr"/>
      <c r="L698" t="inlineStr"/>
      <c r="M698" t="inlineStr"/>
      <c r="N698" t="inlineStr"/>
      <c r="O698">
        <f>(1-Summary!$B$11)*T698+Summary!$B$11*V698</f>
        <v/>
      </c>
      <c r="P698">
        <f>IF(B712=0,0,O698/B712)</f>
        <v/>
      </c>
      <c r="Q698" t="n">
        <v>0</v>
      </c>
      <c r="R698" t="n">
        <v>0</v>
      </c>
      <c r="S698">
        <f>IFERROR(O698/N698,0)</f>
        <v/>
      </c>
      <c r="T698" t="n">
        <v>0</v>
      </c>
      <c r="V698" t="n">
        <v>0</v>
      </c>
    </row>
    <row r="699">
      <c r="A699">
        <f>Skills!A30</f>
        <v/>
      </c>
      <c r="B699">
        <f>Skills!B30</f>
        <v/>
      </c>
      <c r="C699">
        <f>Inputs!$B$3&gt;=45</f>
        <v/>
      </c>
      <c r="D699">
        <f>IF(Skills!C30=1,60+Inputs!$B$25+Inputs!$B$29,IF(Skills!C30=2,90+Inputs!$B$26+Inputs!$B$29,IF(Skills!C30=3,120+Inputs!$B$27+Inputs!$B$29,MAX(0,(Inputs!$B$3-100)*3)+Inputs!$B$28+Inputs!$B$29)))</f>
        <v/>
      </c>
      <c r="E699">
        <f>INDEX(FactorTable!$B$2:$Y$301, MATCH(ROUND(MIN(300,MAX(1,D699)),0), FactorTable!$A$2:$A$301,0), Skills!M30+1)</f>
        <v/>
      </c>
      <c r="F699">
        <f>IF(Skills!N30=TRUE,(Skills!L30/10)*(E699/1000),Skills!L30/10)+Skills!O30</f>
        <v/>
      </c>
      <c r="G699">
        <f>Skills!G30*IF(Skills!H30&gt;0,Skills!I30/Skills!H30,1)</f>
        <v/>
      </c>
      <c r="H699">
        <f>1-(1-Skills!J30/100)^Skills!K30</f>
        <v/>
      </c>
      <c r="I699" t="inlineStr">
        <is>
          <t>1</t>
        </is>
      </c>
      <c r="J699" t="inlineStr"/>
      <c r="K699" t="inlineStr"/>
      <c r="L699" t="inlineStr"/>
      <c r="M699" t="inlineStr"/>
      <c r="N699" t="inlineStr"/>
      <c r="O699">
        <f>(1-Summary!$B$11)*T699+Summary!$B$11*V699</f>
        <v/>
      </c>
      <c r="P699">
        <f>IF(B712=0,0,O699/B712)</f>
        <v/>
      </c>
      <c r="Q699" t="n">
        <v>0</v>
      </c>
      <c r="R699" t="n">
        <v>0</v>
      </c>
      <c r="S699">
        <f>IFERROR(O699/N699,0)</f>
        <v/>
      </c>
      <c r="T699" t="n">
        <v>0</v>
      </c>
      <c r="V699" t="n">
        <v>0</v>
      </c>
    </row>
    <row r="701">
      <c r="A701" t="inlineStr">
        <is>
          <t>Attack% Bucket Multiplier</t>
        </is>
      </c>
      <c r="B701">
        <f>(1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2">
      <c r="A702" t="inlineStr">
        <is>
          <t>Global Crit Rate Bonus %</t>
        </is>
      </c>
      <c r="B702">
        <f>(C685=TRUE)*20*IF(AND(Inputs!$B$38&lt;&gt;"pvp",Inputs!$B$43&gt;0),(((R685-1)*(Skills!T16*(1+Inputs!$B$34/100))+MIN((Skills!T16*(1+Inputs!$B$34/100)),MAX(0,Inputs!$B$43-((R685-1)*Skills!D16))))/Inputs!$B$43),IF(Inputs!$B$38="pvp",MIN((Skills!T16*(1+Inputs!$B$34/100)),15)/15,(Skills!T16*(1+Inputs!$B$34/100))/Skills!D16))</f>
        <v/>
      </c>
    </row>
    <row r="703">
      <c r="A703" t="inlineStr">
        <is>
          <t>Attack Speed Buff Bonus %</t>
        </is>
      </c>
      <c r="B703">
        <f>((C688=TRUE)*F688*IF(AND(Inputs!$B$38&lt;&gt;"pvp",Inputs!$B$43&gt;0),(((R688-1)*(Skills!T19*(1+Inputs!$B$34/100))+MIN((Skills!T19*(1+Inputs!$B$34/100)),MAX(0,Inputs!$B$43-((R688-1)*Skills!D19))))/Inputs!$B$43),IF(Inputs!$B$38="pvp",MIN((Skills!T19*(1+Inputs!$B$34/100)),15)/15,(Skills!T19*(1+Inputs!$B$34/100))/Skills!D19)))</f>
        <v/>
      </c>
    </row>
    <row r="704">
      <c r="A704" t="inlineStr">
        <is>
          <t>Actions Per Second</t>
        </is>
      </c>
      <c r="B704">
        <f>1+MIN(150,150*(1-(1-(Inputs!$B$11+((C690=TRUE)*(F690-Calc!F21))+((C691=TRUE)*(F691-Calc!F22)))/150)*(1-B703/150)))/100</f>
        <v/>
      </c>
    </row>
    <row r="705">
      <c r="A705" t="inlineStr">
        <is>
          <t>Skill + Buff Cast Rate</t>
        </is>
      </c>
      <c r="B705">
        <f>IF(AND(Inputs!$B$38&lt;&gt;"pvp",Inputs!$B$43&gt;0),SUMPRODUCT((Skills!E2:E30=TRUE)*(C671:C699=TRUE)*R671:R699*Skills!F2:F30)/Inputs!$B$43,SUMPRODUCT((Skills!E2:E30=TRUE)*(C671:C699=TRUE)*Q671:Q699*Skills!F2:F30))</f>
        <v/>
      </c>
    </row>
    <row r="706">
      <c r="A706" t="inlineStr">
        <is>
          <t>Arrow Stream Casts Per Second</t>
        </is>
      </c>
      <c r="B706">
        <f>MAX(0,B704-B705)</f>
        <v/>
      </c>
    </row>
    <row r="707">
      <c r="A707" t="inlineStr">
        <is>
          <t>Global Critical Damage Bonus % (Sharp Eyes + Concentration)</t>
        </is>
      </c>
      <c r="B707">
        <f>(C685=TRUE)*F685*IF(AND(Inputs!$B$38&lt;&gt;"pvp",Inputs!$B$43&gt;0),(((R685-1)*(Skills!T16*(1+Inputs!$B$34/100))+MIN((Skills!T16*(1+Inputs!$B$34/100)),MAX(0,Inputs!$B$43-((R685-1)*Skills!D16))))/Inputs!$B$43),IF(Inputs!$B$38="pvp",MIN((Skills!T16*(1+Inputs!$B$34/100)),15)/15,(Skills!T16*(1+Inputs!$B$34/100))/Skills!D16))+(C686=TRUE)*30</f>
        <v/>
      </c>
    </row>
    <row r="708">
      <c r="A708" t="inlineStr">
        <is>
          <t>Global Final Damage Bonus % (Mortal Blow)</t>
        </is>
      </c>
      <c r="B708">
        <f>(C687=TRUE)*F687</f>
        <v/>
      </c>
    </row>
    <row r="709">
      <c r="A709" t="inlineStr">
        <is>
          <t>Buff-Casting Startup Delay (s, fixed-duration only)</t>
        </is>
      </c>
      <c r="B709">
        <f>IF(AND(Inputs!$B$38&lt;&gt;"pvp",Inputs!$B$43&gt;0),SUMPRODUCT((Skills!T2:T30&gt;0)*(Skills!E2:E30=TRUE)*(C671:C699=TRUE))/B704,0)</f>
        <v/>
      </c>
    </row>
    <row r="710">
      <c r="A710" t="inlineStr">
        <is>
          <t>Boss-Only Total DPS (this block's swept value)</t>
        </is>
      </c>
      <c r="B710">
        <f>SUM(T671:T699)</f>
        <v/>
      </c>
    </row>
    <row r="711">
      <c r="A711" t="inlineStr">
        <is>
          <t>Normal-Only Total DPS (this block's swept value)</t>
        </is>
      </c>
      <c r="B711">
        <f>SUM(V671:V699)</f>
        <v/>
      </c>
    </row>
    <row r="712">
      <c r="A712" s="6" t="inlineStr">
        <is>
          <t>TOTAL DPS</t>
        </is>
      </c>
      <c r="B712" s="6">
        <f>SUM(O671:O699)</f>
        <v/>
      </c>
    </row>
    <row r="715">
      <c r="A715" s="6" t="inlineStr">
        <is>
          <t>Stat: BASIC_ATTACK_DAMAGE %</t>
        </is>
      </c>
    </row>
    <row r="716">
      <c r="A716" s="5" t="inlineStr">
        <is>
          <t>Key</t>
        </is>
      </c>
      <c r="B716" s="5" t="inlineStr">
        <is>
          <t>Name</t>
        </is>
      </c>
      <c r="C716" s="5" t="inlineStr">
        <is>
          <t>Unlocked</t>
        </is>
      </c>
      <c r="D716" s="5" t="inlineStr">
        <is>
          <t>InputLevel</t>
        </is>
      </c>
      <c r="E716" s="5" t="inlineStr">
        <is>
          <t>Factor</t>
        </is>
      </c>
      <c r="F716" s="5" t="inlineStr">
        <is>
          <t>CoefficientPercent</t>
        </is>
      </c>
      <c r="G716" s="5" t="inlineStr">
        <is>
          <t>EffectiveHits</t>
        </is>
      </c>
      <c r="H716" s="5" t="inlineStr">
        <is>
          <t>ProcProbability</t>
        </is>
      </c>
      <c r="I716" s="5" t="inlineStr">
        <is>
          <t>MapleHeroMultiplier</t>
        </is>
      </c>
      <c r="J716" s="5" t="inlineStr">
        <is>
          <t>BaseDamage</t>
        </is>
      </c>
      <c r="K716" s="5" t="inlineStr">
        <is>
          <t>BaseHitDamage</t>
        </is>
      </c>
      <c r="L716" s="5" t="inlineStr">
        <is>
          <t>NonCritAvg</t>
        </is>
      </c>
      <c r="M716" s="5" t="inlineStr">
        <is>
          <t>CritAvg</t>
        </is>
      </c>
      <c r="N716" s="5" t="inlineStr">
        <is>
          <t>ExpectedDamage(perHit)</t>
        </is>
      </c>
      <c r="O716" s="5" t="inlineStr">
        <is>
          <t>DPS</t>
        </is>
      </c>
      <c r="P716" s="5" t="inlineStr">
        <is>
          <t>% of Total</t>
        </is>
      </c>
      <c r="Q716" s="5" t="inlineStr">
        <is>
          <t>InvCooldown</t>
        </is>
      </c>
      <c r="R716" s="5" t="inlineStr">
        <is>
          <t>CastsInFight</t>
        </is>
      </c>
      <c r="S716" s="5"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((Inputs!$B$6*(1+Inputs!$B$7/100))+(((Inputs!$B$12*(1+Inputs!$B$13/100))-(Inputs!$B$12*(1+Inputs!$B$13/100)))+0.25*(Inputs!$B$14-Inputs!$B$14))*(1+Inputs!$B$7/100))*(F717/100)</f>
        <v/>
      </c>
      <c r="K717">
        <f>J717*(1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739=TRUE)*(F739-Calc!F24)),(Inputs!$B$23+((C744=TRUE)*(F744-Calc!F29))+(IF(ArtifactsInput!$M$15,CHOOSE(ArtifactsInput!$N$15+1,25,30,35,40,45,50)/100*(Inputs!$B$11-Inputs!$B$11),0))))/100+(Inputs!$B$23+((C744=TRUE)*(F744-Calc!F29))+(IF(ArtifactsInput!$M$15,CHOOSE(ArtifactsInput!$N$15+1,25,30,35,40,45,50)/100*(Inputs!$B$11-Inputs!$B$11),0)))/100)/2</f>
        <v/>
      </c>
      <c r="M717">
        <f>L717*(1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IF(B758=0,0,O717/B758)</f>
        <v/>
      </c>
      <c r="Q717" t="n">
        <v>0</v>
      </c>
      <c r="R717" t="n">
        <v>0</v>
      </c>
      <c r="S717">
        <f>IFERROR(O717/N717,0)</f>
        <v/>
      </c>
      <c r="T717">
        <f>IF(C717,(Skills!G2*N717*B752)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717*(1-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MAX(0,(Inputs!$B$3-100)*3)+Inputs!$B$28+Inputs!$B$29</f>
        <v/>
      </c>
      <c r="V717">
        <f>IF(C717,(Skills!G2*N717*B752)*IF(Inputs!$B$38="pvp",1,(1+(Inputs!$B$21+Skills!Q2+(IF(ArtifactsInput!$M$33,CHOOSE(ArtifactsInput!$N$33+1,30,36,42,48,54,60),0))+(IF(AND(ArtifactsInput!$M$35,Inputs!$B$4&lt;&gt;"Chapter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Skills!A3</f>
        <v/>
      </c>
      <c r="B718">
        <f>Skills!B3</f>
        <v/>
      </c>
      <c r="C718">
        <f>Inputs!$B$3&gt;=50</f>
        <v/>
      </c>
      <c r="D718">
        <f>IF(Skills!C3=1,60+Inputs!$B$25+Inputs!$B$29,IF(Skills!C3=2,90+Inputs!$B$26+Inputs!$B$29,IF(Skills!C3=3,120+Inputs!$B$27+Inputs!$B$29,MAX(0,(Inputs!$B$3-100)*3)+Inputs!$B$28+Inputs!$B$29)))</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T718" t="inlineStr"/>
      <c r="U718">
        <f>INDEX(FactorTable!$B$2:$Y$301, MATCH(ROUND(MIN(300,MAX(1,U717)),0), FactorTable!$A$2:$A$301,0), 22)</f>
        <v/>
      </c>
      <c r="V718" t="inlineStr"/>
    </row>
    <row r="719">
      <c r="A719">
        <f>Skills!A4</f>
        <v/>
      </c>
      <c r="B719">
        <f>Skills!B4</f>
        <v/>
      </c>
      <c r="C719">
        <f>Inputs!$B$3&gt;=105</f>
        <v/>
      </c>
      <c r="D719">
        <f>IF(Skills!C4=1,60+Inputs!$B$25+Inputs!$B$29,IF(Skills!C4=2,90+Inputs!$B$26+Inputs!$B$29,IF(Skills!C4=3,120+Inputs!$B$27+Inputs!$B$29,MAX(0,(Inputs!$B$3-100)*3)+Inputs!$B$28+Inputs!$B$29)))</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T719" t="inlineStr"/>
      <c r="U719">
        <f>290*U718/1000</f>
        <v/>
      </c>
      <c r="V719" t="inlineStr"/>
    </row>
    <row r="720">
      <c r="A720">
        <f>Skills!A5</f>
        <v/>
      </c>
      <c r="B720">
        <f>Skills!B5</f>
        <v/>
      </c>
      <c r="C720">
        <f>Inputs!$B$3&gt;=35</f>
        <v/>
      </c>
      <c r="D720">
        <f>IF(Skills!C5=1,60+Inputs!$B$25+Inputs!$B$29,IF(Skills!C5=2,90+Inputs!$B$26+Inputs!$B$29,IF(Skills!C5=3,120+Inputs!$B$27+Inputs!$B$29,MAX(0,(Inputs!$B$3-100)*3)+Inputs!$B$28+Inputs!$B$29)))</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((Inputs!$B$6*(1+Inputs!$B$7/100))+(((Inputs!$B$12*(1+Inputs!$B$13/100))-(Inputs!$B$12*(1+Inputs!$B$13/100)))+0.25*(Inputs!$B$14-Inputs!$B$14))*(1+Inputs!$B$7/100))*(F720/100)</f>
        <v/>
      </c>
      <c r="K720">
        <f>J720*(1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725=TRUE,F725,0)/100)*(1+(IF(Skills!A5="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739=TRUE)*(F739-Calc!F24)),(Inputs!$B$23+((C744=TRUE)*(F744-Calc!F29))+(IF(ArtifactsInput!$M$15,CHOOSE(ArtifactsInput!$N$15+1,25,30,35,40,45,50)/100*(Inputs!$B$11-Inputs!$B$11),0))))/100+(Inputs!$B$23+((C744=TRUE)*(F744-Calc!F29))+(IF(ArtifactsInput!$M$15,CHOOSE(ArtifactsInput!$N$15+1,25,30,35,40,45,50)/100*(Inputs!$B$11-Inputs!$B$11),0)))/100)/2</f>
        <v/>
      </c>
      <c r="M720">
        <f>L720*(1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IF(B758=0,0,O720/B758)</f>
        <v/>
      </c>
      <c r="Q720">
        <f>IFERROR(1/(IF(Inputs!$B$38="pvp",15,MAX(0.1,Skills!D5-IF(Skills!E5=TRUE,Inputs!$B$32,0)))*(1-IF(AND(ArtifactsInput!$M$27,Inputs!$B$4="Chapter Hunt"),CHOOSE(ArtifactsInput!$N$27+1,20,24,28,32,36,40),0)/100)),0)</f>
        <v/>
      </c>
      <c r="R720">
        <f>IF(AND(Inputs!$B$38&lt;&gt;"pvp",Inputs!$B$43&gt;0),IF(MAX(0,Inputs!$B$43-B755)&lt;=0,0,(INT(MAX(0,Inputs!$B$43-B755)/(IF(Inputs!$B$38="pvp",15,MAX(0.1,Skills!D5-IF(Skills!E5=TRUE,Inputs!$B$32,0)))*(1-IF(AND(ArtifactsInput!$M$27,Inputs!$B$4="Chapter Hunt"),CHOOSE(ArtifactsInput!$N$27+1,20,24,28,32,36,40),0)/100)))+1)),0)</f>
        <v/>
      </c>
      <c r="S720">
        <f>IFERROR(O720/N720,0)</f>
        <v/>
      </c>
      <c r="T720">
        <f>IF(C720,(H720*N720*IF(AND(Inputs!$B$38&lt;&gt;"pvp",Inputs!$B$43&gt;0),((Skills!G5*((R720-1)*IF(Skills!H5&gt;0,Skills!I5/Skills!H5,1)+IF(Skills!H5&gt;0,MIN(Skills!I5,MAX(0,MAX(0,Inputs!$B$43-B755)-((R720-1)*(IF(Inputs!$B$38="pvp",15,MAX(0.1,Skills!D5-IF(Skills!E5=TRUE,Inputs!$B$32,0)))*(1-IF(AND(ArtifactsInput!$M$27,Inputs!$B$4="Chapter Hunt"),CHOOSE(ArtifactsInput!$N$27+1,20,24,28,32,36,40),0)/100)))))/Skills!H5,1)))/Inputs!$B$43),G720*Q720)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720*(1-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5*((R720-1)*IF(Skills!H5&gt;0,Skills!I5/Skills!H5,1)+IF(Skills!H5&gt;0,MIN(Skills!I5,MAX(0,MAX(0,Inputs!$B$43-B755)-((R720-1)*(IF(Inputs!$B$38="pvp",15,MAX(0.1,Skills!D5-IF(Skills!E5=TRUE,Inputs!$B$32,0)))*(1-IF(AND(ArtifactsInput!$M$27,Inputs!$B$4="Chapter Hunt"),CHOOSE(ArtifactsInput!$N$27+1,20,24,28,32,36,40),0)/100)))))/Skills!H5,1)))/Inputs!$B$43),G720*Q720))*IF(Inputs!$B$38="pvp",1,(1+(Inputs!$B$21+Skills!Q5+(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Skills!A6</f>
        <v/>
      </c>
      <c r="B721">
        <f>Skills!B6</f>
        <v/>
      </c>
      <c r="C721">
        <f>Inputs!$B$3&gt;=40</f>
        <v/>
      </c>
      <c r="D721">
        <f>IF(Skills!C6=1,60+Inputs!$B$25+Inputs!$B$29,IF(Skills!C6=2,90+Inputs!$B$26+Inputs!$B$29,IF(Skills!C6=3,120+Inputs!$B$27+Inputs!$B$29,MAX(0,(Inputs!$B$3-100)*3)+Inputs!$B$28+Inputs!$B$29)))</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((Inputs!$B$6*(1+Inputs!$B$7/100))+(((Inputs!$B$12*(1+Inputs!$B$13/100))-(Inputs!$B$12*(1+Inputs!$B$13/100)))+0.25*(Inputs!$B$14-Inputs!$B$14))*(1+Inputs!$B$7/100))*(F721/100)</f>
        <v/>
      </c>
      <c r="K721">
        <f>J721*(1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722=TRUE,F722,0)/100)*(1+(IF(Skills!A6="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739=TRUE)*(F739-Calc!F24)),(Inputs!$B$23+((C744=TRUE)*(F744-Calc!F29))+(IF(ArtifactsInput!$M$15,CHOOSE(ArtifactsInput!$N$15+1,25,30,35,40,45,50)/100*(Inputs!$B$11-Inputs!$B$11),0))))/100+(Inputs!$B$23+((C744=TRUE)*(F744-Calc!F29))+(IF(ArtifactsInput!$M$15,CHOOSE(ArtifactsInput!$N$15+1,25,30,35,40,45,50)/100*(Inputs!$B$11-Inputs!$B$11),0)))/100)/2</f>
        <v/>
      </c>
      <c r="M721">
        <f>L721*(1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IF(B758=0,0,O721/B758)</f>
        <v/>
      </c>
      <c r="Q721">
        <f>IFERROR(1/(IF(Inputs!$B$38="pvp",15,MAX(0.1,Skills!D6-IF(Skills!E6=TRUE,Inputs!$B$32,0)))*(1-IF(AND(ArtifactsInput!$M$27,Inputs!$B$4="Chapter Hunt"),CHOOSE(ArtifactsInput!$N$27+1,20,24,28,32,36,40),0)/100)),0)</f>
        <v/>
      </c>
      <c r="R721">
        <f>IF(AND(Inputs!$B$38&lt;&gt;"pvp",Inputs!$B$43&gt;0),IF(MAX(0,Inputs!$B$43-B755)&lt;=0,0,(INT(MAX(0,Inputs!$B$43-B755)/(IF(Inputs!$B$38="pvp",15,MAX(0.1,Skills!D6-IF(Skills!E6=TRUE,Inputs!$B$32,0)))*(1-IF(AND(ArtifactsInput!$M$27,Inputs!$B$4="Chapter Hunt"),CHOOSE(ArtifactsInput!$N$27+1,20,24,28,32,36,40),0)/100)))+1)),0)</f>
        <v/>
      </c>
      <c r="S721">
        <f>IFERROR(O721/N721,0)</f>
        <v/>
      </c>
      <c r="T721">
        <f>IF(C721,(H721*N721*IF(AND(Inputs!$B$38&lt;&gt;"pvp",Inputs!$B$43&gt;0),((Skills!G6*((R721-1)*IF(Skills!H6&gt;0,Skills!I6/Skills!H6,1)+IF(Skills!H6&gt;0,MIN(Skills!I6,MAX(0,MAX(0,Inputs!$B$43-B755)-((R721-1)*(IF(Inputs!$B$38="pvp",15,MAX(0.1,Skills!D6-IF(Skills!E6=TRUE,Inputs!$B$32,0)))*(1-IF(AND(ArtifactsInput!$M$27,Inputs!$B$4="Chapter Hunt"),CHOOSE(ArtifactsInput!$N$27+1,20,24,28,32,36,40),0)/100)))))/Skills!H6,1)))/Inputs!$B$43),G721*Q721)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721*(1-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6*((R721-1)*IF(Skills!H6&gt;0,Skills!I6/Skills!H6,1)+IF(Skills!H6&gt;0,MIN(Skills!I6,MAX(0,MAX(0,Inputs!$B$43-B755)-((R721-1)*(IF(Inputs!$B$38="pvp",15,MAX(0.1,Skills!D6-IF(Skills!E6=TRUE,Inputs!$B$32,0)))*(1-IF(AND(ArtifactsInput!$M$27,Inputs!$B$4="Chapter Hunt"),CHOOSE(ArtifactsInput!$N$27+1,20,24,28,32,36,40),0)/100)))))/Skills!H6,1)))/Inputs!$B$43),G721*Q721))*IF(Inputs!$B$38="pvp",1,(1+(Inputs!$B$21+Skills!Q6+(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Skills!A7</f>
        <v/>
      </c>
      <c r="B722">
        <f>Skills!B7</f>
        <v/>
      </c>
      <c r="C722">
        <f>Inputs!$B$3&gt;=107</f>
        <v/>
      </c>
      <c r="D722">
        <f>IF(Skills!C7=1,60+Inputs!$B$25+Inputs!$B$29,IF(Skills!C7=2,90+Inputs!$B$26+Inputs!$B$29,IF(Skills!C7=3,120+Inputs!$B$27+Inputs!$B$29,MAX(0,(Inputs!$B$3-100)*3)+Inputs!$B$28+Inputs!$B$29)))</f>
        <v/>
      </c>
      <c r="E722">
        <f>INDEX(FactorTable!$B$2:$Y$301, MATCH(ROUND(MIN(300,MAX(1,D722)),0), FactorTable!$A$2:$A$301,0), Skills!M7+1)</f>
        <v/>
      </c>
      <c r="F722">
        <f>IF(Skills!N7=TRUE,(Skills!L7/10)*(E722/1000),Skills!L7/10)+Skills!O7</f>
        <v/>
      </c>
      <c r="G722" t="inlineStr"/>
      <c r="H722" t="inlineStr"/>
      <c r="I722" t="inlineStr">
        <is>
          <t>1</t>
        </is>
      </c>
      <c r="J722" t="inlineStr"/>
      <c r="K722" t="inlineStr"/>
      <c r="L722" t="inlineStr"/>
      <c r="M722" t="inlineStr"/>
      <c r="N722" t="inlineStr"/>
      <c r="O722" t="inlineStr"/>
      <c r="P722" t="inlineStr"/>
      <c r="Q722" t="inlineStr"/>
      <c r="R722" t="inlineStr"/>
      <c r="S722" t="inlineStr"/>
      <c r="T722" t="inlineStr"/>
      <c r="V722" t="inlineStr"/>
    </row>
    <row r="723">
      <c r="A723">
        <f>Skills!A8</f>
        <v/>
      </c>
      <c r="B723">
        <f>Skills!B8</f>
        <v/>
      </c>
      <c r="C723">
        <f>Inputs!$B$3&gt;=69</f>
        <v/>
      </c>
      <c r="D723">
        <f>IF(Skills!C8=1,60+Inputs!$B$25+Inputs!$B$29,IF(Skills!C8=2,90+Inputs!$B$26+Inputs!$B$29,IF(Skills!C8=3,120+Inputs!$B$27+Inputs!$B$29,MAX(0,(Inputs!$B$3-100)*3)+Inputs!$B$28+Inputs!$B$29)))</f>
        <v/>
      </c>
      <c r="E723">
        <f>INDEX(FactorTable!$B$2:$Y$301, MATCH(ROUND(MIN(300,MAX(1,D723)),0), FactorTable!$A$2:$A$301,0), Skills!M8+1)</f>
        <v/>
      </c>
      <c r="F723">
        <f>IF(Skills!N8=TRUE,(Skills!L8/10)*(E723/1000),Skills!L8/10)+Skills!O8</f>
        <v/>
      </c>
      <c r="G723">
        <f>Skills!G8*IF(Skills!H8&gt;0,Skills!I8/Skills!H8,1)</f>
        <v/>
      </c>
      <c r="H723">
        <f>1-(1-Skills!J8/100)^Skills!K8</f>
        <v/>
      </c>
      <c r="I723" t="inlineStr">
        <is>
          <t>1</t>
        </is>
      </c>
      <c r="J723">
        <f>((Inputs!$B$6*(1+Inputs!$B$7/100))+(((Inputs!$B$12*(1+Inputs!$B$13/100))-(Inputs!$B$12*(1+Inputs!$B$13/100)))+0.25*(Inputs!$B$14-Inputs!$B$14))*(1+Inputs!$B$7/100))*(F723/100)</f>
        <v/>
      </c>
      <c r="K723">
        <f>J723*(1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725=TRUE,F725,0)/100)*(1+(IF(Skills!A8="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739=TRUE)*(F739-Calc!F24)),(Inputs!$B$23+((C744=TRUE)*(F744-Calc!F29))+(IF(ArtifactsInput!$M$15,CHOOSE(ArtifactsInput!$N$15+1,25,30,35,40,45,50)/100*(Inputs!$B$11-Inputs!$B$11),0))))/100+(Inputs!$B$23+((C744=TRUE)*(F744-Calc!F29))+(IF(ArtifactsInput!$M$15,CHOOSE(ArtifactsInput!$N$15+1,25,30,35,40,45,50)/100*(Inputs!$B$11-Inputs!$B$11),0)))/100)/2</f>
        <v/>
      </c>
      <c r="M723">
        <f>L723*(1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IF(B758=0,0,O723/B758)</f>
        <v/>
      </c>
      <c r="Q723">
        <f>IFERROR(1/(IF(Inputs!$B$38="pvp",15,MAX(0.1,Skills!D8-IF(Skills!E8=TRUE,Inputs!$B$32,0)))*(1-IF(AND(ArtifactsInput!$M$27,Inputs!$B$4="Chapter Hunt"),CHOOSE(ArtifactsInput!$N$27+1,20,24,28,32,36,40),0)/100)),0)</f>
        <v/>
      </c>
      <c r="R723">
        <f>IF(AND(Inputs!$B$38&lt;&gt;"pvp",Inputs!$B$43&gt;0),IF(MAX(0,Inputs!$B$43-B755)&lt;=0,0,(INT(MAX(0,Inputs!$B$43-B755)/(IF(Inputs!$B$38="pvp",15,MAX(0.1,Skills!D8-IF(Skills!E8=TRUE,Inputs!$B$32,0)))*(1-IF(AND(ArtifactsInput!$M$27,Inputs!$B$4="Chapter Hunt"),CHOOSE(ArtifactsInput!$N$27+1,20,24,28,32,36,40),0)/100)))+1)),0)</f>
        <v/>
      </c>
      <c r="S723">
        <f>IFERROR(O723/N723,0)</f>
        <v/>
      </c>
      <c r="T723">
        <f>IF(C723,(H723*N723*IF(AND(Inputs!$B$38&lt;&gt;"pvp",Inputs!$B$43&gt;0),((Skills!G8*((R723-1)*IF(Skills!H8&gt;0,Skills!I8/Skills!H8,1)+IF(Skills!H8&gt;0,MIN(Skills!I8,MAX(0,MAX(0,Inputs!$B$43-B755)-((R723-1)*(IF(Inputs!$B$38="pvp",15,MAX(0.1,Skills!D8-IF(Skills!E8=TRUE,Inputs!$B$32,0)))*(1-IF(AND(ArtifactsInput!$M$27,Inputs!$B$4="Chapter Hunt"),CHOOSE(ArtifactsInput!$N$27+1,20,24,28,32,36,40),0)/100)))))/Skills!H8,1)))/Inputs!$B$43),G723*Q723)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723*(1-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8*((R723-1)*IF(Skills!H8&gt;0,Skills!I8/Skills!H8,1)+IF(Skills!H8&gt;0,MIN(Skills!I8,MAX(0,MAX(0,Inputs!$B$43-B755)-((R723-1)*(IF(Inputs!$B$38="pvp",15,MAX(0.1,Skills!D8-IF(Skills!E8=TRUE,Inputs!$B$32,0)))*(1-IF(AND(ArtifactsInput!$M$27,Inputs!$B$4="Chapter Hunt"),CHOOSE(ArtifactsInput!$N$27+1,20,24,28,32,36,40),0)/100)))))/Skills!H8,1)))/Inputs!$B$43),G723*Q723))*IF(Inputs!$B$38="pvp",1,(1+(Inputs!$B$21+Skills!Q8+(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Skills!A9</f>
        <v/>
      </c>
      <c r="B724">
        <f>Skills!B9</f>
        <v/>
      </c>
      <c r="C724">
        <f>Inputs!$B$3&gt;=63</f>
        <v/>
      </c>
      <c r="D724">
        <f>IF(Skills!C9=1,60+Inputs!$B$25+Inputs!$B$29,IF(Skills!C9=2,90+Inputs!$B$26+Inputs!$B$29,IF(Skills!C9=3,120+Inputs!$B$27+Inputs!$B$29,MAX(0,(Inputs!$B$3-100)*3)+Inputs!$B$28+Inputs!$B$29)))</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((Inputs!$B$6*(1+Inputs!$B$7/100))+(((Inputs!$B$12*(1+Inputs!$B$13/100))-(Inputs!$B$12*(1+Inputs!$B$13/100)))+0.25*(Inputs!$B$14-Inputs!$B$14))*(1+Inputs!$B$7/100))*(F724/100)</f>
        <v/>
      </c>
      <c r="K724">
        <f>J724*(1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725=TRUE,F725,0)/100)*(1+(IF(Skills!A9="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739=TRUE)*(F739-Calc!F24)),(Inputs!$B$23+((C744=TRUE)*(F744-Calc!F29))+(IF(ArtifactsInput!$M$15,CHOOSE(ArtifactsInput!$N$15+1,25,30,35,40,45,50)/100*(Inputs!$B$11-Inputs!$B$11),0))))/100+(Inputs!$B$23+((C744=TRUE)*(F744-Calc!F29))+(IF(ArtifactsInput!$M$15,CHOOSE(ArtifactsInput!$N$15+1,25,30,35,40,45,50)/100*(Inputs!$B$11-Inputs!$B$11),0)))/100)/2</f>
        <v/>
      </c>
      <c r="M724">
        <f>L724*(1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IF(B758=0,0,O724/B758)</f>
        <v/>
      </c>
      <c r="Q724">
        <f>IFERROR(1/(IF(Inputs!$B$38="pvp",15,MAX(0.1,Skills!D9-IF(Skills!E9=TRUE,Inputs!$B$32,0)))*(1-IF(AND(ArtifactsInput!$M$27,Inputs!$B$4="Chapter Hunt"),CHOOSE(ArtifactsInput!$N$27+1,20,24,28,32,36,40),0)/100)),0)</f>
        <v/>
      </c>
      <c r="R724">
        <f>IF(AND(Inputs!$B$38&lt;&gt;"pvp",Inputs!$B$43&gt;0),IF(MAX(0,Inputs!$B$43-B755)&lt;=0,0,(INT(MAX(0,Inputs!$B$43-B755)/(IF(Inputs!$B$38="pvp",15,MAX(0.1,Skills!D9-IF(Skills!E9=TRUE,Inputs!$B$32,0)))*(1-IF(AND(ArtifactsInput!$M$27,Inputs!$B$4="Chapter Hunt"),CHOOSE(ArtifactsInput!$N$27+1,20,24,28,32,36,40),0)/100)))+1)),0)</f>
        <v/>
      </c>
      <c r="S724">
        <f>IFERROR(O724/N724,0)</f>
        <v/>
      </c>
      <c r="T724">
        <f>IF(C724,(H724*N724*IF(AND(Inputs!$B$38&lt;&gt;"pvp",Inputs!$B$43&gt;0),((Skills!G9*((R724-1)*IF(Skills!H9&gt;0,Skills!I9/Skills!H9,1)+IF(Skills!H9&gt;0,MIN(Skills!I9,MAX(0,MAX(0,Inputs!$B$43-B755)-((R724-1)*(IF(Inputs!$B$38="pvp",15,MAX(0.1,Skills!D9-IF(Skills!E9=TRUE,Inputs!$B$32,0)))*(1-IF(AND(ArtifactsInput!$M$27,Inputs!$B$4="Chapter Hunt"),CHOOSE(ArtifactsInput!$N$27+1,20,24,28,32,36,40),0)/100)))))/Skills!H9,1)))/Inputs!$B$43),G724*Q724)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724*(1-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9*((R724-1)*IF(Skills!H9&gt;0,Skills!I9/Skills!H9,1)+IF(Skills!H9&gt;0,MIN(Skills!I9,MAX(0,MAX(0,Inputs!$B$43-B755)-((R724-1)*(IF(Inputs!$B$38="pvp",15,MAX(0.1,Skills!D9-IF(Skills!E9=TRUE,Inputs!$B$32,0)))*(1-IF(AND(ArtifactsInput!$M$27,Inputs!$B$4="Chapter Hunt"),CHOOSE(ArtifactsInput!$N$27+1,20,24,28,32,36,40),0)/100)))))/Skills!H9,1)))/Inputs!$B$43),G724*Q724))*IF(Inputs!$B$38="pvp",1,(1+(Inputs!$B$21+Skills!Q9+(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Skills!A10</f>
        <v/>
      </c>
      <c r="B725">
        <f>Skills!B10</f>
        <v/>
      </c>
      <c r="C725">
        <f>Inputs!$B$3&gt;=100</f>
        <v/>
      </c>
      <c r="D725">
        <f>IF(Skills!C10=1,60+Inputs!$B$25+Inputs!$B$29,IF(Skills!C10=2,90+Inputs!$B$26+Inputs!$B$29,IF(Skills!C10=3,120+Inputs!$B$27+Inputs!$B$29,MAX(0,(Inputs!$B$3-100)*3)+Inputs!$B$28+Inputs!$B$29)))</f>
        <v/>
      </c>
      <c r="E725">
        <f>INDEX(FactorTable!$B$2:$Y$301, MATCH(ROUND(MIN(300,MAX(1,D725)),0), FactorTable!$A$2:$A$301,0), Skills!M10+1)</f>
        <v/>
      </c>
      <c r="F725">
        <f>IF(Skills!N10=TRUE,(Skills!L10/10)*(E725/1000),Skills!L10/10)+Skills!O10</f>
        <v/>
      </c>
      <c r="G725" t="inlineStr"/>
      <c r="H725" t="inlineStr"/>
      <c r="I725" t="inlineStr">
        <is>
          <t>1</t>
        </is>
      </c>
      <c r="J725" t="inlineStr"/>
      <c r="K725" t="inlineStr"/>
      <c r="L725" t="inlineStr"/>
      <c r="M725" t="inlineStr"/>
      <c r="N725" t="inlineStr"/>
      <c r="O725" t="inlineStr"/>
      <c r="P725" t="inlineStr"/>
      <c r="Q725" t="inlineStr"/>
      <c r="R725" t="inlineStr"/>
      <c r="S725" t="inlineStr"/>
      <c r="T725" t="inlineStr"/>
      <c r="V725" t="inlineStr"/>
    </row>
    <row r="726">
      <c r="A726">
        <f>Skills!A11</f>
        <v/>
      </c>
      <c r="B726">
        <f>Skills!B11</f>
        <v/>
      </c>
      <c r="C726">
        <f>Inputs!$B$3&gt;=60</f>
        <v/>
      </c>
      <c r="D726">
        <f>IF(Skills!C11=1,60+Inputs!$B$25+Inputs!$B$29,IF(Skills!C11=2,90+Inputs!$B$26+Inputs!$B$29,IF(Skills!C11=3,120+Inputs!$B$27+Inputs!$B$29,MAX(0,(Inputs!$B$3-100)*3)+Inputs!$B$28+Inputs!$B$29)))</f>
        <v/>
      </c>
      <c r="E726">
        <f>INDEX(FactorTable!$B$2:$Y$301, MATCH(ROUND(MIN(300,MAX(1,D726)),0), FactorTable!$A$2:$A$301,0), Skills!M11+1)</f>
        <v/>
      </c>
      <c r="F726">
        <f>IF(Skills!N11=TRUE,(Skills!L11/10)*(E726/1000),Skills!L11/10)+Skills!O11</f>
        <v/>
      </c>
      <c r="G726">
        <f>Skills!G11*IF(Skills!H11&gt;0,Skills!I11/Skills!H11,1)</f>
        <v/>
      </c>
      <c r="H726">
        <f>1-(1-Skills!J11/100)^Skills!K11</f>
        <v/>
      </c>
      <c r="I726" t="inlineStr">
        <is>
          <t>1</t>
        </is>
      </c>
      <c r="J726">
        <f>((Inputs!$B$6*(1+Inputs!$B$7/100))+(((Inputs!$B$12*(1+Inputs!$B$13/100))-(Inputs!$B$12*(1+Inputs!$B$13/100)))+0.25*(Inputs!$B$14-Inputs!$B$14))*(1+Inputs!$B$7/100))*(F726/100)</f>
        <v/>
      </c>
      <c r="K726">
        <f>J726*(1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727=TRUE,F727,0)/100)*(1+(IF(Skills!A11="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739=TRUE)*(F739-Calc!F24)),(Inputs!$B$23+((C744=TRUE)*(F744-Calc!F29))+(IF(ArtifactsInput!$M$15,CHOOSE(ArtifactsInput!$N$15+1,25,30,35,40,45,50)/100*(Inputs!$B$11-Inputs!$B$11),0))))/100+(Inputs!$B$23+((C744=TRUE)*(F744-Calc!F29))+(IF(ArtifactsInput!$M$15,CHOOSE(ArtifactsInput!$N$15+1,25,30,35,40,45,50)/100*(Inputs!$B$11-Inputs!$B$11),0)))/100)/2</f>
        <v/>
      </c>
      <c r="M726">
        <f>L726*(1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IF(B758=0,0,O726/B758)</f>
        <v/>
      </c>
      <c r="Q726">
        <f>IFERROR(1/(IF(Inputs!$B$38="pvp",15,MAX(0.1,Skills!D11-IF(Skills!E11=TRUE,Inputs!$B$32,0)))*(1-IF(AND(ArtifactsInput!$M$27,Inputs!$B$4="Chapter Hunt"),CHOOSE(ArtifactsInput!$N$27+1,20,24,28,32,36,40),0)/100)),0)</f>
        <v/>
      </c>
      <c r="R726">
        <f>IF(AND(Inputs!$B$38&lt;&gt;"pvp",Inputs!$B$43&gt;0),IF(MAX(0,Inputs!$B$43-B755)&lt;=0,0,(INT(MAX(0,Inputs!$B$43-B755)/(IF(Inputs!$B$38="pvp",15,MAX(0.1,Skills!D11-IF(Skills!E11=TRUE,Inputs!$B$32,0)))*(1-IF(AND(ArtifactsInput!$M$27,Inputs!$B$4="Chapter Hunt"),CHOOSE(ArtifactsInput!$N$27+1,20,24,28,32,36,40),0)/100)))+1)),0)</f>
        <v/>
      </c>
      <c r="S726">
        <f>IFERROR(O726/N726,0)</f>
        <v/>
      </c>
      <c r="T726">
        <f>IF(C726,(H726*N726*IF(AND(Inputs!$B$38&lt;&gt;"pvp",Inputs!$B$43&gt;0),((Skills!G11*((R726-1)*IF(Skills!H11&gt;0,Skills!I11/Skills!H11,1)+IF(Skills!H11&gt;0,MIN(Skills!I11,MAX(0,MAX(0,Inputs!$B$43-B755)-((R726-1)*(IF(Inputs!$B$38="pvp",15,MAX(0.1,Skills!D11-IF(Skills!E11=TRUE,Inputs!$B$32,0)))*(1-IF(AND(ArtifactsInput!$M$27,Inputs!$B$4="Chapter Hunt"),CHOOSE(ArtifactsInput!$N$27+1,20,24,28,32,36,40),0)/100)))))/Skills!H11,1)))/Inputs!$B$43),G726*Q726)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726*(1-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11*((R726-1)*IF(Skills!H11&gt;0,Skills!I11/Skills!H11,1)+IF(Skills!H11&gt;0,MIN(Skills!I11,MAX(0,MAX(0,Inputs!$B$43-B755)-((R726-1)*(IF(Inputs!$B$38="pvp",15,MAX(0.1,Skills!D11-IF(Skills!E11=TRUE,Inputs!$B$32,0)))*(1-IF(AND(ArtifactsInput!$M$27,Inputs!$B$4="Chapter Hunt"),CHOOSE(ArtifactsInput!$N$27+1,20,24,28,32,36,40),0)/100)))))/Skills!H11,1)))/Inputs!$B$43),G726*Q726))*IF(Inputs!$B$38="pvp",1,(1+(Inputs!$B$21+Skills!Q11+(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Skills!A12</f>
        <v/>
      </c>
      <c r="B727">
        <f>Skills!B12</f>
        <v/>
      </c>
      <c r="C727">
        <f>Inputs!$B$3&gt;=110</f>
        <v/>
      </c>
      <c r="D727">
        <f>IF(Skills!C12=1,60+Inputs!$B$25+Inputs!$B$29,IF(Skills!C12=2,90+Inputs!$B$26+Inputs!$B$29,IF(Skills!C12=3,120+Inputs!$B$27+Inputs!$B$29,MAX(0,(Inputs!$B$3-100)*3)+Inputs!$B$28+Inputs!$B$29)))</f>
        <v/>
      </c>
      <c r="E727">
        <f>INDEX(FactorTable!$B$2:$Y$301, MATCH(ROUND(MIN(300,MAX(1,D727)),0), FactorTable!$A$2:$A$301,0), Skills!M12+1)</f>
        <v/>
      </c>
      <c r="F727">
        <f>IF(Skills!N12=TRUE,(Skills!L12/10)*(E727/1000),Skills!L12/10)+Skills!O12</f>
        <v/>
      </c>
      <c r="G727" t="inlineStr"/>
      <c r="H727" t="inlineStr"/>
      <c r="I727" t="inlineStr">
        <is>
          <t>1</t>
        </is>
      </c>
      <c r="J727" t="inlineStr"/>
      <c r="K727" t="inlineStr"/>
      <c r="L727" t="inlineStr"/>
      <c r="M727" t="inlineStr"/>
      <c r="N727" t="inlineStr"/>
      <c r="O727" t="inlineStr"/>
      <c r="P727" t="inlineStr"/>
      <c r="Q727" t="inlineStr"/>
      <c r="R727" t="inlineStr"/>
      <c r="S727" t="inlineStr"/>
      <c r="T727" t="inlineStr"/>
      <c r="V727" t="inlineStr"/>
    </row>
    <row r="728">
      <c r="A728">
        <f>Skills!A13</f>
        <v/>
      </c>
      <c r="B728">
        <f>Skills!B13</f>
        <v/>
      </c>
      <c r="C728">
        <f>Inputs!$B$3&gt;=74</f>
        <v/>
      </c>
      <c r="D728">
        <f>IF(Skills!C13=1,60+Inputs!$B$25+Inputs!$B$29,IF(Skills!C13=2,90+Inputs!$B$26+Inputs!$B$29,IF(Skills!C13=3,120+Inputs!$B$27+Inputs!$B$29,MAX(0,(Inputs!$B$3-100)*3)+Inputs!$B$28+Inputs!$B$29)))</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f>(1-Summary!$B$11)*T728+Summary!$B$11*V728</f>
        <v/>
      </c>
      <c r="P728">
        <f>IF(B758=0,0,O728/B758)</f>
        <v/>
      </c>
      <c r="Q728" t="n">
        <v>0</v>
      </c>
      <c r="R728" t="n">
        <v>0</v>
      </c>
      <c r="S728">
        <f>IFERROR(O728/N728,0)</f>
        <v/>
      </c>
      <c r="T728" t="n">
        <v>0</v>
      </c>
      <c r="V728" t="n">
        <v>0</v>
      </c>
    </row>
    <row r="729">
      <c r="A729">
        <f>Skills!A14</f>
        <v/>
      </c>
      <c r="B729">
        <f>Skills!B14</f>
        <v/>
      </c>
      <c r="C729">
        <f>Inputs!$B$3&gt;=74</f>
        <v/>
      </c>
      <c r="D729">
        <f>IF(Skills!C14=1,60+Inputs!$B$25+Inputs!$B$29,IF(Skills!C14=2,90+Inputs!$B$26+Inputs!$B$29,IF(Skills!C14=3,120+Inputs!$B$27+Inputs!$B$29,MAX(0,(Inputs!$B$3-100)*3)+Inputs!$B$28+Inputs!$B$29)))</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f>(1-Summary!$B$11)*T729+Summary!$B$11*V729</f>
        <v/>
      </c>
      <c r="P729">
        <f>IF(B758=0,0,O729/B758)</f>
        <v/>
      </c>
      <c r="Q729" t="n">
        <v>0</v>
      </c>
      <c r="R729" t="n">
        <v>0</v>
      </c>
      <c r="S729">
        <f>IFERROR(O729/N729,0)</f>
        <v/>
      </c>
      <c r="T729" t="n">
        <v>0</v>
      </c>
      <c r="V729" t="n">
        <v>0</v>
      </c>
    </row>
    <row r="730">
      <c r="A730">
        <f>Skills!A15</f>
        <v/>
      </c>
      <c r="B730">
        <f>Skills!B15</f>
        <v/>
      </c>
      <c r="C730">
        <f>Inputs!$B$3&gt;=117</f>
        <v/>
      </c>
      <c r="D730">
        <f>IF(Skills!C15=1,60+Inputs!$B$25+Inputs!$B$29,IF(Skills!C15=2,90+Inputs!$B$26+Inputs!$B$29,IF(Skills!C15=3,120+Inputs!$B$27+Inputs!$B$29,MAX(0,(Inputs!$B$3-100)*3)+Inputs!$B$28+Inputs!$B$29)))</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f>(1-Summary!$B$11)*T730+Summary!$B$11*V730</f>
        <v/>
      </c>
      <c r="P730">
        <f>IF(B758=0,0,O730/B758)</f>
        <v/>
      </c>
      <c r="Q730">
        <f>IFERROR(1/(IF(Inputs!$B$38="pvp",15,MAX(0.1,Skills!D15-IF(Skills!E15=TRUE,Inputs!$B$32,0)))*(1-IF(AND(ArtifactsInput!$M$27,Inputs!$B$4="Chapter Hunt"),CHOOSE(ArtifactsInput!$N$27+1,20,24,28,32,36,40),0)/100)),0)</f>
        <v/>
      </c>
      <c r="R730">
        <f>IF(AND(Inputs!$B$38&lt;&gt;"pvp",Inputs!$B$43&gt;0),IF(Inputs!$B$43&lt;=0,0,(INT(Inputs!$B$43/(IF(Inputs!$B$38="pvp",15,MAX(0.1,Skills!D15-IF(Skills!E15=TRUE,Inputs!$B$32,0)))*(1-IF(AND(ArtifactsInput!$M$27,Inputs!$B$4="Chapter Hunt"),CHOOSE(ArtifactsInput!$N$27+1,20,24,28,32,36,40),0)/100)))+1)),0)</f>
        <v/>
      </c>
      <c r="S730">
        <f>IFERROR(O730/N730,0)</f>
        <v/>
      </c>
      <c r="T730" t="n">
        <v>0</v>
      </c>
      <c r="V730" t="n">
        <v>0</v>
      </c>
    </row>
    <row r="731">
      <c r="A731">
        <f>Skills!A16</f>
        <v/>
      </c>
      <c r="B731">
        <f>Skills!B16</f>
        <v/>
      </c>
      <c r="C731">
        <f>Inputs!$B$3&gt;=115</f>
        <v/>
      </c>
      <c r="D731">
        <f>IF(Skills!C16=1,60+Inputs!$B$25+Inputs!$B$29,IF(Skills!C16=2,90+Inputs!$B$26+Inputs!$B$29,IF(Skills!C16=3,120+Inputs!$B$27+Inputs!$B$29,MAX(0,(Inputs!$B$3-100)*3)+Inputs!$B$28+Inputs!$B$29)))</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f>(1-Summary!$B$11)*T731+Summary!$B$11*V731</f>
        <v/>
      </c>
      <c r="P731">
        <f>IF(B758=0,0,O731/B758)</f>
        <v/>
      </c>
      <c r="Q731">
        <f>IFERROR(1/(IF(Inputs!$B$38="pvp",15,MAX(0.1,Skills!D16-IF(Skills!E16=TRUE,Inputs!$B$32,0)))*(1-IF(AND(ArtifactsInput!$M$27,Inputs!$B$4="Chapter Hunt"),CHOOSE(ArtifactsInput!$N$27+1,20,24,28,32,36,40),0)/100)),0)</f>
        <v/>
      </c>
      <c r="R731">
        <f>IF(AND(Inputs!$B$38&lt;&gt;"pvp",Inputs!$B$43&gt;0),IF(Inputs!$B$43&lt;=0,0,(INT(Inputs!$B$43/(IF(Inputs!$B$38="pvp",15,MAX(0.1,Skills!D16-IF(Skills!E16=TRUE,Inputs!$B$32,0)))*(1-IF(AND(ArtifactsInput!$M$27,Inputs!$B$4="Chapter Hunt"),CHOOSE(ArtifactsInput!$N$27+1,20,24,28,32,36,40),0)/100)))+1)),0)</f>
        <v/>
      </c>
      <c r="S731">
        <f>IFERROR(O731/N731,0)</f>
        <v/>
      </c>
      <c r="T731" t="n">
        <v>0</v>
      </c>
      <c r="V731" t="n">
        <v>0</v>
      </c>
    </row>
    <row r="732">
      <c r="A732">
        <f>Skills!A17</f>
        <v/>
      </c>
      <c r="B732">
        <f>Skills!B17</f>
        <v/>
      </c>
      <c r="C732">
        <f>Inputs!$B$3&gt;=66</f>
        <v/>
      </c>
      <c r="D732">
        <f>IF(Skills!C17=1,60+Inputs!$B$25+Inputs!$B$29,IF(Skills!C17=2,90+Inputs!$B$26+Inputs!$B$29,IF(Skills!C17=3,120+Inputs!$B$27+Inputs!$B$29,MAX(0,(Inputs!$B$3-100)*3)+Inputs!$B$28+Inputs!$B$29)))</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f>(1-Summary!$B$11)*T732+Summary!$B$11*V732</f>
        <v/>
      </c>
      <c r="P732">
        <f>IF(B758=0,0,O732/B758)</f>
        <v/>
      </c>
      <c r="Q732" t="n">
        <v>0</v>
      </c>
      <c r="R732" t="n">
        <v>0</v>
      </c>
      <c r="S732">
        <f>IFERROR(O732/N732,0)</f>
        <v/>
      </c>
      <c r="T732" t="n">
        <v>0</v>
      </c>
      <c r="V732" t="n">
        <v>0</v>
      </c>
    </row>
    <row r="733">
      <c r="A733">
        <f>Skills!A18</f>
        <v/>
      </c>
      <c r="B733">
        <f>Skills!B18</f>
        <v/>
      </c>
      <c r="C733">
        <f>Inputs!$B$3&gt;=72</f>
        <v/>
      </c>
      <c r="D733">
        <f>IF(Skills!C18=1,60+Inputs!$B$25+Inputs!$B$29,IF(Skills!C18=2,90+Inputs!$B$26+Inputs!$B$29,IF(Skills!C18=3,120+Inputs!$B$27+Inputs!$B$29,MAX(0,(Inputs!$B$3-100)*3)+Inputs!$B$28+Inputs!$B$29)))</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f>(1-Summary!$B$11)*T733+Summary!$B$11*V733</f>
        <v/>
      </c>
      <c r="P733">
        <f>IF(B758=0,0,O733/B758)</f>
        <v/>
      </c>
      <c r="Q733" t="n">
        <v>0</v>
      </c>
      <c r="R733" t="n">
        <v>0</v>
      </c>
      <c r="S733">
        <f>IFERROR(O733/N733,0)</f>
        <v/>
      </c>
      <c r="T733" t="n">
        <v>0</v>
      </c>
      <c r="V733" t="n">
        <v>0</v>
      </c>
    </row>
    <row r="734">
      <c r="A734">
        <f>Skills!A19</f>
        <v/>
      </c>
      <c r="B734">
        <f>Skills!B19</f>
        <v/>
      </c>
      <c r="C734">
        <f>TRUE</f>
        <v/>
      </c>
      <c r="D734">
        <f>IF(Skills!C19=1,60+Inputs!$B$25+Inputs!$B$29,IF(Skills!C19=2,90+Inputs!$B$26+Inputs!$B$29,IF(Skills!C19=3,120+Inputs!$B$27+Inputs!$B$29,MAX(0,(Inputs!$B$3-100)*3)+Inputs!$B$28+Inputs!$B$29)))</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f>(1-Summary!$B$11)*T734+Summary!$B$11*V734</f>
        <v/>
      </c>
      <c r="P734">
        <f>IF(B758=0,0,O734/B758)</f>
        <v/>
      </c>
      <c r="Q734">
        <f>IFERROR(1/(IF(Inputs!$B$38="pvp",15,MAX(0.1,Skills!D19-IF(Skills!E19=TRUE,Inputs!$B$32,0)))*(1-IF(AND(ArtifactsInput!$M$27,Inputs!$B$4="Chapter Hunt"),CHOOSE(ArtifactsInput!$N$27+1,20,24,28,32,36,40),0)/100)),0)</f>
        <v/>
      </c>
      <c r="R734">
        <f>IF(AND(Inputs!$B$38&lt;&gt;"pvp",Inputs!$B$43&gt;0),IF(Inputs!$B$43&lt;=0,0,(INT(Inputs!$B$43/(IF(Inputs!$B$38="pvp",15,MAX(0.1,Skills!D19-IF(Skills!E19=TRUE,Inputs!$B$32,0)))*(1-IF(AND(ArtifactsInput!$M$27,Inputs!$B$4="Chapter Hunt"),CHOOSE(ArtifactsInput!$N$27+1,20,24,28,32,36,40),0)/100)))+1)),0)</f>
        <v/>
      </c>
      <c r="S734">
        <f>IFERROR(O734/N734,0)</f>
        <v/>
      </c>
      <c r="T734" t="n">
        <v>0</v>
      </c>
      <c r="V734" t="n">
        <v>0</v>
      </c>
    </row>
    <row r="735">
      <c r="A735">
        <f>Skills!A20</f>
        <v/>
      </c>
      <c r="B735">
        <f>Skills!B20</f>
        <v/>
      </c>
      <c r="C735">
        <f>Inputs!$B$3&gt;=15</f>
        <v/>
      </c>
      <c r="D735">
        <f>IF(Skills!C20=1,60+Inputs!$B$25+Inputs!$B$29,IF(Skills!C20=2,90+Inputs!$B$26+Inputs!$B$29,IF(Skills!C20=3,120+Inputs!$B$27+Inputs!$B$29,MAX(0,(Inputs!$B$3-100)*3)+Inputs!$B$28+Inputs!$B$29)))</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f>(1-Summary!$B$11)*T735+Summary!$B$11*V735</f>
        <v/>
      </c>
      <c r="P735">
        <f>IF(B758=0,0,O735/B758)</f>
        <v/>
      </c>
      <c r="Q735" t="n">
        <v>0</v>
      </c>
      <c r="R735" t="n">
        <v>0</v>
      </c>
      <c r="S735">
        <f>IFERROR(O735/N735,0)</f>
        <v/>
      </c>
      <c r="T735" t="n">
        <v>0</v>
      </c>
      <c r="V735" t="n">
        <v>0</v>
      </c>
    </row>
    <row r="736">
      <c r="A736">
        <f>Skills!A21</f>
        <v/>
      </c>
      <c r="B736">
        <f>Skills!B21</f>
        <v/>
      </c>
      <c r="C736">
        <f>Inputs!$B$3&gt;=10</f>
        <v/>
      </c>
      <c r="D736">
        <f>IF(Skills!C21=1,60+Inputs!$B$25+Inputs!$B$29,IF(Skills!C21=2,90+Inputs!$B$26+Inputs!$B$29,IF(Skills!C21=3,120+Inputs!$B$27+Inputs!$B$29,MAX(0,(Inputs!$B$3-100)*3)+Inputs!$B$28+Inputs!$B$29)))</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f>(1-Summary!$B$11)*T736+Summary!$B$11*V736</f>
        <v/>
      </c>
      <c r="P736">
        <f>IF(B758=0,0,O736/B758)</f>
        <v/>
      </c>
      <c r="Q736" t="n">
        <v>0</v>
      </c>
      <c r="R736" t="n">
        <v>0</v>
      </c>
      <c r="S736">
        <f>IFERROR(O736/N736,0)</f>
        <v/>
      </c>
      <c r="T736" t="n">
        <v>0</v>
      </c>
      <c r="V736" t="n">
        <v>0</v>
      </c>
    </row>
    <row r="737">
      <c r="A737">
        <f>Skills!A22</f>
        <v/>
      </c>
      <c r="B737">
        <f>Skills!B22</f>
        <v/>
      </c>
      <c r="C737">
        <f>Inputs!$B$3&gt;=33</f>
        <v/>
      </c>
      <c r="D737">
        <f>IF(Skills!C22=1,60+Inputs!$B$25+Inputs!$B$29,IF(Skills!C22=2,90+Inputs!$B$26+Inputs!$B$29,IF(Skills!C22=3,120+Inputs!$B$27+Inputs!$B$29,MAX(0,(Inputs!$B$3-100)*3)+Inputs!$B$28+Inputs!$B$29)))</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f>(1-Summary!$B$11)*T737+Summary!$B$11*V737</f>
        <v/>
      </c>
      <c r="P737">
        <f>IF(B758=0,0,O737/B758)</f>
        <v/>
      </c>
      <c r="Q737" t="n">
        <v>0</v>
      </c>
      <c r="R737" t="n">
        <v>0</v>
      </c>
      <c r="S737">
        <f>IFERROR(O737/N737,0)</f>
        <v/>
      </c>
      <c r="T737" t="n">
        <v>0</v>
      </c>
      <c r="V737" t="n">
        <v>0</v>
      </c>
    </row>
    <row r="738">
      <c r="A738">
        <f>Skills!A23</f>
        <v/>
      </c>
      <c r="B738">
        <f>Skills!B23</f>
        <v/>
      </c>
      <c r="C738">
        <f>Inputs!$B$3&gt;=38</f>
        <v/>
      </c>
      <c r="D738">
        <f>IF(Skills!C23=1,60+Inputs!$B$25+Inputs!$B$29,IF(Skills!C23=2,90+Inputs!$B$26+Inputs!$B$29,IF(Skills!C23=3,120+Inputs!$B$27+Inputs!$B$29,MAX(0,(Inputs!$B$3-100)*3)+Inputs!$B$28+Inputs!$B$29)))</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f>(1-Summary!$B$11)*T738+Summary!$B$11*V738</f>
        <v/>
      </c>
      <c r="P738">
        <f>IF(B758=0,0,O738/B758)</f>
        <v/>
      </c>
      <c r="Q738" t="n">
        <v>0</v>
      </c>
      <c r="R738" t="n">
        <v>0</v>
      </c>
      <c r="S738">
        <f>IFERROR(O738/N738,0)</f>
        <v/>
      </c>
      <c r="T738" t="n">
        <v>0</v>
      </c>
      <c r="V738" t="n">
        <v>0</v>
      </c>
    </row>
    <row r="739">
      <c r="A739">
        <f>Skills!A24</f>
        <v/>
      </c>
      <c r="B739">
        <f>Skills!B24</f>
        <v/>
      </c>
      <c r="C739">
        <f>Inputs!$B$3&gt;=43</f>
        <v/>
      </c>
      <c r="D739">
        <f>IF(Skills!C24=1,60+Inputs!$B$25+Inputs!$B$29,IF(Skills!C24=2,90+Inputs!$B$26+Inputs!$B$29,IF(Skills!C24=3,120+Inputs!$B$27+Inputs!$B$29,MAX(0,(Inputs!$B$3-100)*3)+Inputs!$B$28+Inputs!$B$29)))</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f>(1-Summary!$B$11)*T739+Summary!$B$11*V739</f>
        <v/>
      </c>
      <c r="P739">
        <f>IF(B758=0,0,O739/B758)</f>
        <v/>
      </c>
      <c r="Q739" t="n">
        <v>0</v>
      </c>
      <c r="R739" t="n">
        <v>0</v>
      </c>
      <c r="S739">
        <f>IFERROR(O739/N739,0)</f>
        <v/>
      </c>
      <c r="T739" t="n">
        <v>0</v>
      </c>
      <c r="V739" t="n">
        <v>0</v>
      </c>
    </row>
    <row r="740">
      <c r="A740">
        <f>Skills!A25</f>
        <v/>
      </c>
      <c r="B740">
        <f>Skills!B25</f>
        <v/>
      </c>
      <c r="C740">
        <f>Inputs!$B$3&gt;=75</f>
        <v/>
      </c>
      <c r="D740">
        <f>IF(Skills!C25=1,60+Inputs!$B$25+Inputs!$B$29,IF(Skills!C25=2,90+Inputs!$B$26+Inputs!$B$29,IF(Skills!C25=3,120+Inputs!$B$27+Inputs!$B$29,MAX(0,(Inputs!$B$3-100)*3)+Inputs!$B$28+Inputs!$B$29)))</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f>(1-Summary!$B$11)*T740+Summary!$B$11*V740</f>
        <v/>
      </c>
      <c r="P740">
        <f>IF(B758=0,0,O740/B758)</f>
        <v/>
      </c>
      <c r="Q740" t="n">
        <v>0</v>
      </c>
      <c r="R740" t="n">
        <v>0</v>
      </c>
      <c r="S740">
        <f>IFERROR(O740/N740,0)</f>
        <v/>
      </c>
      <c r="T740" t="n">
        <v>0</v>
      </c>
      <c r="V740" t="n">
        <v>0</v>
      </c>
    </row>
    <row r="741">
      <c r="A741">
        <f>Skills!A26</f>
        <v/>
      </c>
      <c r="B741">
        <f>Skills!B26</f>
        <v/>
      </c>
      <c r="C741">
        <f>Inputs!$B$3&gt;=125</f>
        <v/>
      </c>
      <c r="D741">
        <f>IF(Skills!C26=1,60+Inputs!$B$25+Inputs!$B$29,IF(Skills!C26=2,90+Inputs!$B$26+Inputs!$B$29,IF(Skills!C26=3,120+Inputs!$B$27+Inputs!$B$29,MAX(0,(Inputs!$B$3-100)*3)+Inputs!$B$28+Inputs!$B$29)))</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f>(1-Summary!$B$11)*T741+Summary!$B$11*V741</f>
        <v/>
      </c>
      <c r="P741">
        <f>IF(B758=0,0,O741/B758)</f>
        <v/>
      </c>
      <c r="Q741" t="n">
        <v>0</v>
      </c>
      <c r="R741" t="n">
        <v>0</v>
      </c>
      <c r="S741">
        <f>IFERROR(O741/N741,0)</f>
        <v/>
      </c>
      <c r="T741" t="n">
        <v>0</v>
      </c>
      <c r="V741" t="n">
        <v>0</v>
      </c>
    </row>
    <row r="742">
      <c r="A742">
        <f>Skills!A27</f>
        <v/>
      </c>
      <c r="B742">
        <f>Skills!B27</f>
        <v/>
      </c>
      <c r="C742">
        <f>Inputs!$B$3&gt;=125</f>
        <v/>
      </c>
      <c r="D742">
        <f>IF(Skills!C27=1,60+Inputs!$B$25+Inputs!$B$29,IF(Skills!C27=2,90+Inputs!$B$26+Inputs!$B$29,IF(Skills!C27=3,120+Inputs!$B$27+Inputs!$B$29,MAX(0,(Inputs!$B$3-100)*3)+Inputs!$B$28+Inputs!$B$29)))</f>
        <v/>
      </c>
      <c r="E742">
        <f>INDEX(FactorTable!$B$2:$Y$301, MATCH(ROUND(MIN(300,MAX(1,D742)),0), FactorTable!$A$2:$A$301,0), Skills!M27+1)</f>
        <v/>
      </c>
      <c r="F742">
        <f>IF(Skills!N27=TRUE,(Skills!L27/10)*(E742/1000),Skills!L27/10)+Skills!O27</f>
        <v/>
      </c>
      <c r="G742">
        <f>Skills!G27*IF(Skills!H27&gt;0,Skills!I27/Skills!H27,1)</f>
        <v/>
      </c>
      <c r="H742">
        <f>1-(1-Skills!J27/100)^Skills!K27</f>
        <v/>
      </c>
      <c r="I742" t="inlineStr">
        <is>
          <t>1</t>
        </is>
      </c>
      <c r="J742" t="inlineStr"/>
      <c r="K742" t="inlineStr"/>
      <c r="L742" t="inlineStr"/>
      <c r="M742" t="inlineStr"/>
      <c r="N742" t="inlineStr"/>
      <c r="O742">
        <f>(1-Summary!$B$11)*T742+Summary!$B$11*V742</f>
        <v/>
      </c>
      <c r="P742">
        <f>IF(B758=0,0,O742/B758)</f>
        <v/>
      </c>
      <c r="Q742" t="n">
        <v>0</v>
      </c>
      <c r="R742" t="n">
        <v>0</v>
      </c>
      <c r="S742">
        <f>IFERROR(O742/N742,0)</f>
        <v/>
      </c>
      <c r="T742" t="n">
        <v>0</v>
      </c>
      <c r="V742" t="n">
        <v>0</v>
      </c>
    </row>
    <row r="743">
      <c r="A743">
        <f>Skills!A28</f>
        <v/>
      </c>
      <c r="B743">
        <f>Skills!B28</f>
        <v/>
      </c>
      <c r="C743">
        <f>Inputs!$B$3&gt;=120</f>
        <v/>
      </c>
      <c r="D743">
        <f>IF(Skills!C28=1,60+Inputs!$B$25+Inputs!$B$29,IF(Skills!C28=2,90+Inputs!$B$26+Inputs!$B$29,IF(Skills!C28=3,120+Inputs!$B$27+Inputs!$B$29,MAX(0,(Inputs!$B$3-100)*3)+Inputs!$B$28+Inputs!$B$29)))</f>
        <v/>
      </c>
      <c r="E743">
        <f>INDEX(FactorTable!$B$2:$Y$301, MATCH(ROUND(MIN(300,MAX(1,D743)),0), FactorTable!$A$2:$A$301,0), Skills!M28+1)</f>
        <v/>
      </c>
      <c r="F743">
        <f>IF(Skills!N28=TRUE,(Skills!L28/10)*(E743/1000),Skills!L28/10)+Skills!O28</f>
        <v/>
      </c>
      <c r="G743">
        <f>Skills!G28*IF(Skills!H28&gt;0,Skills!I28/Skills!H28,1)</f>
        <v/>
      </c>
      <c r="H743">
        <f>1-(1-Skills!J28/100)^Skills!K28</f>
        <v/>
      </c>
      <c r="I743" t="inlineStr">
        <is>
          <t>1</t>
        </is>
      </c>
      <c r="J743" t="inlineStr"/>
      <c r="K743" t="inlineStr"/>
      <c r="L743" t="inlineStr"/>
      <c r="M743" t="inlineStr"/>
      <c r="N743" t="inlineStr"/>
      <c r="O743">
        <f>(1-Summary!$B$11)*T743+Summary!$B$11*V743</f>
        <v/>
      </c>
      <c r="P743">
        <f>IF(B758=0,0,O743/B758)</f>
        <v/>
      </c>
      <c r="Q743" t="n">
        <v>0</v>
      </c>
      <c r="R743" t="n">
        <v>0</v>
      </c>
      <c r="S743">
        <f>IFERROR(O743/N743,0)</f>
        <v/>
      </c>
      <c r="T743" t="n">
        <v>0</v>
      </c>
      <c r="V743" t="n">
        <v>0</v>
      </c>
    </row>
    <row r="744">
      <c r="A744">
        <f>Skills!A29</f>
        <v/>
      </c>
      <c r="B744">
        <f>Skills!B29</f>
        <v/>
      </c>
      <c r="C744">
        <f>Inputs!$B$3&gt;=120</f>
        <v/>
      </c>
      <c r="D744">
        <f>IF(Skills!C29=1,60+Inputs!$B$25+Inputs!$B$29,IF(Skills!C29=2,90+Inputs!$B$26+Inputs!$B$29,IF(Skills!C29=3,120+Inputs!$B$27+Inputs!$B$29,MAX(0,(Inputs!$B$3-100)*3)+Inputs!$B$28+Inputs!$B$29)))</f>
        <v/>
      </c>
      <c r="E744">
        <f>INDEX(FactorTable!$B$2:$Y$301, MATCH(ROUND(MIN(300,MAX(1,D744)),0), FactorTable!$A$2:$A$301,0), Skills!M29+1)</f>
        <v/>
      </c>
      <c r="F744">
        <f>IF(Skills!N29=TRUE,(Skills!L29/10)*(E744/1000),Skills!L29/10)+Skills!O29</f>
        <v/>
      </c>
      <c r="G744">
        <f>Skills!G29*IF(Skills!H29&gt;0,Skills!I29/Skills!H29,1)</f>
        <v/>
      </c>
      <c r="H744">
        <f>1-(1-Skills!J29/100)^Skills!K29</f>
        <v/>
      </c>
      <c r="I744" t="inlineStr">
        <is>
          <t>1</t>
        </is>
      </c>
      <c r="J744" t="inlineStr"/>
      <c r="K744" t="inlineStr"/>
      <c r="L744" t="inlineStr"/>
      <c r="M744" t="inlineStr"/>
      <c r="N744" t="inlineStr"/>
      <c r="O744">
        <f>(1-Summary!$B$11)*T744+Summary!$B$11*V744</f>
        <v/>
      </c>
      <c r="P744">
        <f>IF(B758=0,0,O744/B758)</f>
        <v/>
      </c>
      <c r="Q744" t="n">
        <v>0</v>
      </c>
      <c r="R744" t="n">
        <v>0</v>
      </c>
      <c r="S744">
        <f>IFERROR(O744/N744,0)</f>
        <v/>
      </c>
      <c r="T744" t="n">
        <v>0</v>
      </c>
      <c r="V744" t="n">
        <v>0</v>
      </c>
    </row>
    <row r="745">
      <c r="A745">
        <f>Skills!A30</f>
        <v/>
      </c>
      <c r="B745">
        <f>Skills!B30</f>
        <v/>
      </c>
      <c r="C745">
        <f>Inputs!$B$3&gt;=45</f>
        <v/>
      </c>
      <c r="D745">
        <f>IF(Skills!C30=1,60+Inputs!$B$25+Inputs!$B$29,IF(Skills!C30=2,90+Inputs!$B$26+Inputs!$B$29,IF(Skills!C30=3,120+Inputs!$B$27+Inputs!$B$29,MAX(0,(Inputs!$B$3-100)*3)+Inputs!$B$28+Inputs!$B$29)))</f>
        <v/>
      </c>
      <c r="E745">
        <f>INDEX(FactorTable!$B$2:$Y$301, MATCH(ROUND(MIN(300,MAX(1,D745)),0), FactorTable!$A$2:$A$301,0), Skills!M30+1)</f>
        <v/>
      </c>
      <c r="F745">
        <f>IF(Skills!N30=TRUE,(Skills!L30/10)*(E745/1000),Skills!L30/10)+Skills!O30</f>
        <v/>
      </c>
      <c r="G745">
        <f>Skills!G30*IF(Skills!H30&gt;0,Skills!I30/Skills!H30,1)</f>
        <v/>
      </c>
      <c r="H745">
        <f>1-(1-Skills!J30/100)^Skills!K30</f>
        <v/>
      </c>
      <c r="I745" t="inlineStr">
        <is>
          <t>1</t>
        </is>
      </c>
      <c r="J745" t="inlineStr"/>
      <c r="K745" t="inlineStr"/>
      <c r="L745" t="inlineStr"/>
      <c r="M745" t="inlineStr"/>
      <c r="N745" t="inlineStr"/>
      <c r="O745">
        <f>(1-Summary!$B$11)*T745+Summary!$B$11*V745</f>
        <v/>
      </c>
      <c r="P745">
        <f>IF(B758=0,0,O745/B758)</f>
        <v/>
      </c>
      <c r="Q745" t="n">
        <v>0</v>
      </c>
      <c r="R745" t="n">
        <v>0</v>
      </c>
      <c r="S745">
        <f>IFERROR(O745/N745,0)</f>
        <v/>
      </c>
      <c r="T745" t="n">
        <v>0</v>
      </c>
      <c r="V745" t="n">
        <v>0</v>
      </c>
    </row>
    <row r="747">
      <c r="A747" t="inlineStr">
        <is>
          <t>Attack% Bucket Multiplier</t>
        </is>
      </c>
      <c r="B747">
        <f>(1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8">
      <c r="A748" t="inlineStr">
        <is>
          <t>Global Crit Rate Bonus %</t>
        </is>
      </c>
      <c r="B748">
        <f>(C731=TRUE)*20*IF(AND(Inputs!$B$38&lt;&gt;"pvp",Inputs!$B$43&gt;0),(((R731-1)*(Skills!T16*(1+Inputs!$B$34/100))+MIN((Skills!T16*(1+Inputs!$B$34/100)),MAX(0,Inputs!$B$43-((R731-1)*Skills!D16))))/Inputs!$B$43),IF(Inputs!$B$38="pvp",MIN((Skills!T16*(1+Inputs!$B$34/100)),15)/15,(Skills!T16*(1+Inputs!$B$34/100))/Skills!D16))</f>
        <v/>
      </c>
    </row>
    <row r="749">
      <c r="A749" t="inlineStr">
        <is>
          <t>Attack Speed Buff Bonus %</t>
        </is>
      </c>
      <c r="B749">
        <f>((C734=TRUE)*F734*IF(AND(Inputs!$B$38&lt;&gt;"pvp",Inputs!$B$43&gt;0),(((R734-1)*(Skills!T19*(1+Inputs!$B$34/100))+MIN((Skills!T19*(1+Inputs!$B$34/100)),MAX(0,Inputs!$B$43-((R734-1)*Skills!D19))))/Inputs!$B$43),IF(Inputs!$B$38="pvp",MIN((Skills!T19*(1+Inputs!$B$34/100)),15)/15,(Skills!T19*(1+Inputs!$B$34/100))/Skills!D19)))</f>
        <v/>
      </c>
    </row>
    <row r="750">
      <c r="A750" t="inlineStr">
        <is>
          <t>Actions Per Second</t>
        </is>
      </c>
      <c r="B750">
        <f>1+MIN(150,150*(1-(1-(Inputs!$B$11+((C736=TRUE)*(F736-Calc!F21))+((C737=TRUE)*(F737-Calc!F22)))/150)*(1-B749/150)))/100</f>
        <v/>
      </c>
    </row>
    <row r="751">
      <c r="A751" t="inlineStr">
        <is>
          <t>Skill + Buff Cast Rate</t>
        </is>
      </c>
      <c r="B751">
        <f>IF(AND(Inputs!$B$38&lt;&gt;"pvp",Inputs!$B$43&gt;0),SUMPRODUCT((Skills!E2:E30=TRUE)*(C717:C745=TRUE)*R717:R745*Skills!F2:F30)/Inputs!$B$43,SUMPRODUCT((Skills!E2:E30=TRUE)*(C717:C745=TRUE)*Q717:Q745*Skills!F2:F30))</f>
        <v/>
      </c>
    </row>
    <row r="752">
      <c r="A752" t="inlineStr">
        <is>
          <t>Arrow Stream Casts Per Second</t>
        </is>
      </c>
      <c r="B752">
        <f>MAX(0,B750-B751)</f>
        <v/>
      </c>
    </row>
    <row r="753">
      <c r="A753" t="inlineStr">
        <is>
          <t>Global Critical Damage Bonus % (Sharp Eyes + Concentration)</t>
        </is>
      </c>
      <c r="B753">
        <f>(C731=TRUE)*F731*IF(AND(Inputs!$B$38&lt;&gt;"pvp",Inputs!$B$43&gt;0),(((R731-1)*(Skills!T16*(1+Inputs!$B$34/100))+MIN((Skills!T16*(1+Inputs!$B$34/100)),MAX(0,Inputs!$B$43-((R731-1)*Skills!D16))))/Inputs!$B$43),IF(Inputs!$B$38="pvp",MIN((Skills!T16*(1+Inputs!$B$34/100)),15)/15,(Skills!T16*(1+Inputs!$B$34/100))/Skills!D16))+(C732=TRUE)*30</f>
        <v/>
      </c>
    </row>
    <row r="754">
      <c r="A754" t="inlineStr">
        <is>
          <t>Global Final Damage Bonus % (Mortal Blow)</t>
        </is>
      </c>
      <c r="B754">
        <f>(C733=TRUE)*F733</f>
        <v/>
      </c>
    </row>
    <row r="755">
      <c r="A755" t="inlineStr">
        <is>
          <t>Buff-Casting Startup Delay (s, fixed-duration only)</t>
        </is>
      </c>
      <c r="B755">
        <f>IF(AND(Inputs!$B$38&lt;&gt;"pvp",Inputs!$B$43&gt;0),SUMPRODUCT((Skills!T2:T30&gt;0)*(Skills!E2:E30=TRUE)*(C717:C745=TRUE))/B750,0)</f>
        <v/>
      </c>
    </row>
    <row r="756">
      <c r="A756" t="inlineStr">
        <is>
          <t>Boss-Only Total DPS (this block's swept value)</t>
        </is>
      </c>
      <c r="B756">
        <f>SUM(T717:T745)</f>
        <v/>
      </c>
    </row>
    <row r="757">
      <c r="A757" t="inlineStr">
        <is>
          <t>Normal-Only Total DPS (this block's swept value)</t>
        </is>
      </c>
      <c r="B757">
        <f>SUM(V717:V745)</f>
        <v/>
      </c>
    </row>
    <row r="758">
      <c r="A758" s="6" t="inlineStr">
        <is>
          <t>TOTAL DPS</t>
        </is>
      </c>
      <c r="B758" s="6">
        <f>SUM(O717:O745)</f>
        <v/>
      </c>
    </row>
    <row r="761">
      <c r="A761" s="6" t="inlineStr">
        <is>
          <t>Stat: SKILL_DAMAGE %</t>
        </is>
      </c>
    </row>
    <row r="762">
      <c r="A762" s="5" t="inlineStr">
        <is>
          <t>Key</t>
        </is>
      </c>
      <c r="B762" s="5" t="inlineStr">
        <is>
          <t>Name</t>
        </is>
      </c>
      <c r="C762" s="5" t="inlineStr">
        <is>
          <t>Unlocked</t>
        </is>
      </c>
      <c r="D762" s="5" t="inlineStr">
        <is>
          <t>InputLevel</t>
        </is>
      </c>
      <c r="E762" s="5" t="inlineStr">
        <is>
          <t>Factor</t>
        </is>
      </c>
      <c r="F762" s="5" t="inlineStr">
        <is>
          <t>CoefficientPercent</t>
        </is>
      </c>
      <c r="G762" s="5" t="inlineStr">
        <is>
          <t>EffectiveHits</t>
        </is>
      </c>
      <c r="H762" s="5" t="inlineStr">
        <is>
          <t>ProcProbability</t>
        </is>
      </c>
      <c r="I762" s="5" t="inlineStr">
        <is>
          <t>MapleHeroMultiplier</t>
        </is>
      </c>
      <c r="J762" s="5" t="inlineStr">
        <is>
          <t>BaseDamage</t>
        </is>
      </c>
      <c r="K762" s="5" t="inlineStr">
        <is>
          <t>BaseHitDamage</t>
        </is>
      </c>
      <c r="L762" s="5" t="inlineStr">
        <is>
          <t>NonCritAvg</t>
        </is>
      </c>
      <c r="M762" s="5" t="inlineStr">
        <is>
          <t>CritAvg</t>
        </is>
      </c>
      <c r="N762" s="5" t="inlineStr">
        <is>
          <t>ExpectedDamage(perHit)</t>
        </is>
      </c>
      <c r="O762" s="5" t="inlineStr">
        <is>
          <t>DPS</t>
        </is>
      </c>
      <c r="P762" s="5" t="inlineStr">
        <is>
          <t>% of Total</t>
        </is>
      </c>
      <c r="Q762" s="5" t="inlineStr">
        <is>
          <t>InvCooldown</t>
        </is>
      </c>
      <c r="R762" s="5" t="inlineStr">
        <is>
          <t>CastsInFight</t>
        </is>
      </c>
      <c r="S762" s="5" t="inlineStr">
        <is>
          <t>HitRate(perSec)</t>
        </is>
      </c>
      <c r="U762" t="inlineStr">
        <is>
          <t>helpers</t>
        </is>
      </c>
    </row>
    <row r="763">
      <c r="A763">
        <f>Skills!A2</f>
        <v/>
      </c>
      <c r="B763">
        <f>Skills!B2</f>
        <v/>
      </c>
      <c r="C763">
        <f>Inputs!$B$3&gt;=100</f>
        <v/>
      </c>
      <c r="D763" t="inlineStr"/>
      <c r="E763" t="inlineStr"/>
      <c r="F763">
        <f>U765+Skills!O2</f>
        <v/>
      </c>
      <c r="G763">
        <f>Skills!G2*IF(Skills!H2&gt;0,Skills!I2/Skills!H2,1)</f>
        <v/>
      </c>
      <c r="H763">
        <f>1-(1-Skills!J2/100)^Skills!K2</f>
        <v/>
      </c>
      <c r="I763" t="inlineStr">
        <is>
          <t>1</t>
        </is>
      </c>
      <c r="J763">
        <f>((Inputs!$B$6*(1+Inputs!$B$7/100))+(((Inputs!$B$12*(1+Inputs!$B$13/100))-(Inputs!$B$12*(1+Inputs!$B$13/100)))+0.25*(Inputs!$B$14-Inputs!$B$14))*(1+Inputs!$B$7/100))*(F763/100)</f>
        <v/>
      </c>
      <c r="K763">
        <f>J763*(1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785=TRUE)*(F785-Calc!F24)),(Inputs!$B$23+((C790=TRUE)*(F790-Calc!F29))+(IF(ArtifactsInput!$M$15,CHOOSE(ArtifactsInput!$N$15+1,25,30,35,40,45,50)/100*(Inputs!$B$11-Inputs!$B$11),0))))/100+(Inputs!$B$23+((C790=TRUE)*(F790-Calc!F29))+(IF(ArtifactsInput!$M$15,CHOOSE(ArtifactsInput!$N$15+1,25,30,35,40,45,50)/100*(Inputs!$B$11-Inputs!$B$11),0)))/100)/2</f>
        <v/>
      </c>
      <c r="M763">
        <f>L763*(1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IF(B804=0,0,O763/B804)</f>
        <v/>
      </c>
      <c r="Q763" t="n">
        <v>0</v>
      </c>
      <c r="R763" t="n">
        <v>0</v>
      </c>
      <c r="S763">
        <f>IFERROR(O763/N763,0)</f>
        <v/>
      </c>
      <c r="T763">
        <f>IF(C763,(Skills!G2*N763*B798)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763*(1-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MAX(0,(Inputs!$B$3-100)*3)+Inputs!$B$28+Inputs!$B$29</f>
        <v/>
      </c>
      <c r="V763">
        <f>IF(C763,(Skills!G2*N763*B798)*IF(Inputs!$B$38="pvp",1,(1+(Inputs!$B$21+Skills!Q2+(IF(ArtifactsInput!$M$33,CHOOSE(ArtifactsInput!$N$33+1,30,36,42,48,54,60),0))+(IF(AND(ArtifactsInput!$M$35,Inputs!$B$4&lt;&gt;"Chapter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Skills!A3</f>
        <v/>
      </c>
      <c r="B764">
        <f>Skills!B3</f>
        <v/>
      </c>
      <c r="C764">
        <f>Inputs!$B$3&gt;=50</f>
        <v/>
      </c>
      <c r="D764">
        <f>IF(Skills!C3=1,60+Inputs!$B$25+Inputs!$B$29,IF(Skills!C3=2,90+Inputs!$B$26+Inputs!$B$29,IF(Skills!C3=3,120+Inputs!$B$27+Inputs!$B$29,MAX(0,(Inputs!$B$3-100)*3)+Inputs!$B$28+Inputs!$B$29)))</f>
        <v/>
      </c>
      <c r="E764">
        <f>INDEX(FactorTable!$B$2:$Y$301, MATCH(ROUND(MIN(300,MAX(1,D764)),0), FactorTable!$A$2:$A$301,0), Skills!M3+1)</f>
        <v/>
      </c>
      <c r="F764">
        <f>IF(Skills!N3=TRUE,(Skills!L3/10)*(E764/1000),Skills!L3/10)+Skills!O3</f>
        <v/>
      </c>
      <c r="G764" t="inlineStr"/>
      <c r="H764" t="inlineStr"/>
      <c r="I764" t="inlineStr">
        <is>
          <t>1</t>
        </is>
      </c>
      <c r="J764" t="inlineStr"/>
      <c r="K764" t="inlineStr"/>
      <c r="L764" t="inlineStr"/>
      <c r="M764" t="inlineStr"/>
      <c r="N764" t="inlineStr"/>
      <c r="O764" t="inlineStr"/>
      <c r="P764" t="inlineStr"/>
      <c r="Q764" t="inlineStr"/>
      <c r="R764" t="inlineStr"/>
      <c r="S764" t="inlineStr"/>
      <c r="T764" t="inlineStr"/>
      <c r="U764">
        <f>INDEX(FactorTable!$B$2:$Y$301, MATCH(ROUND(MIN(300,MAX(1,U763)),0), FactorTable!$A$2:$A$301,0), 22)</f>
        <v/>
      </c>
      <c r="V764" t="inlineStr"/>
    </row>
    <row r="765">
      <c r="A765">
        <f>Skills!A4</f>
        <v/>
      </c>
      <c r="B765">
        <f>Skills!B4</f>
        <v/>
      </c>
      <c r="C765">
        <f>Inputs!$B$3&gt;=105</f>
        <v/>
      </c>
      <c r="D765">
        <f>IF(Skills!C4=1,60+Inputs!$B$25+Inputs!$B$29,IF(Skills!C4=2,90+Inputs!$B$26+Inputs!$B$29,IF(Skills!C4=3,120+Inputs!$B$27+Inputs!$B$29,MAX(0,(Inputs!$B$3-100)*3)+Inputs!$B$28+Inputs!$B$29)))</f>
        <v/>
      </c>
      <c r="E765">
        <f>INDEX(FactorTable!$B$2:$Y$301, MATCH(ROUND(MIN(300,MAX(1,D765)),0), FactorTable!$A$2:$A$301,0), Skills!M4+1)</f>
        <v/>
      </c>
      <c r="F765">
        <f>IF(Skills!N4=TRUE,(Skills!L4/10)*(E765/1000),Skills!L4/10)+Skills!O4</f>
        <v/>
      </c>
      <c r="G765" t="inlineStr"/>
      <c r="H765" t="inlineStr"/>
      <c r="I765" t="inlineStr">
        <is>
          <t>1</t>
        </is>
      </c>
      <c r="J765" t="inlineStr"/>
      <c r="K765" t="inlineStr"/>
      <c r="L765" t="inlineStr"/>
      <c r="M765" t="inlineStr"/>
      <c r="N765" t="inlineStr"/>
      <c r="O765" t="inlineStr"/>
      <c r="P765" t="inlineStr"/>
      <c r="Q765" t="inlineStr"/>
      <c r="R765" t="inlineStr"/>
      <c r="S765" t="inlineStr"/>
      <c r="T765" t="inlineStr"/>
      <c r="U765">
        <f>290*U764/1000</f>
        <v/>
      </c>
      <c r="V765" t="inlineStr"/>
    </row>
    <row r="766">
      <c r="A766">
        <f>Skills!A5</f>
        <v/>
      </c>
      <c r="B766">
        <f>Skills!B5</f>
        <v/>
      </c>
      <c r="C766">
        <f>Inputs!$B$3&gt;=35</f>
        <v/>
      </c>
      <c r="D766">
        <f>IF(Skills!C5=1,60+Inputs!$B$25+Inputs!$B$29,IF(Skills!C5=2,90+Inputs!$B$26+Inputs!$B$29,IF(Skills!C5=3,120+Inputs!$B$27+Inputs!$B$29,MAX(0,(Inputs!$B$3-100)*3)+Inputs!$B$28+Inputs!$B$29)))</f>
        <v/>
      </c>
      <c r="E766">
        <f>INDEX(FactorTable!$B$2:$Y$301, MATCH(ROUND(MIN(300,MAX(1,D766)),0), FactorTable!$A$2:$A$301,0), Skills!M5+1)</f>
        <v/>
      </c>
      <c r="F766">
        <f>IF(Skills!N5=TRUE,(Skills!L5/10)*(E766/1000),Skills!L5/10)+Skills!O5</f>
        <v/>
      </c>
      <c r="G766">
        <f>Skills!G5*IF(Skills!H5&gt;0,Skills!I5/Skills!H5,1)</f>
        <v/>
      </c>
      <c r="H766">
        <f>1-(1-Skills!J5/100)^Skills!K5</f>
        <v/>
      </c>
      <c r="I766" t="inlineStr">
        <is>
          <t>1</t>
        </is>
      </c>
      <c r="J766">
        <f>((Inputs!$B$6*(1+Inputs!$B$7/100))+(((Inputs!$B$12*(1+Inputs!$B$13/100))-(Inputs!$B$12*(1+Inputs!$B$13/100)))+0.25*(Inputs!$B$14-Inputs!$B$14))*(1+Inputs!$B$7/100))*(F766/100)</f>
        <v/>
      </c>
      <c r="K766">
        <f>J766*(1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771=TRUE,F771,0)/100)*(1+(IF(Skills!A5="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785=TRUE)*(F785-Calc!F24)),(Inputs!$B$23+((C790=TRUE)*(F790-Calc!F29))+(IF(ArtifactsInput!$M$15,CHOOSE(ArtifactsInput!$N$15+1,25,30,35,40,45,50)/100*(Inputs!$B$11-Inputs!$B$11),0))))/100+(Inputs!$B$23+((C790=TRUE)*(F790-Calc!F29))+(IF(ArtifactsInput!$M$15,CHOOSE(ArtifactsInput!$N$15+1,25,30,35,40,45,50)/100*(Inputs!$B$11-Inputs!$B$11),0)))/100)/2</f>
        <v/>
      </c>
      <c r="M766">
        <f>L766*(1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IF(B804=0,0,O766/B804)</f>
        <v/>
      </c>
      <c r="Q766">
        <f>IFERROR(1/(IF(Inputs!$B$38="pvp",15,MAX(0.1,Skills!D5-IF(Skills!E5=TRUE,Inputs!$B$32,0)))*(1-IF(AND(ArtifactsInput!$M$27,Inputs!$B$4="Chapter Hunt"),CHOOSE(ArtifactsInput!$N$27+1,20,24,28,32,36,40),0)/100)),0)</f>
        <v/>
      </c>
      <c r="R766">
        <f>IF(AND(Inputs!$B$38&lt;&gt;"pvp",Inputs!$B$43&gt;0),IF(MAX(0,Inputs!$B$43-B801)&lt;=0,0,(INT(MAX(0,Inputs!$B$43-B801)/(IF(Inputs!$B$38="pvp",15,MAX(0.1,Skills!D5-IF(Skills!E5=TRUE,Inputs!$B$32,0)))*(1-IF(AND(ArtifactsInput!$M$27,Inputs!$B$4="Chapter Hunt"),CHOOSE(ArtifactsInput!$N$27+1,20,24,28,32,36,40),0)/100)))+1)),0)</f>
        <v/>
      </c>
      <c r="S766">
        <f>IFERROR(O766/N766,0)</f>
        <v/>
      </c>
      <c r="T766">
        <f>IF(C766,(H766*N766*IF(AND(Inputs!$B$38&lt;&gt;"pvp",Inputs!$B$43&gt;0),((Skills!G5*((R766-1)*IF(Skills!H5&gt;0,Skills!I5/Skills!H5,1)+IF(Skills!H5&gt;0,MIN(Skills!I5,MAX(0,MAX(0,Inputs!$B$43-B801)-((R766-1)*(IF(Inputs!$B$38="pvp",15,MAX(0.1,Skills!D5-IF(Skills!E5=TRUE,Inputs!$B$32,0)))*(1-IF(AND(ArtifactsInput!$M$27,Inputs!$B$4="Chapter Hunt"),CHOOSE(ArtifactsInput!$N$27+1,20,24,28,32,36,40),0)/100)))))/Skills!H5,1)))/Inputs!$B$43),G766*Q766)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766*(1-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5*((R766-1)*IF(Skills!H5&gt;0,Skills!I5/Skills!H5,1)+IF(Skills!H5&gt;0,MIN(Skills!I5,MAX(0,MAX(0,Inputs!$B$43-B801)-((R766-1)*(IF(Inputs!$B$38="pvp",15,MAX(0.1,Skills!D5-IF(Skills!E5=TRUE,Inputs!$B$32,0)))*(1-IF(AND(ArtifactsInput!$M$27,Inputs!$B$4="Chapter Hunt"),CHOOSE(ArtifactsInput!$N$27+1,20,24,28,32,36,40),0)/100)))))/Skills!H5,1)))/Inputs!$B$43),G766*Q766))*IF(Inputs!$B$38="pvp",1,(1+(Inputs!$B$21+Skills!Q5+(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Skills!A6</f>
        <v/>
      </c>
      <c r="B767">
        <f>Skills!B6</f>
        <v/>
      </c>
      <c r="C767">
        <f>Inputs!$B$3&gt;=40</f>
        <v/>
      </c>
      <c r="D767">
        <f>IF(Skills!C6=1,60+Inputs!$B$25+Inputs!$B$29,IF(Skills!C6=2,90+Inputs!$B$26+Inputs!$B$29,IF(Skills!C6=3,120+Inputs!$B$27+Inputs!$B$29,MAX(0,(Inputs!$B$3-100)*3)+Inputs!$B$28+Inputs!$B$29)))</f>
        <v/>
      </c>
      <c r="E767">
        <f>INDEX(FactorTable!$B$2:$Y$301, MATCH(ROUND(MIN(300,MAX(1,D767)),0), FactorTable!$A$2:$A$301,0), Skills!M6+1)</f>
        <v/>
      </c>
      <c r="F767">
        <f>IF(Skills!N6=TRUE,(Skills!L6/10)*(E767/1000),Skills!L6/10)+Skills!O6</f>
        <v/>
      </c>
      <c r="G767">
        <f>Skills!G6*IF(Skills!H6&gt;0,Skills!I6/Skills!H6,1)</f>
        <v/>
      </c>
      <c r="H767">
        <f>1-(1-Skills!J6/100)^Skills!K6</f>
        <v/>
      </c>
      <c r="I767" t="inlineStr">
        <is>
          <t>1</t>
        </is>
      </c>
      <c r="J767">
        <f>((Inputs!$B$6*(1+Inputs!$B$7/100))+(((Inputs!$B$12*(1+Inputs!$B$13/100))-(Inputs!$B$12*(1+Inputs!$B$13/100)))+0.25*(Inputs!$B$14-Inputs!$B$14))*(1+Inputs!$B$7/100))*(F767/100)</f>
        <v/>
      </c>
      <c r="K767">
        <f>J767*(1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768=TRUE,F768,0)/100)*(1+(IF(Skills!A6="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785=TRUE)*(F785-Calc!F24)),(Inputs!$B$23+((C790=TRUE)*(F790-Calc!F29))+(IF(ArtifactsInput!$M$15,CHOOSE(ArtifactsInput!$N$15+1,25,30,35,40,45,50)/100*(Inputs!$B$11-Inputs!$B$11),0))))/100+(Inputs!$B$23+((C790=TRUE)*(F790-Calc!F29))+(IF(ArtifactsInput!$M$15,CHOOSE(ArtifactsInput!$N$15+1,25,30,35,40,45,50)/100*(Inputs!$B$11-Inputs!$B$11),0)))/100)/2</f>
        <v/>
      </c>
      <c r="M767">
        <f>L767*(1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IF(B804=0,0,O767/B804)</f>
        <v/>
      </c>
      <c r="Q767">
        <f>IFERROR(1/(IF(Inputs!$B$38="pvp",15,MAX(0.1,Skills!D6-IF(Skills!E6=TRUE,Inputs!$B$32,0)))*(1-IF(AND(ArtifactsInput!$M$27,Inputs!$B$4="Chapter Hunt"),CHOOSE(ArtifactsInput!$N$27+1,20,24,28,32,36,40),0)/100)),0)</f>
        <v/>
      </c>
      <c r="R767">
        <f>IF(AND(Inputs!$B$38&lt;&gt;"pvp",Inputs!$B$43&gt;0),IF(MAX(0,Inputs!$B$43-B801)&lt;=0,0,(INT(MAX(0,Inputs!$B$43-B801)/(IF(Inputs!$B$38="pvp",15,MAX(0.1,Skills!D6-IF(Skills!E6=TRUE,Inputs!$B$32,0)))*(1-IF(AND(ArtifactsInput!$M$27,Inputs!$B$4="Chapter Hunt"),CHOOSE(ArtifactsInput!$N$27+1,20,24,28,32,36,40),0)/100)))+1)),0)</f>
        <v/>
      </c>
      <c r="S767">
        <f>IFERROR(O767/N767,0)</f>
        <v/>
      </c>
      <c r="T767">
        <f>IF(C767,(H767*N767*IF(AND(Inputs!$B$38&lt;&gt;"pvp",Inputs!$B$43&gt;0),((Skills!G6*((R767-1)*IF(Skills!H6&gt;0,Skills!I6/Skills!H6,1)+IF(Skills!H6&gt;0,MIN(Skills!I6,MAX(0,MAX(0,Inputs!$B$43-B801)-((R767-1)*(IF(Inputs!$B$38="pvp",15,MAX(0.1,Skills!D6-IF(Skills!E6=TRUE,Inputs!$B$32,0)))*(1-IF(AND(ArtifactsInput!$M$27,Inputs!$B$4="Chapter Hunt"),CHOOSE(ArtifactsInput!$N$27+1,20,24,28,32,36,40),0)/100)))))/Skills!H6,1)))/Inputs!$B$43),G767*Q767)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767*(1-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6*((R767-1)*IF(Skills!H6&gt;0,Skills!I6/Skills!H6,1)+IF(Skills!H6&gt;0,MIN(Skills!I6,MAX(0,MAX(0,Inputs!$B$43-B801)-((R767-1)*(IF(Inputs!$B$38="pvp",15,MAX(0.1,Skills!D6-IF(Skills!E6=TRUE,Inputs!$B$32,0)))*(1-IF(AND(ArtifactsInput!$M$27,Inputs!$B$4="Chapter Hunt"),CHOOSE(ArtifactsInput!$N$27+1,20,24,28,32,36,40),0)/100)))))/Skills!H6,1)))/Inputs!$B$43),G767*Q767))*IF(Inputs!$B$38="pvp",1,(1+(Inputs!$B$21+Skills!Q6+(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Skills!A7</f>
        <v/>
      </c>
      <c r="B768">
        <f>Skills!B7</f>
        <v/>
      </c>
      <c r="C768">
        <f>Inputs!$B$3&gt;=107</f>
        <v/>
      </c>
      <c r="D768">
        <f>IF(Skills!C7=1,60+Inputs!$B$25+Inputs!$B$29,IF(Skills!C7=2,90+Inputs!$B$26+Inputs!$B$29,IF(Skills!C7=3,120+Inputs!$B$27+Inputs!$B$29,MAX(0,(Inputs!$B$3-100)*3)+Inputs!$B$28+Inputs!$B$29)))</f>
        <v/>
      </c>
      <c r="E768">
        <f>INDEX(FactorTable!$B$2:$Y$301, MATCH(ROUND(MIN(300,MAX(1,D768)),0), FactorTable!$A$2:$A$301,0), Skills!M7+1)</f>
        <v/>
      </c>
      <c r="F768">
        <f>IF(Skills!N7=TRUE,(Skills!L7/10)*(E768/1000),Skills!L7/10)+Skills!O7</f>
        <v/>
      </c>
      <c r="G768" t="inlineStr"/>
      <c r="H768" t="inlineStr"/>
      <c r="I768" t="inlineStr">
        <is>
          <t>1</t>
        </is>
      </c>
      <c r="J768" t="inlineStr"/>
      <c r="K768" t="inlineStr"/>
      <c r="L768" t="inlineStr"/>
      <c r="M768" t="inlineStr"/>
      <c r="N768" t="inlineStr"/>
      <c r="O768" t="inlineStr"/>
      <c r="P768" t="inlineStr"/>
      <c r="Q768" t="inlineStr"/>
      <c r="R768" t="inlineStr"/>
      <c r="S768" t="inlineStr"/>
      <c r="T768" t="inlineStr"/>
      <c r="V768" t="inlineStr"/>
    </row>
    <row r="769">
      <c r="A769">
        <f>Skills!A8</f>
        <v/>
      </c>
      <c r="B769">
        <f>Skills!B8</f>
        <v/>
      </c>
      <c r="C769">
        <f>Inputs!$B$3&gt;=69</f>
        <v/>
      </c>
      <c r="D769">
        <f>IF(Skills!C8=1,60+Inputs!$B$25+Inputs!$B$29,IF(Skills!C8=2,90+Inputs!$B$26+Inputs!$B$29,IF(Skills!C8=3,120+Inputs!$B$27+Inputs!$B$29,MAX(0,(Inputs!$B$3-100)*3)+Inputs!$B$28+Inputs!$B$29)))</f>
        <v/>
      </c>
      <c r="E769">
        <f>INDEX(FactorTable!$B$2:$Y$301, MATCH(ROUND(MIN(300,MAX(1,D769)),0), FactorTable!$A$2:$A$301,0), Skills!M8+1)</f>
        <v/>
      </c>
      <c r="F769">
        <f>IF(Skills!N8=TRUE,(Skills!L8/10)*(E769/1000),Skills!L8/10)+Skills!O8</f>
        <v/>
      </c>
      <c r="G769">
        <f>Skills!G8*IF(Skills!H8&gt;0,Skills!I8/Skills!H8,1)</f>
        <v/>
      </c>
      <c r="H769">
        <f>1-(1-Skills!J8/100)^Skills!K8</f>
        <v/>
      </c>
      <c r="I769" t="inlineStr">
        <is>
          <t>1</t>
        </is>
      </c>
      <c r="J769">
        <f>((Inputs!$B$6*(1+Inputs!$B$7/100))+(((Inputs!$B$12*(1+Inputs!$B$13/100))-(Inputs!$B$12*(1+Inputs!$B$13/100)))+0.25*(Inputs!$B$14-Inputs!$B$14))*(1+Inputs!$B$7/100))*(F769/100)</f>
        <v/>
      </c>
      <c r="K769">
        <f>J769*(1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771=TRUE,F771,0)/100)*(1+(IF(Skills!A8="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785=TRUE)*(F785-Calc!F24)),(Inputs!$B$23+((C790=TRUE)*(F790-Calc!F29))+(IF(ArtifactsInput!$M$15,CHOOSE(ArtifactsInput!$N$15+1,25,30,35,40,45,50)/100*(Inputs!$B$11-Inputs!$B$11),0))))/100+(Inputs!$B$23+((C790=TRUE)*(F790-Calc!F29))+(IF(ArtifactsInput!$M$15,CHOOSE(ArtifactsInput!$N$15+1,25,30,35,40,45,50)/100*(Inputs!$B$11-Inputs!$B$11),0)))/100)/2</f>
        <v/>
      </c>
      <c r="M769">
        <f>L769*(1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IF(B804=0,0,O769/B804)</f>
        <v/>
      </c>
      <c r="Q769">
        <f>IFERROR(1/(IF(Inputs!$B$38="pvp",15,MAX(0.1,Skills!D8-IF(Skills!E8=TRUE,Inputs!$B$32,0)))*(1-IF(AND(ArtifactsInput!$M$27,Inputs!$B$4="Chapter Hunt"),CHOOSE(ArtifactsInput!$N$27+1,20,24,28,32,36,40),0)/100)),0)</f>
        <v/>
      </c>
      <c r="R769">
        <f>IF(AND(Inputs!$B$38&lt;&gt;"pvp",Inputs!$B$43&gt;0),IF(MAX(0,Inputs!$B$43-B801)&lt;=0,0,(INT(MAX(0,Inputs!$B$43-B801)/(IF(Inputs!$B$38="pvp",15,MAX(0.1,Skills!D8-IF(Skills!E8=TRUE,Inputs!$B$32,0)))*(1-IF(AND(ArtifactsInput!$M$27,Inputs!$B$4="Chapter Hunt"),CHOOSE(ArtifactsInput!$N$27+1,20,24,28,32,36,40),0)/100)))+1)),0)</f>
        <v/>
      </c>
      <c r="S769">
        <f>IFERROR(O769/N769,0)</f>
        <v/>
      </c>
      <c r="T769">
        <f>IF(C769,(H769*N769*IF(AND(Inputs!$B$38&lt;&gt;"pvp",Inputs!$B$43&gt;0),((Skills!G8*((R769-1)*IF(Skills!H8&gt;0,Skills!I8/Skills!H8,1)+IF(Skills!H8&gt;0,MIN(Skills!I8,MAX(0,MAX(0,Inputs!$B$43-B801)-((R769-1)*(IF(Inputs!$B$38="pvp",15,MAX(0.1,Skills!D8-IF(Skills!E8=TRUE,Inputs!$B$32,0)))*(1-IF(AND(ArtifactsInput!$M$27,Inputs!$B$4="Chapter Hunt"),CHOOSE(ArtifactsInput!$N$27+1,20,24,28,32,36,40),0)/100)))))/Skills!H8,1)))/Inputs!$B$43),G769*Q769)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769*(1-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8*((R769-1)*IF(Skills!H8&gt;0,Skills!I8/Skills!H8,1)+IF(Skills!H8&gt;0,MIN(Skills!I8,MAX(0,MAX(0,Inputs!$B$43-B801)-((R769-1)*(IF(Inputs!$B$38="pvp",15,MAX(0.1,Skills!D8-IF(Skills!E8=TRUE,Inputs!$B$32,0)))*(1-IF(AND(ArtifactsInput!$M$27,Inputs!$B$4="Chapter Hunt"),CHOOSE(ArtifactsInput!$N$27+1,20,24,28,32,36,40),0)/100)))))/Skills!H8,1)))/Inputs!$B$43),G769*Q769))*IF(Inputs!$B$38="pvp",1,(1+(Inputs!$B$21+Skills!Q8+(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Skills!A9</f>
        <v/>
      </c>
      <c r="B770">
        <f>Skills!B9</f>
        <v/>
      </c>
      <c r="C770">
        <f>Inputs!$B$3&gt;=63</f>
        <v/>
      </c>
      <c r="D770">
        <f>IF(Skills!C9=1,60+Inputs!$B$25+Inputs!$B$29,IF(Skills!C9=2,90+Inputs!$B$26+Inputs!$B$29,IF(Skills!C9=3,120+Inputs!$B$27+Inputs!$B$29,MAX(0,(Inputs!$B$3-100)*3)+Inputs!$B$28+Inputs!$B$29)))</f>
        <v/>
      </c>
      <c r="E770">
        <f>INDEX(FactorTable!$B$2:$Y$301, MATCH(ROUND(MIN(300,MAX(1,D770)),0), FactorTable!$A$2:$A$301,0), Skills!M9+1)</f>
        <v/>
      </c>
      <c r="F770">
        <f>IF(Skills!N9=TRUE,(Skills!L9/10)*(E770/1000),Skills!L9/10)+Skills!O9</f>
        <v/>
      </c>
      <c r="G770">
        <f>Skills!G9*IF(Skills!H9&gt;0,Skills!I9/Skills!H9,1)</f>
        <v/>
      </c>
      <c r="H770">
        <f>1-(1-Skills!J9/100)^Skills!K9</f>
        <v/>
      </c>
      <c r="I770" t="inlineStr">
        <is>
          <t>1</t>
        </is>
      </c>
      <c r="J770">
        <f>((Inputs!$B$6*(1+Inputs!$B$7/100))+(((Inputs!$B$12*(1+Inputs!$B$13/100))-(Inputs!$B$12*(1+Inputs!$B$13/100)))+0.25*(Inputs!$B$14-Inputs!$B$14))*(1+Inputs!$B$7/100))*(F770/100)</f>
        <v/>
      </c>
      <c r="K770">
        <f>J770*(1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771=TRUE,F771,0)/100)*(1+(IF(Skills!A9="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785=TRUE)*(F785-Calc!F24)),(Inputs!$B$23+((C790=TRUE)*(F790-Calc!F29))+(IF(ArtifactsInput!$M$15,CHOOSE(ArtifactsInput!$N$15+1,25,30,35,40,45,50)/100*(Inputs!$B$11-Inputs!$B$11),0))))/100+(Inputs!$B$23+((C790=TRUE)*(F790-Calc!F29))+(IF(ArtifactsInput!$M$15,CHOOSE(ArtifactsInput!$N$15+1,25,30,35,40,45,50)/100*(Inputs!$B$11-Inputs!$B$11),0)))/100)/2</f>
        <v/>
      </c>
      <c r="M770">
        <f>L770*(1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IF(B804=0,0,O770/B804)</f>
        <v/>
      </c>
      <c r="Q770">
        <f>IFERROR(1/(IF(Inputs!$B$38="pvp",15,MAX(0.1,Skills!D9-IF(Skills!E9=TRUE,Inputs!$B$32,0)))*(1-IF(AND(ArtifactsInput!$M$27,Inputs!$B$4="Chapter Hunt"),CHOOSE(ArtifactsInput!$N$27+1,20,24,28,32,36,40),0)/100)),0)</f>
        <v/>
      </c>
      <c r="R770">
        <f>IF(AND(Inputs!$B$38&lt;&gt;"pvp",Inputs!$B$43&gt;0),IF(MAX(0,Inputs!$B$43-B801)&lt;=0,0,(INT(MAX(0,Inputs!$B$43-B801)/(IF(Inputs!$B$38="pvp",15,MAX(0.1,Skills!D9-IF(Skills!E9=TRUE,Inputs!$B$32,0)))*(1-IF(AND(ArtifactsInput!$M$27,Inputs!$B$4="Chapter Hunt"),CHOOSE(ArtifactsInput!$N$27+1,20,24,28,32,36,40),0)/100)))+1)),0)</f>
        <v/>
      </c>
      <c r="S770">
        <f>IFERROR(O770/N770,0)</f>
        <v/>
      </c>
      <c r="T770">
        <f>IF(C770,(H770*N770*IF(AND(Inputs!$B$38&lt;&gt;"pvp",Inputs!$B$43&gt;0),((Skills!G9*((R770-1)*IF(Skills!H9&gt;0,Skills!I9/Skills!H9,1)+IF(Skills!H9&gt;0,MIN(Skills!I9,MAX(0,MAX(0,Inputs!$B$43-B801)-((R770-1)*(IF(Inputs!$B$38="pvp",15,MAX(0.1,Skills!D9-IF(Skills!E9=TRUE,Inputs!$B$32,0)))*(1-IF(AND(ArtifactsInput!$M$27,Inputs!$B$4="Chapter Hunt"),CHOOSE(ArtifactsInput!$N$27+1,20,24,28,32,36,40),0)/100)))))/Skills!H9,1)))/Inputs!$B$43),G770*Q770)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770*(1-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9*((R770-1)*IF(Skills!H9&gt;0,Skills!I9/Skills!H9,1)+IF(Skills!H9&gt;0,MIN(Skills!I9,MAX(0,MAX(0,Inputs!$B$43-B801)-((R770-1)*(IF(Inputs!$B$38="pvp",15,MAX(0.1,Skills!D9-IF(Skills!E9=TRUE,Inputs!$B$32,0)))*(1-IF(AND(ArtifactsInput!$M$27,Inputs!$B$4="Chapter Hunt"),CHOOSE(ArtifactsInput!$N$27+1,20,24,28,32,36,40),0)/100)))))/Skills!H9,1)))/Inputs!$B$43),G770*Q770))*IF(Inputs!$B$38="pvp",1,(1+(Inputs!$B$21+Skills!Q9+(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Skills!A10</f>
        <v/>
      </c>
      <c r="B771">
        <f>Skills!B10</f>
        <v/>
      </c>
      <c r="C771">
        <f>Inputs!$B$3&gt;=100</f>
        <v/>
      </c>
      <c r="D771">
        <f>IF(Skills!C10=1,60+Inputs!$B$25+Inputs!$B$29,IF(Skills!C10=2,90+Inputs!$B$26+Inputs!$B$29,IF(Skills!C10=3,120+Inputs!$B$27+Inputs!$B$29,MAX(0,(Inputs!$B$3-100)*3)+Inputs!$B$28+Inputs!$B$29)))</f>
        <v/>
      </c>
      <c r="E771">
        <f>INDEX(FactorTable!$B$2:$Y$301, MATCH(ROUND(MIN(300,MAX(1,D771)),0), FactorTable!$A$2:$A$301,0), Skills!M10+1)</f>
        <v/>
      </c>
      <c r="F771">
        <f>IF(Skills!N10=TRUE,(Skills!L10/10)*(E771/1000),Skills!L10/10)+Skills!O10</f>
        <v/>
      </c>
      <c r="G771" t="inlineStr"/>
      <c r="H771" t="inlineStr"/>
      <c r="I771" t="inlineStr">
        <is>
          <t>1</t>
        </is>
      </c>
      <c r="J771" t="inlineStr"/>
      <c r="K771" t="inlineStr"/>
      <c r="L771" t="inlineStr"/>
      <c r="M771" t="inlineStr"/>
      <c r="N771" t="inlineStr"/>
      <c r="O771" t="inlineStr"/>
      <c r="P771" t="inlineStr"/>
      <c r="Q771" t="inlineStr"/>
      <c r="R771" t="inlineStr"/>
      <c r="S771" t="inlineStr"/>
      <c r="T771" t="inlineStr"/>
      <c r="V771" t="inlineStr"/>
    </row>
    <row r="772">
      <c r="A772">
        <f>Skills!A11</f>
        <v/>
      </c>
      <c r="B772">
        <f>Skills!B11</f>
        <v/>
      </c>
      <c r="C772">
        <f>Inputs!$B$3&gt;=60</f>
        <v/>
      </c>
      <c r="D772">
        <f>IF(Skills!C11=1,60+Inputs!$B$25+Inputs!$B$29,IF(Skills!C11=2,90+Inputs!$B$26+Inputs!$B$29,IF(Skills!C11=3,120+Inputs!$B$27+Inputs!$B$29,MAX(0,(Inputs!$B$3-100)*3)+Inputs!$B$28+Inputs!$B$29)))</f>
        <v/>
      </c>
      <c r="E772">
        <f>INDEX(FactorTable!$B$2:$Y$301, MATCH(ROUND(MIN(300,MAX(1,D772)),0), FactorTable!$A$2:$A$301,0), Skills!M11+1)</f>
        <v/>
      </c>
      <c r="F772">
        <f>IF(Skills!N11=TRUE,(Skills!L11/10)*(E772/1000),Skills!L11/10)+Skills!O11</f>
        <v/>
      </c>
      <c r="G772">
        <f>Skills!G11*IF(Skills!H11&gt;0,Skills!I11/Skills!H11,1)</f>
        <v/>
      </c>
      <c r="H772">
        <f>1-(1-Skills!J11/100)^Skills!K11</f>
        <v/>
      </c>
      <c r="I772" t="inlineStr">
        <is>
          <t>1</t>
        </is>
      </c>
      <c r="J772">
        <f>((Inputs!$B$6*(1+Inputs!$B$7/100))+(((Inputs!$B$12*(1+Inputs!$B$13/100))-(Inputs!$B$12*(1+Inputs!$B$13/100)))+0.25*(Inputs!$B$14-Inputs!$B$14))*(1+Inputs!$B$7/100))*(F772/100)</f>
        <v/>
      </c>
      <c r="K772">
        <f>J772*(1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773=TRUE,F773,0)/100)*(1+(IF(Skills!A11="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785=TRUE)*(F785-Calc!F24)),(Inputs!$B$23+((C790=TRUE)*(F790-Calc!F29))+(IF(ArtifactsInput!$M$15,CHOOSE(ArtifactsInput!$N$15+1,25,30,35,40,45,50)/100*(Inputs!$B$11-Inputs!$B$11),0))))/100+(Inputs!$B$23+((C790=TRUE)*(F790-Calc!F29))+(IF(ArtifactsInput!$M$15,CHOOSE(ArtifactsInput!$N$15+1,25,30,35,40,45,50)/100*(Inputs!$B$11-Inputs!$B$11),0)))/100)/2</f>
        <v/>
      </c>
      <c r="M772">
        <f>L772*(1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IF(B804=0,0,O772/B804)</f>
        <v/>
      </c>
      <c r="Q772">
        <f>IFERROR(1/(IF(Inputs!$B$38="pvp",15,MAX(0.1,Skills!D11-IF(Skills!E11=TRUE,Inputs!$B$32,0)))*(1-IF(AND(ArtifactsInput!$M$27,Inputs!$B$4="Chapter Hunt"),CHOOSE(ArtifactsInput!$N$27+1,20,24,28,32,36,40),0)/100)),0)</f>
        <v/>
      </c>
      <c r="R772">
        <f>IF(AND(Inputs!$B$38&lt;&gt;"pvp",Inputs!$B$43&gt;0),IF(MAX(0,Inputs!$B$43-B801)&lt;=0,0,(INT(MAX(0,Inputs!$B$43-B801)/(IF(Inputs!$B$38="pvp",15,MAX(0.1,Skills!D11-IF(Skills!E11=TRUE,Inputs!$B$32,0)))*(1-IF(AND(ArtifactsInput!$M$27,Inputs!$B$4="Chapter Hunt"),CHOOSE(ArtifactsInput!$N$27+1,20,24,28,32,36,40),0)/100)))+1)),0)</f>
        <v/>
      </c>
      <c r="S772">
        <f>IFERROR(O772/N772,0)</f>
        <v/>
      </c>
      <c r="T772">
        <f>IF(C772,(H772*N772*IF(AND(Inputs!$B$38&lt;&gt;"pvp",Inputs!$B$43&gt;0),((Skills!G11*((R772-1)*IF(Skills!H11&gt;0,Skills!I11/Skills!H11,1)+IF(Skills!H11&gt;0,MIN(Skills!I11,MAX(0,MAX(0,Inputs!$B$43-B801)-((R772-1)*(IF(Inputs!$B$38="pvp",15,MAX(0.1,Skills!D11-IF(Skills!E11=TRUE,Inputs!$B$32,0)))*(1-IF(AND(ArtifactsInput!$M$27,Inputs!$B$4="Chapter Hunt"),CHOOSE(ArtifactsInput!$N$27+1,20,24,28,32,36,40),0)/100)))))/Skills!H11,1)))/Inputs!$B$43),G772*Q772)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772*(1-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11*((R772-1)*IF(Skills!H11&gt;0,Skills!I11/Skills!H11,1)+IF(Skills!H11&gt;0,MIN(Skills!I11,MAX(0,MAX(0,Inputs!$B$43-B801)-((R772-1)*(IF(Inputs!$B$38="pvp",15,MAX(0.1,Skills!D11-IF(Skills!E11=TRUE,Inputs!$B$32,0)))*(1-IF(AND(ArtifactsInput!$M$27,Inputs!$B$4="Chapter Hunt"),CHOOSE(ArtifactsInput!$N$27+1,20,24,28,32,36,40),0)/100)))))/Skills!H11,1)))/Inputs!$B$43),G772*Q772))*IF(Inputs!$B$38="pvp",1,(1+(Inputs!$B$21+Skills!Q11+(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Skills!A12</f>
        <v/>
      </c>
      <c r="B773">
        <f>Skills!B12</f>
        <v/>
      </c>
      <c r="C773">
        <f>Inputs!$B$3&gt;=110</f>
        <v/>
      </c>
      <c r="D773">
        <f>IF(Skills!C12=1,60+Inputs!$B$25+Inputs!$B$29,IF(Skills!C12=2,90+Inputs!$B$26+Inputs!$B$29,IF(Skills!C12=3,120+Inputs!$B$27+Inputs!$B$29,MAX(0,(Inputs!$B$3-100)*3)+Inputs!$B$28+Inputs!$B$29)))</f>
        <v/>
      </c>
      <c r="E773">
        <f>INDEX(FactorTable!$B$2:$Y$301, MATCH(ROUND(MIN(300,MAX(1,D773)),0), FactorTable!$A$2:$A$301,0), Skills!M12+1)</f>
        <v/>
      </c>
      <c r="F773">
        <f>IF(Skills!N12=TRUE,(Skills!L12/10)*(E773/1000),Skills!L12/10)+Skills!O12</f>
        <v/>
      </c>
      <c r="G773" t="inlineStr"/>
      <c r="H773" t="inlineStr"/>
      <c r="I773" t="inlineStr">
        <is>
          <t>1</t>
        </is>
      </c>
      <c r="J773" t="inlineStr"/>
      <c r="K773" t="inlineStr"/>
      <c r="L773" t="inlineStr"/>
      <c r="M773" t="inlineStr"/>
      <c r="N773" t="inlineStr"/>
      <c r="O773" t="inlineStr"/>
      <c r="P773" t="inlineStr"/>
      <c r="Q773" t="inlineStr"/>
      <c r="R773" t="inlineStr"/>
      <c r="S773" t="inlineStr"/>
      <c r="T773" t="inlineStr"/>
      <c r="V773" t="inlineStr"/>
    </row>
    <row r="774">
      <c r="A774">
        <f>Skills!A13</f>
        <v/>
      </c>
      <c r="B774">
        <f>Skills!B13</f>
        <v/>
      </c>
      <c r="C774">
        <f>Inputs!$B$3&gt;=74</f>
        <v/>
      </c>
      <c r="D774">
        <f>IF(Skills!C13=1,60+Inputs!$B$25+Inputs!$B$29,IF(Skills!C13=2,90+Inputs!$B$26+Inputs!$B$29,IF(Skills!C13=3,120+Inputs!$B$27+Inputs!$B$29,MAX(0,(Inputs!$B$3-100)*3)+Inputs!$B$28+Inputs!$B$29)))</f>
        <v/>
      </c>
      <c r="E774">
        <f>INDEX(FactorTable!$B$2:$Y$301, MATCH(ROUND(MIN(300,MAX(1,D774)),0), FactorTable!$A$2:$A$301,0), Skills!M13+1)</f>
        <v/>
      </c>
      <c r="F774">
        <f>IF(Skills!N13=TRUE,(Skills!L13/10)*(E774/1000),Skills!L13/10)+Skills!O13</f>
        <v/>
      </c>
      <c r="G774">
        <f>Skills!G13*IF(Skills!H13&gt;0,Skills!I13/Skills!H13,1)</f>
        <v/>
      </c>
      <c r="H774">
        <f>1-(1-Skills!J13/100)^Skills!K13</f>
        <v/>
      </c>
      <c r="I774" t="inlineStr">
        <is>
          <t>1</t>
        </is>
      </c>
      <c r="J774" t="inlineStr"/>
      <c r="K774" t="inlineStr"/>
      <c r="L774" t="inlineStr"/>
      <c r="M774" t="inlineStr"/>
      <c r="N774" t="inlineStr"/>
      <c r="O774">
        <f>(1-Summary!$B$11)*T774+Summary!$B$11*V774</f>
        <v/>
      </c>
      <c r="P774">
        <f>IF(B804=0,0,O774/B804)</f>
        <v/>
      </c>
      <c r="Q774" t="n">
        <v>0</v>
      </c>
      <c r="R774" t="n">
        <v>0</v>
      </c>
      <c r="S774">
        <f>IFERROR(O774/N774,0)</f>
        <v/>
      </c>
      <c r="T774" t="n">
        <v>0</v>
      </c>
      <c r="V774" t="n">
        <v>0</v>
      </c>
    </row>
    <row r="775">
      <c r="A775">
        <f>Skills!A14</f>
        <v/>
      </c>
      <c r="B775">
        <f>Skills!B14</f>
        <v/>
      </c>
      <c r="C775">
        <f>Inputs!$B$3&gt;=74</f>
        <v/>
      </c>
      <c r="D775">
        <f>IF(Skills!C14=1,60+Inputs!$B$25+Inputs!$B$29,IF(Skills!C14=2,90+Inputs!$B$26+Inputs!$B$29,IF(Skills!C14=3,120+Inputs!$B$27+Inputs!$B$29,MAX(0,(Inputs!$B$3-100)*3)+Inputs!$B$28+Inputs!$B$29)))</f>
        <v/>
      </c>
      <c r="E775">
        <f>INDEX(FactorTable!$B$2:$Y$301, MATCH(ROUND(MIN(300,MAX(1,D775)),0), FactorTable!$A$2:$A$301,0), Skills!M14+1)</f>
        <v/>
      </c>
      <c r="F775">
        <f>IF(Skills!N14=TRUE,(Skills!L14/10)*(E775/1000),Skills!L14/10)+Skills!O14</f>
        <v/>
      </c>
      <c r="G775">
        <f>Skills!G14*IF(Skills!H14&gt;0,Skills!I14/Skills!H14,1)</f>
        <v/>
      </c>
      <c r="H775">
        <f>1-(1-Skills!J14/100)^Skills!K14</f>
        <v/>
      </c>
      <c r="I775" t="inlineStr">
        <is>
          <t>1</t>
        </is>
      </c>
      <c r="J775" t="inlineStr"/>
      <c r="K775" t="inlineStr"/>
      <c r="L775" t="inlineStr"/>
      <c r="M775" t="inlineStr"/>
      <c r="N775" t="inlineStr"/>
      <c r="O775">
        <f>(1-Summary!$B$11)*T775+Summary!$B$11*V775</f>
        <v/>
      </c>
      <c r="P775">
        <f>IF(B804=0,0,O775/B804)</f>
        <v/>
      </c>
      <c r="Q775" t="n">
        <v>0</v>
      </c>
      <c r="R775" t="n">
        <v>0</v>
      </c>
      <c r="S775">
        <f>IFERROR(O775/N775,0)</f>
        <v/>
      </c>
      <c r="T775" t="n">
        <v>0</v>
      </c>
      <c r="V775" t="n">
        <v>0</v>
      </c>
    </row>
    <row r="776">
      <c r="A776">
        <f>Skills!A15</f>
        <v/>
      </c>
      <c r="B776">
        <f>Skills!B15</f>
        <v/>
      </c>
      <c r="C776">
        <f>Inputs!$B$3&gt;=117</f>
        <v/>
      </c>
      <c r="D776">
        <f>IF(Skills!C15=1,60+Inputs!$B$25+Inputs!$B$29,IF(Skills!C15=2,90+Inputs!$B$26+Inputs!$B$29,IF(Skills!C15=3,120+Inputs!$B$27+Inputs!$B$29,MAX(0,(Inputs!$B$3-100)*3)+Inputs!$B$28+Inputs!$B$29)))</f>
        <v/>
      </c>
      <c r="E776">
        <f>INDEX(FactorTable!$B$2:$Y$301, MATCH(ROUND(MIN(300,MAX(1,D776)),0), FactorTable!$A$2:$A$301,0), Skills!M15+1)</f>
        <v/>
      </c>
      <c r="F776">
        <f>IF(Skills!N15=TRUE,(Skills!L15/10)*(E776/1000),Skills!L15/10)+Skills!O15</f>
        <v/>
      </c>
      <c r="G776">
        <f>Skills!G15*IF(Skills!H15&gt;0,Skills!I15/Skills!H15,1)</f>
        <v/>
      </c>
      <c r="H776">
        <f>1-(1-Skills!J15/100)^Skills!K15</f>
        <v/>
      </c>
      <c r="I776" t="inlineStr">
        <is>
          <t>1</t>
        </is>
      </c>
      <c r="J776" t="inlineStr"/>
      <c r="K776" t="inlineStr"/>
      <c r="L776" t="inlineStr"/>
      <c r="M776" t="inlineStr"/>
      <c r="N776" t="inlineStr"/>
      <c r="O776">
        <f>(1-Summary!$B$11)*T776+Summary!$B$11*V776</f>
        <v/>
      </c>
      <c r="P776">
        <f>IF(B804=0,0,O776/B804)</f>
        <v/>
      </c>
      <c r="Q776">
        <f>IFERROR(1/(IF(Inputs!$B$38="pvp",15,MAX(0.1,Skills!D15-IF(Skills!E15=TRUE,Inputs!$B$32,0)))*(1-IF(AND(ArtifactsInput!$M$27,Inputs!$B$4="Chapter Hunt"),CHOOSE(ArtifactsInput!$N$27+1,20,24,28,32,36,40),0)/100)),0)</f>
        <v/>
      </c>
      <c r="R776">
        <f>IF(AND(Inputs!$B$38&lt;&gt;"pvp",Inputs!$B$43&gt;0),IF(Inputs!$B$43&lt;=0,0,(INT(Inputs!$B$43/(IF(Inputs!$B$38="pvp",15,MAX(0.1,Skills!D15-IF(Skills!E15=TRUE,Inputs!$B$32,0)))*(1-IF(AND(ArtifactsInput!$M$27,Inputs!$B$4="Chapter Hunt"),CHOOSE(ArtifactsInput!$N$27+1,20,24,28,32,36,40),0)/100)))+1)),0)</f>
        <v/>
      </c>
      <c r="S776">
        <f>IFERROR(O776/N776,0)</f>
        <v/>
      </c>
      <c r="T776" t="n">
        <v>0</v>
      </c>
      <c r="V776" t="n">
        <v>0</v>
      </c>
    </row>
    <row r="777">
      <c r="A777">
        <f>Skills!A16</f>
        <v/>
      </c>
      <c r="B777">
        <f>Skills!B16</f>
        <v/>
      </c>
      <c r="C777">
        <f>Inputs!$B$3&gt;=115</f>
        <v/>
      </c>
      <c r="D777">
        <f>IF(Skills!C16=1,60+Inputs!$B$25+Inputs!$B$29,IF(Skills!C16=2,90+Inputs!$B$26+Inputs!$B$29,IF(Skills!C16=3,120+Inputs!$B$27+Inputs!$B$29,MAX(0,(Inputs!$B$3-100)*3)+Inputs!$B$28+Inputs!$B$29)))</f>
        <v/>
      </c>
      <c r="E777">
        <f>INDEX(FactorTable!$B$2:$Y$301, MATCH(ROUND(MIN(300,MAX(1,D777)),0), FactorTable!$A$2:$A$301,0), Skills!M16+1)</f>
        <v/>
      </c>
      <c r="F777">
        <f>IF(Skills!N16=TRUE,(Skills!L16/10)*(E777/1000),Skills!L16/10)+Skills!O16</f>
        <v/>
      </c>
      <c r="G777">
        <f>Skills!G16*IF(Skills!H16&gt;0,Skills!I16/Skills!H16,1)</f>
        <v/>
      </c>
      <c r="H777">
        <f>1-(1-Skills!J16/100)^Skills!K16</f>
        <v/>
      </c>
      <c r="I777" t="inlineStr">
        <is>
          <t>1</t>
        </is>
      </c>
      <c r="J777" t="inlineStr"/>
      <c r="K777" t="inlineStr"/>
      <c r="L777" t="inlineStr"/>
      <c r="M777" t="inlineStr"/>
      <c r="N777" t="inlineStr"/>
      <c r="O777">
        <f>(1-Summary!$B$11)*T777+Summary!$B$11*V777</f>
        <v/>
      </c>
      <c r="P777">
        <f>IF(B804=0,0,O777/B804)</f>
        <v/>
      </c>
      <c r="Q777">
        <f>IFERROR(1/(IF(Inputs!$B$38="pvp",15,MAX(0.1,Skills!D16-IF(Skills!E16=TRUE,Inputs!$B$32,0)))*(1-IF(AND(ArtifactsInput!$M$27,Inputs!$B$4="Chapter Hunt"),CHOOSE(ArtifactsInput!$N$27+1,20,24,28,32,36,40),0)/100)),0)</f>
        <v/>
      </c>
      <c r="R777">
        <f>IF(AND(Inputs!$B$38&lt;&gt;"pvp",Inputs!$B$43&gt;0),IF(Inputs!$B$43&lt;=0,0,(INT(Inputs!$B$43/(IF(Inputs!$B$38="pvp",15,MAX(0.1,Skills!D16-IF(Skills!E16=TRUE,Inputs!$B$32,0)))*(1-IF(AND(ArtifactsInput!$M$27,Inputs!$B$4="Chapter Hunt"),CHOOSE(ArtifactsInput!$N$27+1,20,24,28,32,36,40),0)/100)))+1)),0)</f>
        <v/>
      </c>
      <c r="S777">
        <f>IFERROR(O777/N777,0)</f>
        <v/>
      </c>
      <c r="T777" t="n">
        <v>0</v>
      </c>
      <c r="V777" t="n">
        <v>0</v>
      </c>
    </row>
    <row r="778">
      <c r="A778">
        <f>Skills!A17</f>
        <v/>
      </c>
      <c r="B778">
        <f>Skills!B17</f>
        <v/>
      </c>
      <c r="C778">
        <f>Inputs!$B$3&gt;=66</f>
        <v/>
      </c>
      <c r="D778">
        <f>IF(Skills!C17=1,60+Inputs!$B$25+Inputs!$B$29,IF(Skills!C17=2,90+Inputs!$B$26+Inputs!$B$29,IF(Skills!C17=3,120+Inputs!$B$27+Inputs!$B$29,MAX(0,(Inputs!$B$3-100)*3)+Inputs!$B$28+Inputs!$B$29)))</f>
        <v/>
      </c>
      <c r="E778">
        <f>INDEX(FactorTable!$B$2:$Y$301, MATCH(ROUND(MIN(300,MAX(1,D778)),0), FactorTable!$A$2:$A$301,0), Skills!M17+1)</f>
        <v/>
      </c>
      <c r="F778">
        <f>IF(Skills!N17=TRUE,(Skills!L17/10)*(E778/1000),Skills!L17/10)+Skills!O17</f>
        <v/>
      </c>
      <c r="G778">
        <f>Skills!G17*IF(Skills!H17&gt;0,Skills!I17/Skills!H17,1)</f>
        <v/>
      </c>
      <c r="H778">
        <f>1-(1-Skills!J17/100)^Skills!K17</f>
        <v/>
      </c>
      <c r="I778" t="inlineStr">
        <is>
          <t>1</t>
        </is>
      </c>
      <c r="J778" t="inlineStr"/>
      <c r="K778" t="inlineStr"/>
      <c r="L778" t="inlineStr"/>
      <c r="M778" t="inlineStr"/>
      <c r="N778" t="inlineStr"/>
      <c r="O778">
        <f>(1-Summary!$B$11)*T778+Summary!$B$11*V778</f>
        <v/>
      </c>
      <c r="P778">
        <f>IF(B804=0,0,O778/B804)</f>
        <v/>
      </c>
      <c r="Q778" t="n">
        <v>0</v>
      </c>
      <c r="R778" t="n">
        <v>0</v>
      </c>
      <c r="S778">
        <f>IFERROR(O778/N778,0)</f>
        <v/>
      </c>
      <c r="T778" t="n">
        <v>0</v>
      </c>
      <c r="V778" t="n">
        <v>0</v>
      </c>
    </row>
    <row r="779">
      <c r="A779">
        <f>Skills!A18</f>
        <v/>
      </c>
      <c r="B779">
        <f>Skills!B18</f>
        <v/>
      </c>
      <c r="C779">
        <f>Inputs!$B$3&gt;=72</f>
        <v/>
      </c>
      <c r="D779">
        <f>IF(Skills!C18=1,60+Inputs!$B$25+Inputs!$B$29,IF(Skills!C18=2,90+Inputs!$B$26+Inputs!$B$29,IF(Skills!C18=3,120+Inputs!$B$27+Inputs!$B$29,MAX(0,(Inputs!$B$3-100)*3)+Inputs!$B$28+Inputs!$B$29)))</f>
        <v/>
      </c>
      <c r="E779">
        <f>INDEX(FactorTable!$B$2:$Y$301, MATCH(ROUND(MIN(300,MAX(1,D779)),0), FactorTable!$A$2:$A$301,0), Skills!M18+1)</f>
        <v/>
      </c>
      <c r="F779">
        <f>IF(Skills!N18=TRUE,(Skills!L18/10)*(E779/1000),Skills!L18/10)+Skills!O18</f>
        <v/>
      </c>
      <c r="G779">
        <f>Skills!G18*IF(Skills!H18&gt;0,Skills!I18/Skills!H18,1)</f>
        <v/>
      </c>
      <c r="H779">
        <f>1-(1-Skills!J18/100)^Skills!K18</f>
        <v/>
      </c>
      <c r="I779" t="inlineStr">
        <is>
          <t>1</t>
        </is>
      </c>
      <c r="J779" t="inlineStr"/>
      <c r="K779" t="inlineStr"/>
      <c r="L779" t="inlineStr"/>
      <c r="M779" t="inlineStr"/>
      <c r="N779" t="inlineStr"/>
      <c r="O779">
        <f>(1-Summary!$B$11)*T779+Summary!$B$11*V779</f>
        <v/>
      </c>
      <c r="P779">
        <f>IF(B804=0,0,O779/B804)</f>
        <v/>
      </c>
      <c r="Q779" t="n">
        <v>0</v>
      </c>
      <c r="R779" t="n">
        <v>0</v>
      </c>
      <c r="S779">
        <f>IFERROR(O779/N779,0)</f>
        <v/>
      </c>
      <c r="T779" t="n">
        <v>0</v>
      </c>
      <c r="V779" t="n">
        <v>0</v>
      </c>
    </row>
    <row r="780">
      <c r="A780">
        <f>Skills!A19</f>
        <v/>
      </c>
      <c r="B780">
        <f>Skills!B19</f>
        <v/>
      </c>
      <c r="C780">
        <f>TRUE</f>
        <v/>
      </c>
      <c r="D780">
        <f>IF(Skills!C19=1,60+Inputs!$B$25+Inputs!$B$29,IF(Skills!C19=2,90+Inputs!$B$26+Inputs!$B$29,IF(Skills!C19=3,120+Inputs!$B$27+Inputs!$B$29,MAX(0,(Inputs!$B$3-100)*3)+Inputs!$B$28+Inputs!$B$29)))</f>
        <v/>
      </c>
      <c r="E780">
        <f>INDEX(FactorTable!$B$2:$Y$301, MATCH(ROUND(MIN(300,MAX(1,D780)),0), FactorTable!$A$2:$A$301,0), Skills!M19+1)</f>
        <v/>
      </c>
      <c r="F780">
        <f>IF(Skills!N19=TRUE,(Skills!L19/10)*(E780/1000),Skills!L19/10)+Skills!O19</f>
        <v/>
      </c>
      <c r="G780">
        <f>Skills!G19*IF(Skills!H19&gt;0,Skills!I19/Skills!H19,1)</f>
        <v/>
      </c>
      <c r="H780">
        <f>1-(1-Skills!J19/100)^Skills!K19</f>
        <v/>
      </c>
      <c r="I780" t="inlineStr">
        <is>
          <t>1</t>
        </is>
      </c>
      <c r="J780" t="inlineStr"/>
      <c r="K780" t="inlineStr"/>
      <c r="L780" t="inlineStr"/>
      <c r="M780" t="inlineStr"/>
      <c r="N780" t="inlineStr"/>
      <c r="O780">
        <f>(1-Summary!$B$11)*T780+Summary!$B$11*V780</f>
        <v/>
      </c>
      <c r="P780">
        <f>IF(B804=0,0,O780/B804)</f>
        <v/>
      </c>
      <c r="Q780">
        <f>IFERROR(1/(IF(Inputs!$B$38="pvp",15,MAX(0.1,Skills!D19-IF(Skills!E19=TRUE,Inputs!$B$32,0)))*(1-IF(AND(ArtifactsInput!$M$27,Inputs!$B$4="Chapter Hunt"),CHOOSE(ArtifactsInput!$N$27+1,20,24,28,32,36,40),0)/100)),0)</f>
        <v/>
      </c>
      <c r="R780">
        <f>IF(AND(Inputs!$B$38&lt;&gt;"pvp",Inputs!$B$43&gt;0),IF(Inputs!$B$43&lt;=0,0,(INT(Inputs!$B$43/(IF(Inputs!$B$38="pvp",15,MAX(0.1,Skills!D19-IF(Skills!E19=TRUE,Inputs!$B$32,0)))*(1-IF(AND(ArtifactsInput!$M$27,Inputs!$B$4="Chapter Hunt"),CHOOSE(ArtifactsInput!$N$27+1,20,24,28,32,36,40),0)/100)))+1)),0)</f>
        <v/>
      </c>
      <c r="S780">
        <f>IFERROR(O780/N780,0)</f>
        <v/>
      </c>
      <c r="T780" t="n">
        <v>0</v>
      </c>
      <c r="V780" t="n">
        <v>0</v>
      </c>
    </row>
    <row r="781">
      <c r="A781">
        <f>Skills!A20</f>
        <v/>
      </c>
      <c r="B781">
        <f>Skills!B20</f>
        <v/>
      </c>
      <c r="C781">
        <f>Inputs!$B$3&gt;=15</f>
        <v/>
      </c>
      <c r="D781">
        <f>IF(Skills!C20=1,60+Inputs!$B$25+Inputs!$B$29,IF(Skills!C20=2,90+Inputs!$B$26+Inputs!$B$29,IF(Skills!C20=3,120+Inputs!$B$27+Inputs!$B$29,MAX(0,(Inputs!$B$3-100)*3)+Inputs!$B$28+Inputs!$B$29)))</f>
        <v/>
      </c>
      <c r="E781">
        <f>INDEX(FactorTable!$B$2:$Y$301, MATCH(ROUND(MIN(300,MAX(1,D781)),0), FactorTable!$A$2:$A$301,0), Skills!M20+1)</f>
        <v/>
      </c>
      <c r="F781">
        <f>IF(Skills!N20=TRUE,(Skills!L20/10)*(E781/1000),Skills!L20/10)+Skills!O20</f>
        <v/>
      </c>
      <c r="G781">
        <f>Skills!G20*IF(Skills!H20&gt;0,Skills!I20/Skills!H20,1)</f>
        <v/>
      </c>
      <c r="H781">
        <f>1-(1-Skills!J20/100)^Skills!K20</f>
        <v/>
      </c>
      <c r="I781" t="inlineStr">
        <is>
          <t>1</t>
        </is>
      </c>
      <c r="J781" t="inlineStr"/>
      <c r="K781" t="inlineStr"/>
      <c r="L781" t="inlineStr"/>
      <c r="M781" t="inlineStr"/>
      <c r="N781" t="inlineStr"/>
      <c r="O781">
        <f>(1-Summary!$B$11)*T781+Summary!$B$11*V781</f>
        <v/>
      </c>
      <c r="P781">
        <f>IF(B804=0,0,O781/B804)</f>
        <v/>
      </c>
      <c r="Q781" t="n">
        <v>0</v>
      </c>
      <c r="R781" t="n">
        <v>0</v>
      </c>
      <c r="S781">
        <f>IFERROR(O781/N781,0)</f>
        <v/>
      </c>
      <c r="T781" t="n">
        <v>0</v>
      </c>
      <c r="V781" t="n">
        <v>0</v>
      </c>
    </row>
    <row r="782">
      <c r="A782">
        <f>Skills!A21</f>
        <v/>
      </c>
      <c r="B782">
        <f>Skills!B21</f>
        <v/>
      </c>
      <c r="C782">
        <f>Inputs!$B$3&gt;=10</f>
        <v/>
      </c>
      <c r="D782">
        <f>IF(Skills!C21=1,60+Inputs!$B$25+Inputs!$B$29,IF(Skills!C21=2,90+Inputs!$B$26+Inputs!$B$29,IF(Skills!C21=3,120+Inputs!$B$27+Inputs!$B$29,MAX(0,(Inputs!$B$3-100)*3)+Inputs!$B$28+Inputs!$B$29)))</f>
        <v/>
      </c>
      <c r="E782">
        <f>INDEX(FactorTable!$B$2:$Y$301, MATCH(ROUND(MIN(300,MAX(1,D782)),0), FactorTable!$A$2:$A$301,0), Skills!M21+1)</f>
        <v/>
      </c>
      <c r="F782">
        <f>IF(Skills!N21=TRUE,(Skills!L21/10)*(E782/1000),Skills!L21/10)+Skills!O21</f>
        <v/>
      </c>
      <c r="G782">
        <f>Skills!G21*IF(Skills!H21&gt;0,Skills!I21/Skills!H21,1)</f>
        <v/>
      </c>
      <c r="H782">
        <f>1-(1-Skills!J21/100)^Skills!K21</f>
        <v/>
      </c>
      <c r="I782" t="inlineStr">
        <is>
          <t>1</t>
        </is>
      </c>
      <c r="J782" t="inlineStr"/>
      <c r="K782" t="inlineStr"/>
      <c r="L782" t="inlineStr"/>
      <c r="M782" t="inlineStr"/>
      <c r="N782" t="inlineStr"/>
      <c r="O782">
        <f>(1-Summary!$B$11)*T782+Summary!$B$11*V782</f>
        <v/>
      </c>
      <c r="P782">
        <f>IF(B804=0,0,O782/B804)</f>
        <v/>
      </c>
      <c r="Q782" t="n">
        <v>0</v>
      </c>
      <c r="R782" t="n">
        <v>0</v>
      </c>
      <c r="S782">
        <f>IFERROR(O782/N782,0)</f>
        <v/>
      </c>
      <c r="T782" t="n">
        <v>0</v>
      </c>
      <c r="V782" t="n">
        <v>0</v>
      </c>
    </row>
    <row r="783">
      <c r="A783">
        <f>Skills!A22</f>
        <v/>
      </c>
      <c r="B783">
        <f>Skills!B22</f>
        <v/>
      </c>
      <c r="C783">
        <f>Inputs!$B$3&gt;=33</f>
        <v/>
      </c>
      <c r="D783">
        <f>IF(Skills!C22=1,60+Inputs!$B$25+Inputs!$B$29,IF(Skills!C22=2,90+Inputs!$B$26+Inputs!$B$29,IF(Skills!C22=3,120+Inputs!$B$27+Inputs!$B$29,MAX(0,(Inputs!$B$3-100)*3)+Inputs!$B$28+Inputs!$B$29)))</f>
        <v/>
      </c>
      <c r="E783">
        <f>INDEX(FactorTable!$B$2:$Y$301, MATCH(ROUND(MIN(300,MAX(1,D783)),0), FactorTable!$A$2:$A$301,0), Skills!M22+1)</f>
        <v/>
      </c>
      <c r="F783">
        <f>IF(Skills!N22=TRUE,(Skills!L22/10)*(E783/1000),Skills!L22/10)+Skills!O22</f>
        <v/>
      </c>
      <c r="G783">
        <f>Skills!G22*IF(Skills!H22&gt;0,Skills!I22/Skills!H22,1)</f>
        <v/>
      </c>
      <c r="H783">
        <f>1-(1-Skills!J22/100)^Skills!K22</f>
        <v/>
      </c>
      <c r="I783" t="inlineStr">
        <is>
          <t>1</t>
        </is>
      </c>
      <c r="J783" t="inlineStr"/>
      <c r="K783" t="inlineStr"/>
      <c r="L783" t="inlineStr"/>
      <c r="M783" t="inlineStr"/>
      <c r="N783" t="inlineStr"/>
      <c r="O783">
        <f>(1-Summary!$B$11)*T783+Summary!$B$11*V783</f>
        <v/>
      </c>
      <c r="P783">
        <f>IF(B804=0,0,O783/B804)</f>
        <v/>
      </c>
      <c r="Q783" t="n">
        <v>0</v>
      </c>
      <c r="R783" t="n">
        <v>0</v>
      </c>
      <c r="S783">
        <f>IFERROR(O783/N783,0)</f>
        <v/>
      </c>
      <c r="T783" t="n">
        <v>0</v>
      </c>
      <c r="V783" t="n">
        <v>0</v>
      </c>
    </row>
    <row r="784">
      <c r="A784">
        <f>Skills!A23</f>
        <v/>
      </c>
      <c r="B784">
        <f>Skills!B23</f>
        <v/>
      </c>
      <c r="C784">
        <f>Inputs!$B$3&gt;=38</f>
        <v/>
      </c>
      <c r="D784">
        <f>IF(Skills!C23=1,60+Inputs!$B$25+Inputs!$B$29,IF(Skills!C23=2,90+Inputs!$B$26+Inputs!$B$29,IF(Skills!C23=3,120+Inputs!$B$27+Inputs!$B$29,MAX(0,(Inputs!$B$3-100)*3)+Inputs!$B$28+Inputs!$B$29)))</f>
        <v/>
      </c>
      <c r="E784">
        <f>INDEX(FactorTable!$B$2:$Y$301, MATCH(ROUND(MIN(300,MAX(1,D784)),0), FactorTable!$A$2:$A$301,0), Skills!M23+1)</f>
        <v/>
      </c>
      <c r="F784">
        <f>IF(Skills!N23=TRUE,(Skills!L23/10)*(E784/1000),Skills!L23/10)+Skills!O23</f>
        <v/>
      </c>
      <c r="G784">
        <f>Skills!G23*IF(Skills!H23&gt;0,Skills!I23/Skills!H23,1)</f>
        <v/>
      </c>
      <c r="H784">
        <f>1-(1-Skills!J23/100)^Skills!K23</f>
        <v/>
      </c>
      <c r="I784" t="inlineStr">
        <is>
          <t>1</t>
        </is>
      </c>
      <c r="J784" t="inlineStr"/>
      <c r="K784" t="inlineStr"/>
      <c r="L784" t="inlineStr"/>
      <c r="M784" t="inlineStr"/>
      <c r="N784" t="inlineStr"/>
      <c r="O784">
        <f>(1-Summary!$B$11)*T784+Summary!$B$11*V784</f>
        <v/>
      </c>
      <c r="P784">
        <f>IF(B804=0,0,O784/B804)</f>
        <v/>
      </c>
      <c r="Q784" t="n">
        <v>0</v>
      </c>
      <c r="R784" t="n">
        <v>0</v>
      </c>
      <c r="S784">
        <f>IFERROR(O784/N784,0)</f>
        <v/>
      </c>
      <c r="T784" t="n">
        <v>0</v>
      </c>
      <c r="V784" t="n">
        <v>0</v>
      </c>
    </row>
    <row r="785">
      <c r="A785">
        <f>Skills!A24</f>
        <v/>
      </c>
      <c r="B785">
        <f>Skills!B24</f>
        <v/>
      </c>
      <c r="C785">
        <f>Inputs!$B$3&gt;=43</f>
        <v/>
      </c>
      <c r="D785">
        <f>IF(Skills!C24=1,60+Inputs!$B$25+Inputs!$B$29,IF(Skills!C24=2,90+Inputs!$B$26+Inputs!$B$29,IF(Skills!C24=3,120+Inputs!$B$27+Inputs!$B$29,MAX(0,(Inputs!$B$3-100)*3)+Inputs!$B$28+Inputs!$B$29)))</f>
        <v/>
      </c>
      <c r="E785">
        <f>INDEX(FactorTable!$B$2:$Y$301, MATCH(ROUND(MIN(300,MAX(1,D785)),0), FactorTable!$A$2:$A$301,0), Skills!M24+1)</f>
        <v/>
      </c>
      <c r="F785">
        <f>IF(Skills!N24=TRUE,(Skills!L24/10)*(E785/1000),Skills!L24/10)+Skills!O24</f>
        <v/>
      </c>
      <c r="G785">
        <f>Skills!G24*IF(Skills!H24&gt;0,Skills!I24/Skills!H24,1)</f>
        <v/>
      </c>
      <c r="H785">
        <f>1-(1-Skills!J24/100)^Skills!K24</f>
        <v/>
      </c>
      <c r="I785" t="inlineStr">
        <is>
          <t>1</t>
        </is>
      </c>
      <c r="J785" t="inlineStr"/>
      <c r="K785" t="inlineStr"/>
      <c r="L785" t="inlineStr"/>
      <c r="M785" t="inlineStr"/>
      <c r="N785" t="inlineStr"/>
      <c r="O785">
        <f>(1-Summary!$B$11)*T785+Summary!$B$11*V785</f>
        <v/>
      </c>
      <c r="P785">
        <f>IF(B804=0,0,O785/B804)</f>
        <v/>
      </c>
      <c r="Q785" t="n">
        <v>0</v>
      </c>
      <c r="R785" t="n">
        <v>0</v>
      </c>
      <c r="S785">
        <f>IFERROR(O785/N785,0)</f>
        <v/>
      </c>
      <c r="T785" t="n">
        <v>0</v>
      </c>
      <c r="V785" t="n">
        <v>0</v>
      </c>
    </row>
    <row r="786">
      <c r="A786">
        <f>Skills!A25</f>
        <v/>
      </c>
      <c r="B786">
        <f>Skills!B25</f>
        <v/>
      </c>
      <c r="C786">
        <f>Inputs!$B$3&gt;=75</f>
        <v/>
      </c>
      <c r="D786">
        <f>IF(Skills!C25=1,60+Inputs!$B$25+Inputs!$B$29,IF(Skills!C25=2,90+Inputs!$B$26+Inputs!$B$29,IF(Skills!C25=3,120+Inputs!$B$27+Inputs!$B$29,MAX(0,(Inputs!$B$3-100)*3)+Inputs!$B$28+Inputs!$B$29)))</f>
        <v/>
      </c>
      <c r="E786">
        <f>INDEX(FactorTable!$B$2:$Y$301, MATCH(ROUND(MIN(300,MAX(1,D786)),0), FactorTable!$A$2:$A$301,0), Skills!M25+1)</f>
        <v/>
      </c>
      <c r="F786">
        <f>IF(Skills!N25=TRUE,(Skills!L25/10)*(E786/1000),Skills!L25/10)+Skills!O25</f>
        <v/>
      </c>
      <c r="G786">
        <f>Skills!G25*IF(Skills!H25&gt;0,Skills!I25/Skills!H25,1)</f>
        <v/>
      </c>
      <c r="H786">
        <f>1-(1-Skills!J25/100)^Skills!K25</f>
        <v/>
      </c>
      <c r="I786" t="inlineStr">
        <is>
          <t>1</t>
        </is>
      </c>
      <c r="J786" t="inlineStr"/>
      <c r="K786" t="inlineStr"/>
      <c r="L786" t="inlineStr"/>
      <c r="M786" t="inlineStr"/>
      <c r="N786" t="inlineStr"/>
      <c r="O786">
        <f>(1-Summary!$B$11)*T786+Summary!$B$11*V786</f>
        <v/>
      </c>
      <c r="P786">
        <f>IF(B804=0,0,O786/B804)</f>
        <v/>
      </c>
      <c r="Q786" t="n">
        <v>0</v>
      </c>
      <c r="R786" t="n">
        <v>0</v>
      </c>
      <c r="S786">
        <f>IFERROR(O786/N786,0)</f>
        <v/>
      </c>
      <c r="T786" t="n">
        <v>0</v>
      </c>
      <c r="V786" t="n">
        <v>0</v>
      </c>
    </row>
    <row r="787">
      <c r="A787">
        <f>Skills!A26</f>
        <v/>
      </c>
      <c r="B787">
        <f>Skills!B26</f>
        <v/>
      </c>
      <c r="C787">
        <f>Inputs!$B$3&gt;=125</f>
        <v/>
      </c>
      <c r="D787">
        <f>IF(Skills!C26=1,60+Inputs!$B$25+Inputs!$B$29,IF(Skills!C26=2,90+Inputs!$B$26+Inputs!$B$29,IF(Skills!C26=3,120+Inputs!$B$27+Inputs!$B$29,MAX(0,(Inputs!$B$3-100)*3)+Inputs!$B$28+Inputs!$B$29)))</f>
        <v/>
      </c>
      <c r="E787">
        <f>INDEX(FactorTable!$B$2:$Y$301, MATCH(ROUND(MIN(300,MAX(1,D787)),0), FactorTable!$A$2:$A$301,0), Skills!M26+1)</f>
        <v/>
      </c>
      <c r="F787">
        <f>IF(Skills!N26=TRUE,(Skills!L26/10)*(E787/1000),Skills!L26/10)+Skills!O26</f>
        <v/>
      </c>
      <c r="G787">
        <f>Skills!G26*IF(Skills!H26&gt;0,Skills!I26/Skills!H26,1)</f>
        <v/>
      </c>
      <c r="H787">
        <f>1-(1-Skills!J26/100)^Skills!K26</f>
        <v/>
      </c>
      <c r="I787" t="inlineStr">
        <is>
          <t>1</t>
        </is>
      </c>
      <c r="J787" t="inlineStr"/>
      <c r="K787" t="inlineStr"/>
      <c r="L787" t="inlineStr"/>
      <c r="M787" t="inlineStr"/>
      <c r="N787" t="inlineStr"/>
      <c r="O787">
        <f>(1-Summary!$B$11)*T787+Summary!$B$11*V787</f>
        <v/>
      </c>
      <c r="P787">
        <f>IF(B804=0,0,O787/B804)</f>
        <v/>
      </c>
      <c r="Q787" t="n">
        <v>0</v>
      </c>
      <c r="R787" t="n">
        <v>0</v>
      </c>
      <c r="S787">
        <f>IFERROR(O787/N787,0)</f>
        <v/>
      </c>
      <c r="T787" t="n">
        <v>0</v>
      </c>
      <c r="V787" t="n">
        <v>0</v>
      </c>
    </row>
    <row r="788">
      <c r="A788">
        <f>Skills!A27</f>
        <v/>
      </c>
      <c r="B788">
        <f>Skills!B27</f>
        <v/>
      </c>
      <c r="C788">
        <f>Inputs!$B$3&gt;=125</f>
        <v/>
      </c>
      <c r="D788">
        <f>IF(Skills!C27=1,60+Inputs!$B$25+Inputs!$B$29,IF(Skills!C27=2,90+Inputs!$B$26+Inputs!$B$29,IF(Skills!C27=3,120+Inputs!$B$27+Inputs!$B$29,MAX(0,(Inputs!$B$3-100)*3)+Inputs!$B$28+Inputs!$B$29)))</f>
        <v/>
      </c>
      <c r="E788">
        <f>INDEX(FactorTable!$B$2:$Y$301, MATCH(ROUND(MIN(300,MAX(1,D788)),0), FactorTable!$A$2:$A$301,0), Skills!M27+1)</f>
        <v/>
      </c>
      <c r="F788">
        <f>IF(Skills!N27=TRUE,(Skills!L27/10)*(E788/1000),Skills!L27/10)+Skills!O27</f>
        <v/>
      </c>
      <c r="G788">
        <f>Skills!G27*IF(Skills!H27&gt;0,Skills!I27/Skills!H27,1)</f>
        <v/>
      </c>
      <c r="H788">
        <f>1-(1-Skills!J27/100)^Skills!K27</f>
        <v/>
      </c>
      <c r="I788" t="inlineStr">
        <is>
          <t>1</t>
        </is>
      </c>
      <c r="J788" t="inlineStr"/>
      <c r="K788" t="inlineStr"/>
      <c r="L788" t="inlineStr"/>
      <c r="M788" t="inlineStr"/>
      <c r="N788" t="inlineStr"/>
      <c r="O788">
        <f>(1-Summary!$B$11)*T788+Summary!$B$11*V788</f>
        <v/>
      </c>
      <c r="P788">
        <f>IF(B804=0,0,O788/B804)</f>
        <v/>
      </c>
      <c r="Q788" t="n">
        <v>0</v>
      </c>
      <c r="R788" t="n">
        <v>0</v>
      </c>
      <c r="S788">
        <f>IFERROR(O788/N788,0)</f>
        <v/>
      </c>
      <c r="T788" t="n">
        <v>0</v>
      </c>
      <c r="V788" t="n">
        <v>0</v>
      </c>
    </row>
    <row r="789">
      <c r="A789">
        <f>Skills!A28</f>
        <v/>
      </c>
      <c r="B789">
        <f>Skills!B28</f>
        <v/>
      </c>
      <c r="C789">
        <f>Inputs!$B$3&gt;=120</f>
        <v/>
      </c>
      <c r="D789">
        <f>IF(Skills!C28=1,60+Inputs!$B$25+Inputs!$B$29,IF(Skills!C28=2,90+Inputs!$B$26+Inputs!$B$29,IF(Skills!C28=3,120+Inputs!$B$27+Inputs!$B$29,MAX(0,(Inputs!$B$3-100)*3)+Inputs!$B$28+Inputs!$B$29)))</f>
        <v/>
      </c>
      <c r="E789">
        <f>INDEX(FactorTable!$B$2:$Y$301, MATCH(ROUND(MIN(300,MAX(1,D789)),0), FactorTable!$A$2:$A$301,0), Skills!M28+1)</f>
        <v/>
      </c>
      <c r="F789">
        <f>IF(Skills!N28=TRUE,(Skills!L28/10)*(E789/1000),Skills!L28/10)+Skills!O28</f>
        <v/>
      </c>
      <c r="G789">
        <f>Skills!G28*IF(Skills!H28&gt;0,Skills!I28/Skills!H28,1)</f>
        <v/>
      </c>
      <c r="H789">
        <f>1-(1-Skills!J28/100)^Skills!K28</f>
        <v/>
      </c>
      <c r="I789" t="inlineStr">
        <is>
          <t>1</t>
        </is>
      </c>
      <c r="J789" t="inlineStr"/>
      <c r="K789" t="inlineStr"/>
      <c r="L789" t="inlineStr"/>
      <c r="M789" t="inlineStr"/>
      <c r="N789" t="inlineStr"/>
      <c r="O789">
        <f>(1-Summary!$B$11)*T789+Summary!$B$11*V789</f>
        <v/>
      </c>
      <c r="P789">
        <f>IF(B804=0,0,O789/B804)</f>
        <v/>
      </c>
      <c r="Q789" t="n">
        <v>0</v>
      </c>
      <c r="R789" t="n">
        <v>0</v>
      </c>
      <c r="S789">
        <f>IFERROR(O789/N789,0)</f>
        <v/>
      </c>
      <c r="T789" t="n">
        <v>0</v>
      </c>
      <c r="V789" t="n">
        <v>0</v>
      </c>
    </row>
    <row r="790">
      <c r="A790">
        <f>Skills!A29</f>
        <v/>
      </c>
      <c r="B790">
        <f>Skills!B29</f>
        <v/>
      </c>
      <c r="C790">
        <f>Inputs!$B$3&gt;=120</f>
        <v/>
      </c>
      <c r="D790">
        <f>IF(Skills!C29=1,60+Inputs!$B$25+Inputs!$B$29,IF(Skills!C29=2,90+Inputs!$B$26+Inputs!$B$29,IF(Skills!C29=3,120+Inputs!$B$27+Inputs!$B$29,MAX(0,(Inputs!$B$3-100)*3)+Inputs!$B$28+Inputs!$B$29)))</f>
        <v/>
      </c>
      <c r="E790">
        <f>INDEX(FactorTable!$B$2:$Y$301, MATCH(ROUND(MIN(300,MAX(1,D790)),0), FactorTable!$A$2:$A$301,0), Skills!M29+1)</f>
        <v/>
      </c>
      <c r="F790">
        <f>IF(Skills!N29=TRUE,(Skills!L29/10)*(E790/1000),Skills!L29/10)+Skills!O29</f>
        <v/>
      </c>
      <c r="G790">
        <f>Skills!G29*IF(Skills!H29&gt;0,Skills!I29/Skills!H29,1)</f>
        <v/>
      </c>
      <c r="H790">
        <f>1-(1-Skills!J29/100)^Skills!K29</f>
        <v/>
      </c>
      <c r="I790" t="inlineStr">
        <is>
          <t>1</t>
        </is>
      </c>
      <c r="J790" t="inlineStr"/>
      <c r="K790" t="inlineStr"/>
      <c r="L790" t="inlineStr"/>
      <c r="M790" t="inlineStr"/>
      <c r="N790" t="inlineStr"/>
      <c r="O790">
        <f>(1-Summary!$B$11)*T790+Summary!$B$11*V790</f>
        <v/>
      </c>
      <c r="P790">
        <f>IF(B804=0,0,O790/B804)</f>
        <v/>
      </c>
      <c r="Q790" t="n">
        <v>0</v>
      </c>
      <c r="R790" t="n">
        <v>0</v>
      </c>
      <c r="S790">
        <f>IFERROR(O790/N790,0)</f>
        <v/>
      </c>
      <c r="T790" t="n">
        <v>0</v>
      </c>
      <c r="V790" t="n">
        <v>0</v>
      </c>
    </row>
    <row r="791">
      <c r="A791">
        <f>Skills!A30</f>
        <v/>
      </c>
      <c r="B791">
        <f>Skills!B30</f>
        <v/>
      </c>
      <c r="C791">
        <f>Inputs!$B$3&gt;=45</f>
        <v/>
      </c>
      <c r="D791">
        <f>IF(Skills!C30=1,60+Inputs!$B$25+Inputs!$B$29,IF(Skills!C30=2,90+Inputs!$B$26+Inputs!$B$29,IF(Skills!C30=3,120+Inputs!$B$27+Inputs!$B$29,MAX(0,(Inputs!$B$3-100)*3)+Inputs!$B$28+Inputs!$B$29)))</f>
        <v/>
      </c>
      <c r="E791">
        <f>INDEX(FactorTable!$B$2:$Y$301, MATCH(ROUND(MIN(300,MAX(1,D791)),0), FactorTable!$A$2:$A$301,0), Skills!M30+1)</f>
        <v/>
      </c>
      <c r="F791">
        <f>IF(Skills!N30=TRUE,(Skills!L30/10)*(E791/1000),Skills!L30/10)+Skills!O30</f>
        <v/>
      </c>
      <c r="G791">
        <f>Skills!G30*IF(Skills!H30&gt;0,Skills!I30/Skills!H30,1)</f>
        <v/>
      </c>
      <c r="H791">
        <f>1-(1-Skills!J30/100)^Skills!K30</f>
        <v/>
      </c>
      <c r="I791" t="inlineStr">
        <is>
          <t>1</t>
        </is>
      </c>
      <c r="J791" t="inlineStr"/>
      <c r="K791" t="inlineStr"/>
      <c r="L791" t="inlineStr"/>
      <c r="M791" t="inlineStr"/>
      <c r="N791" t="inlineStr"/>
      <c r="O791">
        <f>(1-Summary!$B$11)*T791+Summary!$B$11*V791</f>
        <v/>
      </c>
      <c r="P791">
        <f>IF(B804=0,0,O791/B804)</f>
        <v/>
      </c>
      <c r="Q791" t="n">
        <v>0</v>
      </c>
      <c r="R791" t="n">
        <v>0</v>
      </c>
      <c r="S791">
        <f>IFERROR(O791/N791,0)</f>
        <v/>
      </c>
      <c r="T791" t="n">
        <v>0</v>
      </c>
      <c r="V791" t="n">
        <v>0</v>
      </c>
    </row>
    <row r="793">
      <c r="A793" t="inlineStr">
        <is>
          <t>Attack% Bucket Multiplier</t>
        </is>
      </c>
      <c r="B793">
        <f>(1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4">
      <c r="A794" t="inlineStr">
        <is>
          <t>Global Crit Rate Bonus %</t>
        </is>
      </c>
      <c r="B794">
        <f>(C777=TRUE)*20*IF(AND(Inputs!$B$38&lt;&gt;"pvp",Inputs!$B$43&gt;0),(((R777-1)*(Skills!T16*(1+Inputs!$B$34/100))+MIN((Skills!T16*(1+Inputs!$B$34/100)),MAX(0,Inputs!$B$43-((R777-1)*Skills!D16))))/Inputs!$B$43),IF(Inputs!$B$38="pvp",MIN((Skills!T16*(1+Inputs!$B$34/100)),15)/15,(Skills!T16*(1+Inputs!$B$34/100))/Skills!D16))</f>
        <v/>
      </c>
    </row>
    <row r="795">
      <c r="A795" t="inlineStr">
        <is>
          <t>Attack Speed Buff Bonus %</t>
        </is>
      </c>
      <c r="B795">
        <f>((C780=TRUE)*F780*IF(AND(Inputs!$B$38&lt;&gt;"pvp",Inputs!$B$43&gt;0),(((R780-1)*(Skills!T19*(1+Inputs!$B$34/100))+MIN((Skills!T19*(1+Inputs!$B$34/100)),MAX(0,Inputs!$B$43-((R780-1)*Skills!D19))))/Inputs!$B$43),IF(Inputs!$B$38="pvp",MIN((Skills!T19*(1+Inputs!$B$34/100)),15)/15,(Skills!T19*(1+Inputs!$B$34/100))/Skills!D19)))</f>
        <v/>
      </c>
    </row>
    <row r="796">
      <c r="A796" t="inlineStr">
        <is>
          <t>Actions Per Second</t>
        </is>
      </c>
      <c r="B796">
        <f>1+MIN(150,150*(1-(1-(Inputs!$B$11+((C782=TRUE)*(F782-Calc!F21))+((C783=TRUE)*(F783-Calc!F22)))/150)*(1-B795/150)))/100</f>
        <v/>
      </c>
    </row>
    <row r="797">
      <c r="A797" t="inlineStr">
        <is>
          <t>Skill + Buff Cast Rate</t>
        </is>
      </c>
      <c r="B797">
        <f>IF(AND(Inputs!$B$38&lt;&gt;"pvp",Inputs!$B$43&gt;0),SUMPRODUCT((Skills!E2:E30=TRUE)*(C763:C791=TRUE)*R763:R791*Skills!F2:F30)/Inputs!$B$43,SUMPRODUCT((Skills!E2:E30=TRUE)*(C763:C791=TRUE)*Q763:Q791*Skills!F2:F30))</f>
        <v/>
      </c>
    </row>
    <row r="798">
      <c r="A798" t="inlineStr">
        <is>
          <t>Arrow Stream Casts Per Second</t>
        </is>
      </c>
      <c r="B798">
        <f>MAX(0,B796-B797)</f>
        <v/>
      </c>
    </row>
    <row r="799">
      <c r="A799" t="inlineStr">
        <is>
          <t>Global Critical Damage Bonus % (Sharp Eyes + Concentration)</t>
        </is>
      </c>
      <c r="B799">
        <f>(C777=TRUE)*F777*IF(AND(Inputs!$B$38&lt;&gt;"pvp",Inputs!$B$43&gt;0),(((R777-1)*(Skills!T16*(1+Inputs!$B$34/100))+MIN((Skills!T16*(1+Inputs!$B$34/100)),MAX(0,Inputs!$B$43-((R777-1)*Skills!D16))))/Inputs!$B$43),IF(Inputs!$B$38="pvp",MIN((Skills!T16*(1+Inputs!$B$34/100)),15)/15,(Skills!T16*(1+Inputs!$B$34/100))/Skills!D16))+(C778=TRUE)*30</f>
        <v/>
      </c>
    </row>
    <row r="800">
      <c r="A800" t="inlineStr">
        <is>
          <t>Global Final Damage Bonus % (Mortal Blow)</t>
        </is>
      </c>
      <c r="B800">
        <f>(C779=TRUE)*F779</f>
        <v/>
      </c>
    </row>
    <row r="801">
      <c r="A801" t="inlineStr">
        <is>
          <t>Buff-Casting Startup Delay (s, fixed-duration only)</t>
        </is>
      </c>
      <c r="B801">
        <f>IF(AND(Inputs!$B$38&lt;&gt;"pvp",Inputs!$B$43&gt;0),SUMPRODUCT((Skills!T2:T30&gt;0)*(Skills!E2:E30=TRUE)*(C763:C791=TRUE))/B796,0)</f>
        <v/>
      </c>
    </row>
    <row r="802">
      <c r="A802" t="inlineStr">
        <is>
          <t>Boss-Only Total DPS (this block's swept value)</t>
        </is>
      </c>
      <c r="B802">
        <f>SUM(T763:T791)</f>
        <v/>
      </c>
    </row>
    <row r="803">
      <c r="A803" t="inlineStr">
        <is>
          <t>Normal-Only Total DPS (this block's swept value)</t>
        </is>
      </c>
      <c r="B803">
        <f>SUM(V763:V791)</f>
        <v/>
      </c>
    </row>
    <row r="804">
      <c r="A804" s="6" t="inlineStr">
        <is>
          <t>TOTAL DPS</t>
        </is>
      </c>
      <c r="B804" s="6">
        <f>SUM(O763:O791)</f>
        <v/>
      </c>
    </row>
    <row r="807">
      <c r="A807" s="6" t="inlineStr">
        <is>
          <t>Stat: Skill Level Bonus — 1st Job</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831=TRUE)*(F831-Calc!F24)),(Inputs!$B$23+((C836=TRUE)*(F836-Calc!F29))+(IF(ArtifactsInput!$M$15,CHOOSE(ArtifactsInput!$N$15+1,25,30,35,40,45,50)/100*(Inputs!$B$11-Inputs!$B$11),0))))/100+(Inputs!$B$23+((C836=TRUE)*(F836-Calc!F29))+(IF(ArtifactsInput!$M$15,CHOOSE(ArtifactsInput!$N$15+1,25,30,35,40,45,50)/100*(Inputs!$B$11-Inputs!$B$11),0)))/100)/2</f>
        <v/>
      </c>
      <c r="M809">
        <f>L809*(1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IF(B850=0,0,O809/B850)</f>
        <v/>
      </c>
      <c r="Q809" t="n">
        <v>0</v>
      </c>
      <c r="R809" t="n">
        <v>0</v>
      </c>
      <c r="S809">
        <f>IFERROR(O809/N809,0)</f>
        <v/>
      </c>
      <c r="T809">
        <f>IF(C809,(Skills!G2*N809*B844)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809*(1-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9">
        <f>MAX(0,(Inputs!$B$3-100)*3)+Inputs!$B$28+Inputs!$B$29</f>
        <v/>
      </c>
      <c r="V809">
        <f>IF(C809,(Skills!G2*N809*B844)*IF(Inputs!$B$38="pvp",1,(1+(Inputs!$B$21+Skills!Q2+(IF(ArtifactsInput!$M$33,CHOOSE(ArtifactsInput!$N$33+1,30,36,42,48,54,60),0))+(IF(AND(ArtifactsInput!$M$35,Inputs!$B$4&lt;&gt;"Chapter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Skills!A3</f>
        <v/>
      </c>
      <c r="B810">
        <f>Skills!B3</f>
        <v/>
      </c>
      <c r="C810">
        <f>Inputs!$B$3&gt;=50</f>
        <v/>
      </c>
      <c r="D810">
        <f>IF(Skills!C3=1,60+(Inputs!$B$25+1)+Inputs!$B$29,IF(Skills!C3=2,90+Inputs!$B$26+Inputs!$B$29,IF(Skills!C3=3,120+Inputs!$B$27+Inputs!$B$29,MAX(0,(Inputs!$B$3-100)*3)+Inputs!$B$28+Inputs!$B$29)))</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T810" t="inlineStr"/>
      <c r="U810">
        <f>INDEX(FactorTable!$B$2:$Y$301, MATCH(ROUND(MIN(300,MAX(1,U809)),0), FactorTable!$A$2:$A$301,0), 22)</f>
        <v/>
      </c>
      <c r="V810" t="inlineStr"/>
    </row>
    <row r="811">
      <c r="A811">
        <f>Skills!A4</f>
        <v/>
      </c>
      <c r="B811">
        <f>Skills!B4</f>
        <v/>
      </c>
      <c r="C811">
        <f>Inputs!$B$3&gt;=105</f>
        <v/>
      </c>
      <c r="D811">
        <f>IF(Skills!C4=1,60+(Inputs!$B$25+1)+Inputs!$B$29,IF(Skills!C4=2,90+Inputs!$B$26+Inputs!$B$29,IF(Skills!C4=3,120+Inputs!$B$27+Inputs!$B$29,MAX(0,(Inputs!$B$3-100)*3)+Inputs!$B$28+Inputs!$B$29)))</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T811" t="inlineStr"/>
      <c r="U811">
        <f>290*U810/1000</f>
        <v/>
      </c>
      <c r="V811" t="inlineStr"/>
    </row>
    <row r="812">
      <c r="A812">
        <f>Skills!A5</f>
        <v/>
      </c>
      <c r="B812">
        <f>Skills!B5</f>
        <v/>
      </c>
      <c r="C812">
        <f>Inputs!$B$3&gt;=35</f>
        <v/>
      </c>
      <c r="D812">
        <f>IF(Skills!C5=1,60+(Inputs!$B$25+1)+Inputs!$B$29,IF(Skills!C5=2,90+Inputs!$B$26+Inputs!$B$29,IF(Skills!C5=3,120+Inputs!$B$27+Inputs!$B$29,MAX(0,(Inputs!$B$3-100)*3)+Inputs!$B$28+Inputs!$B$29)))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((Inputs!$B$6*(1+Inputs!$B$7/100))+(((Inputs!$B$12*(1+Inputs!$B$13/100))-(Inputs!$B$12*(1+Inputs!$B$13/100)))+0.25*(Inputs!$B$14-Inputs!$B$14))*(1+Inputs!$B$7/100))*(F812/100)</f>
        <v/>
      </c>
      <c r="K812">
        <f>J812*(1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817=TRUE,F817,0)/100)*(1+(IF(Skills!A5="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831=TRUE)*(F831-Calc!F24)),(Inputs!$B$23+((C836=TRUE)*(F836-Calc!F29))+(IF(ArtifactsInput!$M$15,CHOOSE(ArtifactsInput!$N$15+1,25,30,35,40,45,50)/100*(Inputs!$B$11-Inputs!$B$11),0))))/100+(Inputs!$B$23+((C836=TRUE)*(F836-Calc!F29))+(IF(ArtifactsInput!$M$15,CHOOSE(ArtifactsInput!$N$15+1,25,30,35,40,45,50)/100*(Inputs!$B$11-Inputs!$B$11),0)))/100)/2</f>
        <v/>
      </c>
      <c r="M812">
        <f>L812*(1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IF(B850=0,0,O812/B850)</f>
        <v/>
      </c>
      <c r="Q812">
        <f>IFERROR(1/(IF(Inputs!$B$38="pvp",15,MAX(0.1,Skills!D5-IF(Skills!E5=TRUE,Inputs!$B$32,0)))*(1-IF(AND(ArtifactsInput!$M$27,Inputs!$B$4="Chapter Hunt"),CHOOSE(ArtifactsInput!$N$27+1,20,24,28,32,36,40),0)/100)),0)</f>
        <v/>
      </c>
      <c r="R812">
        <f>IF(AND(Inputs!$B$38&lt;&gt;"pvp",Inputs!$B$43&gt;0),IF(MAX(0,Inputs!$B$43-B847)&lt;=0,0,(INT(MAX(0,Inputs!$B$43-B847)/(IF(Inputs!$B$38="pvp",15,MAX(0.1,Skills!D5-IF(Skills!E5=TRUE,Inputs!$B$32,0)))*(1-IF(AND(ArtifactsInput!$M$27,Inputs!$B$4="Chapter Hunt"),CHOOSE(ArtifactsInput!$N$27+1,20,24,28,32,36,40),0)/100)))+1)),0)</f>
        <v/>
      </c>
      <c r="S812">
        <f>IFERROR(O812/N812,0)</f>
        <v/>
      </c>
      <c r="T812">
        <f>IF(C812,(H812*N812*IF(AND(Inputs!$B$38&lt;&gt;"pvp",Inputs!$B$43&gt;0),((Skills!G5*((R812-1)*IF(Skills!H5&gt;0,Skills!I5/Skills!H5,1)+IF(Skills!H5&gt;0,MIN(Skills!I5,MAX(0,MAX(0,Inputs!$B$43-B847)-((R812-1)*(IF(Inputs!$B$38="pvp",15,MAX(0.1,Skills!D5-IF(Skills!E5=TRUE,Inputs!$B$32,0)))*(1-IF(AND(ArtifactsInput!$M$27,Inputs!$B$4="Chapter Hunt"),CHOOSE(ArtifactsInput!$N$27+1,20,24,28,32,36,40),0)/100)))))/Skills!H5,1)))/Inputs!$B$43),G812*Q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812*(1-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5*((R812-1)*IF(Skills!H5&gt;0,Skills!I5/Skills!H5,1)+IF(Skills!H5&gt;0,MIN(Skills!I5,MAX(0,MAX(0,Inputs!$B$43-B847)-((R812-1)*(IF(Inputs!$B$38="pvp",15,MAX(0.1,Skills!D5-IF(Skills!E5=TRUE,Inputs!$B$32,0)))*(1-IF(AND(ArtifactsInput!$M$27,Inputs!$B$4="Chapter Hunt"),CHOOSE(ArtifactsInput!$N$27+1,20,24,28,32,36,40),0)/100)))))/Skills!H5,1)))/Inputs!$B$43),G812*Q812))*IF(Inputs!$B$38="pvp",1,(1+(Inputs!$B$21+Skills!Q5+(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Skills!A6</f>
        <v/>
      </c>
      <c r="B813">
        <f>Skills!B6</f>
        <v/>
      </c>
      <c r="C813">
        <f>Inputs!$B$3&gt;=40</f>
        <v/>
      </c>
      <c r="D813">
        <f>IF(Skills!C6=1,60+(Inputs!$B$25+1)+Inputs!$B$29,IF(Skills!C6=2,90+Inputs!$B$26+Inputs!$B$29,IF(Skills!C6=3,120+Inputs!$B$27+Inputs!$B$29,MAX(0,(Inputs!$B$3-100)*3)+Inputs!$B$28+Inputs!$B$29)))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814=TRUE,F814,0)/100)*(1+(IF(Skills!A6="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831=TRUE)*(F831-Calc!F24)),(Inputs!$B$23+((C836=TRUE)*(F836-Calc!F29))+(IF(ArtifactsInput!$M$15,CHOOSE(ArtifactsInput!$N$15+1,25,30,35,40,45,50)/100*(Inputs!$B$11-Inputs!$B$11),0))))/100+(Inputs!$B$23+((C836=TRUE)*(F836-Calc!F29))+(IF(ArtifactsInput!$M$15,CHOOSE(ArtifactsInput!$N$15+1,25,30,35,40,45,50)/100*(Inputs!$B$11-Inputs!$B$11),0)))/100)/2</f>
        <v/>
      </c>
      <c r="M813">
        <f>L813*(1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IF(B850=0,0,O813/B850)</f>
        <v/>
      </c>
      <c r="Q813">
        <f>IFERROR(1/(IF(Inputs!$B$38="pvp",15,MAX(0.1,Skills!D6-IF(Skills!E6=TRUE,Inputs!$B$32,0)))*(1-IF(AND(ArtifactsInput!$M$27,Inputs!$B$4="Chapter Hunt"),CHOOSE(ArtifactsInput!$N$27+1,20,24,28,32,36,40),0)/100)),0)</f>
        <v/>
      </c>
      <c r="R813">
        <f>IF(AND(Inputs!$B$38&lt;&gt;"pvp",Inputs!$B$43&gt;0),IF(MAX(0,Inputs!$B$43-B847)&lt;=0,0,(INT(MAX(0,Inputs!$B$43-B847)/(IF(Inputs!$B$38="pvp",15,MAX(0.1,Skills!D6-IF(Skills!E6=TRUE,Inputs!$B$32,0)))*(1-IF(AND(ArtifactsInput!$M$27,Inputs!$B$4="Chapter Hunt"),CHOOSE(ArtifactsInput!$N$27+1,20,24,28,32,36,40),0)/100)))+1)),0)</f>
        <v/>
      </c>
      <c r="S813">
        <f>IFERROR(O813/N813,0)</f>
        <v/>
      </c>
      <c r="T813">
        <f>IF(C813,(H813*N813*IF(AND(Inputs!$B$38&lt;&gt;"pvp",Inputs!$B$43&gt;0),((Skills!G6*((R813-1)*IF(Skills!H6&gt;0,Skills!I6/Skills!H6,1)+IF(Skills!H6&gt;0,MIN(Skills!I6,MAX(0,MAX(0,Inputs!$B$43-B847)-((R813-1)*(IF(Inputs!$B$38="pvp",15,MAX(0.1,Skills!D6-IF(Skills!E6=TRUE,Inputs!$B$32,0)))*(1-IF(AND(ArtifactsInput!$M$27,Inputs!$B$4="Chapter Hunt"),CHOOSE(ArtifactsInput!$N$27+1,20,24,28,32,36,40),0)/100)))))/Skills!H6,1)))/Inputs!$B$43),G813*Q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813*(1-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6*((R813-1)*IF(Skills!H6&gt;0,Skills!I6/Skills!H6,1)+IF(Skills!H6&gt;0,MIN(Skills!I6,MAX(0,MAX(0,Inputs!$B$43-B847)-((R813-1)*(IF(Inputs!$B$38="pvp",15,MAX(0.1,Skills!D6-IF(Skills!E6=TRUE,Inputs!$B$32,0)))*(1-IF(AND(ArtifactsInput!$M$27,Inputs!$B$4="Chapter Hunt"),CHOOSE(ArtifactsInput!$N$27+1,20,24,28,32,36,40),0)/100)))))/Skills!H6,1)))/Inputs!$B$43),G813*Q813))*IF(Inputs!$B$38="pvp",1,(1+(Inputs!$B$21+Skills!Q6+(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Skills!A7</f>
        <v/>
      </c>
      <c r="B814">
        <f>Skills!B7</f>
        <v/>
      </c>
      <c r="C814">
        <f>Inputs!$B$3&gt;=107</f>
        <v/>
      </c>
      <c r="D814">
        <f>IF(Skills!C7=1,60+(Inputs!$B$25+1)+Inputs!$B$29,IF(Skills!C7=2,90+Inputs!$B$26+Inputs!$B$29,IF(Skills!C7=3,120+Inputs!$B$27+Inputs!$B$29,MAX(0,(Inputs!$B$3-100)*3)+Inputs!$B$28+Inputs!$B$29)))</f>
        <v/>
      </c>
      <c r="E814">
        <f>INDEX(FactorTable!$B$2:$Y$301, MATCH(ROUND(MIN(300,MAX(1,D814)),0), FactorTable!$A$2:$A$301,0), Skills!M7+1)</f>
        <v/>
      </c>
      <c r="F814">
        <f>IF(Skills!N7=TRUE,(Skills!L7/10)*(E814/1000),Skills!L7/10)+Skills!O7</f>
        <v/>
      </c>
      <c r="G814" t="inlineStr"/>
      <c r="H814" t="inlineStr"/>
      <c r="I814" t="inlineStr">
        <is>
          <t>1</t>
        </is>
      </c>
      <c r="J814" t="inlineStr"/>
      <c r="K814" t="inlineStr"/>
      <c r="L814" t="inlineStr"/>
      <c r="M814" t="inlineStr"/>
      <c r="N814" t="inlineStr"/>
      <c r="O814" t="inlineStr"/>
      <c r="P814" t="inlineStr"/>
      <c r="Q814" t="inlineStr"/>
      <c r="R814" t="inlineStr"/>
      <c r="S814" t="inlineStr"/>
      <c r="T814" t="inlineStr"/>
      <c r="V814" t="inlineStr"/>
    </row>
    <row r="815">
      <c r="A815">
        <f>Skills!A8</f>
        <v/>
      </c>
      <c r="B815">
        <f>Skills!B8</f>
        <v/>
      </c>
      <c r="C815">
        <f>Inputs!$B$3&gt;=69</f>
        <v/>
      </c>
      <c r="D815">
        <f>IF(Skills!C8=1,60+(Inputs!$B$25+1)+Inputs!$B$29,IF(Skills!C8=2,90+Inputs!$B$26+Inputs!$B$29,IF(Skills!C8=3,120+Inputs!$B$27+Inputs!$B$29,MAX(0,(Inputs!$B$3-100)*3)+Inputs!$B$28+Inputs!$B$29)))</f>
        <v/>
      </c>
      <c r="E815">
        <f>INDEX(FactorTable!$B$2:$Y$301, MATCH(ROUND(MIN(300,MAX(1,D815)),0), FactorTable!$A$2:$A$301,0), Skills!M8+1)</f>
        <v/>
      </c>
      <c r="F815">
        <f>IF(Skills!N8=TRUE,(Skills!L8/10)*(E815/1000),Skills!L8/10)+Skills!O8</f>
        <v/>
      </c>
      <c r="G815">
        <f>Skills!G8*IF(Skills!H8&gt;0,Skills!I8/Skills!H8,1)</f>
        <v/>
      </c>
      <c r="H815">
        <f>1-(1-Skills!J8/100)^Skills!K8</f>
        <v/>
      </c>
      <c r="I815" t="inlineStr">
        <is>
          <t>1</t>
        </is>
      </c>
      <c r="J815">
        <f>((Inputs!$B$6*(1+Inputs!$B$7/100))+(((Inputs!$B$12*(1+Inputs!$B$13/100))-(Inputs!$B$12*(1+Inputs!$B$13/100)))+0.25*(Inputs!$B$14-Inputs!$B$14))*(1+Inputs!$B$7/100))*(F815/100)</f>
        <v/>
      </c>
      <c r="K815">
        <f>J815*(1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817=TRUE,F817,0)/100)*(1+(IF(Skills!A8="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831=TRUE)*(F831-Calc!F24)),(Inputs!$B$23+((C836=TRUE)*(F836-Calc!F29))+(IF(ArtifactsInput!$M$15,CHOOSE(ArtifactsInput!$N$15+1,25,30,35,40,45,50)/100*(Inputs!$B$11-Inputs!$B$11),0))))/100+(Inputs!$B$23+((C836=TRUE)*(F836-Calc!F29))+(IF(ArtifactsInput!$M$15,CHOOSE(ArtifactsInput!$N$15+1,25,30,35,40,45,50)/100*(Inputs!$B$11-Inputs!$B$11),0)))/100)/2</f>
        <v/>
      </c>
      <c r="M815">
        <f>L815*(1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IF(B850=0,0,O815/B850)</f>
        <v/>
      </c>
      <c r="Q815">
        <f>IFERROR(1/(IF(Inputs!$B$38="pvp",15,MAX(0.1,Skills!D8-IF(Skills!E8=TRUE,Inputs!$B$32,0)))*(1-IF(AND(ArtifactsInput!$M$27,Inputs!$B$4="Chapter Hunt"),CHOOSE(ArtifactsInput!$N$27+1,20,24,28,32,36,40),0)/100)),0)</f>
        <v/>
      </c>
      <c r="R815">
        <f>IF(AND(Inputs!$B$38&lt;&gt;"pvp",Inputs!$B$43&gt;0),IF(MAX(0,Inputs!$B$43-B847)&lt;=0,0,(INT(MAX(0,Inputs!$B$43-B847)/(IF(Inputs!$B$38="pvp",15,MAX(0.1,Skills!D8-IF(Skills!E8=TRUE,Inputs!$B$32,0)))*(1-IF(AND(ArtifactsInput!$M$27,Inputs!$B$4="Chapter Hunt"),CHOOSE(ArtifactsInput!$N$27+1,20,24,28,32,36,40),0)/100)))+1)),0)</f>
        <v/>
      </c>
      <c r="S815">
        <f>IFERROR(O815/N815,0)</f>
        <v/>
      </c>
      <c r="T815">
        <f>IF(C815,(H815*N815*IF(AND(Inputs!$B$38&lt;&gt;"pvp",Inputs!$B$43&gt;0),((Skills!G8*((R815-1)*IF(Skills!H8&gt;0,Skills!I8/Skills!H8,1)+IF(Skills!H8&gt;0,MIN(Skills!I8,MAX(0,MAX(0,Inputs!$B$43-B847)-((R815-1)*(IF(Inputs!$B$38="pvp",15,MAX(0.1,Skills!D8-IF(Skills!E8=TRUE,Inputs!$B$32,0)))*(1-IF(AND(ArtifactsInput!$M$27,Inputs!$B$4="Chapter Hunt"),CHOOSE(ArtifactsInput!$N$27+1,20,24,28,32,36,40),0)/100)))))/Skills!H8,1)))/Inputs!$B$43),G815*Q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815*(1-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8*((R815-1)*IF(Skills!H8&gt;0,Skills!I8/Skills!H8,1)+IF(Skills!H8&gt;0,MIN(Skills!I8,MAX(0,MAX(0,Inputs!$B$43-B847)-((R815-1)*(IF(Inputs!$B$38="pvp",15,MAX(0.1,Skills!D8-IF(Skills!E8=TRUE,Inputs!$B$32,0)))*(1-IF(AND(ArtifactsInput!$M$27,Inputs!$B$4="Chapter Hunt"),CHOOSE(ArtifactsInput!$N$27+1,20,24,28,32,36,40),0)/100)))))/Skills!H8,1)))/Inputs!$B$43),G815*Q815))*IF(Inputs!$B$38="pvp",1,(1+(Inputs!$B$21+Skills!Q8+(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Skills!A9</f>
        <v/>
      </c>
      <c r="B816">
        <f>Skills!B9</f>
        <v/>
      </c>
      <c r="C816">
        <f>Inputs!$B$3&gt;=63</f>
        <v/>
      </c>
      <c r="D816">
        <f>IF(Skills!C9=1,60+(Inputs!$B$25+1)+Inputs!$B$29,IF(Skills!C9=2,90+Inputs!$B$26+Inputs!$B$29,IF(Skills!C9=3,120+Inputs!$B$27+Inputs!$B$29,MAX(0,(Inputs!$B$3-100)*3)+Inputs!$B$28+Inputs!$B$29)))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817=TRUE,F817,0)/100)*(1+(IF(Skills!A9="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831=TRUE)*(F831-Calc!F24)),(Inputs!$B$23+((C836=TRUE)*(F836-Calc!F29))+(IF(ArtifactsInput!$M$15,CHOOSE(ArtifactsInput!$N$15+1,25,30,35,40,45,50)/100*(Inputs!$B$11-Inputs!$B$11),0))))/100+(Inputs!$B$23+((C836=TRUE)*(F836-Calc!F29))+(IF(ArtifactsInput!$M$15,CHOOSE(ArtifactsInput!$N$15+1,25,30,35,40,45,50)/100*(Inputs!$B$11-Inputs!$B$11),0)))/100)/2</f>
        <v/>
      </c>
      <c r="M816">
        <f>L816*(1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IF(B850=0,0,O816/B850)</f>
        <v/>
      </c>
      <c r="Q816">
        <f>IFERROR(1/(IF(Inputs!$B$38="pvp",15,MAX(0.1,Skills!D9-IF(Skills!E9=TRUE,Inputs!$B$32,0)))*(1-IF(AND(ArtifactsInput!$M$27,Inputs!$B$4="Chapter Hunt"),CHOOSE(ArtifactsInput!$N$27+1,20,24,28,32,36,40),0)/100)),0)</f>
        <v/>
      </c>
      <c r="R816">
        <f>IF(AND(Inputs!$B$38&lt;&gt;"pvp",Inputs!$B$43&gt;0),IF(MAX(0,Inputs!$B$43-B847)&lt;=0,0,(INT(MAX(0,Inputs!$B$43-B847)/(IF(Inputs!$B$38="pvp",15,MAX(0.1,Skills!D9-IF(Skills!E9=TRUE,Inputs!$B$32,0)))*(1-IF(AND(ArtifactsInput!$M$27,Inputs!$B$4="Chapter Hunt"),CHOOSE(ArtifactsInput!$N$27+1,20,24,28,32,36,40),0)/100)))+1)),0)</f>
        <v/>
      </c>
      <c r="S816">
        <f>IFERROR(O816/N816,0)</f>
        <v/>
      </c>
      <c r="T816">
        <f>IF(C816,(H816*N816*IF(AND(Inputs!$B$38&lt;&gt;"pvp",Inputs!$B$43&gt;0),((Skills!G9*((R816-1)*IF(Skills!H9&gt;0,Skills!I9/Skills!H9,1)+IF(Skills!H9&gt;0,MIN(Skills!I9,MAX(0,MAX(0,Inputs!$B$43-B847)-((R816-1)*(IF(Inputs!$B$38="pvp",15,MAX(0.1,Skills!D9-IF(Skills!E9=TRUE,Inputs!$B$32,0)))*(1-IF(AND(ArtifactsInput!$M$27,Inputs!$B$4="Chapter Hunt"),CHOOSE(ArtifactsInput!$N$27+1,20,24,28,32,36,40),0)/100)))))/Skills!H9,1)))/Inputs!$B$43),G816*Q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816*(1-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IF(AND(Inputs!$B$38&lt;&gt;"pvp",Inputs!$B$43&gt;0),((Skills!G9*((R816-1)*IF(Skills!H9&gt;0,Skills!I9/Skills!H9,1)+IF(Skills!H9&gt;0,MIN(Skills!I9,MAX(0,MAX(0,Inputs!$B$43-B847)-((R816-1)*(IF(Inputs!$B$38="pvp",15,MAX(0.1,Skills!D9-IF(Skills!E9=TRUE,Inputs!$B$32,0)))*(1-IF(AND(ArtifactsInput!$M$27,Inputs!$B$4="Chapter Hunt"),CHOOSE(ArtifactsInput!$N$27+1,20,24,28,32,36,40),0)/100)))))/Skills!H9,1)))/Inputs!$B$43),G816*Q816))*IF(Inputs!$B$38="pvp",1,(1+(Inputs!$B$21+Skills!Q9+(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Skills!A10</f>
        <v/>
      </c>
      <c r="B817">
        <f>Skills!B10</f>
        <v/>
      </c>
      <c r="C817">
        <f>Inputs!$B$3&gt;=100</f>
        <v/>
      </c>
      <c r="D817">
        <f>IF(Skills!C10=1,60+(Inputs!$B$25+1)+Inputs!$B$29,IF(Skills!C10=2,90+Inputs!$B$26+Inputs!$B$29,IF(Skills!C10=3,120+Inputs!$B$27+Inputs!$B$29,MAX(0,(Inputs!$B$3-100)*3)+Inputs!$B$28+Inputs!$B$29)))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t="inlineStr"/>
      <c r="H817" t="inlineStr"/>
      <c r="I817" t="inlineStr">
        <is>
          <t>1</t>
        </is>
      </c>
      <c r="J817" t="inlineStr"/>
      <c r="K817" t="inlineStr"/>
      <c r="L817" t="inlineStr"/>
      <c r="M817" t="inlineStr"/>
      <c r="N817" t="inlineStr"/>
      <c r="O817" t="inlineStr"/>
      <c r="P817" t="inlineStr"/>
      <c r="Q817" t="inlineStr"/>
      <c r="R817" t="inlineStr"/>
      <c r="S817" t="inlineStr"/>
      <c r="T817" t="inlineStr"/>
      <c r="V817" t="inlineStr"/>
    </row>
    <row r="818">
      <c r="A818">
        <f>Skills!A11</f>
        <v/>
      </c>
      <c r="B818">
        <f>Skills!B11</f>
        <v/>
      </c>
      <c r="C818">
        <f>Inputs!$B$3&gt;=60</f>
        <v/>
      </c>
      <c r="D818">
        <f>IF(Skills!C11=1,60+(Inputs!$B$25+1)+Inputs!$B$29,IF(Skills!C11=2,90+Inputs!$B$26+Inputs!$B$29,IF(Skills!C11=3,120+Inputs!$B$27+Inputs!$B$29,MAX(0,(Inputs!$B$3-100)*3)+Inputs!$B$28+Inputs!$B$29)))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819=TRUE,F819,0)/100)*(1+(IF(Skills!A11="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831=TRUE)*(F831-Calc!F24)),(Inputs!$B$23+((C836=TRUE)*(F836-Calc!F29))+(IF(ArtifactsInput!$M$15,CHOOSE(ArtifactsInput!$N$15+1,25,30,35,40,45,50)/100*(Inputs!$B$11-Inputs!$B$11),0))))/100+(Inputs!$B$23+((C836=TRUE)*(F836-Calc!F29))+(IF(ArtifactsInput!$M$15,CHOOSE(ArtifactsInput!$N$15+1,25,30,35,40,45,50)/100*(Inputs!$B$11-Inputs!$B$11),0)))/100)/2</f>
        <v/>
      </c>
      <c r="M818">
        <f>L818*(1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IF(B850=0,0,O818/B850)</f>
        <v/>
      </c>
      <c r="Q818">
        <f>IFERROR(1/(IF(Inputs!$B$38="pvp",15,MAX(0.1,Skills!D11-IF(Skills!E11=TRUE,Inputs!$B$32,0)))*(1-IF(AND(ArtifactsInput!$M$27,Inputs!$B$4="Chapter Hunt"),CHOOSE(ArtifactsInput!$N$27+1,20,24,28,32,36,40),0)/100)),0)</f>
        <v/>
      </c>
      <c r="R818">
        <f>IF(AND(Inputs!$B$38&lt;&gt;"pvp",Inputs!$B$43&gt;0),IF(MAX(0,Inputs!$B$43-B847)&lt;=0,0,(INT(MAX(0,Inputs!$B$43-B847)/(IF(Inputs!$B$38="pvp",15,MAX(0.1,Skills!D11-IF(Skills!E11=TRUE,Inputs!$B$32,0)))*(1-IF(AND(ArtifactsInput!$M$27,Inputs!$B$4="Chapter Hunt"),CHOOSE(ArtifactsInput!$N$27+1,20,24,28,32,36,40),0)/100)))+1)),0)</f>
        <v/>
      </c>
      <c r="S818">
        <f>IFERROR(O818/N818,0)</f>
        <v/>
      </c>
      <c r="T818">
        <f>IF(C818,(H818*N818*IF(AND(Inputs!$B$38&lt;&gt;"pvp",Inputs!$B$43&gt;0),((Skills!G11*((R818-1)*IF(Skills!H11&gt;0,Skills!I11/Skills!H11,1)+IF(Skills!H11&gt;0,MIN(Skills!I11,MAX(0,MAX(0,Inputs!$B$43-B847)-((R818-1)*(IF(Inputs!$B$38="pvp",15,MAX(0.1,Skills!D11-IF(Skills!E11=TRUE,Inputs!$B$32,0)))*(1-IF(AND(ArtifactsInput!$M$27,Inputs!$B$4="Chapter Hunt"),CHOOSE(ArtifactsInput!$N$27+1,20,24,28,32,36,40),0)/100)))))/Skills!H11,1)))/Inputs!$B$43),G818*Q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818*(1-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11*((R818-1)*IF(Skills!H11&gt;0,Skills!I11/Skills!H11,1)+IF(Skills!H11&gt;0,MIN(Skills!I11,MAX(0,MAX(0,Inputs!$B$43-B847)-((R818-1)*(IF(Inputs!$B$38="pvp",15,MAX(0.1,Skills!D11-IF(Skills!E11=TRUE,Inputs!$B$32,0)))*(1-IF(AND(ArtifactsInput!$M$27,Inputs!$B$4="Chapter Hunt"),CHOOSE(ArtifactsInput!$N$27+1,20,24,28,32,36,40),0)/100)))))/Skills!H11,1)))/Inputs!$B$43),G818*Q818))*IF(Inputs!$B$38="pvp",1,(1+(Inputs!$B$21+Skills!Q11+(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Skills!A12</f>
        <v/>
      </c>
      <c r="B819">
        <f>Skills!B12</f>
        <v/>
      </c>
      <c r="C819">
        <f>Inputs!$B$3&gt;=110</f>
        <v/>
      </c>
      <c r="D819">
        <f>IF(Skills!C12=1,60+(Inputs!$B$25+1)+Inputs!$B$29,IF(Skills!C12=2,90+Inputs!$B$26+Inputs!$B$29,IF(Skills!C12=3,120+Inputs!$B$27+Inputs!$B$29,MAX(0,(Inputs!$B$3-100)*3)+Inputs!$B$28+Inputs!$B$29)))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t="inlineStr"/>
      <c r="H819" t="inlineStr"/>
      <c r="I819" t="inlineStr">
        <is>
          <t>1</t>
        </is>
      </c>
      <c r="J819" t="inlineStr"/>
      <c r="K819" t="inlineStr"/>
      <c r="L819" t="inlineStr"/>
      <c r="M819" t="inlineStr"/>
      <c r="N819" t="inlineStr"/>
      <c r="O819" t="inlineStr"/>
      <c r="P819" t="inlineStr"/>
      <c r="Q819" t="inlineStr"/>
      <c r="R819" t="inlineStr"/>
      <c r="S819" t="inlineStr"/>
      <c r="T819" t="inlineStr"/>
      <c r="V819" t="inlineStr"/>
    </row>
    <row r="820">
      <c r="A820">
        <f>Skills!A13</f>
        <v/>
      </c>
      <c r="B820">
        <f>Skills!B13</f>
        <v/>
      </c>
      <c r="C820">
        <f>Inputs!$B$3&gt;=74</f>
        <v/>
      </c>
      <c r="D820">
        <f>IF(Skills!C13=1,60+(Inputs!$B$25+1)+Inputs!$B$29,IF(Skills!C13=2,90+Inputs!$B$26+Inputs!$B$29,IF(Skills!C13=3,120+Inputs!$B$27+Inputs!$B$29,MAX(0,(Inputs!$B$3-100)*3)+Inputs!$B$28+Inputs!$B$29)))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f>(1-Summary!$B$11)*T820+Summary!$B$11*V820</f>
        <v/>
      </c>
      <c r="P820">
        <f>IF(B850=0,0,O820/B850)</f>
        <v/>
      </c>
      <c r="Q820" t="n">
        <v>0</v>
      </c>
      <c r="R820" t="n">
        <v>0</v>
      </c>
      <c r="S820">
        <f>IFERROR(O820/N820,0)</f>
        <v/>
      </c>
      <c r="T820" t="n">
        <v>0</v>
      </c>
      <c r="V820" t="n">
        <v>0</v>
      </c>
    </row>
    <row r="821">
      <c r="A821">
        <f>Skills!A14</f>
        <v/>
      </c>
      <c r="B821">
        <f>Skills!B14</f>
        <v/>
      </c>
      <c r="C821">
        <f>Inputs!$B$3&gt;=74</f>
        <v/>
      </c>
      <c r="D821">
        <f>IF(Skills!C14=1,60+(Inputs!$B$25+1)+Inputs!$B$29,IF(Skills!C14=2,90+Inputs!$B$26+Inputs!$B$29,IF(Skills!C14=3,120+Inputs!$B$27+Inputs!$B$29,MAX(0,(Inputs!$B$3-100)*3)+Inputs!$B$28+Inputs!$B$29)))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f>(1-Summary!$B$11)*T821+Summary!$B$11*V821</f>
        <v/>
      </c>
      <c r="P821">
        <f>IF(B850=0,0,O821/B850)</f>
        <v/>
      </c>
      <c r="Q821" t="n">
        <v>0</v>
      </c>
      <c r="R821" t="n">
        <v>0</v>
      </c>
      <c r="S821">
        <f>IFERROR(O821/N821,0)</f>
        <v/>
      </c>
      <c r="T821" t="n">
        <v>0</v>
      </c>
      <c r="V821" t="n">
        <v>0</v>
      </c>
    </row>
    <row r="822">
      <c r="A822">
        <f>Skills!A15</f>
        <v/>
      </c>
      <c r="B822">
        <f>Skills!B15</f>
        <v/>
      </c>
      <c r="C822">
        <f>Inputs!$B$3&gt;=117</f>
        <v/>
      </c>
      <c r="D822">
        <f>IF(Skills!C15=1,60+(Inputs!$B$25+1)+Inputs!$B$29,IF(Skills!C15=2,90+Inputs!$B$26+Inputs!$B$29,IF(Skills!C15=3,120+Inputs!$B$27+Inputs!$B$29,MAX(0,(Inputs!$B$3-100)*3)+Inputs!$B$28+Inputs!$B$29)))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f>(1-Summary!$B$11)*T822+Summary!$B$11*V822</f>
        <v/>
      </c>
      <c r="P822">
        <f>IF(B850=0,0,O822/B850)</f>
        <v/>
      </c>
      <c r="Q822">
        <f>IFERROR(1/(IF(Inputs!$B$38="pvp",15,MAX(0.1,Skills!D15-IF(Skills!E15=TRUE,Inputs!$B$32,0)))*(1-IF(AND(ArtifactsInput!$M$27,Inputs!$B$4="Chapter Hunt"),CHOOSE(ArtifactsInput!$N$27+1,20,24,28,32,36,40),0)/100)),0)</f>
        <v/>
      </c>
      <c r="R822">
        <f>IF(AND(Inputs!$B$38&lt;&gt;"pvp",Inputs!$B$43&gt;0),IF(Inputs!$B$43&lt;=0,0,(INT(Inputs!$B$43/(IF(Inputs!$B$38="pvp",15,MAX(0.1,Skills!D15-IF(Skills!E15=TRUE,Inputs!$B$32,0)))*(1-IF(AND(ArtifactsInput!$M$27,Inputs!$B$4="Chapter Hunt"),CHOOSE(ArtifactsInput!$N$27+1,20,24,28,32,36,40),0)/100)))+1)),0)</f>
        <v/>
      </c>
      <c r="S822">
        <f>IFERROR(O822/N822,0)</f>
        <v/>
      </c>
      <c r="T822" t="n">
        <v>0</v>
      </c>
      <c r="V822" t="n">
        <v>0</v>
      </c>
    </row>
    <row r="823">
      <c r="A823">
        <f>Skills!A16</f>
        <v/>
      </c>
      <c r="B823">
        <f>Skills!B16</f>
        <v/>
      </c>
      <c r="C823">
        <f>Inputs!$B$3&gt;=115</f>
        <v/>
      </c>
      <c r="D823">
        <f>IF(Skills!C16=1,60+(Inputs!$B$25+1)+Inputs!$B$29,IF(Skills!C16=2,90+Inputs!$B$26+Inputs!$B$29,IF(Skills!C16=3,120+Inputs!$B$27+Inputs!$B$29,MAX(0,(Inputs!$B$3-100)*3)+Inputs!$B$28+Inputs!$B$29)))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f>(1-Summary!$B$11)*T823+Summary!$B$11*V823</f>
        <v/>
      </c>
      <c r="P823">
        <f>IF(B850=0,0,O823/B850)</f>
        <v/>
      </c>
      <c r="Q823">
        <f>IFERROR(1/(IF(Inputs!$B$38="pvp",15,MAX(0.1,Skills!D16-IF(Skills!E16=TRUE,Inputs!$B$32,0)))*(1-IF(AND(ArtifactsInput!$M$27,Inputs!$B$4="Chapter Hunt"),CHOOSE(ArtifactsInput!$N$27+1,20,24,28,32,36,40),0)/100)),0)</f>
        <v/>
      </c>
      <c r="R823">
        <f>IF(AND(Inputs!$B$38&lt;&gt;"pvp",Inputs!$B$43&gt;0),IF(Inputs!$B$43&lt;=0,0,(INT(Inputs!$B$43/(IF(Inputs!$B$38="pvp",15,MAX(0.1,Skills!D16-IF(Skills!E16=TRUE,Inputs!$B$32,0)))*(1-IF(AND(ArtifactsInput!$M$27,Inputs!$B$4="Chapter Hunt"),CHOOSE(ArtifactsInput!$N$27+1,20,24,28,32,36,40),0)/100)))+1)),0)</f>
        <v/>
      </c>
      <c r="S823">
        <f>IFERROR(O823/N823,0)</f>
        <v/>
      </c>
      <c r="T823" t="n">
        <v>0</v>
      </c>
      <c r="V823" t="n">
        <v>0</v>
      </c>
    </row>
    <row r="824">
      <c r="A824">
        <f>Skills!A17</f>
        <v/>
      </c>
      <c r="B824">
        <f>Skills!B17</f>
        <v/>
      </c>
      <c r="C824">
        <f>Inputs!$B$3&gt;=66</f>
        <v/>
      </c>
      <c r="D824">
        <f>IF(Skills!C17=1,60+(Inputs!$B$25+1)+Inputs!$B$29,IF(Skills!C17=2,90+Inputs!$B$26+Inputs!$B$29,IF(Skills!C17=3,120+Inputs!$B$27+Inputs!$B$29,MAX(0,(Inputs!$B$3-100)*3)+Inputs!$B$28+Inputs!$B$29)))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f>(1-Summary!$B$11)*T824+Summary!$B$11*V824</f>
        <v/>
      </c>
      <c r="P824">
        <f>IF(B850=0,0,O824/B850)</f>
        <v/>
      </c>
      <c r="Q824" t="n">
        <v>0</v>
      </c>
      <c r="R824" t="n">
        <v>0</v>
      </c>
      <c r="S824">
        <f>IFERROR(O824/N824,0)</f>
        <v/>
      </c>
      <c r="T824" t="n">
        <v>0</v>
      </c>
      <c r="V824" t="n">
        <v>0</v>
      </c>
    </row>
    <row r="825">
      <c r="A825">
        <f>Skills!A18</f>
        <v/>
      </c>
      <c r="B825">
        <f>Skills!B18</f>
        <v/>
      </c>
      <c r="C825">
        <f>Inputs!$B$3&gt;=72</f>
        <v/>
      </c>
      <c r="D825">
        <f>IF(Skills!C18=1,60+(Inputs!$B$25+1)+Inputs!$B$29,IF(Skills!C18=2,90+Inputs!$B$26+Inputs!$B$29,IF(Skills!C18=3,120+Inputs!$B$27+Inputs!$B$29,MAX(0,(Inputs!$B$3-100)*3)+Inputs!$B$28+Inputs!$B$29)))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f>(1-Summary!$B$11)*T825+Summary!$B$11*V825</f>
        <v/>
      </c>
      <c r="P825">
        <f>IF(B850=0,0,O825/B850)</f>
        <v/>
      </c>
      <c r="Q825" t="n">
        <v>0</v>
      </c>
      <c r="R825" t="n">
        <v>0</v>
      </c>
      <c r="S825">
        <f>IFERROR(O825/N825,0)</f>
        <v/>
      </c>
      <c r="T825" t="n">
        <v>0</v>
      </c>
      <c r="V825" t="n">
        <v>0</v>
      </c>
    </row>
    <row r="826">
      <c r="A826">
        <f>Skills!A19</f>
        <v/>
      </c>
      <c r="B826">
        <f>Skills!B19</f>
        <v/>
      </c>
      <c r="C826">
        <f>TRUE</f>
        <v/>
      </c>
      <c r="D826">
        <f>IF(Skills!C19=1,60+(Inputs!$B$25+1)+Inputs!$B$29,IF(Skills!C19=2,90+Inputs!$B$26+Inputs!$B$29,IF(Skills!C19=3,120+Inputs!$B$27+Inputs!$B$29,MAX(0,(Inputs!$B$3-100)*3)+Inputs!$B$28+Inputs!$B$29)))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f>(1-Summary!$B$11)*T826+Summary!$B$11*V826</f>
        <v/>
      </c>
      <c r="P826">
        <f>IF(B850=0,0,O826/B850)</f>
        <v/>
      </c>
      <c r="Q826">
        <f>IFERROR(1/(IF(Inputs!$B$38="pvp",15,MAX(0.1,Skills!D19-IF(Skills!E19=TRUE,Inputs!$B$32,0)))*(1-IF(AND(ArtifactsInput!$M$27,Inputs!$B$4="Chapter Hunt"),CHOOSE(ArtifactsInput!$N$27+1,20,24,28,32,36,40),0)/100)),0)</f>
        <v/>
      </c>
      <c r="R826">
        <f>IF(AND(Inputs!$B$38&lt;&gt;"pvp",Inputs!$B$43&gt;0),IF(Inputs!$B$43&lt;=0,0,(INT(Inputs!$B$43/(IF(Inputs!$B$38="pvp",15,MAX(0.1,Skills!D19-IF(Skills!E19=TRUE,Inputs!$B$32,0)))*(1-IF(AND(ArtifactsInput!$M$27,Inputs!$B$4="Chapter Hunt"),CHOOSE(ArtifactsInput!$N$27+1,20,24,28,32,36,40),0)/100)))+1)),0)</f>
        <v/>
      </c>
      <c r="S826">
        <f>IFERROR(O826/N826,0)</f>
        <v/>
      </c>
      <c r="T826" t="n">
        <v>0</v>
      </c>
      <c r="V826" t="n">
        <v>0</v>
      </c>
    </row>
    <row r="827">
      <c r="A827">
        <f>Skills!A20</f>
        <v/>
      </c>
      <c r="B827">
        <f>Skills!B20</f>
        <v/>
      </c>
      <c r="C827">
        <f>Inputs!$B$3&gt;=15</f>
        <v/>
      </c>
      <c r="D827">
        <f>IF(Skills!C20=1,60+(Inputs!$B$25+1)+Inputs!$B$29,IF(Skills!C20=2,90+Inputs!$B$26+Inputs!$B$29,IF(Skills!C20=3,120+Inputs!$B$27+Inputs!$B$29,MAX(0,(Inputs!$B$3-100)*3)+Inputs!$B$28+Inputs!$B$29)))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f>(1-Summary!$B$11)*T827+Summary!$B$11*V827</f>
        <v/>
      </c>
      <c r="P827">
        <f>IF(B850=0,0,O827/B850)</f>
        <v/>
      </c>
      <c r="Q827" t="n">
        <v>0</v>
      </c>
      <c r="R827" t="n">
        <v>0</v>
      </c>
      <c r="S827">
        <f>IFERROR(O827/N827,0)</f>
        <v/>
      </c>
      <c r="T827" t="n">
        <v>0</v>
      </c>
      <c r="V827" t="n">
        <v>0</v>
      </c>
    </row>
    <row r="828">
      <c r="A828">
        <f>Skills!A21</f>
        <v/>
      </c>
      <c r="B828">
        <f>Skills!B21</f>
        <v/>
      </c>
      <c r="C828">
        <f>Inputs!$B$3&gt;=10</f>
        <v/>
      </c>
      <c r="D828">
        <f>IF(Skills!C21=1,60+(Inputs!$B$25+1)+Inputs!$B$29,IF(Skills!C21=2,90+Inputs!$B$26+Inputs!$B$29,IF(Skills!C21=3,120+Inputs!$B$27+Inputs!$B$29,MAX(0,(Inputs!$B$3-100)*3)+Inputs!$B$28+Inputs!$B$29)))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f>(1-Summary!$B$11)*T828+Summary!$B$11*V828</f>
        <v/>
      </c>
      <c r="P828">
        <f>IF(B850=0,0,O828/B850)</f>
        <v/>
      </c>
      <c r="Q828" t="n">
        <v>0</v>
      </c>
      <c r="R828" t="n">
        <v>0</v>
      </c>
      <c r="S828">
        <f>IFERROR(O828/N828,0)</f>
        <v/>
      </c>
      <c r="T828" t="n">
        <v>0</v>
      </c>
      <c r="V828" t="n">
        <v>0</v>
      </c>
    </row>
    <row r="829">
      <c r="A829">
        <f>Skills!A22</f>
        <v/>
      </c>
      <c r="B829">
        <f>Skills!B22</f>
        <v/>
      </c>
      <c r="C829">
        <f>Inputs!$B$3&gt;=33</f>
        <v/>
      </c>
      <c r="D829">
        <f>IF(Skills!C22=1,60+(Inputs!$B$25+1)+Inputs!$B$29,IF(Skills!C22=2,90+Inputs!$B$26+Inputs!$B$29,IF(Skills!C22=3,120+Inputs!$B$27+Inputs!$B$29,MAX(0,(Inputs!$B$3-100)*3)+Inputs!$B$28+Inputs!$B$29)))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f>(1-Summary!$B$11)*T829+Summary!$B$11*V829</f>
        <v/>
      </c>
      <c r="P829">
        <f>IF(B850=0,0,O829/B850)</f>
        <v/>
      </c>
      <c r="Q829" t="n">
        <v>0</v>
      </c>
      <c r="R829" t="n">
        <v>0</v>
      </c>
      <c r="S829">
        <f>IFERROR(O829/N829,0)</f>
        <v/>
      </c>
      <c r="T829" t="n">
        <v>0</v>
      </c>
      <c r="V829" t="n">
        <v>0</v>
      </c>
    </row>
    <row r="830">
      <c r="A830">
        <f>Skills!A23</f>
        <v/>
      </c>
      <c r="B830">
        <f>Skills!B23</f>
        <v/>
      </c>
      <c r="C830">
        <f>Inputs!$B$3&gt;=38</f>
        <v/>
      </c>
      <c r="D830">
        <f>IF(Skills!C23=1,60+(Inputs!$B$25+1)+Inputs!$B$29,IF(Skills!C23=2,90+Inputs!$B$26+Inputs!$B$29,IF(Skills!C23=3,120+Inputs!$B$27+Inputs!$B$29,MAX(0,(Inputs!$B$3-100)*3)+Inputs!$B$28+Inputs!$B$29)))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f>(1-Summary!$B$11)*T830+Summary!$B$11*V830</f>
        <v/>
      </c>
      <c r="P830">
        <f>IF(B850=0,0,O830/B850)</f>
        <v/>
      </c>
      <c r="Q830" t="n">
        <v>0</v>
      </c>
      <c r="R830" t="n">
        <v>0</v>
      </c>
      <c r="S830">
        <f>IFERROR(O830/N830,0)</f>
        <v/>
      </c>
      <c r="T830" t="n">
        <v>0</v>
      </c>
      <c r="V830" t="n">
        <v>0</v>
      </c>
    </row>
    <row r="831">
      <c r="A831">
        <f>Skills!A24</f>
        <v/>
      </c>
      <c r="B831">
        <f>Skills!B24</f>
        <v/>
      </c>
      <c r="C831">
        <f>Inputs!$B$3&gt;=43</f>
        <v/>
      </c>
      <c r="D831">
        <f>IF(Skills!C24=1,60+(Inputs!$B$25+1)+Inputs!$B$29,IF(Skills!C24=2,90+Inputs!$B$26+Inputs!$B$29,IF(Skills!C24=3,120+Inputs!$B$27+Inputs!$B$29,MAX(0,(Inputs!$B$3-100)*3)+Inputs!$B$28+Inputs!$B$29)))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f>(1-Summary!$B$11)*T831+Summary!$B$11*V831</f>
        <v/>
      </c>
      <c r="P831">
        <f>IF(B850=0,0,O831/B850)</f>
        <v/>
      </c>
      <c r="Q831" t="n">
        <v>0</v>
      </c>
      <c r="R831" t="n">
        <v>0</v>
      </c>
      <c r="S831">
        <f>IFERROR(O831/N831,0)</f>
        <v/>
      </c>
      <c r="T831" t="n">
        <v>0</v>
      </c>
      <c r="V831" t="n">
        <v>0</v>
      </c>
    </row>
    <row r="832">
      <c r="A832">
        <f>Skills!A25</f>
        <v/>
      </c>
      <c r="B832">
        <f>Skills!B25</f>
        <v/>
      </c>
      <c r="C832">
        <f>Inputs!$B$3&gt;=75</f>
        <v/>
      </c>
      <c r="D832">
        <f>IF(Skills!C25=1,60+(Inputs!$B$25+1)+Inputs!$B$29,IF(Skills!C25=2,90+Inputs!$B$26+Inputs!$B$29,IF(Skills!C25=3,120+Inputs!$B$27+Inputs!$B$29,MAX(0,(Inputs!$B$3-100)*3)+Inputs!$B$28+Inputs!$B$29)))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f>(1-Summary!$B$11)*T832+Summary!$B$11*V832</f>
        <v/>
      </c>
      <c r="P832">
        <f>IF(B850=0,0,O832/B850)</f>
        <v/>
      </c>
      <c r="Q832" t="n">
        <v>0</v>
      </c>
      <c r="R832" t="n">
        <v>0</v>
      </c>
      <c r="S832">
        <f>IFERROR(O832/N832,0)</f>
        <v/>
      </c>
      <c r="T832" t="n">
        <v>0</v>
      </c>
      <c r="V832" t="n">
        <v>0</v>
      </c>
    </row>
    <row r="833">
      <c r="A833">
        <f>Skills!A26</f>
        <v/>
      </c>
      <c r="B833">
        <f>Skills!B26</f>
        <v/>
      </c>
      <c r="C833">
        <f>Inputs!$B$3&gt;=125</f>
        <v/>
      </c>
      <c r="D833">
        <f>IF(Skills!C26=1,60+(Inputs!$B$25+1)+Inputs!$B$29,IF(Skills!C26=2,90+Inputs!$B$26+Inputs!$B$29,IF(Skills!C26=3,120+Inputs!$B$27+Inputs!$B$29,MAX(0,(Inputs!$B$3-100)*3)+Inputs!$B$28+Inputs!$B$29)))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f>(1-Summary!$B$11)*T833+Summary!$B$11*V833</f>
        <v/>
      </c>
      <c r="P833">
        <f>IF(B850=0,0,O833/B850)</f>
        <v/>
      </c>
      <c r="Q833" t="n">
        <v>0</v>
      </c>
      <c r="R833" t="n">
        <v>0</v>
      </c>
      <c r="S833">
        <f>IFERROR(O833/N833,0)</f>
        <v/>
      </c>
      <c r="T833" t="n">
        <v>0</v>
      </c>
      <c r="V833" t="n">
        <v>0</v>
      </c>
    </row>
    <row r="834">
      <c r="A834">
        <f>Skills!A27</f>
        <v/>
      </c>
      <c r="B834">
        <f>Skills!B27</f>
        <v/>
      </c>
      <c r="C834">
        <f>Inputs!$B$3&gt;=125</f>
        <v/>
      </c>
      <c r="D834">
        <f>IF(Skills!C27=1,60+(Inputs!$B$25+1)+Inputs!$B$29,IF(Skills!C27=2,90+Inputs!$B$26+Inputs!$B$29,IF(Skills!C27=3,120+Inputs!$B$27+Inputs!$B$29,MAX(0,(Inputs!$B$3-100)*3)+Inputs!$B$28+Inputs!$B$29)))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f>(1-Summary!$B$11)*T834+Summary!$B$11*V834</f>
        <v/>
      </c>
      <c r="P834">
        <f>IF(B850=0,0,O834/B850)</f>
        <v/>
      </c>
      <c r="Q834" t="n">
        <v>0</v>
      </c>
      <c r="R834" t="n">
        <v>0</v>
      </c>
      <c r="S834">
        <f>IFERROR(O834/N834,0)</f>
        <v/>
      </c>
      <c r="T834" t="n">
        <v>0</v>
      </c>
      <c r="V834" t="n">
        <v>0</v>
      </c>
    </row>
    <row r="835">
      <c r="A835">
        <f>Skills!A28</f>
        <v/>
      </c>
      <c r="B835">
        <f>Skills!B28</f>
        <v/>
      </c>
      <c r="C835">
        <f>Inputs!$B$3&gt;=120</f>
        <v/>
      </c>
      <c r="D835">
        <f>IF(Skills!C28=1,60+(Inputs!$B$25+1)+Inputs!$B$29,IF(Skills!C28=2,90+Inputs!$B$26+Inputs!$B$29,IF(Skills!C28=3,120+Inputs!$B$27+Inputs!$B$29,MAX(0,(Inputs!$B$3-100)*3)+Inputs!$B$28+Inputs!$B$29)))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f>(1-Summary!$B$11)*T835+Summary!$B$11*V835</f>
        <v/>
      </c>
      <c r="P835">
        <f>IF(B850=0,0,O835/B850)</f>
        <v/>
      </c>
      <c r="Q835" t="n">
        <v>0</v>
      </c>
      <c r="R835" t="n">
        <v>0</v>
      </c>
      <c r="S835">
        <f>IFERROR(O835/N835,0)</f>
        <v/>
      </c>
      <c r="T835" t="n">
        <v>0</v>
      </c>
      <c r="V835" t="n">
        <v>0</v>
      </c>
    </row>
    <row r="836">
      <c r="A836">
        <f>Skills!A29</f>
        <v/>
      </c>
      <c r="B836">
        <f>Skills!B29</f>
        <v/>
      </c>
      <c r="C836">
        <f>Inputs!$B$3&gt;=120</f>
        <v/>
      </c>
      <c r="D836">
        <f>IF(Skills!C29=1,60+(Inputs!$B$25+1)+Inputs!$B$29,IF(Skills!C29=2,90+Inputs!$B$26+Inputs!$B$29,IF(Skills!C29=3,120+Inputs!$B$27+Inputs!$B$29,MAX(0,(Inputs!$B$3-100)*3)+Inputs!$B$28+Inputs!$B$29)))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f>(1-Summary!$B$11)*T836+Summary!$B$11*V836</f>
        <v/>
      </c>
      <c r="P836">
        <f>IF(B850=0,0,O836/B850)</f>
        <v/>
      </c>
      <c r="Q836" t="n">
        <v>0</v>
      </c>
      <c r="R836" t="n">
        <v>0</v>
      </c>
      <c r="S836">
        <f>IFERROR(O836/N836,0)</f>
        <v/>
      </c>
      <c r="T836" t="n">
        <v>0</v>
      </c>
      <c r="V836" t="n">
        <v>0</v>
      </c>
    </row>
    <row r="837">
      <c r="A837">
        <f>Skills!A30</f>
        <v/>
      </c>
      <c r="B837">
        <f>Skills!B30</f>
        <v/>
      </c>
      <c r="C837">
        <f>Inputs!$B$3&gt;=45</f>
        <v/>
      </c>
      <c r="D837">
        <f>IF(Skills!C30=1,60+(Inputs!$B$25+1)+Inputs!$B$29,IF(Skills!C30=2,90+Inputs!$B$26+Inputs!$B$29,IF(Skills!C30=3,120+Inputs!$B$27+Inputs!$B$29,MAX(0,(Inputs!$B$3-100)*3)+Inputs!$B$28+Inputs!$B$29)))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Skills!G30*IF(Skills!H30&gt;0,Skills!I30/Skills!H30,1)</f>
        <v/>
      </c>
      <c r="H837">
        <f>1-(1-Skills!J30/100)^Skills!K30</f>
        <v/>
      </c>
      <c r="I837" t="inlineStr">
        <is>
          <t>1</t>
        </is>
      </c>
      <c r="J837" t="inlineStr"/>
      <c r="K837" t="inlineStr"/>
      <c r="L837" t="inlineStr"/>
      <c r="M837" t="inlineStr"/>
      <c r="N837" t="inlineStr"/>
      <c r="O837">
        <f>(1-Summary!$B$11)*T837+Summary!$B$11*V837</f>
        <v/>
      </c>
      <c r="P837">
        <f>IF(B850=0,0,O837/B850)</f>
        <v/>
      </c>
      <c r="Q837" t="n">
        <v>0</v>
      </c>
      <c r="R837" t="n">
        <v>0</v>
      </c>
      <c r="S837">
        <f>IFERROR(O837/N837,0)</f>
        <v/>
      </c>
      <c r="T837" t="n">
        <v>0</v>
      </c>
      <c r="V837" t="n">
        <v>0</v>
      </c>
    </row>
    <row r="839">
      <c r="A839" t="inlineStr">
        <is>
          <t>Attack% Bucket Multiplier</t>
        </is>
      </c>
      <c r="B839">
        <f>(1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40">
      <c r="A840" t="inlineStr">
        <is>
          <t>Global Crit Rate Bonus %</t>
        </is>
      </c>
      <c r="B840">
        <f>(C823=TRUE)*20*IF(AND(Inputs!$B$38&lt;&gt;"pvp",Inputs!$B$43&gt;0),(((R823-1)*(Skills!T16*(1+Inputs!$B$34/100))+MIN((Skills!T16*(1+Inputs!$B$34/100)),MAX(0,Inputs!$B$43-((R823-1)*Skills!D16))))/Inputs!$B$43),IF(Inputs!$B$38="pvp",MIN((Skills!T16*(1+Inputs!$B$34/100)),15)/15,(Skills!T16*(1+Inputs!$B$34/100))/Skills!D16))</f>
        <v/>
      </c>
    </row>
    <row r="841">
      <c r="A841" t="inlineStr">
        <is>
          <t>Attack Speed Buff Bonus %</t>
        </is>
      </c>
      <c r="B841">
        <f>((C826=TRUE)*F826*IF(AND(Inputs!$B$38&lt;&gt;"pvp",Inputs!$B$43&gt;0),(((R826-1)*(Skills!T19*(1+Inputs!$B$34/100))+MIN((Skills!T19*(1+Inputs!$B$34/100)),MAX(0,Inputs!$B$43-((R826-1)*Skills!D19))))/Inputs!$B$43),IF(Inputs!$B$38="pvp",MIN((Skills!T19*(1+Inputs!$B$34/100)),15)/15,(Skills!T19*(1+Inputs!$B$34/100))/Skills!D19)))</f>
        <v/>
      </c>
    </row>
    <row r="842">
      <c r="A842" t="inlineStr">
        <is>
          <t>Actions Per Second</t>
        </is>
      </c>
      <c r="B842">
        <f>1+MIN(150,150*(1-(1-(Inputs!$B$11+((C828=TRUE)*(F828-Calc!F21))+((C829=TRUE)*(F829-Calc!F22)))/150)*(1-B841/150)))/100</f>
        <v/>
      </c>
    </row>
    <row r="843">
      <c r="A843" t="inlineStr">
        <is>
          <t>Skill + Buff Cast Rate</t>
        </is>
      </c>
      <c r="B843">
        <f>IF(AND(Inputs!$B$38&lt;&gt;"pvp",Inputs!$B$43&gt;0),SUMPRODUCT((Skills!E2:E30=TRUE)*(C809:C837=TRUE)*R809:R837*Skills!F2:F30)/Inputs!$B$43,SUMPRODUCT((Skills!E2:E30=TRUE)*(C809:C837=TRUE)*Q809:Q837*Skills!F2:F30))</f>
        <v/>
      </c>
    </row>
    <row r="844">
      <c r="A844" t="inlineStr">
        <is>
          <t>Arrow Stream Casts Per Second</t>
        </is>
      </c>
      <c r="B844">
        <f>MAX(0,B842-B843)</f>
        <v/>
      </c>
    </row>
    <row r="845">
      <c r="A845" t="inlineStr">
        <is>
          <t>Global Critical Damage Bonus % (Sharp Eyes + Concentration)</t>
        </is>
      </c>
      <c r="B845">
        <f>(C823=TRUE)*F823*IF(AND(Inputs!$B$38&lt;&gt;"pvp",Inputs!$B$43&gt;0),(((R823-1)*(Skills!T16*(1+Inputs!$B$34/100))+MIN((Skills!T16*(1+Inputs!$B$34/100)),MAX(0,Inputs!$B$43-((R823-1)*Skills!D16))))/Inputs!$B$43),IF(Inputs!$B$38="pvp",MIN((Skills!T16*(1+Inputs!$B$34/100)),15)/15,(Skills!T16*(1+Inputs!$B$34/100))/Skills!D16))+(C824=TRUE)*30</f>
        <v/>
      </c>
    </row>
    <row r="846">
      <c r="A846" t="inlineStr">
        <is>
          <t>Global Final Damage Bonus % (Mortal Blow)</t>
        </is>
      </c>
      <c r="B846">
        <f>(C825=TRUE)*F825</f>
        <v/>
      </c>
    </row>
    <row r="847">
      <c r="A847" t="inlineStr">
        <is>
          <t>Buff-Casting Startup Delay (s, fixed-duration only)</t>
        </is>
      </c>
      <c r="B847">
        <f>IF(AND(Inputs!$B$38&lt;&gt;"pvp",Inputs!$B$43&gt;0),SUMPRODUCT((Skills!T2:T30&gt;0)*(Skills!E2:E30=TRUE)*(C809:C837=TRUE))/B842,0)</f>
        <v/>
      </c>
    </row>
    <row r="848">
      <c r="A848" t="inlineStr">
        <is>
          <t>Boss-Only Total DPS (this block's swept value)</t>
        </is>
      </c>
      <c r="B848">
        <f>SUM(T809:T837)</f>
        <v/>
      </c>
    </row>
    <row r="849">
      <c r="A849" t="inlineStr">
        <is>
          <t>Normal-Only Total DPS (this block's swept value)</t>
        </is>
      </c>
      <c r="B849">
        <f>SUM(V809:V837)</f>
        <v/>
      </c>
    </row>
    <row r="850">
      <c r="A850" s="6" t="inlineStr">
        <is>
          <t>TOTAL DPS</t>
        </is>
      </c>
      <c r="B850" s="6">
        <f>SUM(O809:O837)</f>
        <v/>
      </c>
    </row>
    <row r="853">
      <c r="A853" s="6" t="inlineStr">
        <is>
          <t>Stat: Skill Level Bonus — 2nd Job</t>
        </is>
      </c>
    </row>
    <row r="854">
      <c r="A854" s="5" t="inlineStr">
        <is>
          <t>Key</t>
        </is>
      </c>
      <c r="B854" s="5" t="inlineStr">
        <is>
          <t>Name</t>
        </is>
      </c>
      <c r="C854" s="5" t="inlineStr">
        <is>
          <t>Unlocked</t>
        </is>
      </c>
      <c r="D854" s="5" t="inlineStr">
        <is>
          <t>InputLevel</t>
        </is>
      </c>
      <c r="E854" s="5" t="inlineStr">
        <is>
          <t>Factor</t>
        </is>
      </c>
      <c r="F854" s="5" t="inlineStr">
        <is>
          <t>CoefficientPercent</t>
        </is>
      </c>
      <c r="G854" s="5" t="inlineStr">
        <is>
          <t>EffectiveHits</t>
        </is>
      </c>
      <c r="H854" s="5" t="inlineStr">
        <is>
          <t>ProcProbability</t>
        </is>
      </c>
      <c r="I854" s="5" t="inlineStr">
        <is>
          <t>MapleHeroMultiplier</t>
        </is>
      </c>
      <c r="J854" s="5" t="inlineStr">
        <is>
          <t>BaseDamage</t>
        </is>
      </c>
      <c r="K854" s="5" t="inlineStr">
        <is>
          <t>BaseHitDamage</t>
        </is>
      </c>
      <c r="L854" s="5" t="inlineStr">
        <is>
          <t>NonCritAvg</t>
        </is>
      </c>
      <c r="M854" s="5" t="inlineStr">
        <is>
          <t>CritAvg</t>
        </is>
      </c>
      <c r="N854" s="5" t="inlineStr">
        <is>
          <t>ExpectedDamage(perHit)</t>
        </is>
      </c>
      <c r="O854" s="5" t="inlineStr">
        <is>
          <t>DPS</t>
        </is>
      </c>
      <c r="P854" s="5" t="inlineStr">
        <is>
          <t>% of Total</t>
        </is>
      </c>
      <c r="Q854" s="5" t="inlineStr">
        <is>
          <t>InvCooldown</t>
        </is>
      </c>
      <c r="R854" s="5" t="inlineStr">
        <is>
          <t>CastsInFight</t>
        </is>
      </c>
      <c r="S854" s="5"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877=TRUE)*(F877-Calc!F24)),(Inputs!$B$23+((C882=TRUE)*(F882-Calc!F29))+(IF(ArtifactsInput!$M$15,CHOOSE(ArtifactsInput!$N$15+1,25,30,35,40,45,50)/100*(Inputs!$B$11-Inputs!$B$11),0))))/100+(Inputs!$B$23+((C882=TRUE)*(F882-Calc!F29))+(IF(ArtifactsInput!$M$15,CHOOSE(ArtifactsInput!$N$15+1,25,30,35,40,45,50)/100*(Inputs!$B$11-Inputs!$B$11),0)))/100)/2</f>
        <v/>
      </c>
      <c r="M855">
        <f>L855*(1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IF(B896=0,0,O855/B896)</f>
        <v/>
      </c>
      <c r="Q855" t="n">
        <v>0</v>
      </c>
      <c r="R855" t="n">
        <v>0</v>
      </c>
      <c r="S855">
        <f>IFERROR(O855/N855,0)</f>
        <v/>
      </c>
      <c r="T855">
        <f>IF(C855,(Skills!G2*N855*B890)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855*(1-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MAX(0,(Inputs!$B$3-100)*3)+Inputs!$B$28+Inputs!$B$29</f>
        <v/>
      </c>
      <c r="V855">
        <f>IF(C855,(Skills!G2*N855*B890)*IF(Inputs!$B$38="pvp",1,(1+(Inputs!$B$21+Skills!Q2+(IF(ArtifactsInput!$M$33,CHOOSE(ArtifactsInput!$N$33+1,30,36,42,48,54,60),0))+(IF(AND(ArtifactsInput!$M$35,Inputs!$B$4&lt;&gt;"Chapter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Skills!A3</f>
        <v/>
      </c>
      <c r="B856">
        <f>Skills!B3</f>
        <v/>
      </c>
      <c r="C856">
        <f>Inputs!$B$3&gt;=50</f>
        <v/>
      </c>
      <c r="D856">
        <f>IF(Skills!C3=1,60+Inputs!$B$25+Inputs!$B$29,IF(Skills!C3=2,90+(Inputs!$B$26+1)+Inputs!$B$29,IF(Skills!C3=3,120+Inputs!$B$27+Inputs!$B$29,MAX(0,(Inputs!$B$3-100)*3)+Inputs!$B$28+Inputs!$B$29)))</f>
        <v/>
      </c>
      <c r="E856">
        <f>INDEX(FactorTable!$B$2:$Y$301, MATCH(ROUND(MIN(300,MAX(1,D856)),0), FactorTable!$A$2:$A$301,0), Skills!M3+1)</f>
        <v/>
      </c>
      <c r="F856">
        <f>IF(Skills!N3=TRUE,(Skills!L3/10)*(E856/1000),Skills!L3/10)+Skills!O3</f>
        <v/>
      </c>
      <c r="G856" t="inlineStr"/>
      <c r="H856" t="inlineStr"/>
      <c r="I856" t="inlineStr">
        <is>
          <t>1</t>
        </is>
      </c>
      <c r="J856" t="inlineStr"/>
      <c r="K856" t="inlineStr"/>
      <c r="L856" t="inlineStr"/>
      <c r="M856" t="inlineStr"/>
      <c r="N856" t="inlineStr"/>
      <c r="O856" t="inlineStr"/>
      <c r="P856" t="inlineStr"/>
      <c r="Q856" t="inlineStr"/>
      <c r="R856" t="inlineStr"/>
      <c r="S856" t="inlineStr"/>
      <c r="T856" t="inlineStr"/>
      <c r="U856">
        <f>INDEX(FactorTable!$B$2:$Y$301, MATCH(ROUND(MIN(300,MAX(1,U855)),0), FactorTable!$A$2:$A$301,0), 22)</f>
        <v/>
      </c>
      <c r="V856" t="inlineStr"/>
    </row>
    <row r="857">
      <c r="A857">
        <f>Skills!A4</f>
        <v/>
      </c>
      <c r="B857">
        <f>Skills!B4</f>
        <v/>
      </c>
      <c r="C857">
        <f>Inputs!$B$3&gt;=105</f>
        <v/>
      </c>
      <c r="D857">
        <f>IF(Skills!C4=1,60+Inputs!$B$25+Inputs!$B$29,IF(Skills!C4=2,90+(Inputs!$B$26+1)+Inputs!$B$29,IF(Skills!C4=3,120+Inputs!$B$27+Inputs!$B$29,MAX(0,(Inputs!$B$3-100)*3)+Inputs!$B$28+Inputs!$B$29)))</f>
        <v/>
      </c>
      <c r="E857">
        <f>INDEX(FactorTable!$B$2:$Y$301, MATCH(ROUND(MIN(300,MAX(1,D857)),0), FactorTable!$A$2:$A$301,0), Skills!M4+1)</f>
        <v/>
      </c>
      <c r="F857">
        <f>IF(Skills!N4=TRUE,(Skills!L4/10)*(E857/1000),Skills!L4/10)+Skills!O4</f>
        <v/>
      </c>
      <c r="G857" t="inlineStr"/>
      <c r="H857" t="inlineStr"/>
      <c r="I857" t="inlineStr">
        <is>
          <t>1</t>
        </is>
      </c>
      <c r="J857" t="inlineStr"/>
      <c r="K857" t="inlineStr"/>
      <c r="L857" t="inlineStr"/>
      <c r="M857" t="inlineStr"/>
      <c r="N857" t="inlineStr"/>
      <c r="O857" t="inlineStr"/>
      <c r="P857" t="inlineStr"/>
      <c r="Q857" t="inlineStr"/>
      <c r="R857" t="inlineStr"/>
      <c r="S857" t="inlineStr"/>
      <c r="T857" t="inlineStr"/>
      <c r="U857">
        <f>290*U856/1000</f>
        <v/>
      </c>
      <c r="V857" t="inlineStr"/>
    </row>
    <row r="858">
      <c r="A858">
        <f>Skills!A5</f>
        <v/>
      </c>
      <c r="B858">
        <f>Skills!B5</f>
        <v/>
      </c>
      <c r="C858">
        <f>Inputs!$B$3&gt;=35</f>
        <v/>
      </c>
      <c r="D858">
        <f>IF(Skills!C5=1,60+Inputs!$B$25+Inputs!$B$29,IF(Skills!C5=2,90+(Inputs!$B$26+1)+Inputs!$B$29,IF(Skills!C5=3,120+Inputs!$B$27+Inputs!$B$29,MAX(0,(Inputs!$B$3-100)*3)+Inputs!$B$28+Inputs!$B$29)))</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((Inputs!$B$6*(1+Inputs!$B$7/100))+(((Inputs!$B$12*(1+Inputs!$B$13/100))-(Inputs!$B$12*(1+Inputs!$B$13/100)))+0.25*(Inputs!$B$14-Inputs!$B$14))*(1+Inputs!$B$7/100))*(F858/100)</f>
        <v/>
      </c>
      <c r="K858">
        <f>J858*(1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863=TRUE,F863,0)/100)*(1+(IF(Skills!A5="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877=TRUE)*(F877-Calc!F24)),(Inputs!$B$23+((C882=TRUE)*(F882-Calc!F29))+(IF(ArtifactsInput!$M$15,CHOOSE(ArtifactsInput!$N$15+1,25,30,35,40,45,50)/100*(Inputs!$B$11-Inputs!$B$11),0))))/100+(Inputs!$B$23+((C882=TRUE)*(F882-Calc!F29))+(IF(ArtifactsInput!$M$15,CHOOSE(ArtifactsInput!$N$15+1,25,30,35,40,45,50)/100*(Inputs!$B$11-Inputs!$B$11),0)))/100)/2</f>
        <v/>
      </c>
      <c r="M858">
        <f>L858*(1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IF(B896=0,0,O858/B896)</f>
        <v/>
      </c>
      <c r="Q858">
        <f>IFERROR(1/(IF(Inputs!$B$38="pvp",15,MAX(0.1,Skills!D5-IF(Skills!E5=TRUE,Inputs!$B$32,0)))*(1-IF(AND(ArtifactsInput!$M$27,Inputs!$B$4="Chapter Hunt"),CHOOSE(ArtifactsInput!$N$27+1,20,24,28,32,36,40),0)/100)),0)</f>
        <v/>
      </c>
      <c r="R858">
        <f>IF(AND(Inputs!$B$38&lt;&gt;"pvp",Inputs!$B$43&gt;0),IF(MAX(0,Inputs!$B$43-B893)&lt;=0,0,(INT(MAX(0,Inputs!$B$43-B893)/(IF(Inputs!$B$38="pvp",15,MAX(0.1,Skills!D5-IF(Skills!E5=TRUE,Inputs!$B$32,0)))*(1-IF(AND(ArtifactsInput!$M$27,Inputs!$B$4="Chapter Hunt"),CHOOSE(ArtifactsInput!$N$27+1,20,24,28,32,36,40),0)/100)))+1)),0)</f>
        <v/>
      </c>
      <c r="S858">
        <f>IFERROR(O858/N858,0)</f>
        <v/>
      </c>
      <c r="T858">
        <f>IF(C858,(H858*N858*IF(AND(Inputs!$B$38&lt;&gt;"pvp",Inputs!$B$43&gt;0),((Skills!G5*((R858-1)*IF(Skills!H5&gt;0,Skills!I5/Skills!H5,1)+IF(Skills!H5&gt;0,MIN(Skills!I5,MAX(0,MAX(0,Inputs!$B$43-B893)-((R858-1)*(IF(Inputs!$B$38="pvp",15,MAX(0.1,Skills!D5-IF(Skills!E5=TRUE,Inputs!$B$32,0)))*(1-IF(AND(ArtifactsInput!$M$27,Inputs!$B$4="Chapter Hunt"),CHOOSE(ArtifactsInput!$N$27+1,20,24,28,32,36,40),0)/100)))))/Skills!H5,1)))/Inputs!$B$43),G858*Q858)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858*(1-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5*((R858-1)*IF(Skills!H5&gt;0,Skills!I5/Skills!H5,1)+IF(Skills!H5&gt;0,MIN(Skills!I5,MAX(0,MAX(0,Inputs!$B$43-B893)-((R858-1)*(IF(Inputs!$B$38="pvp",15,MAX(0.1,Skills!D5-IF(Skills!E5=TRUE,Inputs!$B$32,0)))*(1-IF(AND(ArtifactsInput!$M$27,Inputs!$B$4="Chapter Hunt"),CHOOSE(ArtifactsInput!$N$27+1,20,24,28,32,36,40),0)/100)))))/Skills!H5,1)))/Inputs!$B$43),G858*Q858))*IF(Inputs!$B$38="pvp",1,(1+(Inputs!$B$21+Skills!Q5+(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Skills!A6</f>
        <v/>
      </c>
      <c r="B859">
        <f>Skills!B6</f>
        <v/>
      </c>
      <c r="C859">
        <f>Inputs!$B$3&gt;=40</f>
        <v/>
      </c>
      <c r="D859">
        <f>IF(Skills!C6=1,60+Inputs!$B$25+Inputs!$B$29,IF(Skills!C6=2,90+(Inputs!$B$26+1)+Inputs!$B$29,IF(Skills!C6=3,120+Inputs!$B$27+Inputs!$B$29,MAX(0,(Inputs!$B$3-100)*3)+Inputs!$B$28+Inputs!$B$29)))</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860=TRUE,F860,0)/100)*(1+(IF(Skills!A6="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877=TRUE)*(F877-Calc!F24)),(Inputs!$B$23+((C882=TRUE)*(F882-Calc!F29))+(IF(ArtifactsInput!$M$15,CHOOSE(ArtifactsInput!$N$15+1,25,30,35,40,45,50)/100*(Inputs!$B$11-Inputs!$B$11),0))))/100+(Inputs!$B$23+((C882=TRUE)*(F882-Calc!F29))+(IF(ArtifactsInput!$M$15,CHOOSE(ArtifactsInput!$N$15+1,25,30,35,40,45,50)/100*(Inputs!$B$11-Inputs!$B$11),0)))/100)/2</f>
        <v/>
      </c>
      <c r="M859">
        <f>L859*(1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IF(B896=0,0,O859/B896)</f>
        <v/>
      </c>
      <c r="Q859">
        <f>IFERROR(1/(IF(Inputs!$B$38="pvp",15,MAX(0.1,Skills!D6-IF(Skills!E6=TRUE,Inputs!$B$32,0)))*(1-IF(AND(ArtifactsInput!$M$27,Inputs!$B$4="Chapter Hunt"),CHOOSE(ArtifactsInput!$N$27+1,20,24,28,32,36,40),0)/100)),0)</f>
        <v/>
      </c>
      <c r="R859">
        <f>IF(AND(Inputs!$B$38&lt;&gt;"pvp",Inputs!$B$43&gt;0),IF(MAX(0,Inputs!$B$43-B893)&lt;=0,0,(INT(MAX(0,Inputs!$B$43-B893)/(IF(Inputs!$B$38="pvp",15,MAX(0.1,Skills!D6-IF(Skills!E6=TRUE,Inputs!$B$32,0)))*(1-IF(AND(ArtifactsInput!$M$27,Inputs!$B$4="Chapter Hunt"),CHOOSE(ArtifactsInput!$N$27+1,20,24,28,32,36,40),0)/100)))+1)),0)</f>
        <v/>
      </c>
      <c r="S859">
        <f>IFERROR(O859/N859,0)</f>
        <v/>
      </c>
      <c r="T859">
        <f>IF(C859,(H859*N859*IF(AND(Inputs!$B$38&lt;&gt;"pvp",Inputs!$B$43&gt;0),((Skills!G6*((R859-1)*IF(Skills!H6&gt;0,Skills!I6/Skills!H6,1)+IF(Skills!H6&gt;0,MIN(Skills!I6,MAX(0,MAX(0,Inputs!$B$43-B893)-((R859-1)*(IF(Inputs!$B$38="pvp",15,MAX(0.1,Skills!D6-IF(Skills!E6=TRUE,Inputs!$B$32,0)))*(1-IF(AND(ArtifactsInput!$M$27,Inputs!$B$4="Chapter Hunt"),CHOOSE(ArtifactsInput!$N$27+1,20,24,28,32,36,40),0)/100)))))/Skills!H6,1)))/Inputs!$B$43),G859*Q859)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859*(1-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6*((R859-1)*IF(Skills!H6&gt;0,Skills!I6/Skills!H6,1)+IF(Skills!H6&gt;0,MIN(Skills!I6,MAX(0,MAX(0,Inputs!$B$43-B893)-((R859-1)*(IF(Inputs!$B$38="pvp",15,MAX(0.1,Skills!D6-IF(Skills!E6=TRUE,Inputs!$B$32,0)))*(1-IF(AND(ArtifactsInput!$M$27,Inputs!$B$4="Chapter Hunt"),CHOOSE(ArtifactsInput!$N$27+1,20,24,28,32,36,40),0)/100)))))/Skills!H6,1)))/Inputs!$B$43),G859*Q859))*IF(Inputs!$B$38="pvp",1,(1+(Inputs!$B$21+Skills!Q6+(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Skills!A7</f>
        <v/>
      </c>
      <c r="B860">
        <f>Skills!B7</f>
        <v/>
      </c>
      <c r="C860">
        <f>Inputs!$B$3&gt;=107</f>
        <v/>
      </c>
      <c r="D860">
        <f>IF(Skills!C7=1,60+Inputs!$B$25+Inputs!$B$29,IF(Skills!C7=2,90+(Inputs!$B$26+1)+Inputs!$B$29,IF(Skills!C7=3,120+Inputs!$B$27+Inputs!$B$29,MAX(0,(Inputs!$B$3-100)*3)+Inputs!$B$28+Inputs!$B$29)))</f>
        <v/>
      </c>
      <c r="E860">
        <f>INDEX(FactorTable!$B$2:$Y$301, MATCH(ROUND(MIN(300,MAX(1,D860)),0), FactorTable!$A$2:$A$301,0), Skills!M7+1)</f>
        <v/>
      </c>
      <c r="F860">
        <f>IF(Skills!N7=TRUE,(Skills!L7/10)*(E860/1000),Skills!L7/10)+Skills!O7</f>
        <v/>
      </c>
      <c r="G860" t="inlineStr"/>
      <c r="H860" t="inlineStr"/>
      <c r="I860" t="inlineStr">
        <is>
          <t>1</t>
        </is>
      </c>
      <c r="J860" t="inlineStr"/>
      <c r="K860" t="inlineStr"/>
      <c r="L860" t="inlineStr"/>
      <c r="M860" t="inlineStr"/>
      <c r="N860" t="inlineStr"/>
      <c r="O860" t="inlineStr"/>
      <c r="P860" t="inlineStr"/>
      <c r="Q860" t="inlineStr"/>
      <c r="R860" t="inlineStr"/>
      <c r="S860" t="inlineStr"/>
      <c r="T860" t="inlineStr"/>
      <c r="V860" t="inlineStr"/>
    </row>
    <row r="861">
      <c r="A861">
        <f>Skills!A8</f>
        <v/>
      </c>
      <c r="B861">
        <f>Skills!B8</f>
        <v/>
      </c>
      <c r="C861">
        <f>Inputs!$B$3&gt;=69</f>
        <v/>
      </c>
      <c r="D861">
        <f>IF(Skills!C8=1,60+Inputs!$B$25+Inputs!$B$29,IF(Skills!C8=2,90+(Inputs!$B$26+1)+Inputs!$B$29,IF(Skills!C8=3,120+Inputs!$B$27+Inputs!$B$29,MAX(0,(Inputs!$B$3-100)*3)+Inputs!$B$28+Inputs!$B$29)))</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863=TRUE,F863,0)/100)*(1+(IF(Skills!A8="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877=TRUE)*(F877-Calc!F24)),(Inputs!$B$23+((C882=TRUE)*(F882-Calc!F29))+(IF(ArtifactsInput!$M$15,CHOOSE(ArtifactsInput!$N$15+1,25,30,35,40,45,50)/100*(Inputs!$B$11-Inputs!$B$11),0))))/100+(Inputs!$B$23+((C882=TRUE)*(F882-Calc!F29))+(IF(ArtifactsInput!$M$15,CHOOSE(ArtifactsInput!$N$15+1,25,30,35,40,45,50)/100*(Inputs!$B$11-Inputs!$B$11),0)))/100)/2</f>
        <v/>
      </c>
      <c r="M861">
        <f>L861*(1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IF(B896=0,0,O861/B896)</f>
        <v/>
      </c>
      <c r="Q861">
        <f>IFERROR(1/(IF(Inputs!$B$38="pvp",15,MAX(0.1,Skills!D8-IF(Skills!E8=TRUE,Inputs!$B$32,0)))*(1-IF(AND(ArtifactsInput!$M$27,Inputs!$B$4="Chapter Hunt"),CHOOSE(ArtifactsInput!$N$27+1,20,24,28,32,36,40),0)/100)),0)</f>
        <v/>
      </c>
      <c r="R861">
        <f>IF(AND(Inputs!$B$38&lt;&gt;"pvp",Inputs!$B$43&gt;0),IF(MAX(0,Inputs!$B$43-B893)&lt;=0,0,(INT(MAX(0,Inputs!$B$43-B893)/(IF(Inputs!$B$38="pvp",15,MAX(0.1,Skills!D8-IF(Skills!E8=TRUE,Inputs!$B$32,0)))*(1-IF(AND(ArtifactsInput!$M$27,Inputs!$B$4="Chapter Hunt"),CHOOSE(ArtifactsInput!$N$27+1,20,24,28,32,36,40),0)/100)))+1)),0)</f>
        <v/>
      </c>
      <c r="S861">
        <f>IFERROR(O861/N861,0)</f>
        <v/>
      </c>
      <c r="T861">
        <f>IF(C861,(H861*N861*IF(AND(Inputs!$B$38&lt;&gt;"pvp",Inputs!$B$43&gt;0),((Skills!G8*((R861-1)*IF(Skills!H8&gt;0,Skills!I8/Skills!H8,1)+IF(Skills!H8&gt;0,MIN(Skills!I8,MAX(0,MAX(0,Inputs!$B$43-B893)-((R861-1)*(IF(Inputs!$B$38="pvp",15,MAX(0.1,Skills!D8-IF(Skills!E8=TRUE,Inputs!$B$32,0)))*(1-IF(AND(ArtifactsInput!$M$27,Inputs!$B$4="Chapter Hunt"),CHOOSE(ArtifactsInput!$N$27+1,20,24,28,32,36,40),0)/100)))))/Skills!H8,1)))/Inputs!$B$43),G861*Q861)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861*(1-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8*((R861-1)*IF(Skills!H8&gt;0,Skills!I8/Skills!H8,1)+IF(Skills!H8&gt;0,MIN(Skills!I8,MAX(0,MAX(0,Inputs!$B$43-B893)-((R861-1)*(IF(Inputs!$B$38="pvp",15,MAX(0.1,Skills!D8-IF(Skills!E8=TRUE,Inputs!$B$32,0)))*(1-IF(AND(ArtifactsInput!$M$27,Inputs!$B$4="Chapter Hunt"),CHOOSE(ArtifactsInput!$N$27+1,20,24,28,32,36,40),0)/100)))))/Skills!H8,1)))/Inputs!$B$43),G861*Q861))*IF(Inputs!$B$38="pvp",1,(1+(Inputs!$B$21+Skills!Q8+(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Skills!A9</f>
        <v/>
      </c>
      <c r="B862">
        <f>Skills!B9</f>
        <v/>
      </c>
      <c r="C862">
        <f>Inputs!$B$3&gt;=63</f>
        <v/>
      </c>
      <c r="D862">
        <f>IF(Skills!C9=1,60+Inputs!$B$25+Inputs!$B$29,IF(Skills!C9=2,90+(Inputs!$B$26+1)+Inputs!$B$29,IF(Skills!C9=3,120+Inputs!$B$27+Inputs!$B$29,MAX(0,(Inputs!$B$3-100)*3)+Inputs!$B$28+Inputs!$B$29)))</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9="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877=TRUE)*(F877-Calc!F24)),(Inputs!$B$23+((C882=TRUE)*(F882-Calc!F29))+(IF(ArtifactsInput!$M$15,CHOOSE(ArtifactsInput!$N$15+1,25,30,35,40,45,50)/100*(Inputs!$B$11-Inputs!$B$11),0))))/100+(Inputs!$B$23+((C882=TRUE)*(F882-Calc!F29))+(IF(ArtifactsInput!$M$15,CHOOSE(ArtifactsInput!$N$15+1,25,30,35,40,45,50)/100*(Inputs!$B$11-Inputs!$B$11),0)))/100)/2</f>
        <v/>
      </c>
      <c r="M862">
        <f>L862*(1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IF(B896=0,0,O862/B896)</f>
        <v/>
      </c>
      <c r="Q862">
        <f>IFERROR(1/(IF(Inputs!$B$38="pvp",15,MAX(0.1,Skills!D9-IF(Skills!E9=TRUE,Inputs!$B$32,0)))*(1-IF(AND(ArtifactsInput!$M$27,Inputs!$B$4="Chapter Hunt"),CHOOSE(ArtifactsInput!$N$27+1,20,24,28,32,36,40),0)/100)),0)</f>
        <v/>
      </c>
      <c r="R862">
        <f>IF(AND(Inputs!$B$38&lt;&gt;"pvp",Inputs!$B$43&gt;0),IF(MAX(0,Inputs!$B$43-B893)&lt;=0,0,(INT(MAX(0,Inputs!$B$43-B893)/(IF(Inputs!$B$38="pvp",15,MAX(0.1,Skills!D9-IF(Skills!E9=TRUE,Inputs!$B$32,0)))*(1-IF(AND(ArtifactsInput!$M$27,Inputs!$B$4="Chapter Hunt"),CHOOSE(ArtifactsInput!$N$27+1,20,24,28,32,36,40),0)/100)))+1)),0)</f>
        <v/>
      </c>
      <c r="S862">
        <f>IFERROR(O862/N862,0)</f>
        <v/>
      </c>
      <c r="T862">
        <f>IF(C862,(H862*N862*IF(AND(Inputs!$B$38&lt;&gt;"pvp",Inputs!$B$43&gt;0),((Skills!G9*((R862-1)*IF(Skills!H9&gt;0,Skills!I9/Skills!H9,1)+IF(Skills!H9&gt;0,MIN(Skills!I9,MAX(0,MAX(0,Inputs!$B$43-B893)-((R862-1)*(IF(Inputs!$B$38="pvp",15,MAX(0.1,Skills!D9-IF(Skills!E9=TRUE,Inputs!$B$32,0)))*(1-IF(AND(ArtifactsInput!$M$27,Inputs!$B$4="Chapter Hunt"),CHOOSE(ArtifactsInput!$N$27+1,20,24,28,32,36,40),0)/100)))))/Skills!H9,1)))/Inputs!$B$43),G862*Q862)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862*(1-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9*((R862-1)*IF(Skills!H9&gt;0,Skills!I9/Skills!H9,1)+IF(Skills!H9&gt;0,MIN(Skills!I9,MAX(0,MAX(0,Inputs!$B$43-B893)-((R862-1)*(IF(Inputs!$B$38="pvp",15,MAX(0.1,Skills!D9-IF(Skills!E9=TRUE,Inputs!$B$32,0)))*(1-IF(AND(ArtifactsInput!$M$27,Inputs!$B$4="Chapter Hunt"),CHOOSE(ArtifactsInput!$N$27+1,20,24,28,32,36,40),0)/100)))))/Skills!H9,1)))/Inputs!$B$43),G862*Q862))*IF(Inputs!$B$38="pvp",1,(1+(Inputs!$B$21+Skills!Q9+(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Skills!A10</f>
        <v/>
      </c>
      <c r="B863">
        <f>Skills!B10</f>
        <v/>
      </c>
      <c r="C863">
        <f>Inputs!$B$3&gt;=100</f>
        <v/>
      </c>
      <c r="D863">
        <f>IF(Skills!C10=1,60+Inputs!$B$25+Inputs!$B$29,IF(Skills!C10=2,90+(Inputs!$B$26+1)+Inputs!$B$29,IF(Skills!C10=3,120+Inputs!$B$27+Inputs!$B$29,MAX(0,(Inputs!$B$3-100)*3)+Inputs!$B$28+Inputs!$B$29)))</f>
        <v/>
      </c>
      <c r="E863">
        <f>INDEX(FactorTable!$B$2:$Y$301, MATCH(ROUND(MIN(300,MAX(1,D863)),0), FactorTable!$A$2:$A$301,0), Skills!M10+1)</f>
        <v/>
      </c>
      <c r="F863">
        <f>IF(Skills!N10=TRUE,(Skills!L10/10)*(E863/1000),Skills!L10/10)+Skills!O10</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Skills!A11</f>
        <v/>
      </c>
      <c r="B864">
        <f>Skills!B11</f>
        <v/>
      </c>
      <c r="C864">
        <f>Inputs!$B$3&gt;=60</f>
        <v/>
      </c>
      <c r="D864">
        <f>IF(Skills!C11=1,60+Inputs!$B$25+Inputs!$B$29,IF(Skills!C11=2,90+(Inputs!$B$26+1)+Inputs!$B$29,IF(Skills!C11=3,120+Inputs!$B$27+Inputs!$B$29,MAX(0,(Inputs!$B$3-100)*3)+Inputs!$B$28+Inputs!$B$29)))</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Skills!A11="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C877=TRUE)*(F877-Calc!F24)),(Inputs!$B$23+((C882=TRUE)*(F882-Calc!F29))+(IF(ArtifactsInput!$M$15,CHOOSE(ArtifactsInput!$N$15+1,25,30,35,40,45,50)/100*(Inputs!$B$11-Inputs!$B$11),0))))/100+(Inputs!$B$23+((C882=TRUE)*(F882-Calc!F29))+(IF(ArtifactsInput!$M$15,CHOOSE(ArtifactsInput!$N$15+1,25,30,35,40,45,50)/100*(Inputs!$B$11-Inputs!$B$11),0)))/100)/2</f>
        <v/>
      </c>
      <c r="M864">
        <f>L864*(1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(1-Summary!$B$11)*T864+Summary!$B$11*V864</f>
        <v/>
      </c>
      <c r="P864">
        <f>IF(B896=0,0,O864/B896)</f>
        <v/>
      </c>
      <c r="Q864">
        <f>IFERROR(1/(IF(Inputs!$B$38="pvp",15,MAX(0.1,Skills!D11-IF(Skills!E11=TRUE,Inputs!$B$32,0)))*(1-IF(AND(ArtifactsInput!$M$27,Inputs!$B$4="Chapter Hunt"),CHOOSE(ArtifactsInput!$N$27+1,20,24,28,32,36,40),0)/100)),0)</f>
        <v/>
      </c>
      <c r="R864">
        <f>IF(AND(Inputs!$B$38&lt;&gt;"pvp",Inputs!$B$43&gt;0),IF(MAX(0,Inputs!$B$43-B893)&lt;=0,0,(INT(MAX(0,Inputs!$B$43-B893)/(IF(Inputs!$B$38="pvp",15,MAX(0.1,Skills!D11-IF(Skills!E11=TRUE,Inputs!$B$32,0)))*(1-IF(AND(ArtifactsInput!$M$27,Inputs!$B$4="Chapter Hunt"),CHOOSE(ArtifactsInput!$N$27+1,20,24,28,32,36,40),0)/100)))+1)),0)</f>
        <v/>
      </c>
      <c r="S864">
        <f>IFERROR(O864/N864,0)</f>
        <v/>
      </c>
      <c r="T864">
        <f>IF(C864,(H864*N864*IF(AND(Inputs!$B$38&lt;&gt;"pvp",Inputs!$B$43&gt;0),((Skills!G11*((R864-1)*IF(Skills!H11&gt;0,Skills!I11/Skills!H11,1)+IF(Skills!H11&gt;0,MIN(Skills!I11,MAX(0,MAX(0,Inputs!$B$43-B893)-((R864-1)*(IF(Inputs!$B$38="pvp",15,MAX(0.1,Skills!D11-IF(Skills!E11=TRUE,Inputs!$B$32,0)))*(1-IF(AND(ArtifactsInput!$M$27,Inputs!$B$4="Chapter Hunt"),CHOOSE(ArtifactsInput!$N$27+1,20,24,28,32,36,40),0)/100)))))/Skills!H11,1)))/Inputs!$B$43),G864*Q864)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864*(1-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4">
        <f>IF(C864,(H864*N864*IF(AND(Inputs!$B$38&lt;&gt;"pvp",Inputs!$B$43&gt;0),((Skills!G11*((R864-1)*IF(Skills!H11&gt;0,Skills!I11/Skills!H11,1)+IF(Skills!H11&gt;0,MIN(Skills!I11,MAX(0,MAX(0,Inputs!$B$43-B893)-((R864-1)*(IF(Inputs!$B$38="pvp",15,MAX(0.1,Skills!D11-IF(Skills!E11=TRUE,Inputs!$B$32,0)))*(1-IF(AND(ArtifactsInput!$M$27,Inputs!$B$4="Chapter Hunt"),CHOOSE(ArtifactsInput!$N$27+1,20,24,28,32,36,40),0)/100)))))/Skills!H11,1)))/Inputs!$B$43),G864*Q864))*IF(Inputs!$B$38="pvp",1,(1+(Inputs!$B$21+Skills!Q11+(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5">
      <c r="A865">
        <f>Skills!A12</f>
        <v/>
      </c>
      <c r="B865">
        <f>Skills!B12</f>
        <v/>
      </c>
      <c r="C865">
        <f>Inputs!$B$3&gt;=110</f>
        <v/>
      </c>
      <c r="D865">
        <f>IF(Skills!C12=1,60+Inputs!$B$25+Inputs!$B$29,IF(Skills!C12=2,90+(Inputs!$B$26+1)+Inputs!$B$29,IF(Skills!C12=3,120+Inputs!$B$27+Inputs!$B$29,MAX(0,(Inputs!$B$3-100)*3)+Inputs!$B$28+Inputs!$B$29)))</f>
        <v/>
      </c>
      <c r="E865">
        <f>INDEX(FactorTable!$B$2:$Y$301, MATCH(ROUND(MIN(300,MAX(1,D865)),0), FactorTable!$A$2:$A$301,0), Skills!M12+1)</f>
        <v/>
      </c>
      <c r="F865">
        <f>IF(Skills!N12=TRUE,(Skills!L12/10)*(E865/1000),Skills!L12/10)+Skills!O12</f>
        <v/>
      </c>
      <c r="G865" t="inlineStr"/>
      <c r="H865" t="inlineStr"/>
      <c r="I865" t="inlineStr">
        <is>
          <t>1</t>
        </is>
      </c>
      <c r="J865" t="inlineStr"/>
      <c r="K865" t="inlineStr"/>
      <c r="L865" t="inlineStr"/>
      <c r="M865" t="inlineStr"/>
      <c r="N865" t="inlineStr"/>
      <c r="O865" t="inlineStr"/>
      <c r="P865" t="inlineStr"/>
      <c r="Q865" t="inlineStr"/>
      <c r="R865" t="inlineStr"/>
      <c r="S865" t="inlineStr"/>
      <c r="T865" t="inlineStr"/>
      <c r="V865" t="inlineStr"/>
    </row>
    <row r="866">
      <c r="A866">
        <f>Skills!A13</f>
        <v/>
      </c>
      <c r="B866">
        <f>Skills!B13</f>
        <v/>
      </c>
      <c r="C866">
        <f>Inputs!$B$3&gt;=74</f>
        <v/>
      </c>
      <c r="D866">
        <f>IF(Skills!C13=1,60+Inputs!$B$25+Inputs!$B$29,IF(Skills!C13=2,90+(Inputs!$B$26+1)+Inputs!$B$29,IF(Skills!C13=3,120+Inputs!$B$27+Inputs!$B$29,MAX(0,(Inputs!$B$3-100)*3)+Inputs!$B$28+Inputs!$B$29)))</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t="inlineStr"/>
      <c r="K866" t="inlineStr"/>
      <c r="L866" t="inlineStr"/>
      <c r="M866" t="inlineStr"/>
      <c r="N866" t="inlineStr"/>
      <c r="O866">
        <f>(1-Summary!$B$11)*T866+Summary!$B$11*V866</f>
        <v/>
      </c>
      <c r="P866">
        <f>IF(B896=0,0,O866/B896)</f>
        <v/>
      </c>
      <c r="Q866" t="n">
        <v>0</v>
      </c>
      <c r="R866" t="n">
        <v>0</v>
      </c>
      <c r="S866">
        <f>IFERROR(O866/N866,0)</f>
        <v/>
      </c>
      <c r="T866" t="n">
        <v>0</v>
      </c>
      <c r="V866" t="n">
        <v>0</v>
      </c>
    </row>
    <row r="867">
      <c r="A867">
        <f>Skills!A14</f>
        <v/>
      </c>
      <c r="B867">
        <f>Skills!B14</f>
        <v/>
      </c>
      <c r="C867">
        <f>Inputs!$B$3&gt;=74</f>
        <v/>
      </c>
      <c r="D867">
        <f>IF(Skills!C14=1,60+Inputs!$B$25+Inputs!$B$29,IF(Skills!C14=2,90+(Inputs!$B$26+1)+Inputs!$B$29,IF(Skills!C14=3,120+Inputs!$B$27+Inputs!$B$29,MAX(0,(Inputs!$B$3-100)*3)+Inputs!$B$28+Inputs!$B$29)))</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t="inlineStr"/>
      <c r="K867" t="inlineStr"/>
      <c r="L867" t="inlineStr"/>
      <c r="M867" t="inlineStr"/>
      <c r="N867" t="inlineStr"/>
      <c r="O867">
        <f>(1-Summary!$B$11)*T867+Summary!$B$11*V867</f>
        <v/>
      </c>
      <c r="P867">
        <f>IF(B896=0,0,O867/B896)</f>
        <v/>
      </c>
      <c r="Q867" t="n">
        <v>0</v>
      </c>
      <c r="R867" t="n">
        <v>0</v>
      </c>
      <c r="S867">
        <f>IFERROR(O867/N867,0)</f>
        <v/>
      </c>
      <c r="T867" t="n">
        <v>0</v>
      </c>
      <c r="V867" t="n">
        <v>0</v>
      </c>
    </row>
    <row r="868">
      <c r="A868">
        <f>Skills!A15</f>
        <v/>
      </c>
      <c r="B868">
        <f>Skills!B15</f>
        <v/>
      </c>
      <c r="C868">
        <f>Inputs!$B$3&gt;=117</f>
        <v/>
      </c>
      <c r="D868">
        <f>IF(Skills!C15=1,60+Inputs!$B$25+Inputs!$B$29,IF(Skills!C15=2,90+(Inputs!$B$26+1)+Inputs!$B$29,IF(Skills!C15=3,120+Inputs!$B$27+Inputs!$B$29,MAX(0,(Inputs!$B$3-100)*3)+Inputs!$B$28+Inputs!$B$29)))</f>
        <v/>
      </c>
      <c r="E868">
        <f>INDEX(FactorTable!$B$2:$Y$301, MATCH(ROUND(MIN(300,MAX(1,D868)),0), FactorTable!$A$2:$A$301,0), Skills!M15+1)</f>
        <v/>
      </c>
      <c r="F868">
        <f>IF(Skills!N15=TRUE,(Skills!L15/10)*(E868/1000),Skills!L15/10)+Skills!O15</f>
        <v/>
      </c>
      <c r="G868">
        <f>Skills!G15*IF(Skills!H15&gt;0,Skills!I15/Skills!H15,1)</f>
        <v/>
      </c>
      <c r="H868">
        <f>1-(1-Skills!J15/100)^Skills!K15</f>
        <v/>
      </c>
      <c r="I868" t="inlineStr">
        <is>
          <t>1</t>
        </is>
      </c>
      <c r="J868" t="inlineStr"/>
      <c r="K868" t="inlineStr"/>
      <c r="L868" t="inlineStr"/>
      <c r="M868" t="inlineStr"/>
      <c r="N868" t="inlineStr"/>
      <c r="O868">
        <f>(1-Summary!$B$11)*T868+Summary!$B$11*V868</f>
        <v/>
      </c>
      <c r="P868">
        <f>IF(B896=0,0,O868/B896)</f>
        <v/>
      </c>
      <c r="Q868">
        <f>IFERROR(1/(IF(Inputs!$B$38="pvp",15,MAX(0.1,Skills!D15-IF(Skills!E15=TRUE,Inputs!$B$32,0)))*(1-IF(AND(ArtifactsInput!$M$27,Inputs!$B$4="Chapter Hunt"),CHOOSE(ArtifactsInput!$N$27+1,20,24,28,32,36,40),0)/100)),0)</f>
        <v/>
      </c>
      <c r="R868">
        <f>IF(AND(Inputs!$B$38&lt;&gt;"pvp",Inputs!$B$43&gt;0),IF(Inputs!$B$43&lt;=0,0,(INT(Inputs!$B$43/(IF(Inputs!$B$38="pvp",15,MAX(0.1,Skills!D15-IF(Skills!E15=TRUE,Inputs!$B$32,0)))*(1-IF(AND(ArtifactsInput!$M$27,Inputs!$B$4="Chapter Hunt"),CHOOSE(ArtifactsInput!$N$27+1,20,24,28,32,36,40),0)/100)))+1)),0)</f>
        <v/>
      </c>
      <c r="S868">
        <f>IFERROR(O868/N868,0)</f>
        <v/>
      </c>
      <c r="T868" t="n">
        <v>0</v>
      </c>
      <c r="V868" t="n">
        <v>0</v>
      </c>
    </row>
    <row r="869">
      <c r="A869">
        <f>Skills!A16</f>
        <v/>
      </c>
      <c r="B869">
        <f>Skills!B16</f>
        <v/>
      </c>
      <c r="C869">
        <f>Inputs!$B$3&gt;=115</f>
        <v/>
      </c>
      <c r="D869">
        <f>IF(Skills!C16=1,60+Inputs!$B$25+Inputs!$B$29,IF(Skills!C16=2,90+(Inputs!$B$26+1)+Inputs!$B$29,IF(Skills!C16=3,120+Inputs!$B$27+Inputs!$B$29,MAX(0,(Inputs!$B$3-100)*3)+Inputs!$B$28+Inputs!$B$29)))</f>
        <v/>
      </c>
      <c r="E869">
        <f>INDEX(FactorTable!$B$2:$Y$301, MATCH(ROUND(MIN(300,MAX(1,D869)),0), FactorTable!$A$2:$A$301,0), Skills!M16+1)</f>
        <v/>
      </c>
      <c r="F869">
        <f>IF(Skills!N16=TRUE,(Skills!L16/10)*(E869/1000),Skills!L16/10)+Skills!O16</f>
        <v/>
      </c>
      <c r="G869">
        <f>Skills!G16*IF(Skills!H16&gt;0,Skills!I16/Skills!H16,1)</f>
        <v/>
      </c>
      <c r="H869">
        <f>1-(1-Skills!J16/100)^Skills!K16</f>
        <v/>
      </c>
      <c r="I869" t="inlineStr">
        <is>
          <t>1</t>
        </is>
      </c>
      <c r="J869" t="inlineStr"/>
      <c r="K869" t="inlineStr"/>
      <c r="L869" t="inlineStr"/>
      <c r="M869" t="inlineStr"/>
      <c r="N869" t="inlineStr"/>
      <c r="O869">
        <f>(1-Summary!$B$11)*T869+Summary!$B$11*V869</f>
        <v/>
      </c>
      <c r="P869">
        <f>IF(B896=0,0,O869/B896)</f>
        <v/>
      </c>
      <c r="Q869">
        <f>IFERROR(1/(IF(Inputs!$B$38="pvp",15,MAX(0.1,Skills!D16-IF(Skills!E16=TRUE,Inputs!$B$32,0)))*(1-IF(AND(ArtifactsInput!$M$27,Inputs!$B$4="Chapter Hunt"),CHOOSE(ArtifactsInput!$N$27+1,20,24,28,32,36,40),0)/100)),0)</f>
        <v/>
      </c>
      <c r="R869">
        <f>IF(AND(Inputs!$B$38&lt;&gt;"pvp",Inputs!$B$43&gt;0),IF(Inputs!$B$43&lt;=0,0,(INT(Inputs!$B$43/(IF(Inputs!$B$38="pvp",15,MAX(0.1,Skills!D16-IF(Skills!E16=TRUE,Inputs!$B$32,0)))*(1-IF(AND(ArtifactsInput!$M$27,Inputs!$B$4="Chapter Hunt"),CHOOSE(ArtifactsInput!$N$27+1,20,24,28,32,36,40),0)/100)))+1)),0)</f>
        <v/>
      </c>
      <c r="S869">
        <f>IFERROR(O869/N869,0)</f>
        <v/>
      </c>
      <c r="T869" t="n">
        <v>0</v>
      </c>
      <c r="V869" t="n">
        <v>0</v>
      </c>
    </row>
    <row r="870">
      <c r="A870">
        <f>Skills!A17</f>
        <v/>
      </c>
      <c r="B870">
        <f>Skills!B17</f>
        <v/>
      </c>
      <c r="C870">
        <f>Inputs!$B$3&gt;=66</f>
        <v/>
      </c>
      <c r="D870">
        <f>IF(Skills!C17=1,60+Inputs!$B$25+Inputs!$B$29,IF(Skills!C17=2,90+(Inputs!$B$26+1)+Inputs!$B$29,IF(Skills!C17=3,120+Inputs!$B$27+Inputs!$B$29,MAX(0,(Inputs!$B$3-100)*3)+Inputs!$B$28+Inputs!$B$29)))</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f>(1-Summary!$B$11)*T870+Summary!$B$11*V870</f>
        <v/>
      </c>
      <c r="P870">
        <f>IF(B896=0,0,O870/B896)</f>
        <v/>
      </c>
      <c r="Q870" t="n">
        <v>0</v>
      </c>
      <c r="R870" t="n">
        <v>0</v>
      </c>
      <c r="S870">
        <f>IFERROR(O870/N870,0)</f>
        <v/>
      </c>
      <c r="T870" t="n">
        <v>0</v>
      </c>
      <c r="V870" t="n">
        <v>0</v>
      </c>
    </row>
    <row r="871">
      <c r="A871">
        <f>Skills!A18</f>
        <v/>
      </c>
      <c r="B871">
        <f>Skills!B18</f>
        <v/>
      </c>
      <c r="C871">
        <f>Inputs!$B$3&gt;=72</f>
        <v/>
      </c>
      <c r="D871">
        <f>IF(Skills!C18=1,60+Inputs!$B$25+Inputs!$B$29,IF(Skills!C18=2,90+(Inputs!$B$26+1)+Inputs!$B$29,IF(Skills!C18=3,120+Inputs!$B$27+Inputs!$B$29,MAX(0,(Inputs!$B$3-100)*3)+Inputs!$B$28+Inputs!$B$29)))</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f>(1-Summary!$B$11)*T871+Summary!$B$11*V871</f>
        <v/>
      </c>
      <c r="P871">
        <f>IF(B896=0,0,O871/B896)</f>
        <v/>
      </c>
      <c r="Q871" t="n">
        <v>0</v>
      </c>
      <c r="R871" t="n">
        <v>0</v>
      </c>
      <c r="S871">
        <f>IFERROR(O871/N871,0)</f>
        <v/>
      </c>
      <c r="T871" t="n">
        <v>0</v>
      </c>
      <c r="V871" t="n">
        <v>0</v>
      </c>
    </row>
    <row r="872">
      <c r="A872">
        <f>Skills!A19</f>
        <v/>
      </c>
      <c r="B872">
        <f>Skills!B19</f>
        <v/>
      </c>
      <c r="C872">
        <f>TRUE</f>
        <v/>
      </c>
      <c r="D872">
        <f>IF(Skills!C19=1,60+Inputs!$B$25+Inputs!$B$29,IF(Skills!C19=2,90+(Inputs!$B$26+1)+Inputs!$B$29,IF(Skills!C19=3,120+Inputs!$B$27+Inputs!$B$29,MAX(0,(Inputs!$B$3-100)*3)+Inputs!$B$28+Inputs!$B$29)))</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f>(1-Summary!$B$11)*T872+Summary!$B$11*V872</f>
        <v/>
      </c>
      <c r="P872">
        <f>IF(B896=0,0,O872/B896)</f>
        <v/>
      </c>
      <c r="Q872">
        <f>IFERROR(1/(IF(Inputs!$B$38="pvp",15,MAX(0.1,Skills!D19-IF(Skills!E19=TRUE,Inputs!$B$32,0)))*(1-IF(AND(ArtifactsInput!$M$27,Inputs!$B$4="Chapter Hunt"),CHOOSE(ArtifactsInput!$N$27+1,20,24,28,32,36,40),0)/100)),0)</f>
        <v/>
      </c>
      <c r="R872">
        <f>IF(AND(Inputs!$B$38&lt;&gt;"pvp",Inputs!$B$43&gt;0),IF(Inputs!$B$43&lt;=0,0,(INT(Inputs!$B$43/(IF(Inputs!$B$38="pvp",15,MAX(0.1,Skills!D19-IF(Skills!E19=TRUE,Inputs!$B$32,0)))*(1-IF(AND(ArtifactsInput!$M$27,Inputs!$B$4="Chapter Hunt"),CHOOSE(ArtifactsInput!$N$27+1,20,24,28,32,36,40),0)/100)))+1)),0)</f>
        <v/>
      </c>
      <c r="S872">
        <f>IFERROR(O872/N872,0)</f>
        <v/>
      </c>
      <c r="T872" t="n">
        <v>0</v>
      </c>
      <c r="V872" t="n">
        <v>0</v>
      </c>
    </row>
    <row r="873">
      <c r="A873">
        <f>Skills!A20</f>
        <v/>
      </c>
      <c r="B873">
        <f>Skills!B20</f>
        <v/>
      </c>
      <c r="C873">
        <f>Inputs!$B$3&gt;=15</f>
        <v/>
      </c>
      <c r="D873">
        <f>IF(Skills!C20=1,60+Inputs!$B$25+Inputs!$B$29,IF(Skills!C20=2,90+(Inputs!$B$26+1)+Inputs!$B$29,IF(Skills!C20=3,120+Inputs!$B$27+Inputs!$B$29,MAX(0,(Inputs!$B$3-100)*3)+Inputs!$B$28+Inputs!$B$29)))</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f>(1-Summary!$B$11)*T873+Summary!$B$11*V873</f>
        <v/>
      </c>
      <c r="P873">
        <f>IF(B896=0,0,O873/B896)</f>
        <v/>
      </c>
      <c r="Q873" t="n">
        <v>0</v>
      </c>
      <c r="R873" t="n">
        <v>0</v>
      </c>
      <c r="S873">
        <f>IFERROR(O873/N873,0)</f>
        <v/>
      </c>
      <c r="T873" t="n">
        <v>0</v>
      </c>
      <c r="V873" t="n">
        <v>0</v>
      </c>
    </row>
    <row r="874">
      <c r="A874">
        <f>Skills!A21</f>
        <v/>
      </c>
      <c r="B874">
        <f>Skills!B21</f>
        <v/>
      </c>
      <c r="C874">
        <f>Inputs!$B$3&gt;=10</f>
        <v/>
      </c>
      <c r="D874">
        <f>IF(Skills!C21=1,60+Inputs!$B$25+Inputs!$B$29,IF(Skills!C21=2,90+(Inputs!$B$26+1)+Inputs!$B$29,IF(Skills!C21=3,120+Inputs!$B$27+Inputs!$B$29,MAX(0,(Inputs!$B$3-100)*3)+Inputs!$B$28+Inputs!$B$29)))</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f>(1-Summary!$B$11)*T874+Summary!$B$11*V874</f>
        <v/>
      </c>
      <c r="P874">
        <f>IF(B896=0,0,O874/B896)</f>
        <v/>
      </c>
      <c r="Q874" t="n">
        <v>0</v>
      </c>
      <c r="R874" t="n">
        <v>0</v>
      </c>
      <c r="S874">
        <f>IFERROR(O874/N874,0)</f>
        <v/>
      </c>
      <c r="T874" t="n">
        <v>0</v>
      </c>
      <c r="V874" t="n">
        <v>0</v>
      </c>
    </row>
    <row r="875">
      <c r="A875">
        <f>Skills!A22</f>
        <v/>
      </c>
      <c r="B875">
        <f>Skills!B22</f>
        <v/>
      </c>
      <c r="C875">
        <f>Inputs!$B$3&gt;=33</f>
        <v/>
      </c>
      <c r="D875">
        <f>IF(Skills!C22=1,60+Inputs!$B$25+Inputs!$B$29,IF(Skills!C22=2,90+(Inputs!$B$26+1)+Inputs!$B$29,IF(Skills!C22=3,120+Inputs!$B$27+Inputs!$B$29,MAX(0,(Inputs!$B$3-100)*3)+Inputs!$B$28+Inputs!$B$29)))</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f>(1-Summary!$B$11)*T875+Summary!$B$11*V875</f>
        <v/>
      </c>
      <c r="P875">
        <f>IF(B896=0,0,O875/B896)</f>
        <v/>
      </c>
      <c r="Q875" t="n">
        <v>0</v>
      </c>
      <c r="R875" t="n">
        <v>0</v>
      </c>
      <c r="S875">
        <f>IFERROR(O875/N875,0)</f>
        <v/>
      </c>
      <c r="T875" t="n">
        <v>0</v>
      </c>
      <c r="V875" t="n">
        <v>0</v>
      </c>
    </row>
    <row r="876">
      <c r="A876">
        <f>Skills!A23</f>
        <v/>
      </c>
      <c r="B876">
        <f>Skills!B23</f>
        <v/>
      </c>
      <c r="C876">
        <f>Inputs!$B$3&gt;=38</f>
        <v/>
      </c>
      <c r="D876">
        <f>IF(Skills!C23=1,60+Inputs!$B$25+Inputs!$B$29,IF(Skills!C23=2,90+(Inputs!$B$26+1)+Inputs!$B$29,IF(Skills!C23=3,120+Inputs!$B$27+Inputs!$B$29,MAX(0,(Inputs!$B$3-100)*3)+Inputs!$B$28+Inputs!$B$29)))</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f>(1-Summary!$B$11)*T876+Summary!$B$11*V876</f>
        <v/>
      </c>
      <c r="P876">
        <f>IF(B896=0,0,O876/B896)</f>
        <v/>
      </c>
      <c r="Q876" t="n">
        <v>0</v>
      </c>
      <c r="R876" t="n">
        <v>0</v>
      </c>
      <c r="S876">
        <f>IFERROR(O876/N876,0)</f>
        <v/>
      </c>
      <c r="T876" t="n">
        <v>0</v>
      </c>
      <c r="V876" t="n">
        <v>0</v>
      </c>
    </row>
    <row r="877">
      <c r="A877">
        <f>Skills!A24</f>
        <v/>
      </c>
      <c r="B877">
        <f>Skills!B24</f>
        <v/>
      </c>
      <c r="C877">
        <f>Inputs!$B$3&gt;=43</f>
        <v/>
      </c>
      <c r="D877">
        <f>IF(Skills!C24=1,60+Inputs!$B$25+Inputs!$B$29,IF(Skills!C24=2,90+(Inputs!$B$26+1)+Inputs!$B$29,IF(Skills!C24=3,120+Inputs!$B$27+Inputs!$B$29,MAX(0,(Inputs!$B$3-100)*3)+Inputs!$B$28+Inputs!$B$29)))</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f>(1-Summary!$B$11)*T877+Summary!$B$11*V877</f>
        <v/>
      </c>
      <c r="P877">
        <f>IF(B896=0,0,O877/B896)</f>
        <v/>
      </c>
      <c r="Q877" t="n">
        <v>0</v>
      </c>
      <c r="R877" t="n">
        <v>0</v>
      </c>
      <c r="S877">
        <f>IFERROR(O877/N877,0)</f>
        <v/>
      </c>
      <c r="T877" t="n">
        <v>0</v>
      </c>
      <c r="V877" t="n">
        <v>0</v>
      </c>
    </row>
    <row r="878">
      <c r="A878">
        <f>Skills!A25</f>
        <v/>
      </c>
      <c r="B878">
        <f>Skills!B25</f>
        <v/>
      </c>
      <c r="C878">
        <f>Inputs!$B$3&gt;=75</f>
        <v/>
      </c>
      <c r="D878">
        <f>IF(Skills!C25=1,60+Inputs!$B$25+Inputs!$B$29,IF(Skills!C25=2,90+(Inputs!$B$26+1)+Inputs!$B$29,IF(Skills!C25=3,120+Inputs!$B$27+Inputs!$B$29,MAX(0,(Inputs!$B$3-100)*3)+Inputs!$B$28+Inputs!$B$29)))</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f>(1-Summary!$B$11)*T878+Summary!$B$11*V878</f>
        <v/>
      </c>
      <c r="P878">
        <f>IF(B896=0,0,O878/B896)</f>
        <v/>
      </c>
      <c r="Q878" t="n">
        <v>0</v>
      </c>
      <c r="R878" t="n">
        <v>0</v>
      </c>
      <c r="S878">
        <f>IFERROR(O878/N878,0)</f>
        <v/>
      </c>
      <c r="T878" t="n">
        <v>0</v>
      </c>
      <c r="V878" t="n">
        <v>0</v>
      </c>
    </row>
    <row r="879">
      <c r="A879">
        <f>Skills!A26</f>
        <v/>
      </c>
      <c r="B879">
        <f>Skills!B26</f>
        <v/>
      </c>
      <c r="C879">
        <f>Inputs!$B$3&gt;=125</f>
        <v/>
      </c>
      <c r="D879">
        <f>IF(Skills!C26=1,60+Inputs!$B$25+Inputs!$B$29,IF(Skills!C26=2,90+(Inputs!$B$26+1)+Inputs!$B$29,IF(Skills!C26=3,120+Inputs!$B$27+Inputs!$B$29,MAX(0,(Inputs!$B$3-100)*3)+Inputs!$B$28+Inputs!$B$29)))</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f>(1-Summary!$B$11)*T879+Summary!$B$11*V879</f>
        <v/>
      </c>
      <c r="P879">
        <f>IF(B896=0,0,O879/B896)</f>
        <v/>
      </c>
      <c r="Q879" t="n">
        <v>0</v>
      </c>
      <c r="R879" t="n">
        <v>0</v>
      </c>
      <c r="S879">
        <f>IFERROR(O879/N879,0)</f>
        <v/>
      </c>
      <c r="T879" t="n">
        <v>0</v>
      </c>
      <c r="V879" t="n">
        <v>0</v>
      </c>
    </row>
    <row r="880">
      <c r="A880">
        <f>Skills!A27</f>
        <v/>
      </c>
      <c r="B880">
        <f>Skills!B27</f>
        <v/>
      </c>
      <c r="C880">
        <f>Inputs!$B$3&gt;=125</f>
        <v/>
      </c>
      <c r="D880">
        <f>IF(Skills!C27=1,60+Inputs!$B$25+Inputs!$B$29,IF(Skills!C27=2,90+(Inputs!$B$26+1)+Inputs!$B$29,IF(Skills!C27=3,120+Inputs!$B$27+Inputs!$B$29,MAX(0,(Inputs!$B$3-100)*3)+Inputs!$B$28+Inputs!$B$29)))</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f>(1-Summary!$B$11)*T880+Summary!$B$11*V880</f>
        <v/>
      </c>
      <c r="P880">
        <f>IF(B896=0,0,O880/B896)</f>
        <v/>
      </c>
      <c r="Q880" t="n">
        <v>0</v>
      </c>
      <c r="R880" t="n">
        <v>0</v>
      </c>
      <c r="S880">
        <f>IFERROR(O880/N880,0)</f>
        <v/>
      </c>
      <c r="T880" t="n">
        <v>0</v>
      </c>
      <c r="V880" t="n">
        <v>0</v>
      </c>
    </row>
    <row r="881">
      <c r="A881">
        <f>Skills!A28</f>
        <v/>
      </c>
      <c r="B881">
        <f>Skills!B28</f>
        <v/>
      </c>
      <c r="C881">
        <f>Inputs!$B$3&gt;=120</f>
        <v/>
      </c>
      <c r="D881">
        <f>IF(Skills!C28=1,60+Inputs!$B$25+Inputs!$B$29,IF(Skills!C28=2,90+(Inputs!$B$26+1)+Inputs!$B$29,IF(Skills!C28=3,120+Inputs!$B$27+Inputs!$B$29,MAX(0,(Inputs!$B$3-100)*3)+Inputs!$B$28+Inputs!$B$29)))</f>
        <v/>
      </c>
      <c r="E881">
        <f>INDEX(FactorTable!$B$2:$Y$301, MATCH(ROUND(MIN(300,MAX(1,D881)),0), FactorTable!$A$2:$A$301,0), Skills!M28+1)</f>
        <v/>
      </c>
      <c r="F881">
        <f>IF(Skills!N28=TRUE,(Skills!L28/10)*(E881/1000),Skills!L28/10)+Skills!O28</f>
        <v/>
      </c>
      <c r="G881">
        <f>Skills!G28*IF(Skills!H28&gt;0,Skills!I28/Skills!H28,1)</f>
        <v/>
      </c>
      <c r="H881">
        <f>1-(1-Skills!J28/100)^Skills!K28</f>
        <v/>
      </c>
      <c r="I881" t="inlineStr">
        <is>
          <t>1</t>
        </is>
      </c>
      <c r="J881" t="inlineStr"/>
      <c r="K881" t="inlineStr"/>
      <c r="L881" t="inlineStr"/>
      <c r="M881" t="inlineStr"/>
      <c r="N881" t="inlineStr"/>
      <c r="O881">
        <f>(1-Summary!$B$11)*T881+Summary!$B$11*V881</f>
        <v/>
      </c>
      <c r="P881">
        <f>IF(B896=0,0,O881/B896)</f>
        <v/>
      </c>
      <c r="Q881" t="n">
        <v>0</v>
      </c>
      <c r="R881" t="n">
        <v>0</v>
      </c>
      <c r="S881">
        <f>IFERROR(O881/N881,0)</f>
        <v/>
      </c>
      <c r="T881" t="n">
        <v>0</v>
      </c>
      <c r="V881" t="n">
        <v>0</v>
      </c>
    </row>
    <row r="882">
      <c r="A882">
        <f>Skills!A29</f>
        <v/>
      </c>
      <c r="B882">
        <f>Skills!B29</f>
        <v/>
      </c>
      <c r="C882">
        <f>Inputs!$B$3&gt;=120</f>
        <v/>
      </c>
      <c r="D882">
        <f>IF(Skills!C29=1,60+Inputs!$B$25+Inputs!$B$29,IF(Skills!C29=2,90+(Inputs!$B$26+1)+Inputs!$B$29,IF(Skills!C29=3,120+Inputs!$B$27+Inputs!$B$29,MAX(0,(Inputs!$B$3-100)*3)+Inputs!$B$28+Inputs!$B$29)))</f>
        <v/>
      </c>
      <c r="E882">
        <f>INDEX(FactorTable!$B$2:$Y$301, MATCH(ROUND(MIN(300,MAX(1,D882)),0), FactorTable!$A$2:$A$301,0), Skills!M29+1)</f>
        <v/>
      </c>
      <c r="F882">
        <f>IF(Skills!N29=TRUE,(Skills!L29/10)*(E882/1000),Skills!L29/10)+Skills!O29</f>
        <v/>
      </c>
      <c r="G882">
        <f>Skills!G29*IF(Skills!H29&gt;0,Skills!I29/Skills!H29,1)</f>
        <v/>
      </c>
      <c r="H882">
        <f>1-(1-Skills!J29/100)^Skills!K29</f>
        <v/>
      </c>
      <c r="I882" t="inlineStr">
        <is>
          <t>1</t>
        </is>
      </c>
      <c r="J882" t="inlineStr"/>
      <c r="K882" t="inlineStr"/>
      <c r="L882" t="inlineStr"/>
      <c r="M882" t="inlineStr"/>
      <c r="N882" t="inlineStr"/>
      <c r="O882">
        <f>(1-Summary!$B$11)*T882+Summary!$B$11*V882</f>
        <v/>
      </c>
      <c r="P882">
        <f>IF(B896=0,0,O882/B896)</f>
        <v/>
      </c>
      <c r="Q882" t="n">
        <v>0</v>
      </c>
      <c r="R882" t="n">
        <v>0</v>
      </c>
      <c r="S882">
        <f>IFERROR(O882/N882,0)</f>
        <v/>
      </c>
      <c r="T882" t="n">
        <v>0</v>
      </c>
      <c r="V882" t="n">
        <v>0</v>
      </c>
    </row>
    <row r="883">
      <c r="A883">
        <f>Skills!A30</f>
        <v/>
      </c>
      <c r="B883">
        <f>Skills!B30</f>
        <v/>
      </c>
      <c r="C883">
        <f>Inputs!$B$3&gt;=45</f>
        <v/>
      </c>
      <c r="D883">
        <f>IF(Skills!C30=1,60+Inputs!$B$25+Inputs!$B$29,IF(Skills!C30=2,90+(Inputs!$B$26+1)+Inputs!$B$29,IF(Skills!C30=3,120+Inputs!$B$27+Inputs!$B$29,MAX(0,(Inputs!$B$3-100)*3)+Inputs!$B$28+Inputs!$B$29)))</f>
        <v/>
      </c>
      <c r="E883">
        <f>INDEX(FactorTable!$B$2:$Y$301, MATCH(ROUND(MIN(300,MAX(1,D883)),0), FactorTable!$A$2:$A$301,0), Skills!M30+1)</f>
        <v/>
      </c>
      <c r="F883">
        <f>IF(Skills!N30=TRUE,(Skills!L30/10)*(E883/1000),Skills!L30/10)+Skills!O30</f>
        <v/>
      </c>
      <c r="G883">
        <f>Skills!G30*IF(Skills!H30&gt;0,Skills!I30/Skills!H30,1)</f>
        <v/>
      </c>
      <c r="H883">
        <f>1-(1-Skills!J30/100)^Skills!K30</f>
        <v/>
      </c>
      <c r="I883" t="inlineStr">
        <is>
          <t>1</t>
        </is>
      </c>
      <c r="J883" t="inlineStr"/>
      <c r="K883" t="inlineStr"/>
      <c r="L883" t="inlineStr"/>
      <c r="M883" t="inlineStr"/>
      <c r="N883" t="inlineStr"/>
      <c r="O883">
        <f>(1-Summary!$B$11)*T883+Summary!$B$11*V883</f>
        <v/>
      </c>
      <c r="P883">
        <f>IF(B896=0,0,O883/B896)</f>
        <v/>
      </c>
      <c r="Q883" t="n">
        <v>0</v>
      </c>
      <c r="R883" t="n">
        <v>0</v>
      </c>
      <c r="S883">
        <f>IFERROR(O883/N883,0)</f>
        <v/>
      </c>
      <c r="T883" t="n">
        <v>0</v>
      </c>
      <c r="V883" t="n">
        <v>0</v>
      </c>
    </row>
    <row r="885">
      <c r="A885" t="inlineStr">
        <is>
          <t>Attack% Bucket Multiplier</t>
        </is>
      </c>
      <c r="B885">
        <f>(1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86">
      <c r="A886" t="inlineStr">
        <is>
          <t>Global Crit Rate Bonus %</t>
        </is>
      </c>
      <c r="B886">
        <f>(C869=TRUE)*20*IF(AND(Inputs!$B$38&lt;&gt;"pvp",Inputs!$B$43&gt;0),(((R869-1)*(Skills!T16*(1+Inputs!$B$34/100))+MIN((Skills!T16*(1+Inputs!$B$34/100)),MAX(0,Inputs!$B$43-((R869-1)*Skills!D16))))/Inputs!$B$43),IF(Inputs!$B$38="pvp",MIN((Skills!T16*(1+Inputs!$B$34/100)),15)/15,(Skills!T16*(1+Inputs!$B$34/100))/Skills!D16))</f>
        <v/>
      </c>
    </row>
    <row r="887">
      <c r="A887" t="inlineStr">
        <is>
          <t>Attack Speed Buff Bonus %</t>
        </is>
      </c>
      <c r="B887">
        <f>((C872=TRUE)*F872*IF(AND(Inputs!$B$38&lt;&gt;"pvp",Inputs!$B$43&gt;0),(((R872-1)*(Skills!T19*(1+Inputs!$B$34/100))+MIN((Skills!T19*(1+Inputs!$B$34/100)),MAX(0,Inputs!$B$43-((R872-1)*Skills!D19))))/Inputs!$B$43),IF(Inputs!$B$38="pvp",MIN((Skills!T19*(1+Inputs!$B$34/100)),15)/15,(Skills!T19*(1+Inputs!$B$34/100))/Skills!D19)))</f>
        <v/>
      </c>
    </row>
    <row r="888">
      <c r="A888" t="inlineStr">
        <is>
          <t>Actions Per Second</t>
        </is>
      </c>
      <c r="B888">
        <f>1+MIN(150,150*(1-(1-(Inputs!$B$11+((C874=TRUE)*(F874-Calc!F21))+((C875=TRUE)*(F875-Calc!F22)))/150)*(1-B887/150)))/100</f>
        <v/>
      </c>
    </row>
    <row r="889">
      <c r="A889" t="inlineStr">
        <is>
          <t>Skill + Buff Cast Rate</t>
        </is>
      </c>
      <c r="B889">
        <f>IF(AND(Inputs!$B$38&lt;&gt;"pvp",Inputs!$B$43&gt;0),SUMPRODUCT((Skills!E2:E30=TRUE)*(C855:C883=TRUE)*R855:R883*Skills!F2:F30)/Inputs!$B$43,SUMPRODUCT((Skills!E2:E30=TRUE)*(C855:C883=TRUE)*Q855:Q883*Skills!F2:F30))</f>
        <v/>
      </c>
    </row>
    <row r="890">
      <c r="A890" t="inlineStr">
        <is>
          <t>Arrow Stream Casts Per Second</t>
        </is>
      </c>
      <c r="B890">
        <f>MAX(0,B888-B889)</f>
        <v/>
      </c>
    </row>
    <row r="891">
      <c r="A891" t="inlineStr">
        <is>
          <t>Global Critical Damage Bonus % (Sharp Eyes + Concentration)</t>
        </is>
      </c>
      <c r="B891">
        <f>(C869=TRUE)*F869*IF(AND(Inputs!$B$38&lt;&gt;"pvp",Inputs!$B$43&gt;0),(((R869-1)*(Skills!T16*(1+Inputs!$B$34/100))+MIN((Skills!T16*(1+Inputs!$B$34/100)),MAX(0,Inputs!$B$43-((R869-1)*Skills!D16))))/Inputs!$B$43),IF(Inputs!$B$38="pvp",MIN((Skills!T16*(1+Inputs!$B$34/100)),15)/15,(Skills!T16*(1+Inputs!$B$34/100))/Skills!D16))+(C870=TRUE)*30</f>
        <v/>
      </c>
    </row>
    <row r="892">
      <c r="A892" t="inlineStr">
        <is>
          <t>Global Final Damage Bonus % (Mortal Blow)</t>
        </is>
      </c>
      <c r="B892">
        <f>(C871=TRUE)*F871</f>
        <v/>
      </c>
    </row>
    <row r="893">
      <c r="A893" t="inlineStr">
        <is>
          <t>Buff-Casting Startup Delay (s, fixed-duration only)</t>
        </is>
      </c>
      <c r="B893">
        <f>IF(AND(Inputs!$B$38&lt;&gt;"pvp",Inputs!$B$43&gt;0),SUMPRODUCT((Skills!T2:T30&gt;0)*(Skills!E2:E30=TRUE)*(C855:C883=TRUE))/B888,0)</f>
        <v/>
      </c>
    </row>
    <row r="894">
      <c r="A894" t="inlineStr">
        <is>
          <t>Boss-Only Total DPS (this block's swept value)</t>
        </is>
      </c>
      <c r="B894">
        <f>SUM(T855:T883)</f>
        <v/>
      </c>
    </row>
    <row r="895">
      <c r="A895" t="inlineStr">
        <is>
          <t>Normal-Only Total DPS (this block's swept value)</t>
        </is>
      </c>
      <c r="B895">
        <f>SUM(V855:V883)</f>
        <v/>
      </c>
    </row>
    <row r="896">
      <c r="A896" s="6" t="inlineStr">
        <is>
          <t>TOTAL DPS</t>
        </is>
      </c>
      <c r="B896" s="6">
        <f>SUM(O855:O883)</f>
        <v/>
      </c>
    </row>
    <row r="899">
      <c r="A899" s="6" t="inlineStr">
        <is>
          <t>Stat: Skill Level Bonus — 3rd Job</t>
        </is>
      </c>
    </row>
    <row r="900">
      <c r="A900" s="5" t="inlineStr">
        <is>
          <t>Key</t>
        </is>
      </c>
      <c r="B900" s="5" t="inlineStr">
        <is>
          <t>Name</t>
        </is>
      </c>
      <c r="C900" s="5" t="inlineStr">
        <is>
          <t>Unlocked</t>
        </is>
      </c>
      <c r="D900" s="5" t="inlineStr">
        <is>
          <t>InputLevel</t>
        </is>
      </c>
      <c r="E900" s="5" t="inlineStr">
        <is>
          <t>Factor</t>
        </is>
      </c>
      <c r="F900" s="5" t="inlineStr">
        <is>
          <t>CoefficientPercent</t>
        </is>
      </c>
      <c r="G900" s="5" t="inlineStr">
        <is>
          <t>EffectiveHits</t>
        </is>
      </c>
      <c r="H900" s="5" t="inlineStr">
        <is>
          <t>ProcProbability</t>
        </is>
      </c>
      <c r="I900" s="5" t="inlineStr">
        <is>
          <t>MapleHeroMultiplier</t>
        </is>
      </c>
      <c r="J900" s="5" t="inlineStr">
        <is>
          <t>BaseDamage</t>
        </is>
      </c>
      <c r="K900" s="5" t="inlineStr">
        <is>
          <t>BaseHitDamage</t>
        </is>
      </c>
      <c r="L900" s="5" t="inlineStr">
        <is>
          <t>NonCritAvg</t>
        </is>
      </c>
      <c r="M900" s="5" t="inlineStr">
        <is>
          <t>CritAvg</t>
        </is>
      </c>
      <c r="N900" s="5" t="inlineStr">
        <is>
          <t>ExpectedDamage(perHit)</t>
        </is>
      </c>
      <c r="O900" s="5" t="inlineStr">
        <is>
          <t>DPS</t>
        </is>
      </c>
      <c r="P900" s="5" t="inlineStr">
        <is>
          <t>% of Total</t>
        </is>
      </c>
      <c r="Q900" s="5" t="inlineStr">
        <is>
          <t>InvCooldown</t>
        </is>
      </c>
      <c r="R900" s="5" t="inlineStr">
        <is>
          <t>CastsInFight</t>
        </is>
      </c>
      <c r="S900" s="5" t="inlineStr">
        <is>
          <t>HitRate(perSec)</t>
        </is>
      </c>
      <c r="U900" t="inlineStr">
        <is>
          <t>helpers</t>
        </is>
      </c>
    </row>
    <row r="901">
      <c r="A901">
        <f>Skills!A2</f>
        <v/>
      </c>
      <c r="B901">
        <f>Skills!B2</f>
        <v/>
      </c>
      <c r="C901">
        <f>Inputs!$B$3&gt;=100</f>
        <v/>
      </c>
      <c r="D901" t="inlineStr"/>
      <c r="E901" t="inlineStr"/>
      <c r="F901">
        <f>U903+Skills!O2</f>
        <v/>
      </c>
      <c r="G901">
        <f>Skills!G2*IF(Skills!H2&gt;0,Skills!I2/Skills!H2,1)</f>
        <v/>
      </c>
      <c r="H901">
        <f>1-(1-Skills!J2/100)^Skills!K2</f>
        <v/>
      </c>
      <c r="I901" t="inlineStr">
        <is>
          <t>1</t>
        </is>
      </c>
      <c r="J901">
        <f>((Inputs!$B$6*(1+Inputs!$B$7/100))+(((Inputs!$B$12*(1+Inputs!$B$13/100))-(Inputs!$B$12*(1+Inputs!$B$13/100)))+0.25*(Inputs!$B$14-Inputs!$B$14))*(1+Inputs!$B$7/100))*(F901/100)</f>
        <v/>
      </c>
      <c r="K901">
        <f>J901*(1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923=TRUE)*(F923-Calc!F24)),(Inputs!$B$23+((C928=TRUE)*(F928-Calc!F29))+(IF(ArtifactsInput!$M$15,CHOOSE(ArtifactsInput!$N$15+1,25,30,35,40,45,50)/100*(Inputs!$B$11-Inputs!$B$11),0))))/100+(Inputs!$B$23+((C928=TRUE)*(F928-Calc!F29))+(IF(ArtifactsInput!$M$15,CHOOSE(ArtifactsInput!$N$15+1,25,30,35,40,45,50)/100*(Inputs!$B$11-Inputs!$B$11),0)))/100)/2</f>
        <v/>
      </c>
      <c r="M901">
        <f>L901*(1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IF(B942=0,0,O901/B942)</f>
        <v/>
      </c>
      <c r="Q901" t="n">
        <v>0</v>
      </c>
      <c r="R901" t="n">
        <v>0</v>
      </c>
      <c r="S901">
        <f>IFERROR(O901/N901,0)</f>
        <v/>
      </c>
      <c r="T901">
        <f>IF(C901,(Skills!G2*N901*B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901*(1-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MAX(0,(Inputs!$B$3-100)*3)+Inputs!$B$28+Inputs!$B$29</f>
        <v/>
      </c>
      <c r="V901">
        <f>IF(C901,(Skills!G2*N901*B936)*IF(Inputs!$B$38="pvp",1,(1+(Inputs!$B$21+Skills!Q2+(IF(ArtifactsInput!$M$33,CHOOSE(ArtifactsInput!$N$33+1,30,36,42,48,54,60),0))+(IF(AND(ArtifactsInput!$M$35,Inputs!$B$4&lt;&gt;"Chapter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Skills!A3</f>
        <v/>
      </c>
      <c r="B902">
        <f>Skills!B3</f>
        <v/>
      </c>
      <c r="C902">
        <f>Inputs!$B$3&gt;=50</f>
        <v/>
      </c>
      <c r="D902">
        <f>IF(Skills!C3=1,60+Inputs!$B$25+Inputs!$B$29,IF(Skills!C3=2,90+Inputs!$B$26+Inputs!$B$29,IF(Skills!C3=3,120+(Inputs!$B$27+1)+Inputs!$B$29,MAX(0,(Inputs!$B$3-100)*3)+Inputs!$B$28+Inputs!$B$29)))</f>
        <v/>
      </c>
      <c r="E902">
        <f>INDEX(FactorTable!$B$2:$Y$301, MATCH(ROUND(MIN(300,MAX(1,D902)),0), FactorTable!$A$2:$A$301,0), Skills!M3+1)</f>
        <v/>
      </c>
      <c r="F902">
        <f>IF(Skills!N3=TRUE,(Skills!L3/10)*(E902/1000),Skills!L3/10)+Skills!O3</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U902">
        <f>INDEX(FactorTable!$B$2:$Y$301, MATCH(ROUND(MIN(300,MAX(1,U901)),0), FactorTable!$A$2:$A$301,0), 22)</f>
        <v/>
      </c>
      <c r="V902" t="inlineStr"/>
    </row>
    <row r="903">
      <c r="A903">
        <f>Skills!A4</f>
        <v/>
      </c>
      <c r="B903">
        <f>Skills!B4</f>
        <v/>
      </c>
      <c r="C903">
        <f>Inputs!$B$3&gt;=105</f>
        <v/>
      </c>
      <c r="D903">
        <f>IF(Skills!C4=1,60+Inputs!$B$25+Inputs!$B$29,IF(Skills!C4=2,90+Inputs!$B$26+Inputs!$B$29,IF(Skills!C4=3,120+(Inputs!$B$27+1)+Inputs!$B$29,MAX(0,(Inputs!$B$3-100)*3)+Inputs!$B$28+Inputs!$B$29)))</f>
        <v/>
      </c>
      <c r="E903">
        <f>INDEX(FactorTable!$B$2:$Y$301, MATCH(ROUND(MIN(300,MAX(1,D903)),0), FactorTable!$A$2:$A$301,0), Skills!M4+1)</f>
        <v/>
      </c>
      <c r="F903">
        <f>IF(Skills!N4=TRUE,(Skills!L4/10)*(E903/1000),Skills!L4/10)+Skills!O4</f>
        <v/>
      </c>
      <c r="G903" t="inlineStr"/>
      <c r="H903" t="inlineStr"/>
      <c r="I903" t="inlineStr">
        <is>
          <t>1</t>
        </is>
      </c>
      <c r="J903" t="inlineStr"/>
      <c r="K903" t="inlineStr"/>
      <c r="L903" t="inlineStr"/>
      <c r="M903" t="inlineStr"/>
      <c r="N903" t="inlineStr"/>
      <c r="O903" t="inlineStr"/>
      <c r="P903" t="inlineStr"/>
      <c r="Q903" t="inlineStr"/>
      <c r="R903" t="inlineStr"/>
      <c r="S903" t="inlineStr"/>
      <c r="T903" t="inlineStr"/>
      <c r="U903">
        <f>290*U902/1000</f>
        <v/>
      </c>
      <c r="V903" t="inlineStr"/>
    </row>
    <row r="904">
      <c r="A904">
        <f>Skills!A5</f>
        <v/>
      </c>
      <c r="B904">
        <f>Skills!B5</f>
        <v/>
      </c>
      <c r="C904">
        <f>Inputs!$B$3&gt;=35</f>
        <v/>
      </c>
      <c r="D904">
        <f>IF(Skills!C5=1,60+Inputs!$B$25+Inputs!$B$29,IF(Skills!C5=2,90+Inputs!$B$26+Inputs!$B$29,IF(Skills!C5=3,120+(Inputs!$B$27+1)+Inputs!$B$29,MAX(0,(Inputs!$B$3-100)*3)+Inputs!$B$28+Inputs!$B$29)))</f>
        <v/>
      </c>
      <c r="E904">
        <f>INDEX(FactorTable!$B$2:$Y$301, MATCH(ROUND(MIN(300,MAX(1,D904)),0), FactorTable!$A$2:$A$301,0), Skills!M5+1)</f>
        <v/>
      </c>
      <c r="F904">
        <f>IF(Skills!N5=TRUE,(Skills!L5/10)*(E904/1000),Skills!L5/10)+Skills!O5</f>
        <v/>
      </c>
      <c r="G904">
        <f>Skills!G5*IF(Skills!H5&gt;0,Skills!I5/Skills!H5,1)</f>
        <v/>
      </c>
      <c r="H904">
        <f>1-(1-Skills!J5/100)^Skills!K5</f>
        <v/>
      </c>
      <c r="I904" t="inlineStr">
        <is>
          <t>1</t>
        </is>
      </c>
      <c r="J904">
        <f>((Inputs!$B$6*(1+Inputs!$B$7/100))+(((Inputs!$B$12*(1+Inputs!$B$13/100))-(Inputs!$B$12*(1+Inputs!$B$13/100)))+0.25*(Inputs!$B$14-Inputs!$B$14))*(1+Inputs!$B$7/100))*(F904/100)</f>
        <v/>
      </c>
      <c r="K904">
        <f>J904*(1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909=TRUE,F909,0)/100)*(1+(IF(Skills!A5="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904)</f>
        <v/>
      </c>
      <c r="L904">
        <f>K904*(MIN(Inputs!$B$22+((C923=TRUE)*(F923-Calc!F24)),(Inputs!$B$23+((C928=TRUE)*(F928-Calc!F29))+(IF(ArtifactsInput!$M$15,CHOOSE(ArtifactsInput!$N$15+1,25,30,35,40,45,50)/100*(Inputs!$B$11-Inputs!$B$11),0))))/100+(Inputs!$B$23+((C928=TRUE)*(F928-Calc!F29))+(IF(ArtifactsInput!$M$15,CHOOSE(ArtifactsInput!$N$15+1,25,30,35,40,45,50)/100*(Inputs!$B$11-Inputs!$B$11),0)))/100)/2</f>
        <v/>
      </c>
      <c r="M904">
        <f>L904*(1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4">
        <f>L904*(1-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904*(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4">
        <f>(1-Summary!$B$11)*T904+Summary!$B$11*V904</f>
        <v/>
      </c>
      <c r="P904">
        <f>IF(B942=0,0,O904/B942)</f>
        <v/>
      </c>
      <c r="Q904">
        <f>IFERROR(1/(IF(Inputs!$B$38="pvp",15,MAX(0.1,Skills!D5-IF(Skills!E5=TRUE,Inputs!$B$32,0)))*(1-IF(AND(ArtifactsInput!$M$27,Inputs!$B$4="Chapter Hunt"),CHOOSE(ArtifactsInput!$N$27+1,20,24,28,32,36,40),0)/100)),0)</f>
        <v/>
      </c>
      <c r="R904">
        <f>IF(AND(Inputs!$B$38&lt;&gt;"pvp",Inputs!$B$43&gt;0),IF(MAX(0,Inputs!$B$43-B939)&lt;=0,0,(INT(MAX(0,Inputs!$B$43-B939)/(IF(Inputs!$B$38="pvp",15,MAX(0.1,Skills!D5-IF(Skills!E5=TRUE,Inputs!$B$32,0)))*(1-IF(AND(ArtifactsInput!$M$27,Inputs!$B$4="Chapter Hunt"),CHOOSE(ArtifactsInput!$N$27+1,20,24,28,32,36,40),0)/100)))+1)),0)</f>
        <v/>
      </c>
      <c r="S904">
        <f>IFERROR(O904/N904,0)</f>
        <v/>
      </c>
      <c r="T904">
        <f>IF(C904,(H904*N904*IF(AND(Inputs!$B$38&lt;&gt;"pvp",Inputs!$B$43&gt;0),((Skills!G5*((R904-1)*IF(Skills!H5&gt;0,Skills!I5/Skills!H5,1)+IF(Skills!H5&gt;0,MIN(Skills!I5,MAX(0,MAX(0,Inputs!$B$43-B939)-((R904-1)*(IF(Inputs!$B$38="pvp",15,MAX(0.1,Skills!D5-IF(Skills!E5=TRUE,Inputs!$B$32,0)))*(1-IF(AND(ArtifactsInput!$M$27,Inputs!$B$4="Chapter Hunt"),CHOOSE(ArtifactsInput!$N$27+1,20,24,28,32,36,40),0)/100)))))/Skills!H5,1)))/Inputs!$B$43),G904*Q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904*(1-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904*(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904*(1-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904*(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4">
        <f>IF(C904,(H904*N904*IF(AND(Inputs!$B$38&lt;&gt;"pvp",Inputs!$B$43&gt;0),((Skills!G5*((R904-1)*IF(Skills!H5&gt;0,Skills!I5/Skills!H5,1)+IF(Skills!H5&gt;0,MIN(Skills!I5,MAX(0,MAX(0,Inputs!$B$43-B939)-((R904-1)*(IF(Inputs!$B$38="pvp",15,MAX(0.1,Skills!D5-IF(Skills!E5=TRUE,Inputs!$B$32,0)))*(1-IF(AND(ArtifactsInput!$M$27,Inputs!$B$4="Chapter Hunt"),CHOOSE(ArtifactsInput!$N$27+1,20,24,28,32,36,40),0)/100)))))/Skills!H5,1)))/Inputs!$B$43),G904*Q904))*IF(Inputs!$B$38="pvp",1,(1+(Inputs!$B$21+Skills!Q5+(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5">
      <c r="A905">
        <f>Skills!A6</f>
        <v/>
      </c>
      <c r="B905">
        <f>Skills!B6</f>
        <v/>
      </c>
      <c r="C905">
        <f>Inputs!$B$3&gt;=40</f>
        <v/>
      </c>
      <c r="D905">
        <f>IF(Skills!C6=1,60+Inputs!$B$25+Inputs!$B$29,IF(Skills!C6=2,90+Inputs!$B$26+Inputs!$B$29,IF(Skills!C6=3,120+(Inputs!$B$27+1)+Inputs!$B$29,MAX(0,(Inputs!$B$3-100)*3)+Inputs!$B$28+Inputs!$B$29)))</f>
        <v/>
      </c>
      <c r="E905">
        <f>INDEX(FactorTable!$B$2:$Y$301, MATCH(ROUND(MIN(300,MAX(1,D905)),0), FactorTable!$A$2:$A$301,0), Skills!M6+1)</f>
        <v/>
      </c>
      <c r="F905">
        <f>IF(Skills!N6=TRUE,(Skills!L6/10)*(E905/1000),Skills!L6/10)+Skills!O6</f>
        <v/>
      </c>
      <c r="G905">
        <f>Skills!G6*IF(Skills!H6&gt;0,Skills!I6/Skills!H6,1)</f>
        <v/>
      </c>
      <c r="H905">
        <f>1-(1-Skills!J6/100)^Skills!K6</f>
        <v/>
      </c>
      <c r="I905" t="inlineStr">
        <is>
          <t>1</t>
        </is>
      </c>
      <c r="J905">
        <f>((Inputs!$B$6*(1+Inputs!$B$7/100))+(((Inputs!$B$12*(1+Inputs!$B$13/100))-(Inputs!$B$12*(1+Inputs!$B$13/100)))+0.25*(Inputs!$B$14-Inputs!$B$14))*(1+Inputs!$B$7/100))*(F905/100)</f>
        <v/>
      </c>
      <c r="K905">
        <f>J905*(1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906=TRUE,F906,0)/100)*(1+(IF(Skills!A6="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905)</f>
        <v/>
      </c>
      <c r="L905">
        <f>K905*(MIN(Inputs!$B$22+((C923=TRUE)*(F923-Calc!F24)),(Inputs!$B$23+((C928=TRUE)*(F928-Calc!F29))+(IF(ArtifactsInput!$M$15,CHOOSE(ArtifactsInput!$N$15+1,25,30,35,40,45,50)/100*(Inputs!$B$11-Inputs!$B$11),0))))/100+(Inputs!$B$23+((C928=TRUE)*(F928-Calc!F29))+(IF(ArtifactsInput!$M$15,CHOOSE(ArtifactsInput!$N$15+1,25,30,35,40,45,50)/100*(Inputs!$B$11-Inputs!$B$11),0)))/100)/2</f>
        <v/>
      </c>
      <c r="M905">
        <f>L905*(1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5">
        <f>L905*(1-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905*(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5">
        <f>(1-Summary!$B$11)*T905+Summary!$B$11*V905</f>
        <v/>
      </c>
      <c r="P905">
        <f>IF(B942=0,0,O905/B942)</f>
        <v/>
      </c>
      <c r="Q905">
        <f>IFERROR(1/(IF(Inputs!$B$38="pvp",15,MAX(0.1,Skills!D6-IF(Skills!E6=TRUE,Inputs!$B$32,0)))*(1-IF(AND(ArtifactsInput!$M$27,Inputs!$B$4="Chapter Hunt"),CHOOSE(ArtifactsInput!$N$27+1,20,24,28,32,36,40),0)/100)),0)</f>
        <v/>
      </c>
      <c r="R905">
        <f>IF(AND(Inputs!$B$38&lt;&gt;"pvp",Inputs!$B$43&gt;0),IF(MAX(0,Inputs!$B$43-B939)&lt;=0,0,(INT(MAX(0,Inputs!$B$43-B939)/(IF(Inputs!$B$38="pvp",15,MAX(0.1,Skills!D6-IF(Skills!E6=TRUE,Inputs!$B$32,0)))*(1-IF(AND(ArtifactsInput!$M$27,Inputs!$B$4="Chapter Hunt"),CHOOSE(ArtifactsInput!$N$27+1,20,24,28,32,36,40),0)/100)))+1)),0)</f>
        <v/>
      </c>
      <c r="S905">
        <f>IFERROR(O905/N905,0)</f>
        <v/>
      </c>
      <c r="T905">
        <f>IF(C905,(H905*N905*IF(AND(Inputs!$B$38&lt;&gt;"pvp",Inputs!$B$43&gt;0),((Skills!G6*((R905-1)*IF(Skills!H6&gt;0,Skills!I6/Skills!H6,1)+IF(Skills!H6&gt;0,MIN(Skills!I6,MAX(0,MAX(0,Inputs!$B$43-B939)-((R905-1)*(IF(Inputs!$B$38="pvp",15,MAX(0.1,Skills!D6-IF(Skills!E6=TRUE,Inputs!$B$32,0)))*(1-IF(AND(ArtifactsInput!$M$27,Inputs!$B$4="Chapter Hunt"),CHOOSE(ArtifactsInput!$N$27+1,20,24,28,32,36,40),0)/100)))))/Skills!H6,1)))/Inputs!$B$43),G905*Q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905*(1-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905*(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905*(1-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905*(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5">
        <f>IF(C905,(H905*N905*IF(AND(Inputs!$B$38&lt;&gt;"pvp",Inputs!$B$43&gt;0),((Skills!G6*((R905-1)*IF(Skills!H6&gt;0,Skills!I6/Skills!H6,1)+IF(Skills!H6&gt;0,MIN(Skills!I6,MAX(0,MAX(0,Inputs!$B$43-B939)-((R905-1)*(IF(Inputs!$B$38="pvp",15,MAX(0.1,Skills!D6-IF(Skills!E6=TRUE,Inputs!$B$32,0)))*(1-IF(AND(ArtifactsInput!$M$27,Inputs!$B$4="Chapter Hunt"),CHOOSE(ArtifactsInput!$N$27+1,20,24,28,32,36,40),0)/100)))))/Skills!H6,1)))/Inputs!$B$43),G905*Q905))*IF(Inputs!$B$38="pvp",1,(1+(Inputs!$B$21+Skills!Q6+(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6">
      <c r="A906">
        <f>Skills!A7</f>
        <v/>
      </c>
      <c r="B906">
        <f>Skills!B7</f>
        <v/>
      </c>
      <c r="C906">
        <f>Inputs!$B$3&gt;=107</f>
        <v/>
      </c>
      <c r="D906">
        <f>IF(Skills!C7=1,60+Inputs!$B$25+Inputs!$B$29,IF(Skills!C7=2,90+Inputs!$B$26+Inputs!$B$29,IF(Skills!C7=3,120+(Inputs!$B$27+1)+Inputs!$B$29,MAX(0,(Inputs!$B$3-100)*3)+Inputs!$B$28+Inputs!$B$29)))</f>
        <v/>
      </c>
      <c r="E906">
        <f>INDEX(FactorTable!$B$2:$Y$301, MATCH(ROUND(MIN(300,MAX(1,D906)),0), FactorTable!$A$2:$A$301,0), Skills!M7+1)</f>
        <v/>
      </c>
      <c r="F906">
        <f>IF(Skills!N7=TRUE,(Skills!L7/10)*(E906/1000),Skills!L7/10)+Skills!O7</f>
        <v/>
      </c>
      <c r="G906" t="inlineStr"/>
      <c r="H906" t="inlineStr"/>
      <c r="I906" t="inlineStr">
        <is>
          <t>1</t>
        </is>
      </c>
      <c r="J906" t="inlineStr"/>
      <c r="K906" t="inlineStr"/>
      <c r="L906" t="inlineStr"/>
      <c r="M906" t="inlineStr"/>
      <c r="N906" t="inlineStr"/>
      <c r="O906" t="inlineStr"/>
      <c r="P906" t="inlineStr"/>
      <c r="Q906" t="inlineStr"/>
      <c r="R906" t="inlineStr"/>
      <c r="S906" t="inlineStr"/>
      <c r="T906" t="inlineStr"/>
      <c r="V906" t="inlineStr"/>
    </row>
    <row r="907">
      <c r="A907">
        <f>Skills!A8</f>
        <v/>
      </c>
      <c r="B907">
        <f>Skills!B8</f>
        <v/>
      </c>
      <c r="C907">
        <f>Inputs!$B$3&gt;=69</f>
        <v/>
      </c>
      <c r="D907">
        <f>IF(Skills!C8=1,60+Inputs!$B$25+Inputs!$B$29,IF(Skills!C8=2,90+Inputs!$B$26+Inputs!$B$29,IF(Skills!C8=3,120+(Inputs!$B$27+1)+Inputs!$B$29,MAX(0,(Inputs!$B$3-100)*3)+Inputs!$B$28+Inputs!$B$29)))</f>
        <v/>
      </c>
      <c r="E907">
        <f>INDEX(FactorTable!$B$2:$Y$301, MATCH(ROUND(MIN(300,MAX(1,D907)),0), FactorTable!$A$2:$A$301,0), Skills!M8+1)</f>
        <v/>
      </c>
      <c r="F907">
        <f>IF(Skills!N8=TRUE,(Skills!L8/10)*(E907/1000),Skills!L8/10)+Skills!O8</f>
        <v/>
      </c>
      <c r="G907">
        <f>Skills!G8*IF(Skills!H8&gt;0,Skills!I8/Skills!H8,1)</f>
        <v/>
      </c>
      <c r="H907">
        <f>1-(1-Skills!J8/100)^Skills!K8</f>
        <v/>
      </c>
      <c r="I907" t="inlineStr">
        <is>
          <t>1</t>
        </is>
      </c>
      <c r="J907">
        <f>((Inputs!$B$6*(1+Inputs!$B$7/100))+(((Inputs!$B$12*(1+Inputs!$B$13/100))-(Inputs!$B$12*(1+Inputs!$B$13/100)))+0.25*(Inputs!$B$14-Inputs!$B$14))*(1+Inputs!$B$7/100))*(F907/100)</f>
        <v/>
      </c>
      <c r="K907">
        <f>J907*(1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909=TRUE,F909,0)/100)*(1+(IF(Skills!A8="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907)</f>
        <v/>
      </c>
      <c r="L907">
        <f>K907*(MIN(Inputs!$B$22+((C923=TRUE)*(F923-Calc!F24)),(Inputs!$B$23+((C928=TRUE)*(F928-Calc!F29))+(IF(ArtifactsInput!$M$15,CHOOSE(ArtifactsInput!$N$15+1,25,30,35,40,45,50)/100*(Inputs!$B$11-Inputs!$B$11),0))))/100+(Inputs!$B$23+((C928=TRUE)*(F928-Calc!F29))+(IF(ArtifactsInput!$M$15,CHOOSE(ArtifactsInput!$N$15+1,25,30,35,40,45,50)/100*(Inputs!$B$11-Inputs!$B$11),0)))/100)/2</f>
        <v/>
      </c>
      <c r="M907">
        <f>L907*(1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7">
        <f>L907*(1-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907*(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7">
        <f>(1-Summary!$B$11)*T907+Summary!$B$11*V907</f>
        <v/>
      </c>
      <c r="P907">
        <f>IF(B942=0,0,O907/B942)</f>
        <v/>
      </c>
      <c r="Q907">
        <f>IFERROR(1/(IF(Inputs!$B$38="pvp",15,MAX(0.1,Skills!D8-IF(Skills!E8=TRUE,Inputs!$B$32,0)))*(1-IF(AND(ArtifactsInput!$M$27,Inputs!$B$4="Chapter Hunt"),CHOOSE(ArtifactsInput!$N$27+1,20,24,28,32,36,40),0)/100)),0)</f>
        <v/>
      </c>
      <c r="R907">
        <f>IF(AND(Inputs!$B$38&lt;&gt;"pvp",Inputs!$B$43&gt;0),IF(MAX(0,Inputs!$B$43-B939)&lt;=0,0,(INT(MAX(0,Inputs!$B$43-B939)/(IF(Inputs!$B$38="pvp",15,MAX(0.1,Skills!D8-IF(Skills!E8=TRUE,Inputs!$B$32,0)))*(1-IF(AND(ArtifactsInput!$M$27,Inputs!$B$4="Chapter Hunt"),CHOOSE(ArtifactsInput!$N$27+1,20,24,28,32,36,40),0)/100)))+1)),0)</f>
        <v/>
      </c>
      <c r="S907">
        <f>IFERROR(O907/N907,0)</f>
        <v/>
      </c>
      <c r="T907">
        <f>IF(C907,(H907*N907*IF(AND(Inputs!$B$38&lt;&gt;"pvp",Inputs!$B$43&gt;0),((Skills!G8*((R907-1)*IF(Skills!H8&gt;0,Skills!I8/Skills!H8,1)+IF(Skills!H8&gt;0,MIN(Skills!I8,MAX(0,MAX(0,Inputs!$B$43-B939)-((R907-1)*(IF(Inputs!$B$38="pvp",15,MAX(0.1,Skills!D8-IF(Skills!E8=TRUE,Inputs!$B$32,0)))*(1-IF(AND(ArtifactsInput!$M$27,Inputs!$B$4="Chapter Hunt"),CHOOSE(ArtifactsInput!$N$27+1,20,24,28,32,36,40),0)/100)))))/Skills!H8,1)))/Inputs!$B$43),G907*Q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907*(1-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907*(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907*(1-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907*(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7">
        <f>IF(C907,(H907*N907*IF(AND(Inputs!$B$38&lt;&gt;"pvp",Inputs!$B$43&gt;0),((Skills!G8*((R907-1)*IF(Skills!H8&gt;0,Skills!I8/Skills!H8,1)+IF(Skills!H8&gt;0,MIN(Skills!I8,MAX(0,MAX(0,Inputs!$B$43-B939)-((R907-1)*(IF(Inputs!$B$38="pvp",15,MAX(0.1,Skills!D8-IF(Skills!E8=TRUE,Inputs!$B$32,0)))*(1-IF(AND(ArtifactsInput!$M$27,Inputs!$B$4="Chapter Hunt"),CHOOSE(ArtifactsInput!$N$27+1,20,24,28,32,36,40),0)/100)))))/Skills!H8,1)))/Inputs!$B$43),G907*Q907))*IF(Inputs!$B$38="pvp",1,(1+(Inputs!$B$21+Skills!Q8+(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8">
      <c r="A908">
        <f>Skills!A9</f>
        <v/>
      </c>
      <c r="B908">
        <f>Skills!B9</f>
        <v/>
      </c>
      <c r="C908">
        <f>Inputs!$B$3&gt;=63</f>
        <v/>
      </c>
      <c r="D908">
        <f>IF(Skills!C9=1,60+Inputs!$B$25+Inputs!$B$29,IF(Skills!C9=2,90+Inputs!$B$26+Inputs!$B$29,IF(Skills!C9=3,120+(Inputs!$B$27+1)+Inputs!$B$29,MAX(0,(Inputs!$B$3-100)*3)+Inputs!$B$28+Inputs!$B$29)))</f>
        <v/>
      </c>
      <c r="E908">
        <f>INDEX(FactorTable!$B$2:$Y$301, MATCH(ROUND(MIN(300,MAX(1,D908)),0), FactorTable!$A$2:$A$301,0), Skills!M9+1)</f>
        <v/>
      </c>
      <c r="F908">
        <f>IF(Skills!N9=TRUE,(Skills!L9/10)*(E908/1000),Skills!L9/10)+Skills!O9</f>
        <v/>
      </c>
      <c r="G908">
        <f>Skills!G9*IF(Skills!H9&gt;0,Skills!I9/Skills!H9,1)</f>
        <v/>
      </c>
      <c r="H908">
        <f>1-(1-Skills!J9/100)^Skills!K9</f>
        <v/>
      </c>
      <c r="I908" t="inlineStr">
        <is>
          <t>1</t>
        </is>
      </c>
      <c r="J908">
        <f>((Inputs!$B$6*(1+Inputs!$B$7/100))+(((Inputs!$B$12*(1+Inputs!$B$13/100))-(Inputs!$B$12*(1+Inputs!$B$13/100)))+0.25*(Inputs!$B$14-Inputs!$B$14))*(1+Inputs!$B$7/100))*(F908/100)</f>
        <v/>
      </c>
      <c r="K908">
        <f>J908*(1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909=TRUE,F909,0)/100)*(1+(IF(Skills!A9="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C923=TRUE)*(F923-Calc!F24)),(Inputs!$B$23+((C928=TRUE)*(F928-Calc!F29))+(IF(ArtifactsInput!$M$15,CHOOSE(ArtifactsInput!$N$15+1,25,30,35,40,45,50)/100*(Inputs!$B$11-Inputs!$B$11),0))))/100+(Inputs!$B$23+((C928=TRUE)*(F928-Calc!F29))+(IF(ArtifactsInput!$M$15,CHOOSE(ArtifactsInput!$N$15+1,25,30,35,40,45,50)/100*(Inputs!$B$11-Inputs!$B$11),0)))/100)/2</f>
        <v/>
      </c>
      <c r="M908">
        <f>L908*(1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(1-Summary!$B$11)*T908+Summary!$B$11*V908</f>
        <v/>
      </c>
      <c r="P908">
        <f>IF(B942=0,0,O908/B942)</f>
        <v/>
      </c>
      <c r="Q908">
        <f>IFERROR(1/(IF(Inputs!$B$38="pvp",15,MAX(0.1,Skills!D9-IF(Skills!E9=TRUE,Inputs!$B$32,0)))*(1-IF(AND(ArtifactsInput!$M$27,Inputs!$B$4="Chapter Hunt"),CHOOSE(ArtifactsInput!$N$27+1,20,24,28,32,36,40),0)/100)),0)</f>
        <v/>
      </c>
      <c r="R908">
        <f>IF(AND(Inputs!$B$38&lt;&gt;"pvp",Inputs!$B$43&gt;0),IF(MAX(0,Inputs!$B$43-B939)&lt;=0,0,(INT(MAX(0,Inputs!$B$43-B939)/(IF(Inputs!$B$38="pvp",15,MAX(0.1,Skills!D9-IF(Skills!E9=TRUE,Inputs!$B$32,0)))*(1-IF(AND(ArtifactsInput!$M$27,Inputs!$B$4="Chapter Hunt"),CHOOSE(ArtifactsInput!$N$27+1,20,24,28,32,36,40),0)/100)))+1)),0)</f>
        <v/>
      </c>
      <c r="S908">
        <f>IFERROR(O908/N908,0)</f>
        <v/>
      </c>
      <c r="T908">
        <f>IF(C908,(H908*N908*IF(AND(Inputs!$B$38&lt;&gt;"pvp",Inputs!$B$43&gt;0),((Skills!G9*((R908-1)*IF(Skills!H9&gt;0,Skills!I9/Skills!H9,1)+IF(Skills!H9&gt;0,MIN(Skills!I9,MAX(0,MAX(0,Inputs!$B$43-B939)-((R908-1)*(IF(Inputs!$B$38="pvp",15,MAX(0.1,Skills!D9-IF(Skills!E9=TRUE,Inputs!$B$32,0)))*(1-IF(AND(ArtifactsInput!$M$27,Inputs!$B$4="Chapter Hunt"),CHOOSE(ArtifactsInput!$N$27+1,20,24,28,32,36,40),0)/100)))))/Skills!H9,1)))/Inputs!$B$43),G908*Q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908*(1-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8">
        <f>IF(C908,(H908*N908*IF(AND(Inputs!$B$38&lt;&gt;"pvp",Inputs!$B$43&gt;0),((Skills!G9*((R908-1)*IF(Skills!H9&gt;0,Skills!I9/Skills!H9,1)+IF(Skills!H9&gt;0,MIN(Skills!I9,MAX(0,MAX(0,Inputs!$B$43-B939)-((R908-1)*(IF(Inputs!$B$38="pvp",15,MAX(0.1,Skills!D9-IF(Skills!E9=TRUE,Inputs!$B$32,0)))*(1-IF(AND(ArtifactsInput!$M$27,Inputs!$B$4="Chapter Hunt"),CHOOSE(ArtifactsInput!$N$27+1,20,24,28,32,36,40),0)/100)))))/Skills!H9,1)))/Inputs!$B$43),G908*Q908))*IF(Inputs!$B$38="pvp",1,(1+(Inputs!$B$21+Skills!Q9+(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9">
      <c r="A909">
        <f>Skills!A10</f>
        <v/>
      </c>
      <c r="B909">
        <f>Skills!B10</f>
        <v/>
      </c>
      <c r="C909">
        <f>Inputs!$B$3&gt;=100</f>
        <v/>
      </c>
      <c r="D909">
        <f>IF(Skills!C10=1,60+Inputs!$B$25+Inputs!$B$29,IF(Skills!C10=2,90+Inputs!$B$26+Inputs!$B$29,IF(Skills!C10=3,120+(Inputs!$B$27+1)+Inputs!$B$29,MAX(0,(Inputs!$B$3-100)*3)+Inputs!$B$28+Inputs!$B$29)))</f>
        <v/>
      </c>
      <c r="E909">
        <f>INDEX(FactorTable!$B$2:$Y$301, MATCH(ROUND(MIN(300,MAX(1,D909)),0), FactorTable!$A$2:$A$301,0), Skills!M10+1)</f>
        <v/>
      </c>
      <c r="F909">
        <f>IF(Skills!N10=TRUE,(Skills!L10/10)*(E909/1000),Skills!L10/10)+Skills!O10</f>
        <v/>
      </c>
      <c r="G909" t="inlineStr"/>
      <c r="H909" t="inlineStr"/>
      <c r="I909" t="inlineStr">
        <is>
          <t>1</t>
        </is>
      </c>
      <c r="J909" t="inlineStr"/>
      <c r="K909" t="inlineStr"/>
      <c r="L909" t="inlineStr"/>
      <c r="M909" t="inlineStr"/>
      <c r="N909" t="inlineStr"/>
      <c r="O909" t="inlineStr"/>
      <c r="P909" t="inlineStr"/>
      <c r="Q909" t="inlineStr"/>
      <c r="R909" t="inlineStr"/>
      <c r="S909" t="inlineStr"/>
      <c r="T909" t="inlineStr"/>
      <c r="V909" t="inlineStr"/>
    </row>
    <row r="910">
      <c r="A910">
        <f>Skills!A11</f>
        <v/>
      </c>
      <c r="B910">
        <f>Skills!B11</f>
        <v/>
      </c>
      <c r="C910">
        <f>Inputs!$B$3&gt;=60</f>
        <v/>
      </c>
      <c r="D910">
        <f>IF(Skills!C11=1,60+Inputs!$B$25+Inputs!$B$29,IF(Skills!C11=2,90+Inputs!$B$26+Inputs!$B$29,IF(Skills!C11=3,120+(Inputs!$B$27+1)+Inputs!$B$29,MAX(0,(Inputs!$B$3-100)*3)+Inputs!$B$28+Inputs!$B$29)))</f>
        <v/>
      </c>
      <c r="E910">
        <f>INDEX(FactorTable!$B$2:$Y$301, MATCH(ROUND(MIN(300,MAX(1,D910)),0), FactorTable!$A$2:$A$301,0), Skills!M11+1)</f>
        <v/>
      </c>
      <c r="F910">
        <f>IF(Skills!N11=TRUE,(Skills!L11/10)*(E910/1000),Skills!L11/10)+Skills!O11</f>
        <v/>
      </c>
      <c r="G910">
        <f>Skills!G11*IF(Skills!H11&gt;0,Skills!I11/Skills!H11,1)</f>
        <v/>
      </c>
      <c r="H910">
        <f>1-(1-Skills!J11/100)^Skills!K11</f>
        <v/>
      </c>
      <c r="I910" t="inlineStr">
        <is>
          <t>1</t>
        </is>
      </c>
      <c r="J910">
        <f>((Inputs!$B$6*(1+Inputs!$B$7/100))+(((Inputs!$B$12*(1+Inputs!$B$13/100))-(Inputs!$B$12*(1+Inputs!$B$13/100)))+0.25*(Inputs!$B$14-Inputs!$B$14))*(1+Inputs!$B$7/100))*(F910/100)</f>
        <v/>
      </c>
      <c r="K910">
        <f>J910*(1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911=TRUE,F911,0)/100)*(1+(IF(Skills!A11="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923=TRUE)*(F923-Calc!F24)),(Inputs!$B$23+((C928=TRUE)*(F928-Calc!F29))+(IF(ArtifactsInput!$M$15,CHOOSE(ArtifactsInput!$N$15+1,25,30,35,40,45,50)/100*(Inputs!$B$11-Inputs!$B$11),0))))/100+(Inputs!$B$23+((C928=TRUE)*(F928-Calc!F29))+(IF(ArtifactsInput!$M$15,CHOOSE(ArtifactsInput!$N$15+1,25,30,35,40,45,50)/100*(Inputs!$B$11-Inputs!$B$11),0)))/100)/2</f>
        <v/>
      </c>
      <c r="M910">
        <f>L910*(1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IF(B942=0,0,O910/B942)</f>
        <v/>
      </c>
      <c r="Q910">
        <f>IFERROR(1/(IF(Inputs!$B$38="pvp",15,MAX(0.1,Skills!D11-IF(Skills!E11=TRUE,Inputs!$B$32,0)))*(1-IF(AND(ArtifactsInput!$M$27,Inputs!$B$4="Chapter Hunt"),CHOOSE(ArtifactsInput!$N$27+1,20,24,28,32,36,40),0)/100)),0)</f>
        <v/>
      </c>
      <c r="R910">
        <f>IF(AND(Inputs!$B$38&lt;&gt;"pvp",Inputs!$B$43&gt;0),IF(MAX(0,Inputs!$B$43-B939)&lt;=0,0,(INT(MAX(0,Inputs!$B$43-B939)/(IF(Inputs!$B$38="pvp",15,MAX(0.1,Skills!D11-IF(Skills!E11=TRUE,Inputs!$B$32,0)))*(1-IF(AND(ArtifactsInput!$M$27,Inputs!$B$4="Chapter Hunt"),CHOOSE(ArtifactsInput!$N$27+1,20,24,28,32,36,40),0)/100)))+1)),0)</f>
        <v/>
      </c>
      <c r="S910">
        <f>IFERROR(O910/N910,0)</f>
        <v/>
      </c>
      <c r="T910">
        <f>IF(C910,(H910*N910*IF(AND(Inputs!$B$38&lt;&gt;"pvp",Inputs!$B$43&gt;0),((Skills!G11*((R910-1)*IF(Skills!H11&gt;0,Skills!I11/Skills!H11,1)+IF(Skills!H11&gt;0,MIN(Skills!I11,MAX(0,MAX(0,Inputs!$B$43-B939)-((R910-1)*(IF(Inputs!$B$38="pvp",15,MAX(0.1,Skills!D11-IF(Skills!E11=TRUE,Inputs!$B$32,0)))*(1-IF(AND(ArtifactsInput!$M$27,Inputs!$B$4="Chapter Hunt"),CHOOSE(ArtifactsInput!$N$27+1,20,24,28,32,36,40),0)/100)))))/Skills!H11,1)))/Inputs!$B$43),G910*Q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910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0">
        <f>IF(C910,(H910*N910*IF(AND(Inputs!$B$38&lt;&gt;"pvp",Inputs!$B$43&gt;0),((Skills!G11*((R910-1)*IF(Skills!H11&gt;0,Skills!I11/Skills!H11,1)+IF(Skills!H11&gt;0,MIN(Skills!I11,MAX(0,MAX(0,Inputs!$B$43-B939)-((R910-1)*(IF(Inputs!$B$38="pvp",15,MAX(0.1,Skills!D11-IF(Skills!E11=TRUE,Inputs!$B$32,0)))*(1-IF(AND(ArtifactsInput!$M$27,Inputs!$B$4="Chapter Hunt"),CHOOSE(ArtifactsInput!$N$27+1,20,24,28,32,36,40),0)/100)))))/Skills!H11,1)))/Inputs!$B$43),G910*Q910))*IF(Inputs!$B$38="pvp",1,(1+(Inputs!$B$21+Skills!Q11+(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Skills!A12</f>
        <v/>
      </c>
      <c r="B911">
        <f>Skills!B12</f>
        <v/>
      </c>
      <c r="C911">
        <f>Inputs!$B$3&gt;=110</f>
        <v/>
      </c>
      <c r="D911">
        <f>IF(Skills!C12=1,60+Inputs!$B$25+Inputs!$B$29,IF(Skills!C12=2,90+Inputs!$B$26+Inputs!$B$29,IF(Skills!C12=3,120+(Inputs!$B$27+1)+Inputs!$B$29,MAX(0,(Inputs!$B$3-100)*3)+Inputs!$B$28+Inputs!$B$29)))</f>
        <v/>
      </c>
      <c r="E911">
        <f>INDEX(FactorTable!$B$2:$Y$301, MATCH(ROUND(MIN(300,MAX(1,D911)),0), FactorTable!$A$2:$A$301,0), Skills!M12+1)</f>
        <v/>
      </c>
      <c r="F911">
        <f>IF(Skills!N12=TRUE,(Skills!L12/10)*(E911/1000),Skills!L12/10)+Skills!O12</f>
        <v/>
      </c>
      <c r="G911" t="inlineStr"/>
      <c r="H911" t="inlineStr"/>
      <c r="I911" t="inlineStr">
        <is>
          <t>1</t>
        </is>
      </c>
      <c r="J911" t="inlineStr"/>
      <c r="K911" t="inlineStr"/>
      <c r="L911" t="inlineStr"/>
      <c r="M911" t="inlineStr"/>
      <c r="N911" t="inlineStr"/>
      <c r="O911" t="inlineStr"/>
      <c r="P911" t="inlineStr"/>
      <c r="Q911" t="inlineStr"/>
      <c r="R911" t="inlineStr"/>
      <c r="S911" t="inlineStr"/>
      <c r="T911" t="inlineStr"/>
      <c r="V911" t="inlineStr"/>
    </row>
    <row r="912">
      <c r="A912">
        <f>Skills!A13</f>
        <v/>
      </c>
      <c r="B912">
        <f>Skills!B13</f>
        <v/>
      </c>
      <c r="C912">
        <f>Inputs!$B$3&gt;=74</f>
        <v/>
      </c>
      <c r="D912">
        <f>IF(Skills!C13=1,60+Inputs!$B$25+Inputs!$B$29,IF(Skills!C13=2,90+Inputs!$B$26+Inputs!$B$29,IF(Skills!C13=3,120+(Inputs!$B$27+1)+Inputs!$B$29,MAX(0,(Inputs!$B$3-100)*3)+Inputs!$B$28+Inputs!$B$29)))</f>
        <v/>
      </c>
      <c r="E912">
        <f>INDEX(FactorTable!$B$2:$Y$301, MATCH(ROUND(MIN(300,MAX(1,D912)),0), FactorTable!$A$2:$A$301,0), Skills!M13+1)</f>
        <v/>
      </c>
      <c r="F912">
        <f>IF(Skills!N13=TRUE,(Skills!L13/10)*(E912/1000),Skills!L13/10)+Skills!O13</f>
        <v/>
      </c>
      <c r="G912">
        <f>Skills!G13*IF(Skills!H13&gt;0,Skills!I13/Skills!H13,1)</f>
        <v/>
      </c>
      <c r="H912">
        <f>1-(1-Skills!J13/100)^Skills!K13</f>
        <v/>
      </c>
      <c r="I912" t="inlineStr">
        <is>
          <t>1</t>
        </is>
      </c>
      <c r="J912" t="inlineStr"/>
      <c r="K912" t="inlineStr"/>
      <c r="L912" t="inlineStr"/>
      <c r="M912" t="inlineStr"/>
      <c r="N912" t="inlineStr"/>
      <c r="O912">
        <f>(1-Summary!$B$11)*T912+Summary!$B$11*V912</f>
        <v/>
      </c>
      <c r="P912">
        <f>IF(B942=0,0,O912/B942)</f>
        <v/>
      </c>
      <c r="Q912" t="n">
        <v>0</v>
      </c>
      <c r="R912" t="n">
        <v>0</v>
      </c>
      <c r="S912">
        <f>IFERROR(O912/N912,0)</f>
        <v/>
      </c>
      <c r="T912" t="n">
        <v>0</v>
      </c>
      <c r="V912" t="n">
        <v>0</v>
      </c>
    </row>
    <row r="913">
      <c r="A913">
        <f>Skills!A14</f>
        <v/>
      </c>
      <c r="B913">
        <f>Skills!B14</f>
        <v/>
      </c>
      <c r="C913">
        <f>Inputs!$B$3&gt;=74</f>
        <v/>
      </c>
      <c r="D913">
        <f>IF(Skills!C14=1,60+Inputs!$B$25+Inputs!$B$29,IF(Skills!C14=2,90+Inputs!$B$26+Inputs!$B$29,IF(Skills!C14=3,120+(Inputs!$B$27+1)+Inputs!$B$29,MAX(0,(Inputs!$B$3-100)*3)+Inputs!$B$28+Inputs!$B$29)))</f>
        <v/>
      </c>
      <c r="E913">
        <f>INDEX(FactorTable!$B$2:$Y$301, MATCH(ROUND(MIN(300,MAX(1,D913)),0), FactorTable!$A$2:$A$301,0), Skills!M14+1)</f>
        <v/>
      </c>
      <c r="F913">
        <f>IF(Skills!N14=TRUE,(Skills!L14/10)*(E913/1000),Skills!L14/10)+Skills!O14</f>
        <v/>
      </c>
      <c r="G913">
        <f>Skills!G14*IF(Skills!H14&gt;0,Skills!I14/Skills!H14,1)</f>
        <v/>
      </c>
      <c r="H913">
        <f>1-(1-Skills!J14/100)^Skills!K14</f>
        <v/>
      </c>
      <c r="I913" t="inlineStr">
        <is>
          <t>1</t>
        </is>
      </c>
      <c r="J913" t="inlineStr"/>
      <c r="K913" t="inlineStr"/>
      <c r="L913" t="inlineStr"/>
      <c r="M913" t="inlineStr"/>
      <c r="N913" t="inlineStr"/>
      <c r="O913">
        <f>(1-Summary!$B$11)*T913+Summary!$B$11*V913</f>
        <v/>
      </c>
      <c r="P913">
        <f>IF(B942=0,0,O913/B942)</f>
        <v/>
      </c>
      <c r="Q913" t="n">
        <v>0</v>
      </c>
      <c r="R913" t="n">
        <v>0</v>
      </c>
      <c r="S913">
        <f>IFERROR(O913/N913,0)</f>
        <v/>
      </c>
      <c r="T913" t="n">
        <v>0</v>
      </c>
      <c r="V913" t="n">
        <v>0</v>
      </c>
    </row>
    <row r="914">
      <c r="A914">
        <f>Skills!A15</f>
        <v/>
      </c>
      <c r="B914">
        <f>Skills!B15</f>
        <v/>
      </c>
      <c r="C914">
        <f>Inputs!$B$3&gt;=117</f>
        <v/>
      </c>
      <c r="D914">
        <f>IF(Skills!C15=1,60+Inputs!$B$25+Inputs!$B$29,IF(Skills!C15=2,90+Inputs!$B$26+Inputs!$B$29,IF(Skills!C15=3,120+(Inputs!$B$27+1)+Inputs!$B$29,MAX(0,(Inputs!$B$3-100)*3)+Inputs!$B$28+Inputs!$B$29)))</f>
        <v/>
      </c>
      <c r="E914">
        <f>INDEX(FactorTable!$B$2:$Y$301, MATCH(ROUND(MIN(300,MAX(1,D914)),0), FactorTable!$A$2:$A$301,0), Skills!M15+1)</f>
        <v/>
      </c>
      <c r="F914">
        <f>IF(Skills!N15=TRUE,(Skills!L15/10)*(E914/1000),Skills!L15/10)+Skills!O15</f>
        <v/>
      </c>
      <c r="G914">
        <f>Skills!G15*IF(Skills!H15&gt;0,Skills!I15/Skills!H15,1)</f>
        <v/>
      </c>
      <c r="H914">
        <f>1-(1-Skills!J15/100)^Skills!K15</f>
        <v/>
      </c>
      <c r="I914" t="inlineStr">
        <is>
          <t>1</t>
        </is>
      </c>
      <c r="J914" t="inlineStr"/>
      <c r="K914" t="inlineStr"/>
      <c r="L914" t="inlineStr"/>
      <c r="M914" t="inlineStr"/>
      <c r="N914" t="inlineStr"/>
      <c r="O914">
        <f>(1-Summary!$B$11)*T914+Summary!$B$11*V914</f>
        <v/>
      </c>
      <c r="P914">
        <f>IF(B942=0,0,O914/B942)</f>
        <v/>
      </c>
      <c r="Q914">
        <f>IFERROR(1/(IF(Inputs!$B$38="pvp",15,MAX(0.1,Skills!D15-IF(Skills!E15=TRUE,Inputs!$B$32,0)))*(1-IF(AND(ArtifactsInput!$M$27,Inputs!$B$4="Chapter Hunt"),CHOOSE(ArtifactsInput!$N$27+1,20,24,28,32,36,40),0)/100)),0)</f>
        <v/>
      </c>
      <c r="R914">
        <f>IF(AND(Inputs!$B$38&lt;&gt;"pvp",Inputs!$B$43&gt;0),IF(Inputs!$B$43&lt;=0,0,(INT(Inputs!$B$43/(IF(Inputs!$B$38="pvp",15,MAX(0.1,Skills!D15-IF(Skills!E15=TRUE,Inputs!$B$32,0)))*(1-IF(AND(ArtifactsInput!$M$27,Inputs!$B$4="Chapter Hunt"),CHOOSE(ArtifactsInput!$N$27+1,20,24,28,32,36,40),0)/100)))+1)),0)</f>
        <v/>
      </c>
      <c r="S914">
        <f>IFERROR(O914/N914,0)</f>
        <v/>
      </c>
      <c r="T914" t="n">
        <v>0</v>
      </c>
      <c r="V914" t="n">
        <v>0</v>
      </c>
    </row>
    <row r="915">
      <c r="A915">
        <f>Skills!A16</f>
        <v/>
      </c>
      <c r="B915">
        <f>Skills!B16</f>
        <v/>
      </c>
      <c r="C915">
        <f>Inputs!$B$3&gt;=115</f>
        <v/>
      </c>
      <c r="D915">
        <f>IF(Skills!C16=1,60+Inputs!$B$25+Inputs!$B$29,IF(Skills!C16=2,90+Inputs!$B$26+Inputs!$B$29,IF(Skills!C16=3,120+(Inputs!$B$27+1)+Inputs!$B$29,MAX(0,(Inputs!$B$3-100)*3)+Inputs!$B$28+Inputs!$B$29)))</f>
        <v/>
      </c>
      <c r="E915">
        <f>INDEX(FactorTable!$B$2:$Y$301, MATCH(ROUND(MIN(300,MAX(1,D915)),0), FactorTable!$A$2:$A$301,0), Skills!M16+1)</f>
        <v/>
      </c>
      <c r="F915">
        <f>IF(Skills!N16=TRUE,(Skills!L16/10)*(E915/1000),Skills!L16/10)+Skills!O16</f>
        <v/>
      </c>
      <c r="G915">
        <f>Skills!G16*IF(Skills!H16&gt;0,Skills!I16/Skills!H16,1)</f>
        <v/>
      </c>
      <c r="H915">
        <f>1-(1-Skills!J16/100)^Skills!K16</f>
        <v/>
      </c>
      <c r="I915" t="inlineStr">
        <is>
          <t>1</t>
        </is>
      </c>
      <c r="J915" t="inlineStr"/>
      <c r="K915" t="inlineStr"/>
      <c r="L915" t="inlineStr"/>
      <c r="M915" t="inlineStr"/>
      <c r="N915" t="inlineStr"/>
      <c r="O915">
        <f>(1-Summary!$B$11)*T915+Summary!$B$11*V915</f>
        <v/>
      </c>
      <c r="P915">
        <f>IF(B942=0,0,O915/B942)</f>
        <v/>
      </c>
      <c r="Q915">
        <f>IFERROR(1/(IF(Inputs!$B$38="pvp",15,MAX(0.1,Skills!D16-IF(Skills!E16=TRUE,Inputs!$B$32,0)))*(1-IF(AND(ArtifactsInput!$M$27,Inputs!$B$4="Chapter Hunt"),CHOOSE(ArtifactsInput!$N$27+1,20,24,28,32,36,40),0)/100)),0)</f>
        <v/>
      </c>
      <c r="R915">
        <f>IF(AND(Inputs!$B$38&lt;&gt;"pvp",Inputs!$B$43&gt;0),IF(Inputs!$B$43&lt;=0,0,(INT(Inputs!$B$43/(IF(Inputs!$B$38="pvp",15,MAX(0.1,Skills!D16-IF(Skills!E16=TRUE,Inputs!$B$32,0)))*(1-IF(AND(ArtifactsInput!$M$27,Inputs!$B$4="Chapter Hunt"),CHOOSE(ArtifactsInput!$N$27+1,20,24,28,32,36,40),0)/100)))+1)),0)</f>
        <v/>
      </c>
      <c r="S915">
        <f>IFERROR(O915/N915,0)</f>
        <v/>
      </c>
      <c r="T915" t="n">
        <v>0</v>
      </c>
      <c r="V915" t="n">
        <v>0</v>
      </c>
    </row>
    <row r="916">
      <c r="A916">
        <f>Skills!A17</f>
        <v/>
      </c>
      <c r="B916">
        <f>Skills!B17</f>
        <v/>
      </c>
      <c r="C916">
        <f>Inputs!$B$3&gt;=66</f>
        <v/>
      </c>
      <c r="D916">
        <f>IF(Skills!C17=1,60+Inputs!$B$25+Inputs!$B$29,IF(Skills!C17=2,90+Inputs!$B$26+Inputs!$B$29,IF(Skills!C17=3,120+(Inputs!$B$27+1)+Inputs!$B$29,MAX(0,(Inputs!$B$3-100)*3)+Inputs!$B$28+Inputs!$B$29)))</f>
        <v/>
      </c>
      <c r="E916">
        <f>INDEX(FactorTable!$B$2:$Y$301, MATCH(ROUND(MIN(300,MAX(1,D916)),0), FactorTable!$A$2:$A$301,0), Skills!M17+1)</f>
        <v/>
      </c>
      <c r="F916">
        <f>IF(Skills!N17=TRUE,(Skills!L17/10)*(E916/1000),Skills!L17/10)+Skills!O17</f>
        <v/>
      </c>
      <c r="G916">
        <f>Skills!G17*IF(Skills!H17&gt;0,Skills!I17/Skills!H17,1)</f>
        <v/>
      </c>
      <c r="H916">
        <f>1-(1-Skills!J17/100)^Skills!K17</f>
        <v/>
      </c>
      <c r="I916" t="inlineStr">
        <is>
          <t>1</t>
        </is>
      </c>
      <c r="J916" t="inlineStr"/>
      <c r="K916" t="inlineStr"/>
      <c r="L916" t="inlineStr"/>
      <c r="M916" t="inlineStr"/>
      <c r="N916" t="inlineStr"/>
      <c r="O916">
        <f>(1-Summary!$B$11)*T916+Summary!$B$11*V916</f>
        <v/>
      </c>
      <c r="P916">
        <f>IF(B942=0,0,O916/B942)</f>
        <v/>
      </c>
      <c r="Q916" t="n">
        <v>0</v>
      </c>
      <c r="R916" t="n">
        <v>0</v>
      </c>
      <c r="S916">
        <f>IFERROR(O916/N916,0)</f>
        <v/>
      </c>
      <c r="T916" t="n">
        <v>0</v>
      </c>
      <c r="V916" t="n">
        <v>0</v>
      </c>
    </row>
    <row r="917">
      <c r="A917">
        <f>Skills!A18</f>
        <v/>
      </c>
      <c r="B917">
        <f>Skills!B18</f>
        <v/>
      </c>
      <c r="C917">
        <f>Inputs!$B$3&gt;=72</f>
        <v/>
      </c>
      <c r="D917">
        <f>IF(Skills!C18=1,60+Inputs!$B$25+Inputs!$B$29,IF(Skills!C18=2,90+Inputs!$B$26+Inputs!$B$29,IF(Skills!C18=3,120+(Inputs!$B$27+1)+Inputs!$B$29,MAX(0,(Inputs!$B$3-100)*3)+Inputs!$B$28+Inputs!$B$29)))</f>
        <v/>
      </c>
      <c r="E917">
        <f>INDEX(FactorTable!$B$2:$Y$301, MATCH(ROUND(MIN(300,MAX(1,D917)),0), FactorTable!$A$2:$A$301,0), Skills!M18+1)</f>
        <v/>
      </c>
      <c r="F917">
        <f>IF(Skills!N18=TRUE,(Skills!L18/10)*(E917/1000),Skills!L18/10)+Skills!O18</f>
        <v/>
      </c>
      <c r="G917">
        <f>Skills!G18*IF(Skills!H18&gt;0,Skills!I18/Skills!H18,1)</f>
        <v/>
      </c>
      <c r="H917">
        <f>1-(1-Skills!J18/100)^Skills!K18</f>
        <v/>
      </c>
      <c r="I917" t="inlineStr">
        <is>
          <t>1</t>
        </is>
      </c>
      <c r="J917" t="inlineStr"/>
      <c r="K917" t="inlineStr"/>
      <c r="L917" t="inlineStr"/>
      <c r="M917" t="inlineStr"/>
      <c r="N917" t="inlineStr"/>
      <c r="O917">
        <f>(1-Summary!$B$11)*T917+Summary!$B$11*V917</f>
        <v/>
      </c>
      <c r="P917">
        <f>IF(B942=0,0,O917/B942)</f>
        <v/>
      </c>
      <c r="Q917" t="n">
        <v>0</v>
      </c>
      <c r="R917" t="n">
        <v>0</v>
      </c>
      <c r="S917">
        <f>IFERROR(O917/N917,0)</f>
        <v/>
      </c>
      <c r="T917" t="n">
        <v>0</v>
      </c>
      <c r="V917" t="n">
        <v>0</v>
      </c>
    </row>
    <row r="918">
      <c r="A918">
        <f>Skills!A19</f>
        <v/>
      </c>
      <c r="B918">
        <f>Skills!B19</f>
        <v/>
      </c>
      <c r="C918">
        <f>TRUE</f>
        <v/>
      </c>
      <c r="D918">
        <f>IF(Skills!C19=1,60+Inputs!$B$25+Inputs!$B$29,IF(Skills!C19=2,90+Inputs!$B$26+Inputs!$B$29,IF(Skills!C19=3,120+(Inputs!$B$27+1)+Inputs!$B$29,MAX(0,(Inputs!$B$3-100)*3)+Inputs!$B$28+Inputs!$B$29)))</f>
        <v/>
      </c>
      <c r="E918">
        <f>INDEX(FactorTable!$B$2:$Y$301, MATCH(ROUND(MIN(300,MAX(1,D918)),0), FactorTable!$A$2:$A$301,0), Skills!M19+1)</f>
        <v/>
      </c>
      <c r="F918">
        <f>IF(Skills!N19=TRUE,(Skills!L19/10)*(E918/1000),Skills!L19/10)+Skills!O19</f>
        <v/>
      </c>
      <c r="G918">
        <f>Skills!G19*IF(Skills!H19&gt;0,Skills!I19/Skills!H19,1)</f>
        <v/>
      </c>
      <c r="H918">
        <f>1-(1-Skills!J19/100)^Skills!K19</f>
        <v/>
      </c>
      <c r="I918" t="inlineStr">
        <is>
          <t>1</t>
        </is>
      </c>
      <c r="J918" t="inlineStr"/>
      <c r="K918" t="inlineStr"/>
      <c r="L918" t="inlineStr"/>
      <c r="M918" t="inlineStr"/>
      <c r="N918" t="inlineStr"/>
      <c r="O918">
        <f>(1-Summary!$B$11)*T918+Summary!$B$11*V918</f>
        <v/>
      </c>
      <c r="P918">
        <f>IF(B942=0,0,O918/B942)</f>
        <v/>
      </c>
      <c r="Q918">
        <f>IFERROR(1/(IF(Inputs!$B$38="pvp",15,MAX(0.1,Skills!D19-IF(Skills!E19=TRUE,Inputs!$B$32,0)))*(1-IF(AND(ArtifactsInput!$M$27,Inputs!$B$4="Chapter Hunt"),CHOOSE(ArtifactsInput!$N$27+1,20,24,28,32,36,40),0)/100)),0)</f>
        <v/>
      </c>
      <c r="R918">
        <f>IF(AND(Inputs!$B$38&lt;&gt;"pvp",Inputs!$B$43&gt;0),IF(Inputs!$B$43&lt;=0,0,(INT(Inputs!$B$43/(IF(Inputs!$B$38="pvp",15,MAX(0.1,Skills!D19-IF(Skills!E19=TRUE,Inputs!$B$32,0)))*(1-IF(AND(ArtifactsInput!$M$27,Inputs!$B$4="Chapter Hunt"),CHOOSE(ArtifactsInput!$N$27+1,20,24,28,32,36,40),0)/100)))+1)),0)</f>
        <v/>
      </c>
      <c r="S918">
        <f>IFERROR(O918/N918,0)</f>
        <v/>
      </c>
      <c r="T918" t="n">
        <v>0</v>
      </c>
      <c r="V918" t="n">
        <v>0</v>
      </c>
    </row>
    <row r="919">
      <c r="A919">
        <f>Skills!A20</f>
        <v/>
      </c>
      <c r="B919">
        <f>Skills!B20</f>
        <v/>
      </c>
      <c r="C919">
        <f>Inputs!$B$3&gt;=15</f>
        <v/>
      </c>
      <c r="D919">
        <f>IF(Skills!C20=1,60+Inputs!$B$25+Inputs!$B$29,IF(Skills!C20=2,90+Inputs!$B$26+Inputs!$B$29,IF(Skills!C20=3,120+(Inputs!$B$27+1)+Inputs!$B$29,MAX(0,(Inputs!$B$3-100)*3)+Inputs!$B$28+Inputs!$B$29)))</f>
        <v/>
      </c>
      <c r="E919">
        <f>INDEX(FactorTable!$B$2:$Y$301, MATCH(ROUND(MIN(300,MAX(1,D919)),0), FactorTable!$A$2:$A$301,0), Skills!M20+1)</f>
        <v/>
      </c>
      <c r="F919">
        <f>IF(Skills!N20=TRUE,(Skills!L20/10)*(E919/1000),Skills!L20/10)+Skills!O20</f>
        <v/>
      </c>
      <c r="G919">
        <f>Skills!G20*IF(Skills!H20&gt;0,Skills!I20/Skills!H20,1)</f>
        <v/>
      </c>
      <c r="H919">
        <f>1-(1-Skills!J20/100)^Skills!K20</f>
        <v/>
      </c>
      <c r="I919" t="inlineStr">
        <is>
          <t>1</t>
        </is>
      </c>
      <c r="J919" t="inlineStr"/>
      <c r="K919" t="inlineStr"/>
      <c r="L919" t="inlineStr"/>
      <c r="M919" t="inlineStr"/>
      <c r="N919" t="inlineStr"/>
      <c r="O919">
        <f>(1-Summary!$B$11)*T919+Summary!$B$11*V919</f>
        <v/>
      </c>
      <c r="P919">
        <f>IF(B942=0,0,O919/B942)</f>
        <v/>
      </c>
      <c r="Q919" t="n">
        <v>0</v>
      </c>
      <c r="R919" t="n">
        <v>0</v>
      </c>
      <c r="S919">
        <f>IFERROR(O919/N919,0)</f>
        <v/>
      </c>
      <c r="T919" t="n">
        <v>0</v>
      </c>
      <c r="V919" t="n">
        <v>0</v>
      </c>
    </row>
    <row r="920">
      <c r="A920">
        <f>Skills!A21</f>
        <v/>
      </c>
      <c r="B920">
        <f>Skills!B21</f>
        <v/>
      </c>
      <c r="C920">
        <f>Inputs!$B$3&gt;=10</f>
        <v/>
      </c>
      <c r="D920">
        <f>IF(Skills!C21=1,60+Inputs!$B$25+Inputs!$B$29,IF(Skills!C21=2,90+Inputs!$B$26+Inputs!$B$29,IF(Skills!C21=3,120+(Inputs!$B$27+1)+Inputs!$B$29,MAX(0,(Inputs!$B$3-100)*3)+Inputs!$B$28+Inputs!$B$29)))</f>
        <v/>
      </c>
      <c r="E920">
        <f>INDEX(FactorTable!$B$2:$Y$301, MATCH(ROUND(MIN(300,MAX(1,D920)),0), FactorTable!$A$2:$A$301,0), Skills!M21+1)</f>
        <v/>
      </c>
      <c r="F920">
        <f>IF(Skills!N21=TRUE,(Skills!L21/10)*(E920/1000),Skills!L21/10)+Skills!O21</f>
        <v/>
      </c>
      <c r="G920">
        <f>Skills!G21*IF(Skills!H21&gt;0,Skills!I21/Skills!H21,1)</f>
        <v/>
      </c>
      <c r="H920">
        <f>1-(1-Skills!J21/100)^Skills!K21</f>
        <v/>
      </c>
      <c r="I920" t="inlineStr">
        <is>
          <t>1</t>
        </is>
      </c>
      <c r="J920" t="inlineStr"/>
      <c r="K920" t="inlineStr"/>
      <c r="L920" t="inlineStr"/>
      <c r="M920" t="inlineStr"/>
      <c r="N920" t="inlineStr"/>
      <c r="O920">
        <f>(1-Summary!$B$11)*T920+Summary!$B$11*V920</f>
        <v/>
      </c>
      <c r="P920">
        <f>IF(B942=0,0,O920/B942)</f>
        <v/>
      </c>
      <c r="Q920" t="n">
        <v>0</v>
      </c>
      <c r="R920" t="n">
        <v>0</v>
      </c>
      <c r="S920">
        <f>IFERROR(O920/N920,0)</f>
        <v/>
      </c>
      <c r="T920" t="n">
        <v>0</v>
      </c>
      <c r="V920" t="n">
        <v>0</v>
      </c>
    </row>
    <row r="921">
      <c r="A921">
        <f>Skills!A22</f>
        <v/>
      </c>
      <c r="B921">
        <f>Skills!B22</f>
        <v/>
      </c>
      <c r="C921">
        <f>Inputs!$B$3&gt;=33</f>
        <v/>
      </c>
      <c r="D921">
        <f>IF(Skills!C22=1,60+Inputs!$B$25+Inputs!$B$29,IF(Skills!C22=2,90+Inputs!$B$26+Inputs!$B$29,IF(Skills!C22=3,120+(Inputs!$B$27+1)+Inputs!$B$29,MAX(0,(Inputs!$B$3-100)*3)+Inputs!$B$28+Inputs!$B$29)))</f>
        <v/>
      </c>
      <c r="E921">
        <f>INDEX(FactorTable!$B$2:$Y$301, MATCH(ROUND(MIN(300,MAX(1,D921)),0), FactorTable!$A$2:$A$301,0), Skills!M22+1)</f>
        <v/>
      </c>
      <c r="F921">
        <f>IF(Skills!N22=TRUE,(Skills!L22/10)*(E921/1000),Skills!L22/10)+Skills!O22</f>
        <v/>
      </c>
      <c r="G921">
        <f>Skills!G22*IF(Skills!H22&gt;0,Skills!I22/Skills!H22,1)</f>
        <v/>
      </c>
      <c r="H921">
        <f>1-(1-Skills!J22/100)^Skills!K22</f>
        <v/>
      </c>
      <c r="I921" t="inlineStr">
        <is>
          <t>1</t>
        </is>
      </c>
      <c r="J921" t="inlineStr"/>
      <c r="K921" t="inlineStr"/>
      <c r="L921" t="inlineStr"/>
      <c r="M921" t="inlineStr"/>
      <c r="N921" t="inlineStr"/>
      <c r="O921">
        <f>(1-Summary!$B$11)*T921+Summary!$B$11*V921</f>
        <v/>
      </c>
      <c r="P921">
        <f>IF(B942=0,0,O921/B942)</f>
        <v/>
      </c>
      <c r="Q921" t="n">
        <v>0</v>
      </c>
      <c r="R921" t="n">
        <v>0</v>
      </c>
      <c r="S921">
        <f>IFERROR(O921/N921,0)</f>
        <v/>
      </c>
      <c r="T921" t="n">
        <v>0</v>
      </c>
      <c r="V921" t="n">
        <v>0</v>
      </c>
    </row>
    <row r="922">
      <c r="A922">
        <f>Skills!A23</f>
        <v/>
      </c>
      <c r="B922">
        <f>Skills!B23</f>
        <v/>
      </c>
      <c r="C922">
        <f>Inputs!$B$3&gt;=38</f>
        <v/>
      </c>
      <c r="D922">
        <f>IF(Skills!C23=1,60+Inputs!$B$25+Inputs!$B$29,IF(Skills!C23=2,90+Inputs!$B$26+Inputs!$B$29,IF(Skills!C23=3,120+(Inputs!$B$27+1)+Inputs!$B$29,MAX(0,(Inputs!$B$3-100)*3)+Inputs!$B$28+Inputs!$B$29)))</f>
        <v/>
      </c>
      <c r="E922">
        <f>INDEX(FactorTable!$B$2:$Y$301, MATCH(ROUND(MIN(300,MAX(1,D922)),0), FactorTable!$A$2:$A$301,0), Skills!M23+1)</f>
        <v/>
      </c>
      <c r="F922">
        <f>IF(Skills!N23=TRUE,(Skills!L23/10)*(E922/1000),Skills!L23/10)+Skills!O23</f>
        <v/>
      </c>
      <c r="G922">
        <f>Skills!G23*IF(Skills!H23&gt;0,Skills!I23/Skills!H23,1)</f>
        <v/>
      </c>
      <c r="H922">
        <f>1-(1-Skills!J23/100)^Skills!K23</f>
        <v/>
      </c>
      <c r="I922" t="inlineStr">
        <is>
          <t>1</t>
        </is>
      </c>
      <c r="J922" t="inlineStr"/>
      <c r="K922" t="inlineStr"/>
      <c r="L922" t="inlineStr"/>
      <c r="M922" t="inlineStr"/>
      <c r="N922" t="inlineStr"/>
      <c r="O922">
        <f>(1-Summary!$B$11)*T922+Summary!$B$11*V922</f>
        <v/>
      </c>
      <c r="P922">
        <f>IF(B942=0,0,O922/B942)</f>
        <v/>
      </c>
      <c r="Q922" t="n">
        <v>0</v>
      </c>
      <c r="R922" t="n">
        <v>0</v>
      </c>
      <c r="S922">
        <f>IFERROR(O922/N922,0)</f>
        <v/>
      </c>
      <c r="T922" t="n">
        <v>0</v>
      </c>
      <c r="V922" t="n">
        <v>0</v>
      </c>
    </row>
    <row r="923">
      <c r="A923">
        <f>Skills!A24</f>
        <v/>
      </c>
      <c r="B923">
        <f>Skills!B24</f>
        <v/>
      </c>
      <c r="C923">
        <f>Inputs!$B$3&gt;=43</f>
        <v/>
      </c>
      <c r="D923">
        <f>IF(Skills!C24=1,60+Inputs!$B$25+Inputs!$B$29,IF(Skills!C24=2,90+Inputs!$B$26+Inputs!$B$29,IF(Skills!C24=3,120+(Inputs!$B$27+1)+Inputs!$B$29,MAX(0,(Inputs!$B$3-100)*3)+Inputs!$B$28+Inputs!$B$29)))</f>
        <v/>
      </c>
      <c r="E923">
        <f>INDEX(FactorTable!$B$2:$Y$301, MATCH(ROUND(MIN(300,MAX(1,D923)),0), FactorTable!$A$2:$A$301,0), Skills!M24+1)</f>
        <v/>
      </c>
      <c r="F923">
        <f>IF(Skills!N24=TRUE,(Skills!L24/10)*(E923/1000),Skills!L24/10)+Skills!O24</f>
        <v/>
      </c>
      <c r="G923">
        <f>Skills!G24*IF(Skills!H24&gt;0,Skills!I24/Skills!H24,1)</f>
        <v/>
      </c>
      <c r="H923">
        <f>1-(1-Skills!J24/100)^Skills!K24</f>
        <v/>
      </c>
      <c r="I923" t="inlineStr">
        <is>
          <t>1</t>
        </is>
      </c>
      <c r="J923" t="inlineStr"/>
      <c r="K923" t="inlineStr"/>
      <c r="L923" t="inlineStr"/>
      <c r="M923" t="inlineStr"/>
      <c r="N923" t="inlineStr"/>
      <c r="O923">
        <f>(1-Summary!$B$11)*T923+Summary!$B$11*V923</f>
        <v/>
      </c>
      <c r="P923">
        <f>IF(B942=0,0,O923/B942)</f>
        <v/>
      </c>
      <c r="Q923" t="n">
        <v>0</v>
      </c>
      <c r="R923" t="n">
        <v>0</v>
      </c>
      <c r="S923">
        <f>IFERROR(O923/N923,0)</f>
        <v/>
      </c>
      <c r="T923" t="n">
        <v>0</v>
      </c>
      <c r="V923" t="n">
        <v>0</v>
      </c>
    </row>
    <row r="924">
      <c r="A924">
        <f>Skills!A25</f>
        <v/>
      </c>
      <c r="B924">
        <f>Skills!B25</f>
        <v/>
      </c>
      <c r="C924">
        <f>Inputs!$B$3&gt;=75</f>
        <v/>
      </c>
      <c r="D924">
        <f>IF(Skills!C25=1,60+Inputs!$B$25+Inputs!$B$29,IF(Skills!C25=2,90+Inputs!$B$26+Inputs!$B$29,IF(Skills!C25=3,120+(Inputs!$B$27+1)+Inputs!$B$29,MAX(0,(Inputs!$B$3-100)*3)+Inputs!$B$28+Inputs!$B$29)))</f>
        <v/>
      </c>
      <c r="E924">
        <f>INDEX(FactorTable!$B$2:$Y$301, MATCH(ROUND(MIN(300,MAX(1,D924)),0), FactorTable!$A$2:$A$301,0), Skills!M25+1)</f>
        <v/>
      </c>
      <c r="F924">
        <f>IF(Skills!N25=TRUE,(Skills!L25/10)*(E924/1000),Skills!L25/10)+Skills!O25</f>
        <v/>
      </c>
      <c r="G924">
        <f>Skills!G25*IF(Skills!H25&gt;0,Skills!I25/Skills!H25,1)</f>
        <v/>
      </c>
      <c r="H924">
        <f>1-(1-Skills!J25/100)^Skills!K25</f>
        <v/>
      </c>
      <c r="I924" t="inlineStr">
        <is>
          <t>1</t>
        </is>
      </c>
      <c r="J924" t="inlineStr"/>
      <c r="K924" t="inlineStr"/>
      <c r="L924" t="inlineStr"/>
      <c r="M924" t="inlineStr"/>
      <c r="N924" t="inlineStr"/>
      <c r="O924">
        <f>(1-Summary!$B$11)*T924+Summary!$B$11*V924</f>
        <v/>
      </c>
      <c r="P924">
        <f>IF(B942=0,0,O924/B942)</f>
        <v/>
      </c>
      <c r="Q924" t="n">
        <v>0</v>
      </c>
      <c r="R924" t="n">
        <v>0</v>
      </c>
      <c r="S924">
        <f>IFERROR(O924/N924,0)</f>
        <v/>
      </c>
      <c r="T924" t="n">
        <v>0</v>
      </c>
      <c r="V924" t="n">
        <v>0</v>
      </c>
    </row>
    <row r="925">
      <c r="A925">
        <f>Skills!A26</f>
        <v/>
      </c>
      <c r="B925">
        <f>Skills!B26</f>
        <v/>
      </c>
      <c r="C925">
        <f>Inputs!$B$3&gt;=125</f>
        <v/>
      </c>
      <c r="D925">
        <f>IF(Skills!C26=1,60+Inputs!$B$25+Inputs!$B$29,IF(Skills!C26=2,90+Inputs!$B$26+Inputs!$B$29,IF(Skills!C26=3,120+(Inputs!$B$27+1)+Inputs!$B$29,MAX(0,(Inputs!$B$3-100)*3)+Inputs!$B$28+Inputs!$B$29)))</f>
        <v/>
      </c>
      <c r="E925">
        <f>INDEX(FactorTable!$B$2:$Y$301, MATCH(ROUND(MIN(300,MAX(1,D925)),0), FactorTable!$A$2:$A$301,0), Skills!M26+1)</f>
        <v/>
      </c>
      <c r="F925">
        <f>IF(Skills!N26=TRUE,(Skills!L26/10)*(E925/1000),Skills!L26/10)+Skills!O26</f>
        <v/>
      </c>
      <c r="G925">
        <f>Skills!G26*IF(Skills!H26&gt;0,Skills!I26/Skills!H26,1)</f>
        <v/>
      </c>
      <c r="H925">
        <f>1-(1-Skills!J26/100)^Skills!K26</f>
        <v/>
      </c>
      <c r="I925" t="inlineStr">
        <is>
          <t>1</t>
        </is>
      </c>
      <c r="J925" t="inlineStr"/>
      <c r="K925" t="inlineStr"/>
      <c r="L925" t="inlineStr"/>
      <c r="M925" t="inlineStr"/>
      <c r="N925" t="inlineStr"/>
      <c r="O925">
        <f>(1-Summary!$B$11)*T925+Summary!$B$11*V925</f>
        <v/>
      </c>
      <c r="P925">
        <f>IF(B942=0,0,O925/B942)</f>
        <v/>
      </c>
      <c r="Q925" t="n">
        <v>0</v>
      </c>
      <c r="R925" t="n">
        <v>0</v>
      </c>
      <c r="S925">
        <f>IFERROR(O925/N925,0)</f>
        <v/>
      </c>
      <c r="T925" t="n">
        <v>0</v>
      </c>
      <c r="V925" t="n">
        <v>0</v>
      </c>
    </row>
    <row r="926">
      <c r="A926">
        <f>Skills!A27</f>
        <v/>
      </c>
      <c r="B926">
        <f>Skills!B27</f>
        <v/>
      </c>
      <c r="C926">
        <f>Inputs!$B$3&gt;=125</f>
        <v/>
      </c>
      <c r="D926">
        <f>IF(Skills!C27=1,60+Inputs!$B$25+Inputs!$B$29,IF(Skills!C27=2,90+Inputs!$B$26+Inputs!$B$29,IF(Skills!C27=3,120+(Inputs!$B$27+1)+Inputs!$B$29,MAX(0,(Inputs!$B$3-100)*3)+Inputs!$B$28+Inputs!$B$29)))</f>
        <v/>
      </c>
      <c r="E926">
        <f>INDEX(FactorTable!$B$2:$Y$301, MATCH(ROUND(MIN(300,MAX(1,D926)),0), FactorTable!$A$2:$A$301,0), Skills!M27+1)</f>
        <v/>
      </c>
      <c r="F926">
        <f>IF(Skills!N27=TRUE,(Skills!L27/10)*(E926/1000),Skills!L27/10)+Skills!O27</f>
        <v/>
      </c>
      <c r="G926">
        <f>Skills!G27*IF(Skills!H27&gt;0,Skills!I27/Skills!H27,1)</f>
        <v/>
      </c>
      <c r="H926">
        <f>1-(1-Skills!J27/100)^Skills!K27</f>
        <v/>
      </c>
      <c r="I926" t="inlineStr">
        <is>
          <t>1</t>
        </is>
      </c>
      <c r="J926" t="inlineStr"/>
      <c r="K926" t="inlineStr"/>
      <c r="L926" t="inlineStr"/>
      <c r="M926" t="inlineStr"/>
      <c r="N926" t="inlineStr"/>
      <c r="O926">
        <f>(1-Summary!$B$11)*T926+Summary!$B$11*V926</f>
        <v/>
      </c>
      <c r="P926">
        <f>IF(B942=0,0,O926/B942)</f>
        <v/>
      </c>
      <c r="Q926" t="n">
        <v>0</v>
      </c>
      <c r="R926" t="n">
        <v>0</v>
      </c>
      <c r="S926">
        <f>IFERROR(O926/N926,0)</f>
        <v/>
      </c>
      <c r="T926" t="n">
        <v>0</v>
      </c>
      <c r="V926" t="n">
        <v>0</v>
      </c>
    </row>
    <row r="927">
      <c r="A927">
        <f>Skills!A28</f>
        <v/>
      </c>
      <c r="B927">
        <f>Skills!B28</f>
        <v/>
      </c>
      <c r="C927">
        <f>Inputs!$B$3&gt;=120</f>
        <v/>
      </c>
      <c r="D927">
        <f>IF(Skills!C28=1,60+Inputs!$B$25+Inputs!$B$29,IF(Skills!C28=2,90+Inputs!$B$26+Inputs!$B$29,IF(Skills!C28=3,120+(Inputs!$B$27+1)+Inputs!$B$29,MAX(0,(Inputs!$B$3-100)*3)+Inputs!$B$28+Inputs!$B$29)))</f>
        <v/>
      </c>
      <c r="E927">
        <f>INDEX(FactorTable!$B$2:$Y$301, MATCH(ROUND(MIN(300,MAX(1,D927)),0), FactorTable!$A$2:$A$301,0), Skills!M28+1)</f>
        <v/>
      </c>
      <c r="F927">
        <f>IF(Skills!N28=TRUE,(Skills!L28/10)*(E927/1000),Skills!L28/10)+Skills!O28</f>
        <v/>
      </c>
      <c r="G927">
        <f>Skills!G28*IF(Skills!H28&gt;0,Skills!I28/Skills!H28,1)</f>
        <v/>
      </c>
      <c r="H927">
        <f>1-(1-Skills!J28/100)^Skills!K28</f>
        <v/>
      </c>
      <c r="I927" t="inlineStr">
        <is>
          <t>1</t>
        </is>
      </c>
      <c r="J927" t="inlineStr"/>
      <c r="K927" t="inlineStr"/>
      <c r="L927" t="inlineStr"/>
      <c r="M927" t="inlineStr"/>
      <c r="N927" t="inlineStr"/>
      <c r="O927">
        <f>(1-Summary!$B$11)*T927+Summary!$B$11*V927</f>
        <v/>
      </c>
      <c r="P927">
        <f>IF(B942=0,0,O927/B942)</f>
        <v/>
      </c>
      <c r="Q927" t="n">
        <v>0</v>
      </c>
      <c r="R927" t="n">
        <v>0</v>
      </c>
      <c r="S927">
        <f>IFERROR(O927/N927,0)</f>
        <v/>
      </c>
      <c r="T927" t="n">
        <v>0</v>
      </c>
      <c r="V927" t="n">
        <v>0</v>
      </c>
    </row>
    <row r="928">
      <c r="A928">
        <f>Skills!A29</f>
        <v/>
      </c>
      <c r="B928">
        <f>Skills!B29</f>
        <v/>
      </c>
      <c r="C928">
        <f>Inputs!$B$3&gt;=120</f>
        <v/>
      </c>
      <c r="D928">
        <f>IF(Skills!C29=1,60+Inputs!$B$25+Inputs!$B$29,IF(Skills!C29=2,90+Inputs!$B$26+Inputs!$B$29,IF(Skills!C29=3,120+(Inputs!$B$27+1)+Inputs!$B$29,MAX(0,(Inputs!$B$3-100)*3)+Inputs!$B$28+Inputs!$B$29)))</f>
        <v/>
      </c>
      <c r="E928">
        <f>INDEX(FactorTable!$B$2:$Y$301, MATCH(ROUND(MIN(300,MAX(1,D928)),0), FactorTable!$A$2:$A$301,0), Skills!M29+1)</f>
        <v/>
      </c>
      <c r="F928">
        <f>IF(Skills!N29=TRUE,(Skills!L29/10)*(E928/1000),Skills!L29/10)+Skills!O29</f>
        <v/>
      </c>
      <c r="G928">
        <f>Skills!G29*IF(Skills!H29&gt;0,Skills!I29/Skills!H29,1)</f>
        <v/>
      </c>
      <c r="H928">
        <f>1-(1-Skills!J29/100)^Skills!K29</f>
        <v/>
      </c>
      <c r="I928" t="inlineStr">
        <is>
          <t>1</t>
        </is>
      </c>
      <c r="J928" t="inlineStr"/>
      <c r="K928" t="inlineStr"/>
      <c r="L928" t="inlineStr"/>
      <c r="M928" t="inlineStr"/>
      <c r="N928" t="inlineStr"/>
      <c r="O928">
        <f>(1-Summary!$B$11)*T928+Summary!$B$11*V928</f>
        <v/>
      </c>
      <c r="P928">
        <f>IF(B942=0,0,O928/B942)</f>
        <v/>
      </c>
      <c r="Q928" t="n">
        <v>0</v>
      </c>
      <c r="R928" t="n">
        <v>0</v>
      </c>
      <c r="S928">
        <f>IFERROR(O928/N928,0)</f>
        <v/>
      </c>
      <c r="T928" t="n">
        <v>0</v>
      </c>
      <c r="V928" t="n">
        <v>0</v>
      </c>
    </row>
    <row r="929">
      <c r="A929">
        <f>Skills!A30</f>
        <v/>
      </c>
      <c r="B929">
        <f>Skills!B30</f>
        <v/>
      </c>
      <c r="C929">
        <f>Inputs!$B$3&gt;=45</f>
        <v/>
      </c>
      <c r="D929">
        <f>IF(Skills!C30=1,60+Inputs!$B$25+Inputs!$B$29,IF(Skills!C30=2,90+Inputs!$B$26+Inputs!$B$29,IF(Skills!C30=3,120+(Inputs!$B$27+1)+Inputs!$B$29,MAX(0,(Inputs!$B$3-100)*3)+Inputs!$B$28+Inputs!$B$29)))</f>
        <v/>
      </c>
      <c r="E929">
        <f>INDEX(FactorTable!$B$2:$Y$301, MATCH(ROUND(MIN(300,MAX(1,D929)),0), FactorTable!$A$2:$A$301,0), Skills!M30+1)</f>
        <v/>
      </c>
      <c r="F929">
        <f>IF(Skills!N30=TRUE,(Skills!L30/10)*(E929/1000),Skills!L30/10)+Skills!O30</f>
        <v/>
      </c>
      <c r="G929">
        <f>Skills!G30*IF(Skills!H30&gt;0,Skills!I30/Skills!H30,1)</f>
        <v/>
      </c>
      <c r="H929">
        <f>1-(1-Skills!J30/100)^Skills!K30</f>
        <v/>
      </c>
      <c r="I929" t="inlineStr">
        <is>
          <t>1</t>
        </is>
      </c>
      <c r="J929" t="inlineStr"/>
      <c r="K929" t="inlineStr"/>
      <c r="L929" t="inlineStr"/>
      <c r="M929" t="inlineStr"/>
      <c r="N929" t="inlineStr"/>
      <c r="O929">
        <f>(1-Summary!$B$11)*T929+Summary!$B$11*V929</f>
        <v/>
      </c>
      <c r="P929">
        <f>IF(B942=0,0,O929/B942)</f>
        <v/>
      </c>
      <c r="Q929" t="n">
        <v>0</v>
      </c>
      <c r="R929" t="n">
        <v>0</v>
      </c>
      <c r="S929">
        <f>IFERROR(O929/N929,0)</f>
        <v/>
      </c>
      <c r="T929" t="n">
        <v>0</v>
      </c>
      <c r="V929" t="n">
        <v>0</v>
      </c>
    </row>
    <row r="931">
      <c r="A931" t="inlineStr">
        <is>
          <t>Attack% Bucket Multiplier</t>
        </is>
      </c>
      <c r="B931">
        <f>(1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2">
      <c r="A932" t="inlineStr">
        <is>
          <t>Global Crit Rate Bonus %</t>
        </is>
      </c>
      <c r="B932">
        <f>(C915=TRUE)*20*IF(AND(Inputs!$B$38&lt;&gt;"pvp",Inputs!$B$43&gt;0),(((R915-1)*(Skills!T16*(1+Inputs!$B$34/100))+MIN((Skills!T16*(1+Inputs!$B$34/100)),MAX(0,Inputs!$B$43-((R915-1)*Skills!D16))))/Inputs!$B$43),IF(Inputs!$B$38="pvp",MIN((Skills!T16*(1+Inputs!$B$34/100)),15)/15,(Skills!T16*(1+Inputs!$B$34/100))/Skills!D16))</f>
        <v/>
      </c>
    </row>
    <row r="933">
      <c r="A933" t="inlineStr">
        <is>
          <t>Attack Speed Buff Bonus %</t>
        </is>
      </c>
      <c r="B933">
        <f>((C918=TRUE)*F918*IF(AND(Inputs!$B$38&lt;&gt;"pvp",Inputs!$B$43&gt;0),(((R918-1)*(Skills!T19*(1+Inputs!$B$34/100))+MIN((Skills!T19*(1+Inputs!$B$34/100)),MAX(0,Inputs!$B$43-((R918-1)*Skills!D19))))/Inputs!$B$43),IF(Inputs!$B$38="pvp",MIN((Skills!T19*(1+Inputs!$B$34/100)),15)/15,(Skills!T19*(1+Inputs!$B$34/100))/Skills!D19)))</f>
        <v/>
      </c>
    </row>
    <row r="934">
      <c r="A934" t="inlineStr">
        <is>
          <t>Actions Per Second</t>
        </is>
      </c>
      <c r="B934">
        <f>1+MIN(150,150*(1-(1-(Inputs!$B$11+((C920=TRUE)*(F920-Calc!F21))+((C921=TRUE)*(F921-Calc!F22)))/150)*(1-B933/150)))/100</f>
        <v/>
      </c>
    </row>
    <row r="935">
      <c r="A935" t="inlineStr">
        <is>
          <t>Skill + Buff Cast Rate</t>
        </is>
      </c>
      <c r="B935">
        <f>IF(AND(Inputs!$B$38&lt;&gt;"pvp",Inputs!$B$43&gt;0),SUMPRODUCT((Skills!E2:E30=TRUE)*(C901:C929=TRUE)*R901:R929*Skills!F2:F30)/Inputs!$B$43,SUMPRODUCT((Skills!E2:E30=TRUE)*(C901:C929=TRUE)*Q901:Q929*Skills!F2:F30))</f>
        <v/>
      </c>
    </row>
    <row r="936">
      <c r="A936" t="inlineStr">
        <is>
          <t>Arrow Stream Casts Per Second</t>
        </is>
      </c>
      <c r="B936">
        <f>MAX(0,B934-B935)</f>
        <v/>
      </c>
    </row>
    <row r="937">
      <c r="A937" t="inlineStr">
        <is>
          <t>Global Critical Damage Bonus % (Sharp Eyes + Concentration)</t>
        </is>
      </c>
      <c r="B937">
        <f>(C915=TRUE)*F915*IF(AND(Inputs!$B$38&lt;&gt;"pvp",Inputs!$B$43&gt;0),(((R915-1)*(Skills!T16*(1+Inputs!$B$34/100))+MIN((Skills!T16*(1+Inputs!$B$34/100)),MAX(0,Inputs!$B$43-((R915-1)*Skills!D16))))/Inputs!$B$43),IF(Inputs!$B$38="pvp",MIN((Skills!T16*(1+Inputs!$B$34/100)),15)/15,(Skills!T16*(1+Inputs!$B$34/100))/Skills!D16))+(C916=TRUE)*30</f>
        <v/>
      </c>
    </row>
    <row r="938">
      <c r="A938" t="inlineStr">
        <is>
          <t>Global Final Damage Bonus % (Mortal Blow)</t>
        </is>
      </c>
      <c r="B938">
        <f>(C917=TRUE)*F917</f>
        <v/>
      </c>
    </row>
    <row r="939">
      <c r="A939" t="inlineStr">
        <is>
          <t>Buff-Casting Startup Delay (s, fixed-duration only)</t>
        </is>
      </c>
      <c r="B939">
        <f>IF(AND(Inputs!$B$38&lt;&gt;"pvp",Inputs!$B$43&gt;0),SUMPRODUCT((Skills!T2:T30&gt;0)*(Skills!E2:E30=TRUE)*(C901:C929=TRUE))/B934,0)</f>
        <v/>
      </c>
    </row>
    <row r="940">
      <c r="A940" t="inlineStr">
        <is>
          <t>Boss-Only Total DPS (this block's swept value)</t>
        </is>
      </c>
      <c r="B940">
        <f>SUM(T901:T929)</f>
        <v/>
      </c>
    </row>
    <row r="941">
      <c r="A941" t="inlineStr">
        <is>
          <t>Normal-Only Total DPS (this block's swept value)</t>
        </is>
      </c>
      <c r="B941">
        <f>SUM(V901:V929)</f>
        <v/>
      </c>
    </row>
    <row r="942">
      <c r="A942" s="6" t="inlineStr">
        <is>
          <t>TOTAL DPS</t>
        </is>
      </c>
      <c r="B942" s="6">
        <f>SUM(O901:O929)</f>
        <v/>
      </c>
    </row>
    <row r="945">
      <c r="A945" s="6" t="inlineStr">
        <is>
          <t>Stat: Skill Level Bonus — 4th Job</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969=TRUE)*(F969-Calc!F24)),(Inputs!$B$23+((C974=TRUE)*(F974-Calc!F29))+(IF(ArtifactsInput!$M$15,CHOOSE(ArtifactsInput!$N$15+1,25,30,35,40,45,50)/100*(Inputs!$B$11-Inputs!$B$11),0))))/100+(Inputs!$B$23+((C974=TRUE)*(F974-Calc!F29))+(IF(ArtifactsInput!$M$15,CHOOSE(ArtifactsInput!$N$15+1,25,30,35,40,45,50)/100*(Inputs!$B$11-Inputs!$B$11),0)))/100)/2</f>
        <v/>
      </c>
      <c r="M947">
        <f>L947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IF(B988=0,0,O947/B988)</f>
        <v/>
      </c>
      <c r="Q947" t="n">
        <v>0</v>
      </c>
      <c r="R947" t="n">
        <v>0</v>
      </c>
      <c r="S947">
        <f>IFERROR(O947/N947,0)</f>
        <v/>
      </c>
      <c r="T947">
        <f>IF(C947,(Skills!G2*N947*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947*(1-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MAX(0,(Inputs!$B$3-100)*3)+(Inputs!$B$28+1)+Inputs!$B$29</f>
        <v/>
      </c>
      <c r="V947">
        <f>IF(C947,(Skills!G2*N947*B982)*IF(Inputs!$B$38="pvp",1,(1+(Inputs!$B$21+Skills!Q2+(IF(ArtifactsInput!$M$33,CHOOSE(ArtifactsInput!$N$33+1,30,36,42,48,54,60),0))+(IF(AND(ArtifactsInput!$M$35,Inputs!$B$4&lt;&gt;"Chapter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Inputs!$B$3&gt;=50</f>
        <v/>
      </c>
      <c r="D948">
        <f>IF(Skills!C3=1,60+Inputs!$B$25+Inputs!$B$29,IF(Skills!C3=2,90+Inputs!$B$26+Inputs!$B$29,IF(Skills!C3=3,120+Inputs!$B$27+Inputs!$B$29,MAX(0,(Inputs!$B$3-100)*3)+(Inputs!$B$28+1)+Inputs!$B$29)))</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T948" t="inlineStr"/>
      <c r="U948">
        <f>INDEX(FactorTable!$B$2:$Y$301, MATCH(ROUND(MIN(300,MAX(1,U947)),0), FactorTable!$A$2:$A$301,0), 22)</f>
        <v/>
      </c>
      <c r="V948" t="inlineStr"/>
    </row>
    <row r="949">
      <c r="A949">
        <f>Skills!A4</f>
        <v/>
      </c>
      <c r="B949">
        <f>Skills!B4</f>
        <v/>
      </c>
      <c r="C949">
        <f>Inputs!$B$3&gt;=105</f>
        <v/>
      </c>
      <c r="D949">
        <f>IF(Skills!C4=1,60+Inputs!$B$25+Inputs!$B$29,IF(Skills!C4=2,90+Inputs!$B$26+Inputs!$B$29,IF(Skills!C4=3,120+Inputs!$B$27+Inputs!$B$29,MAX(0,(Inputs!$B$3-100)*3)+(Inputs!$B$28+1)+Inputs!$B$29)))</f>
        <v/>
      </c>
      <c r="E949">
        <f>INDEX(FactorTable!$B$2:$Y$301, MATCH(ROUND(MIN(300,MAX(1,D949)),0), FactorTable!$A$2:$A$301,0), Skills!M4+1)</f>
        <v/>
      </c>
      <c r="F949">
        <f>IF(Skills!N4=TRUE,(Skills!L4/10)*(E949/1000),Skills!L4/10)+Skills!O4</f>
        <v/>
      </c>
      <c r="G949" t="inlineStr"/>
      <c r="H949" t="inlineStr"/>
      <c r="I949" t="inlineStr">
        <is>
          <t>1</t>
        </is>
      </c>
      <c r="J949" t="inlineStr"/>
      <c r="K949" t="inlineStr"/>
      <c r="L949" t="inlineStr"/>
      <c r="M949" t="inlineStr"/>
      <c r="N949" t="inlineStr"/>
      <c r="O949" t="inlineStr"/>
      <c r="P949" t="inlineStr"/>
      <c r="Q949" t="inlineStr"/>
      <c r="R949" t="inlineStr"/>
      <c r="S949" t="inlineStr"/>
      <c r="T949" t="inlineStr"/>
      <c r="U949">
        <f>290*U948/1000</f>
        <v/>
      </c>
      <c r="V949" t="inlineStr"/>
    </row>
    <row r="950">
      <c r="A950">
        <f>Skills!A5</f>
        <v/>
      </c>
      <c r="B950">
        <f>Skills!B5</f>
        <v/>
      </c>
      <c r="C950">
        <f>Inputs!$B$3&gt;=35</f>
        <v/>
      </c>
      <c r="D950">
        <f>IF(Skills!C5=1,60+Inputs!$B$25+Inputs!$B$29,IF(Skills!C5=2,90+Inputs!$B$26+Inputs!$B$29,IF(Skills!C5=3,120+Inputs!$B$27+Inputs!$B$29,MAX(0,(Inputs!$B$3-100)*3)+(Inputs!$B$28+1)+Inputs!$B$29)))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((Inputs!$B$6*(1+Inputs!$B$7/100))+(((Inputs!$B$12*(1+Inputs!$B$13/100))-(Inputs!$B$12*(1+Inputs!$B$13/100)))+0.25*(Inputs!$B$14-Inputs!$B$14))*(1+Inputs!$B$7/100))*(F950/100)</f>
        <v/>
      </c>
      <c r="K950">
        <f>J950*(1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955=TRUE,F955,0)/100)*(1+(IF(Skills!A5="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950)</f>
        <v/>
      </c>
      <c r="L950">
        <f>K950*(MIN(Inputs!$B$22+((C969=TRUE)*(F969-Calc!F24)),(Inputs!$B$23+((C974=TRUE)*(F974-Calc!F29))+(IF(ArtifactsInput!$M$15,CHOOSE(ArtifactsInput!$N$15+1,25,30,35,40,45,50)/100*(Inputs!$B$11-Inputs!$B$11),0))))/100+(Inputs!$B$23+((C974=TRUE)*(F974-Calc!F29))+(IF(ArtifactsInput!$M$15,CHOOSE(ArtifactsInput!$N$15+1,25,30,35,40,45,50)/100*(Inputs!$B$11-Inputs!$B$11),0)))/100)/2</f>
        <v/>
      </c>
      <c r="M950">
        <f>L950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0">
        <f>L950*(1-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950*(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0">
        <f>(1-Summary!$B$11)*T950+Summary!$B$11*V950</f>
        <v/>
      </c>
      <c r="P950">
        <f>IF(B988=0,0,O950/B988)</f>
        <v/>
      </c>
      <c r="Q950">
        <f>IFERROR(1/(IF(Inputs!$B$38="pvp",15,MAX(0.1,Skills!D5-IF(Skills!E5=TRUE,Inputs!$B$32,0)))*(1-IF(AND(ArtifactsInput!$M$27,Inputs!$B$4="Chapter Hunt"),CHOOSE(ArtifactsInput!$N$27+1,20,24,28,32,36,40),0)/100)),0)</f>
        <v/>
      </c>
      <c r="R950">
        <f>IF(AND(Inputs!$B$38&lt;&gt;"pvp",Inputs!$B$43&gt;0),IF(MAX(0,Inputs!$B$43-B985)&lt;=0,0,(INT(MAX(0,Inputs!$B$43-B985)/(IF(Inputs!$B$38="pvp",15,MAX(0.1,Skills!D5-IF(Skills!E5=TRUE,Inputs!$B$32,0)))*(1-IF(AND(ArtifactsInput!$M$27,Inputs!$B$4="Chapter Hunt"),CHOOSE(ArtifactsInput!$N$27+1,20,24,28,32,36,40),0)/100)))+1)),0)</f>
        <v/>
      </c>
      <c r="S950">
        <f>IFERROR(O950/N950,0)</f>
        <v/>
      </c>
      <c r="T950">
        <f>IF(C950,(H950*N950*IF(AND(Inputs!$B$38&lt;&gt;"pvp",Inputs!$B$43&gt;0),((Skills!G5*((R950-1)*IF(Skills!H5&gt;0,Skills!I5/Skills!H5,1)+IF(Skills!H5&gt;0,MIN(Skills!I5,MAX(0,MAX(0,Inputs!$B$43-B985)-((R950-1)*(IF(Inputs!$B$38="pvp",15,MAX(0.1,Skills!D5-IF(Skills!E5=TRUE,Inputs!$B$32,0)))*(1-IF(AND(ArtifactsInput!$M$27,Inputs!$B$4="Chapter Hunt"),CHOOSE(ArtifactsInput!$N$27+1,20,24,28,32,36,40),0)/100)))))/Skills!H5,1)))/Inputs!$B$43),G950*Q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950*(1-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950*(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950*(1-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950*(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0">
        <f>IF(C950,(H950*N950*IF(AND(Inputs!$B$38&lt;&gt;"pvp",Inputs!$B$43&gt;0),((Skills!G5*((R950-1)*IF(Skills!H5&gt;0,Skills!I5/Skills!H5,1)+IF(Skills!H5&gt;0,MIN(Skills!I5,MAX(0,MAX(0,Inputs!$B$43-B985)-((R950-1)*(IF(Inputs!$B$38="pvp",15,MAX(0.1,Skills!D5-IF(Skills!E5=TRUE,Inputs!$B$32,0)))*(1-IF(AND(ArtifactsInput!$M$27,Inputs!$B$4="Chapter Hunt"),CHOOSE(ArtifactsInput!$N$27+1,20,24,28,32,36,40),0)/100)))))/Skills!H5,1)))/Inputs!$B$43),G950*Q950))*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1">
      <c r="A951">
        <f>Skills!A6</f>
        <v/>
      </c>
      <c r="B951">
        <f>Skills!B6</f>
        <v/>
      </c>
      <c r="C951">
        <f>Inputs!$B$3&gt;=40</f>
        <v/>
      </c>
      <c r="D951">
        <f>IF(Skills!C6=1,60+Inputs!$B$25+Inputs!$B$29,IF(Skills!C6=2,90+Inputs!$B$26+Inputs!$B$29,IF(Skills!C6=3,120+Inputs!$B$27+Inputs!$B$29,MAX(0,(Inputs!$B$3-100)*3)+(Inputs!$B$28+1)+Inputs!$B$29)))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952=TRUE,F952,0)/100)*(1+(IF(Skills!A6="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969=TRUE)*(F969-Calc!F24)),(Inputs!$B$23+((C974=TRUE)*(F974-Calc!F29))+(IF(ArtifactsInput!$M$15,CHOOSE(ArtifactsInput!$N$15+1,25,30,35,40,45,50)/100*(Inputs!$B$11-Inputs!$B$11),0))))/100+(Inputs!$B$23+((C974=TRUE)*(F974-Calc!F29))+(IF(ArtifactsInput!$M$15,CHOOSE(ArtifactsInput!$N$15+1,25,30,35,40,45,50)/100*(Inputs!$B$11-Inputs!$B$11),0)))/100)/2</f>
        <v/>
      </c>
      <c r="M951">
        <f>L951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IF(B988=0,0,O951/B988)</f>
        <v/>
      </c>
      <c r="Q951">
        <f>IFERROR(1/(IF(Inputs!$B$38="pvp",15,MAX(0.1,Skills!D6-IF(Skills!E6=TRUE,Inputs!$B$32,0)))*(1-IF(AND(ArtifactsInput!$M$27,Inputs!$B$4="Chapter Hunt"),CHOOSE(ArtifactsInput!$N$27+1,20,24,28,32,36,40),0)/100)),0)</f>
        <v/>
      </c>
      <c r="R951">
        <f>IF(AND(Inputs!$B$38&lt;&gt;"pvp",Inputs!$B$43&gt;0),IF(MAX(0,Inputs!$B$43-B985)&lt;=0,0,(INT(MAX(0,Inputs!$B$43-B985)/(IF(Inputs!$B$38="pvp",15,MAX(0.1,Skills!D6-IF(Skills!E6=TRUE,Inputs!$B$32,0)))*(1-IF(AND(ArtifactsInput!$M$27,Inputs!$B$4="Chapter Hunt"),CHOOSE(ArtifactsInput!$N$27+1,20,24,28,32,36,40),0)/100)))+1)),0)</f>
        <v/>
      </c>
      <c r="S951">
        <f>IFERROR(O951/N951,0)</f>
        <v/>
      </c>
      <c r="T951">
        <f>IF(C951,(H951*N951*IF(AND(Inputs!$B$38&lt;&gt;"pvp",Inputs!$B$43&gt;0),((Skills!G6*((R951-1)*IF(Skills!H6&gt;0,Skills!I6/Skills!H6,1)+IF(Skills!H6&gt;0,MIN(Skills!I6,MAX(0,MAX(0,Inputs!$B$43-B985)-((R951-1)*(IF(Inputs!$B$38="pvp",15,MAX(0.1,Skills!D6-IF(Skills!E6=TRUE,Inputs!$B$32,0)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951*(1-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985)-((R951-1)*(IF(Inputs!$B$38="pvp",15,MAX(0.1,Skills!D6-IF(Skills!E6=TRUE,Inputs!$B$32,0)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Inputs!$B$3&gt;=107</f>
        <v/>
      </c>
      <c r="D952">
        <f>IF(Skills!C7=1,60+Inputs!$B$25+Inputs!$B$29,IF(Skills!C7=2,90+Inputs!$B$26+Inputs!$B$29,IF(Skills!C7=3,120+Inputs!$B$27+Inputs!$B$29,MAX(0,(Inputs!$B$3-100)*3)+(Inputs!$B$28+1)+Inputs!$B$29)))</f>
        <v/>
      </c>
      <c r="E952">
        <f>INDEX(FactorTable!$B$2:$Y$301, MATCH(ROUND(MIN(300,MAX(1,D952)),0), FactorTable!$A$2:$A$301,0), Skills!M7+1)</f>
        <v/>
      </c>
      <c r="F952">
        <f>IF(Skills!N7=TRUE,(Skills!L7/10)*(E952/1000),Skills!L7/10)+Skills!O7</f>
        <v/>
      </c>
      <c r="G952" t="inlineStr"/>
      <c r="H952" t="inlineStr"/>
      <c r="I952" t="inlineStr">
        <is>
          <t>1</t>
        </is>
      </c>
      <c r="J952" t="inlineStr"/>
      <c r="K952" t="inlineStr"/>
      <c r="L952" t="inlineStr"/>
      <c r="M952" t="inlineStr"/>
      <c r="N952" t="inlineStr"/>
      <c r="O952" t="inlineStr"/>
      <c r="P952" t="inlineStr"/>
      <c r="Q952" t="inlineStr"/>
      <c r="R952" t="inlineStr"/>
      <c r="S952" t="inlineStr"/>
      <c r="T952" t="inlineStr"/>
      <c r="V952" t="inlineStr"/>
    </row>
    <row r="953">
      <c r="A953">
        <f>Skills!A8</f>
        <v/>
      </c>
      <c r="B953">
        <f>Skills!B8</f>
        <v/>
      </c>
      <c r="C953">
        <f>Inputs!$B$3&gt;=69</f>
        <v/>
      </c>
      <c r="D953">
        <f>IF(Skills!C8=1,60+Inputs!$B$25+Inputs!$B$29,IF(Skills!C8=2,90+Inputs!$B$26+Inputs!$B$29,IF(Skills!C8=3,120+Inputs!$B$27+Inputs!$B$29,MAX(0,(Inputs!$B$3-100)*3)+(Inputs!$B$28+1)+Inputs!$B$29)))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955=TRUE,F955,0)/100)*(1+(IF(Skills!A8="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969=TRUE)*(F969-Calc!F24)),(Inputs!$B$23+((C974=TRUE)*(F974-Calc!F29))+(IF(ArtifactsInput!$M$15,CHOOSE(ArtifactsInput!$N$15+1,25,30,35,40,45,50)/100*(Inputs!$B$11-Inputs!$B$11),0))))/100+(Inputs!$B$23+((C974=TRUE)*(F974-Calc!F29))+(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f>IFERROR(1/(IF(Inputs!$B$38="pvp",15,MAX(0.1,Skills!D8-IF(Skills!E8=TRUE,Inputs!$B$32,0)))*(1-IF(AND(ArtifactsInput!$M$27,Inputs!$B$4="Chapter Hunt"),CHOOSE(ArtifactsInput!$N$27+1,20,24,28,32,36,40),0)/100)),0)</f>
        <v/>
      </c>
      <c r="R953">
        <f>IF(AND(Inputs!$B$38&lt;&gt;"pvp",Inputs!$B$43&gt;0),IF(MAX(0,Inputs!$B$43-B985)&lt;=0,0,(INT(MAX(0,Inputs!$B$43-B985)/(IF(Inputs!$B$38="pvp",15,MAX(0.1,Skills!D8-IF(Skills!E8=TRUE,Inputs!$B$32,0)))*(1-IF(AND(ArtifactsInput!$M$27,Inputs!$B$4="Chapter Hunt"),CHOOSE(ArtifactsInput!$N$27+1,20,24,28,32,36,40),0)/100)))+1)),0)</f>
        <v/>
      </c>
      <c r="S953">
        <f>IFERROR(O953/N953,0)</f>
        <v/>
      </c>
      <c r="T953">
        <f>IF(C953,(H953*N953*IF(AND(Inputs!$B$38&lt;&gt;"pvp",Inputs!$B$43&gt;0),((Skills!G8*((R953-1)*IF(Skills!H8&gt;0,Skills!I8/Skills!H8,1)+IF(Skills!H8&gt;0,MIN(Skills!I8,MAX(0,MAX(0,Inputs!$B$43-B985)-((R953-1)*(IF(Inputs!$B$38="pvp",15,MAX(0.1,Skills!D8-IF(Skills!E8=TRUE,Inputs!$B$32,0)))*(1-IF(AND(ArtifactsInput!$M$27,Inputs!$B$4="Chapter Hunt"),CHOOSE(ArtifactsInput!$N$27+1,20,24,28,32,36,40),0)/100)))))/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953*(1-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985)-((R953-1)*(IF(Inputs!$B$38="pvp",15,MAX(0.1,Skills!D8-IF(Skills!E8=TRUE,Inputs!$B$32,0)))*(1-IF(AND(ArtifactsInput!$M$27,Inputs!$B$4="Chapter Hunt"),CHOOSE(ArtifactsInput!$N$27+1,20,24,28,32,36,40),0)/100)))))/Skills!H8,1)))/Inputs!$B$43),G953*Q953))*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Inputs!$B$3&gt;=63</f>
        <v/>
      </c>
      <c r="D954">
        <f>IF(Skills!C9=1,60+Inputs!$B$25+Inputs!$B$29,IF(Skills!C9=2,90+Inputs!$B$26+Inputs!$B$29,IF(Skills!C9=3,120+Inputs!$B$27+Inputs!$B$29,MAX(0,(Inputs!$B$3-100)*3)+(Inputs!$B$28+1)+Inputs!$B$29)))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955=TRUE,F955,0)/100)*(1+(IF(Skills!A9="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969=TRUE)*(F969-Calc!F24)),(Inputs!$B$23+((C974=TRUE)*(F974-Calc!F29))+(IF(ArtifactsInput!$M$15,CHOOSE(ArtifactsInput!$N$15+1,25,30,35,40,45,50)/100*(Inputs!$B$11-Inputs!$B$11),0))))/100+(Inputs!$B$23+((C974=TRUE)*(F974-Calc!F29))+(IF(ArtifactsInput!$M$15,CHOOSE(ArtifactsInput!$N$15+1,25,30,35,40,45,50)/100*(Inputs!$B$11-Inputs!$B$11),0)))/100)/2</f>
        <v/>
      </c>
      <c r="M954">
        <f>L954*(1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IF(B988=0,0,O954/B988)</f>
        <v/>
      </c>
      <c r="Q954">
        <f>IFERROR(1/(IF(Inputs!$B$38="pvp",15,MAX(0.1,Skills!D9-IF(Skills!E9=TRUE,Inputs!$B$32,0)))*(1-IF(AND(ArtifactsInput!$M$27,Inputs!$B$4="Chapter Hunt"),CHOOSE(ArtifactsInput!$N$27+1,20,24,28,32,36,40),0)/100)),0)</f>
        <v/>
      </c>
      <c r="R954">
        <f>IF(AND(Inputs!$B$38&lt;&gt;"pvp",Inputs!$B$43&gt;0),IF(MAX(0,Inputs!$B$43-B985)&lt;=0,0,(INT(MAX(0,Inputs!$B$43-B985)/(IF(Inputs!$B$38="pvp",15,MAX(0.1,Skills!D9-IF(Skills!E9=TRUE,Inputs!$B$32,0)))*(1-IF(AND(ArtifactsInput!$M$27,Inputs!$B$4="Chapter Hunt"),CHOOSE(ArtifactsInput!$N$27+1,20,24,28,32,36,40),0)/100)))+1)),0)</f>
        <v/>
      </c>
      <c r="S954">
        <f>IFERROR(O954/N954,0)</f>
        <v/>
      </c>
      <c r="T954">
        <f>IF(C954,(H954*N954*IF(AND(Inputs!$B$38&lt;&gt;"pvp",Inputs!$B$43&gt;0),((Skills!G9*((R954-1)*IF(Skills!H9&gt;0,Skills!I9/Skills!H9,1)+IF(Skills!H9&gt;0,MIN(Skills!I9,MAX(0,MAX(0,Inputs!$B$43-B985)-((R954-1)*(IF(Inputs!$B$38="pvp",15,MAX(0.1,Skills!D9-IF(Skills!E9=TRUE,Inputs!$B$32,0)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954*(1-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985)-((R954-1)*(IF(Inputs!$B$38="pvp",15,MAX(0.1,Skills!D9-IF(Skills!E9=TRUE,Inputs!$B$32,0)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Inputs!$B$3&gt;=100</f>
        <v/>
      </c>
      <c r="D955">
        <f>IF(Skills!C10=1,60+Inputs!$B$25+Inputs!$B$29,IF(Skills!C10=2,90+Inputs!$B$26+Inputs!$B$29,IF(Skills!C10=3,120+Inputs!$B$27+Inputs!$B$29,MAX(0,(Inputs!$B$3-100)*3)+(Inputs!$B$28+1)+Inputs!$B$29)))</f>
        <v/>
      </c>
      <c r="E955">
        <f>INDEX(FactorTable!$B$2:$Y$301, MATCH(ROUND(MIN(300,MAX(1,D955)),0), FactorTable!$A$2:$A$301,0), Skills!M10+1)</f>
        <v/>
      </c>
      <c r="F955">
        <f>IF(Skills!N10=TRUE,(Skills!L10/10)*(E955/1000),Skills!L10/10)+Skills!O10</f>
        <v/>
      </c>
      <c r="G955" t="inlineStr"/>
      <c r="H955" t="inlineStr"/>
      <c r="I955" t="inlineStr">
        <is>
          <t>1</t>
        </is>
      </c>
      <c r="J955" t="inlineStr"/>
      <c r="K955" t="inlineStr"/>
      <c r="L955" t="inlineStr"/>
      <c r="M955" t="inlineStr"/>
      <c r="N955" t="inlineStr"/>
      <c r="O955" t="inlineStr"/>
      <c r="P955" t="inlineStr"/>
      <c r="Q955" t="inlineStr"/>
      <c r="R955" t="inlineStr"/>
      <c r="S955" t="inlineStr"/>
      <c r="T955" t="inlineStr"/>
      <c r="V955" t="inlineStr"/>
    </row>
    <row r="956">
      <c r="A956">
        <f>Skills!A11</f>
        <v/>
      </c>
      <c r="B956">
        <f>Skills!B11</f>
        <v/>
      </c>
      <c r="C956">
        <f>Inputs!$B$3&gt;=60</f>
        <v/>
      </c>
      <c r="D956">
        <f>IF(Skills!C11=1,60+Inputs!$B$25+Inputs!$B$29,IF(Skills!C11=2,90+Inputs!$B$26+Inputs!$B$29,IF(Skills!C11=3,120+Inputs!$B$27+Inputs!$B$29,MAX(0,(Inputs!$B$3-100)*3)+(Inputs!$B$28+1)+Inputs!$B$29)))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957=TRUE,F957,0)/100)*(1+(IF(Skills!A11="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969=TRUE)*(F969-Calc!F24)),(Inputs!$B$23+((C974=TRUE)*(F974-Calc!F29))+(IF(ArtifactsInput!$M$15,CHOOSE(ArtifactsInput!$N$15+1,25,30,35,40,45,50)/100*(Inputs!$B$11-Inputs!$B$11),0))))/100+(Inputs!$B$23+((C974=TRUE)*(F974-Calc!F29))+(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IFERROR(1/(IF(Inputs!$B$38="pvp",15,MAX(0.1,Skills!D11-IF(Skills!E11=TRUE,Inputs!$B$32,0)))*(1-IF(AND(ArtifactsInput!$M$27,Inputs!$B$4="Chapter Hunt"),CHOOSE(ArtifactsInput!$N$27+1,20,24,28,32,36,40),0)/100)),0)</f>
        <v/>
      </c>
      <c r="R956">
        <f>IF(AND(Inputs!$B$38&lt;&gt;"pvp",Inputs!$B$43&gt;0),IF(MAX(0,Inputs!$B$43-B985)&lt;=0,0,(INT(MAX(0,Inputs!$B$43-B985)/(IF(Inputs!$B$38="pvp",15,MAX(0.1,Skills!D11-IF(Skills!E11=TRUE,Inputs!$B$32,0)))*(1-IF(AND(ArtifactsInput!$M$27,Inputs!$B$4="Chapter Hunt"),CHOOSE(ArtifactsInput!$N$27+1,20,24,28,32,36,40),0)/100)))+1)),0)</f>
        <v/>
      </c>
      <c r="S956">
        <f>IFERROR(O956/N956,0)</f>
        <v/>
      </c>
      <c r="T956">
        <f>IF(C956,(H956*N956*IF(AND(Inputs!$B$38&lt;&gt;"pvp",Inputs!$B$43&gt;0),((Skills!G11*((R956-1)*IF(Skills!H11&gt;0,Skills!I11/Skills!H11,1)+IF(Skills!H11&gt;0,MIN(Skills!I11,MAX(0,MAX(0,Inputs!$B$43-B985)-((R956-1)*(IF(Inputs!$B$38="pvp",15,MAX(0.1,Skills!D11-IF(Skills!E11=TRUE,Inputs!$B$32,0)))*(1-IF(AND(ArtifactsInput!$M$27,Inputs!$B$4="Chapter Hunt"),CHOOSE(ArtifactsInput!$N$27+1,20,24,28,32,36,40),0)/100)))))/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956*(1-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985)-((R956-1)*(IF(Inputs!$B$38="pvp",15,MAX(0.1,Skills!D11-IF(Skills!E11=TRUE,Inputs!$B$32,0)))*(1-IF(AND(ArtifactsInput!$M$27,Inputs!$B$4="Chapter Hunt"),CHOOSE(ArtifactsInput!$N$27+1,20,24,28,32,36,40),0)/100)))))/Skills!H11,1)))/Inputs!$B$43),G956*Q956))*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Inputs!$B$3&gt;=110</f>
        <v/>
      </c>
      <c r="D957">
        <f>IF(Skills!C12=1,60+Inputs!$B$25+Inputs!$B$29,IF(Skills!C12=2,90+Inputs!$B$26+Inputs!$B$29,IF(Skills!C12=3,120+Inputs!$B$27+Inputs!$B$29,MAX(0,(Inputs!$B$3-100)*3)+(Inputs!$B$28+1)+Inputs!$B$29)))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Inputs!$B$3&gt;=74</f>
        <v/>
      </c>
      <c r="D958">
        <f>IF(Skills!C13=1,60+Inputs!$B$25+Inputs!$B$29,IF(Skills!C13=2,90+Inputs!$B$26+Inputs!$B$29,IF(Skills!C13=3,120+Inputs!$B$27+Inputs!$B$29,MAX(0,(Inputs!$B$3-100)*3)+(Inputs!$B$28+1)+Inputs!$B$29)))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(1-Summary!$B$11)*T958+Summary!$B$11*V958</f>
        <v/>
      </c>
      <c r="P958">
        <f>IF(B988=0,0,O958/B988)</f>
        <v/>
      </c>
      <c r="Q958" t="n">
        <v>0</v>
      </c>
      <c r="R958" t="n">
        <v>0</v>
      </c>
      <c r="S958">
        <f>IFERROR(O958/N958,0)</f>
        <v/>
      </c>
      <c r="T958" t="n">
        <v>0</v>
      </c>
      <c r="V958" t="n">
        <v>0</v>
      </c>
    </row>
    <row r="959">
      <c r="A959">
        <f>Skills!A14</f>
        <v/>
      </c>
      <c r="B959">
        <f>Skills!B14</f>
        <v/>
      </c>
      <c r="C959">
        <f>Inputs!$B$3&gt;=74</f>
        <v/>
      </c>
      <c r="D959">
        <f>IF(Skills!C14=1,60+Inputs!$B$25+Inputs!$B$29,IF(Skills!C14=2,90+Inputs!$B$26+Inputs!$B$29,IF(Skills!C14=3,120+Inputs!$B$27+Inputs!$B$29,MAX(0,(Inputs!$B$3-100)*3)+(Inputs!$B$28+1)+Inputs!$B$29)))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(1-Summary!$B$11)*T959+Summary!$B$11*V959</f>
        <v/>
      </c>
      <c r="P959">
        <f>IF(B988=0,0,O959/B988)</f>
        <v/>
      </c>
      <c r="Q959" t="n">
        <v>0</v>
      </c>
      <c r="R959" t="n">
        <v>0</v>
      </c>
      <c r="S959">
        <f>IFERROR(O959/N959,0)</f>
        <v/>
      </c>
      <c r="T959" t="n">
        <v>0</v>
      </c>
      <c r="V959" t="n">
        <v>0</v>
      </c>
    </row>
    <row r="960">
      <c r="A960">
        <f>Skills!A15</f>
        <v/>
      </c>
      <c r="B960">
        <f>Skills!B15</f>
        <v/>
      </c>
      <c r="C960">
        <f>Inputs!$B$3&gt;=117</f>
        <v/>
      </c>
      <c r="D960">
        <f>IF(Skills!C15=1,60+Inputs!$B$25+Inputs!$B$29,IF(Skills!C15=2,90+Inputs!$B$26+Inputs!$B$29,IF(Skills!C15=3,120+Inputs!$B$27+Inputs!$B$29,MAX(0,(Inputs!$B$3-100)*3)+(Inputs!$B$28+1)+Inputs!$B$29)))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(1-Summary!$B$11)*T960+Summary!$B$11*V960</f>
        <v/>
      </c>
      <c r="P960">
        <f>IF(B988=0,0,O960/B988)</f>
        <v/>
      </c>
      <c r="Q960">
        <f>IFERROR(1/(IF(Inputs!$B$38="pvp",15,MAX(0.1,Skills!D15-IF(Skills!E15=TRUE,Inputs!$B$32,0)))*(1-IF(AND(ArtifactsInput!$M$27,Inputs!$B$4="Chapter Hunt"),CHOOSE(ArtifactsInput!$N$27+1,20,24,28,32,36,40),0)/100)),0)</f>
        <v/>
      </c>
      <c r="R960">
        <f>IF(AND(Inputs!$B$38&lt;&gt;"pvp",Inputs!$B$43&gt;0),IF(Inputs!$B$43&lt;=0,0,(INT(Inputs!$B$43/(IF(Inputs!$B$38="pvp",15,MAX(0.1,Skills!D15-IF(Skills!E15=TRUE,Inputs!$B$32,0)))*(1-IF(AND(ArtifactsInput!$M$27,Inputs!$B$4="Chapter Hunt"),CHOOSE(ArtifactsInput!$N$27+1,20,24,28,32,36,40),0)/100)))+1)),0)</f>
        <v/>
      </c>
      <c r="S960">
        <f>IFERROR(O960/N960,0)</f>
        <v/>
      </c>
      <c r="T960" t="n">
        <v>0</v>
      </c>
      <c r="V960" t="n">
        <v>0</v>
      </c>
    </row>
    <row r="961">
      <c r="A961">
        <f>Skills!A16</f>
        <v/>
      </c>
      <c r="B961">
        <f>Skills!B16</f>
        <v/>
      </c>
      <c r="C961">
        <f>Inputs!$B$3&gt;=115</f>
        <v/>
      </c>
      <c r="D961">
        <f>IF(Skills!C16=1,60+Inputs!$B$25+Inputs!$B$29,IF(Skills!C16=2,90+Inputs!$B$26+Inputs!$B$29,IF(Skills!C16=3,120+Inputs!$B$27+Inputs!$B$29,MAX(0,(Inputs!$B$3-100)*3)+(Inputs!$B$28+1)+Inputs!$B$29)))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(1-Summary!$B$11)*T961+Summary!$B$11*V961</f>
        <v/>
      </c>
      <c r="P961">
        <f>IF(B988=0,0,O961/B988)</f>
        <v/>
      </c>
      <c r="Q961">
        <f>IFERROR(1/(IF(Inputs!$B$38="pvp",15,MAX(0.1,Skills!D16-IF(Skills!E16=TRUE,Inputs!$B$32,0)))*(1-IF(AND(ArtifactsInput!$M$27,Inputs!$B$4="Chapter Hunt"),CHOOSE(ArtifactsInput!$N$27+1,20,24,28,32,36,40),0)/100)),0)</f>
        <v/>
      </c>
      <c r="R961">
        <f>IF(AND(Inputs!$B$38&lt;&gt;"pvp",Inputs!$B$43&gt;0),IF(Inputs!$B$43&lt;=0,0,(INT(Inputs!$B$43/(IF(Inputs!$B$38="pvp",15,MAX(0.1,Skills!D16-IF(Skills!E16=TRUE,Inputs!$B$32,0)))*(1-IF(AND(ArtifactsInput!$M$27,Inputs!$B$4="Chapter Hunt"),CHOOSE(ArtifactsInput!$N$27+1,20,24,28,32,36,40),0)/100)))+1)),0)</f>
        <v/>
      </c>
      <c r="S961">
        <f>IFERROR(O961/N961,0)</f>
        <v/>
      </c>
      <c r="T961" t="n">
        <v>0</v>
      </c>
      <c r="V961" t="n">
        <v>0</v>
      </c>
    </row>
    <row r="962">
      <c r="A962">
        <f>Skills!A17</f>
        <v/>
      </c>
      <c r="B962">
        <f>Skills!B17</f>
        <v/>
      </c>
      <c r="C962">
        <f>Inputs!$B$3&gt;=66</f>
        <v/>
      </c>
      <c r="D962">
        <f>IF(Skills!C17=1,60+Inputs!$B$25+Inputs!$B$29,IF(Skills!C17=2,90+Inputs!$B$26+Inputs!$B$29,IF(Skills!C17=3,120+Inputs!$B$27+Inputs!$B$29,MAX(0,(Inputs!$B$3-100)*3)+(Inputs!$B$28+1)+Inputs!$B$29)))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IF(B988=0,0,O962/B988)</f>
        <v/>
      </c>
      <c r="Q962" t="n">
        <v>0</v>
      </c>
      <c r="R962" t="n">
        <v>0</v>
      </c>
      <c r="S962">
        <f>IFERROR(O962/N962,0)</f>
        <v/>
      </c>
      <c r="T962" t="n">
        <v>0</v>
      </c>
      <c r="V962" t="n">
        <v>0</v>
      </c>
    </row>
    <row r="963">
      <c r="A963">
        <f>Skills!A18</f>
        <v/>
      </c>
      <c r="B963">
        <f>Skills!B18</f>
        <v/>
      </c>
      <c r="C963">
        <f>Inputs!$B$3&gt;=72</f>
        <v/>
      </c>
      <c r="D963">
        <f>IF(Skills!C18=1,60+Inputs!$B$25+Inputs!$B$29,IF(Skills!C18=2,90+Inputs!$B$26+Inputs!$B$29,IF(Skills!C18=3,120+Inputs!$B$27+Inputs!$B$29,MAX(0,(Inputs!$B$3-100)*3)+(Inputs!$B$28+1)+Inputs!$B$29)))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IF(B988=0,0,O963/B988)</f>
        <v/>
      </c>
      <c r="Q963" t="n">
        <v>0</v>
      </c>
      <c r="R963" t="n">
        <v>0</v>
      </c>
      <c r="S963">
        <f>IFERROR(O963/N963,0)</f>
        <v/>
      </c>
      <c r="T963" t="n">
        <v>0</v>
      </c>
      <c r="V963" t="n">
        <v>0</v>
      </c>
    </row>
    <row r="964">
      <c r="A964">
        <f>Skills!A19</f>
        <v/>
      </c>
      <c r="B964">
        <f>Skills!B19</f>
        <v/>
      </c>
      <c r="C964">
        <f>TRUE</f>
        <v/>
      </c>
      <c r="D964">
        <f>IF(Skills!C19=1,60+Inputs!$B$25+Inputs!$B$29,IF(Skills!C19=2,90+Inputs!$B$26+Inputs!$B$29,IF(Skills!C19=3,120+Inputs!$B$27+Inputs!$B$29,MAX(0,(Inputs!$B$3-100)*3)+(Inputs!$B$28+1)+Inputs!$B$29)))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IF(B988=0,0,O964/B988)</f>
        <v/>
      </c>
      <c r="Q964">
        <f>IFERROR(1/(IF(Inputs!$B$38="pvp",15,MAX(0.1,Skills!D19-IF(Skills!E19=TRUE,Inputs!$B$32,0)))*(1-IF(AND(ArtifactsInput!$M$27,Inputs!$B$4="Chapter Hunt"),CHOOSE(ArtifactsInput!$N$27+1,20,24,28,32,36,40),0)/100)),0)</f>
        <v/>
      </c>
      <c r="R964">
        <f>IF(AND(Inputs!$B$38&lt;&gt;"pvp",Inputs!$B$43&gt;0),IF(Inputs!$B$43&lt;=0,0,(INT(Inputs!$B$43/(IF(Inputs!$B$38="pvp",15,MAX(0.1,Skills!D19-IF(Skills!E19=TRUE,Inputs!$B$32,0)))*(1-IF(AND(ArtifactsInput!$M$27,Inputs!$B$4="Chapter Hunt"),CHOOSE(ArtifactsInput!$N$27+1,20,24,28,32,36,40),0)/100)))+1)),0)</f>
        <v/>
      </c>
      <c r="S964">
        <f>IFERROR(O964/N964,0)</f>
        <v/>
      </c>
      <c r="T964" t="n">
        <v>0</v>
      </c>
      <c r="V964" t="n">
        <v>0</v>
      </c>
    </row>
    <row r="965">
      <c r="A965">
        <f>Skills!A20</f>
        <v/>
      </c>
      <c r="B965">
        <f>Skills!B20</f>
        <v/>
      </c>
      <c r="C965">
        <f>Inputs!$B$3&gt;=15</f>
        <v/>
      </c>
      <c r="D965">
        <f>IF(Skills!C20=1,60+Inputs!$B$25+Inputs!$B$29,IF(Skills!C20=2,90+Inputs!$B$26+Inputs!$B$29,IF(Skills!C20=3,120+Inputs!$B$27+Inputs!$B$29,MAX(0,(Inputs!$B$3-100)*3)+(Inputs!$B$28+1)+Inputs!$B$29)))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Skills!A21</f>
        <v/>
      </c>
      <c r="B966">
        <f>Skills!B21</f>
        <v/>
      </c>
      <c r="C966">
        <f>Inputs!$B$3&gt;=10</f>
        <v/>
      </c>
      <c r="D966">
        <f>IF(Skills!C21=1,60+Inputs!$B$25+Inputs!$B$29,IF(Skills!C21=2,90+Inputs!$B$26+Inputs!$B$29,IF(Skills!C21=3,120+Inputs!$B$27+Inputs!$B$29,MAX(0,(Inputs!$B$3-100)*3)+(Inputs!$B$28+1)+Inputs!$B$29)))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IF(B988=0,0,O966/B988)</f>
        <v/>
      </c>
      <c r="Q966" t="n">
        <v>0</v>
      </c>
      <c r="R966" t="n">
        <v>0</v>
      </c>
      <c r="S966">
        <f>IFERROR(O966/N966,0)</f>
        <v/>
      </c>
      <c r="T966" t="n">
        <v>0</v>
      </c>
      <c r="V966" t="n">
        <v>0</v>
      </c>
    </row>
    <row r="967">
      <c r="A967">
        <f>Skills!A22</f>
        <v/>
      </c>
      <c r="B967">
        <f>Skills!B22</f>
        <v/>
      </c>
      <c r="C967">
        <f>Inputs!$B$3&gt;=33</f>
        <v/>
      </c>
      <c r="D967">
        <f>IF(Skills!C22=1,60+Inputs!$B$25+Inputs!$B$29,IF(Skills!C22=2,90+Inputs!$B$26+Inputs!$B$29,IF(Skills!C22=3,120+Inputs!$B$27+Inputs!$B$29,MAX(0,(Inputs!$B$3-100)*3)+(Inputs!$B$28+1)+Inputs!$B$29)))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IF(B988=0,0,O967/B988)</f>
        <v/>
      </c>
      <c r="Q967" t="n">
        <v>0</v>
      </c>
      <c r="R967" t="n">
        <v>0</v>
      </c>
      <c r="S967">
        <f>IFERROR(O967/N967,0)</f>
        <v/>
      </c>
      <c r="T967" t="n">
        <v>0</v>
      </c>
      <c r="V967" t="n">
        <v>0</v>
      </c>
    </row>
    <row r="968">
      <c r="A968">
        <f>Skills!A23</f>
        <v/>
      </c>
      <c r="B968">
        <f>Skills!B23</f>
        <v/>
      </c>
      <c r="C968">
        <f>Inputs!$B$3&gt;=38</f>
        <v/>
      </c>
      <c r="D968">
        <f>IF(Skills!C23=1,60+Inputs!$B$25+Inputs!$B$29,IF(Skills!C23=2,90+Inputs!$B$26+Inputs!$B$29,IF(Skills!C23=3,120+Inputs!$B$27+Inputs!$B$29,MAX(0,(Inputs!$B$3-100)*3)+(Inputs!$B$28+1)+Inputs!$B$29)))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f>(1-Summary!$B$11)*T968+Summary!$B$11*V968</f>
        <v/>
      </c>
      <c r="P968">
        <f>IF(B988=0,0,O968/B988)</f>
        <v/>
      </c>
      <c r="Q968" t="n">
        <v>0</v>
      </c>
      <c r="R968" t="n">
        <v>0</v>
      </c>
      <c r="S968">
        <f>IFERROR(O968/N968,0)</f>
        <v/>
      </c>
      <c r="T968" t="n">
        <v>0</v>
      </c>
      <c r="V968" t="n">
        <v>0</v>
      </c>
    </row>
    <row r="969">
      <c r="A969">
        <f>Skills!A24</f>
        <v/>
      </c>
      <c r="B969">
        <f>Skills!B24</f>
        <v/>
      </c>
      <c r="C969">
        <f>Inputs!$B$3&gt;=43</f>
        <v/>
      </c>
      <c r="D969">
        <f>IF(Skills!C24=1,60+Inputs!$B$25+Inputs!$B$29,IF(Skills!C24=2,90+Inputs!$B$26+Inputs!$B$29,IF(Skills!C24=3,120+Inputs!$B$27+Inputs!$B$29,MAX(0,(Inputs!$B$3-100)*3)+(Inputs!$B$28+1)+Inputs!$B$29)))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f>(1-Summary!$B$11)*T969+Summary!$B$11*V969</f>
        <v/>
      </c>
      <c r="P969">
        <f>IF(B988=0,0,O969/B988)</f>
        <v/>
      </c>
      <c r="Q969" t="n">
        <v>0</v>
      </c>
      <c r="R969" t="n">
        <v>0</v>
      </c>
      <c r="S969">
        <f>IFERROR(O969/N969,0)</f>
        <v/>
      </c>
      <c r="T969" t="n">
        <v>0</v>
      </c>
      <c r="V969" t="n">
        <v>0</v>
      </c>
    </row>
    <row r="970">
      <c r="A970">
        <f>Skills!A25</f>
        <v/>
      </c>
      <c r="B970">
        <f>Skills!B25</f>
        <v/>
      </c>
      <c r="C970">
        <f>Inputs!$B$3&gt;=75</f>
        <v/>
      </c>
      <c r="D970">
        <f>IF(Skills!C25=1,60+Inputs!$B$25+Inputs!$B$29,IF(Skills!C25=2,90+Inputs!$B$26+Inputs!$B$29,IF(Skills!C25=3,120+Inputs!$B$27+Inputs!$B$29,MAX(0,(Inputs!$B$3-100)*3)+(Inputs!$B$28+1)+Inputs!$B$29)))</f>
        <v/>
      </c>
      <c r="E970">
        <f>INDEX(FactorTable!$B$2:$Y$301, MATCH(ROUND(MIN(300,MAX(1,D970)),0), FactorTable!$A$2:$A$301,0), Skills!M25+1)</f>
        <v/>
      </c>
      <c r="F970">
        <f>IF(Skills!N25=TRUE,(Skills!L25/10)*(E970/1000),Skills!L25/10)+Skills!O25</f>
        <v/>
      </c>
      <c r="G970">
        <f>Skills!G25*IF(Skills!H25&gt;0,Skills!I25/Skills!H25,1)</f>
        <v/>
      </c>
      <c r="H970">
        <f>1-(1-Skills!J25/100)^Skills!K25</f>
        <v/>
      </c>
      <c r="I970" t="inlineStr">
        <is>
          <t>1</t>
        </is>
      </c>
      <c r="J970" t="inlineStr"/>
      <c r="K970" t="inlineStr"/>
      <c r="L970" t="inlineStr"/>
      <c r="M970" t="inlineStr"/>
      <c r="N970" t="inlineStr"/>
      <c r="O970">
        <f>(1-Summary!$B$11)*T970+Summary!$B$11*V970</f>
        <v/>
      </c>
      <c r="P970">
        <f>IF(B988=0,0,O970/B988)</f>
        <v/>
      </c>
      <c r="Q970" t="n">
        <v>0</v>
      </c>
      <c r="R970" t="n">
        <v>0</v>
      </c>
      <c r="S970">
        <f>IFERROR(O970/N970,0)</f>
        <v/>
      </c>
      <c r="T970" t="n">
        <v>0</v>
      </c>
      <c r="V970" t="n">
        <v>0</v>
      </c>
    </row>
    <row r="971">
      <c r="A971">
        <f>Skills!A26</f>
        <v/>
      </c>
      <c r="B971">
        <f>Skills!B26</f>
        <v/>
      </c>
      <c r="C971">
        <f>Inputs!$B$3&gt;=125</f>
        <v/>
      </c>
      <c r="D971">
        <f>IF(Skills!C26=1,60+Inputs!$B$25+Inputs!$B$29,IF(Skills!C26=2,90+Inputs!$B$26+Inputs!$B$29,IF(Skills!C26=3,120+Inputs!$B$27+Inputs!$B$29,MAX(0,(Inputs!$B$3-100)*3)+(Inputs!$B$28+1)+Inputs!$B$29)))</f>
        <v/>
      </c>
      <c r="E971">
        <f>INDEX(FactorTable!$B$2:$Y$301, MATCH(ROUND(MIN(300,MAX(1,D971)),0), FactorTable!$A$2:$A$301,0), Skills!M26+1)</f>
        <v/>
      </c>
      <c r="F971">
        <f>IF(Skills!N26=TRUE,(Skills!L26/10)*(E971/1000),Skills!L26/10)+Skills!O26</f>
        <v/>
      </c>
      <c r="G971">
        <f>Skills!G26*IF(Skills!H26&gt;0,Skills!I26/Skills!H26,1)</f>
        <v/>
      </c>
      <c r="H971">
        <f>1-(1-Skills!J26/100)^Skills!K26</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Skills!A27</f>
        <v/>
      </c>
      <c r="B972">
        <f>Skills!B27</f>
        <v/>
      </c>
      <c r="C972">
        <f>Inputs!$B$3&gt;=125</f>
        <v/>
      </c>
      <c r="D972">
        <f>IF(Skills!C27=1,60+Inputs!$B$25+Inputs!$B$29,IF(Skills!C27=2,90+Inputs!$B$26+Inputs!$B$29,IF(Skills!C27=3,120+Inputs!$B$27+Inputs!$B$29,MAX(0,(Inputs!$B$3-100)*3)+(Inputs!$B$28+1)+Inputs!$B$29)))</f>
        <v/>
      </c>
      <c r="E972">
        <f>INDEX(FactorTable!$B$2:$Y$301, MATCH(ROUND(MIN(300,MAX(1,D972)),0), FactorTable!$A$2:$A$301,0), Skills!M27+1)</f>
        <v/>
      </c>
      <c r="F972">
        <f>IF(Skills!N27=TRUE,(Skills!L27/10)*(E972/1000),Skills!L27/10)+Skills!O27</f>
        <v/>
      </c>
      <c r="G972">
        <f>Skills!G27*IF(Skills!H27&gt;0,Skills!I27/Skills!H27,1)</f>
        <v/>
      </c>
      <c r="H972">
        <f>1-(1-Skills!J27/100)^Skills!K27</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Skills!A28</f>
        <v/>
      </c>
      <c r="B973">
        <f>Skills!B28</f>
        <v/>
      </c>
      <c r="C973">
        <f>Inputs!$B$3&gt;=120</f>
        <v/>
      </c>
      <c r="D973">
        <f>IF(Skills!C28=1,60+Inputs!$B$25+Inputs!$B$29,IF(Skills!C28=2,90+Inputs!$B$26+Inputs!$B$29,IF(Skills!C28=3,120+Inputs!$B$27+Inputs!$B$29,MAX(0,(Inputs!$B$3-100)*3)+(Inputs!$B$28+1)+Inputs!$B$29)))</f>
        <v/>
      </c>
      <c r="E973">
        <f>INDEX(FactorTable!$B$2:$Y$301, MATCH(ROUND(MIN(300,MAX(1,D973)),0), FactorTable!$A$2:$A$301,0), Skills!M28+1)</f>
        <v/>
      </c>
      <c r="F973">
        <f>IF(Skills!N28=TRUE,(Skills!L28/10)*(E973/1000),Skills!L28/10)+Skills!O28</f>
        <v/>
      </c>
      <c r="G973">
        <f>Skills!G28*IF(Skills!H28&gt;0,Skills!I28/Skills!H28,1)</f>
        <v/>
      </c>
      <c r="H973">
        <f>1-(1-Skills!J28/100)^Skills!K28</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Skills!A29</f>
        <v/>
      </c>
      <c r="B974">
        <f>Skills!B29</f>
        <v/>
      </c>
      <c r="C974">
        <f>Inputs!$B$3&gt;=120</f>
        <v/>
      </c>
      <c r="D974">
        <f>IF(Skills!C29=1,60+Inputs!$B$25+Inputs!$B$29,IF(Skills!C29=2,90+Inputs!$B$26+Inputs!$B$29,IF(Skills!C29=3,120+Inputs!$B$27+Inputs!$B$29,MAX(0,(Inputs!$B$3-100)*3)+(Inputs!$B$28+1)+Inputs!$B$29)))</f>
        <v/>
      </c>
      <c r="E974">
        <f>INDEX(FactorTable!$B$2:$Y$301, MATCH(ROUND(MIN(300,MAX(1,D974)),0), FactorTable!$A$2:$A$301,0), Skills!M29+1)</f>
        <v/>
      </c>
      <c r="F974">
        <f>IF(Skills!N29=TRUE,(Skills!L29/10)*(E974/1000),Skills!L29/10)+Skills!O29</f>
        <v/>
      </c>
      <c r="G974">
        <f>Skills!G29*IF(Skills!H29&gt;0,Skills!I29/Skills!H29,1)</f>
        <v/>
      </c>
      <c r="H974">
        <f>1-(1-Skills!J29/100)^Skills!K29</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Skills!A30</f>
        <v/>
      </c>
      <c r="B975">
        <f>Skills!B30</f>
        <v/>
      </c>
      <c r="C975">
        <f>Inputs!$B$3&gt;=45</f>
        <v/>
      </c>
      <c r="D975">
        <f>IF(Skills!C30=1,60+Inputs!$B$25+Inputs!$B$29,IF(Skills!C30=2,90+Inputs!$B$26+Inputs!$B$29,IF(Skills!C30=3,120+Inputs!$B$27+Inputs!$B$29,MAX(0,(Inputs!$B$3-100)*3)+(Inputs!$B$28+1)+Inputs!$B$29)))</f>
        <v/>
      </c>
      <c r="E975">
        <f>INDEX(FactorTable!$B$2:$Y$301, MATCH(ROUND(MIN(300,MAX(1,D975)),0), FactorTable!$A$2:$A$301,0), Skills!M30+1)</f>
        <v/>
      </c>
      <c r="F975">
        <f>IF(Skills!N30=TRUE,(Skills!L30/10)*(E975/1000),Skills!L30/10)+Skills!O30</f>
        <v/>
      </c>
      <c r="G975">
        <f>Skills!G30*IF(Skills!H30&gt;0,Skills!I30/Skills!H30,1)</f>
        <v/>
      </c>
      <c r="H975">
        <f>1-(1-Skills!J30/100)^Skills!K30</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f>(C961=TRUE)*20*IF(AND(Inputs!$B$38&lt;&gt;"pvp",Inputs!$B$43&gt;0),(((R961-1)*(Skills!T16*(1+Inputs!$B$34/100))+MIN((Skills!T16*(1+Inputs!$B$34/100)),MAX(0,Inputs!$B$43-((R961-1)*Skills!D16))))/Inputs!$B$43),IF(Inputs!$B$38="pvp",MIN((Skills!T16*(1+Inputs!$B$34/100)),15)/15,(Skills!T16*(1+Inputs!$B$34/100))/Skills!D16))</f>
        <v/>
      </c>
    </row>
    <row r="979">
      <c r="A979" t="inlineStr">
        <is>
          <t>Attack Speed Buff Bonus %</t>
        </is>
      </c>
      <c r="B979">
        <f>((C964=TRUE)*F964*IF(AND(Inputs!$B$38&lt;&gt;"pvp",Inputs!$B$43&gt;0),(((R964-1)*(Skills!T19*(1+Inputs!$B$34/100))+MIN((Skills!T19*(1+Inputs!$B$34/100)),MAX(0,Inputs!$B$43-((R964-1)*Skills!D19))))/Inputs!$B$43),IF(Inputs!$B$38="pvp",MIN((Skills!T19*(1+Inputs!$B$34/100)),15)/15,(Skills!T19*(1+Inputs!$B$34/100))/Skills!D19)))</f>
        <v/>
      </c>
    </row>
    <row r="980">
      <c r="A980" t="inlineStr">
        <is>
          <t>Actions Per Second</t>
        </is>
      </c>
      <c r="B980">
        <f>1+MIN(150,150*(1-(1-(Inputs!$B$11+((C966=TRUE)*(F966-Calc!F21))+((C967=TRUE)*(F967-Calc!F22)))/150)*(1-B979/150)))/100</f>
        <v/>
      </c>
    </row>
    <row r="981">
      <c r="A981" t="inlineStr">
        <is>
          <t>Skill + Buff Cast Rate</t>
        </is>
      </c>
      <c r="B981">
        <f>IF(AND(Inputs!$B$38&lt;&gt;"pvp",Inputs!$B$43&gt;0),SUMPRODUCT((Skills!E2:E30=TRUE)*(C947:C975=TRUE)*R947:R975*Skills!F2:F30)/Inputs!$B$43,SUMPRODUCT((Skills!E2:E30=TRUE)*(C947:C975=TRUE)*Q947:Q975*Skills!F2:F30))</f>
        <v/>
      </c>
    </row>
    <row r="982">
      <c r="A982" t="inlineStr">
        <is>
          <t>Arrow Stream Casts Per Second</t>
        </is>
      </c>
      <c r="B982">
        <f>MAX(0,B980-B981)</f>
        <v/>
      </c>
    </row>
    <row r="983">
      <c r="A983" t="inlineStr">
        <is>
          <t>Global Critical Damage Bonus % (Sharp Eyes + Concentration)</t>
        </is>
      </c>
      <c r="B983">
        <f>(C961=TRUE)*F961*IF(AND(Inputs!$B$38&lt;&gt;"pvp",Inputs!$B$43&gt;0),(((R961-1)*(Skills!T16*(1+Inputs!$B$34/100))+MIN((Skills!T16*(1+Inputs!$B$34/100)),MAX(0,Inputs!$B$43-((R961-1)*Skills!D16))))/Inputs!$B$43),IF(Inputs!$B$38="pvp",MIN((Skills!T16*(1+Inputs!$B$34/100)),15)/15,(Skills!T16*(1+Inputs!$B$34/100))/Skills!D16))+(C962=TRUE)*30</f>
        <v/>
      </c>
    </row>
    <row r="984">
      <c r="A984" t="inlineStr">
        <is>
          <t>Global Final Damage Bonus % (Mortal Blow)</t>
        </is>
      </c>
      <c r="B984">
        <f>(C963=TRUE)*F963</f>
        <v/>
      </c>
    </row>
    <row r="985">
      <c r="A985" t="inlineStr">
        <is>
          <t>Buff-Casting Startup Delay (s, fixed-duration only)</t>
        </is>
      </c>
      <c r="B985">
        <f>IF(AND(Inputs!$B$38&lt;&gt;"pvp",Inputs!$B$43&gt;0),SUMPRODUCT((Skills!T2:T30&gt;0)*(Skills!E2:E30=TRUE)*(C947:C975=TRUE))/B980,0)</f>
        <v/>
      </c>
    </row>
    <row r="986">
      <c r="A986" t="inlineStr">
        <is>
          <t>Boss-Only Total DPS (this block's swept value)</t>
        </is>
      </c>
      <c r="B986">
        <f>SUM(T947:T975)</f>
        <v/>
      </c>
    </row>
    <row r="987">
      <c r="A987" t="inlineStr">
        <is>
          <t>Normal-Only Total DPS (this block's swept value)</t>
        </is>
      </c>
      <c r="B987">
        <f>SUM(V947:V975)</f>
        <v/>
      </c>
    </row>
    <row r="988">
      <c r="A988" s="6" t="inlineStr">
        <is>
          <t>TOTAL DPS</t>
        </is>
      </c>
      <c r="B988" s="6">
        <f>SUM(O947:O975)</f>
        <v/>
      </c>
    </row>
    <row r="991">
      <c r="A991" s="6" t="inlineStr">
        <is>
          <t>Stat: Skill Level Bonus — All Skills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1015=TRUE)*(F1015-Calc!F24)),(Inputs!$B$23+((C1020=TRUE)*(F1020-Calc!F29))+(IF(ArtifactsInput!$M$15,CHOOSE(ArtifactsInput!$N$15+1,25,30,35,40,45,50)/100*(Inputs!$B$11-Inputs!$B$11),0))))/100+(Inputs!$B$23+((C1020=TRUE)*(F1020-Calc!F29))+(IF(ArtifactsInput!$M$15,CHOOSE(ArtifactsInput!$N$15+1,25,30,35,40,45,50)/100*(Inputs!$B$11-Inputs!$B$11),0)))/100)/2</f>
        <v/>
      </c>
      <c r="M993">
        <f>L993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IF(B1034=0,0,O993/B1034)</f>
        <v/>
      </c>
      <c r="Q993" t="n">
        <v>0</v>
      </c>
      <c r="R993" t="n">
        <v>0</v>
      </c>
      <c r="S993">
        <f>IFERROR(O993/N993,0)</f>
        <v/>
      </c>
      <c r="T993">
        <f>IF(C993,(Skills!G2*N993*B1028)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993*(1-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MAX(0,(Inputs!$B$3-100)*3)+Inputs!$B$28+(Inputs!$B$29+1)</f>
        <v/>
      </c>
      <c r="V993">
        <f>IF(C993,(Skills!G2*N993*B1028)*IF(Inputs!$B$38="pvp",1,(1+(Inputs!$B$21+Skills!Q2+(IF(ArtifactsInput!$M$33,CHOOSE(ArtifactsInput!$N$33+1,30,36,42,48,54,60),0))+(IF(AND(ArtifactsInput!$M$35,Inputs!$B$4&lt;&gt;"Chapter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IF(Skills!C3=1,60+Inputs!$B$25+(Inputs!$B$29+1),IF(Skills!C3=2,90+Inputs!$B$26+(Inputs!$B$29+1),IF(Skills!C3=3,120+Inputs!$B$27+(Inputs!$B$29+1),MAX(0,(Inputs!$B$3-100)*3)+Inputs!$B$28+(Inputs!$B$29+1))))</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T994" t="inlineStr"/>
      <c r="U994">
        <f>INDEX(FactorTable!$B$2:$Y$301, MATCH(ROUND(MIN(300,MAX(1,U993)),0), FactorTable!$A$2:$A$301,0), 22)</f>
        <v/>
      </c>
      <c r="V994" t="inlineStr"/>
    </row>
    <row r="995">
      <c r="A995">
        <f>Skills!A4</f>
        <v/>
      </c>
      <c r="B995">
        <f>Skills!B4</f>
        <v/>
      </c>
      <c r="C995">
        <f>Inputs!$B$3&gt;=105</f>
        <v/>
      </c>
      <c r="D995">
        <f>IF(Skills!C4=1,60+Inputs!$B$25+(Inputs!$B$29+1),IF(Skills!C4=2,90+Inputs!$B$26+(Inputs!$B$29+1),IF(Skills!C4=3,120+Inputs!$B$27+(Inputs!$B$29+1),MAX(0,(Inputs!$B$3-100)*3)+Inputs!$B$28+(Inputs!$B$29+1))))</f>
        <v/>
      </c>
      <c r="E995">
        <f>INDEX(FactorTable!$B$2:$Y$301, MATCH(ROUND(MIN(300,MAX(1,D995)),0), FactorTable!$A$2:$A$301,0), Skills!M4+1)</f>
        <v/>
      </c>
      <c r="F995">
        <f>IF(Skills!N4=TRUE,(Skills!L4/10)*(E995/1000),Skills!L4/10)+Skills!O4</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U995">
        <f>290*U994/1000</f>
        <v/>
      </c>
      <c r="V995" t="inlineStr"/>
    </row>
    <row r="996">
      <c r="A996">
        <f>Skills!A5</f>
        <v/>
      </c>
      <c r="B996">
        <f>Skills!B5</f>
        <v/>
      </c>
      <c r="C996">
        <f>Inputs!$B$3&gt;=35</f>
        <v/>
      </c>
      <c r="D996">
        <f>IF(Skills!C5=1,60+Inputs!$B$25+(Inputs!$B$29+1),IF(Skills!C5=2,90+Inputs!$B$26+(Inputs!$B$29+1),IF(Skills!C5=3,120+Inputs!$B$27+(Inputs!$B$29+1),MAX(0,(Inputs!$B$3-100)*3)+Inputs!$B$28+(Inputs!$B$29+1))))</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1001=TRUE,F1001,0)/100)*(1+(IF(Skills!A5="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1015=TRUE)*(F1015-Calc!F24)),(Inputs!$B$23+((C1020=TRUE)*(F1020-Calc!F29))+(IF(ArtifactsInput!$M$15,CHOOSE(ArtifactsInput!$N$15+1,25,30,35,40,45,50)/100*(Inputs!$B$11-Inputs!$B$11),0))))/100+(Inputs!$B$23+((C1020=TRUE)*(F1020-Calc!F29))+(IF(ArtifactsInput!$M$15,CHOOSE(ArtifactsInput!$N$15+1,25,30,35,40,45,50)/100*(Inputs!$B$11-Inputs!$B$11),0)))/100)/2</f>
        <v/>
      </c>
      <c r="M996">
        <f>L996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IF(B1034=0,0,O996/B1034)</f>
        <v/>
      </c>
      <c r="Q996">
        <f>IFERROR(1/(IF(Inputs!$B$38="pvp",15,MAX(0.1,Skills!D5-IF(Skills!E5=TRUE,Inputs!$B$32,0)))*(1-IF(AND(ArtifactsInput!$M$27,Inputs!$B$4="Chapter Hunt"),CHOOSE(ArtifactsInput!$N$27+1,20,24,28,32,36,40),0)/100)),0)</f>
        <v/>
      </c>
      <c r="R996">
        <f>IF(AND(Inputs!$B$38&lt;&gt;"pvp",Inputs!$B$43&gt;0),IF(MAX(0,Inputs!$B$43-B1031)&lt;=0,0,(INT(MAX(0,Inputs!$B$43-B1031)/(IF(Inputs!$B$38="pvp",15,MAX(0.1,Skills!D5-IF(Skills!E5=TRUE,Inputs!$B$32,0)))*(1-IF(AND(ArtifactsInput!$M$27,Inputs!$B$4="Chapter Hunt"),CHOOSE(ArtifactsInput!$N$27+1,20,24,28,32,36,40),0)/100)))+1)),0)</f>
        <v/>
      </c>
      <c r="S996">
        <f>IFERROR(O996/N996,0)</f>
        <v/>
      </c>
      <c r="T996">
        <f>IF(C996,(H996*N996*IF(AND(Inputs!$B$38&lt;&gt;"pvp",Inputs!$B$43&gt;0),((Skills!G5*((R996-1)*IF(Skills!H5&gt;0,Skills!I5/Skills!H5,1)+IF(Skills!H5&gt;0,MIN(Skills!I5,MAX(0,MAX(0,Inputs!$B$43-B1031)-((R996-1)*(IF(Inputs!$B$38="pvp",15,MAX(0.1,Skills!D5-IF(Skills!E5=TRUE,Inputs!$B$32,0)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996*(1-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1031)-((R996-1)*(IF(Inputs!$B$38="pvp",15,MAX(0.1,Skills!D5-IF(Skills!E5=TRUE,Inputs!$B$32,0)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Inputs!$B$3&gt;=40</f>
        <v/>
      </c>
      <c r="D997">
        <f>IF(Skills!C6=1,60+Inputs!$B$25+(Inputs!$B$29+1),IF(Skills!C6=2,90+Inputs!$B$26+(Inputs!$B$29+1),IF(Skills!C6=3,120+Inputs!$B$27+(Inputs!$B$29+1),MAX(0,(Inputs!$B$3-100)*3)+Inputs!$B$28+(Inputs!$B$29+1))))</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998=TRUE,F998,0)/100)*(1+(IF(Skills!A6="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1015=TRUE)*(F1015-Calc!F24)),(Inputs!$B$23+((C1020=TRUE)*(F1020-Calc!F29))+(IF(ArtifactsInput!$M$15,CHOOSE(ArtifactsInput!$N$15+1,25,30,35,40,45,50)/100*(Inputs!$B$11-Inputs!$B$11),0))))/100+(Inputs!$B$23+((C1020=TRUE)*(F1020-Calc!F29))+(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f>IFERROR(1/(IF(Inputs!$B$38="pvp",15,MAX(0.1,Skills!D6-IF(Skills!E6=TRUE,Inputs!$B$32,0)))*(1-IF(AND(ArtifactsInput!$M$27,Inputs!$B$4="Chapter Hunt"),CHOOSE(ArtifactsInput!$N$27+1,20,24,28,32,36,40),0)/100)),0)</f>
        <v/>
      </c>
      <c r="R997">
        <f>IF(AND(Inputs!$B$38&lt;&gt;"pvp",Inputs!$B$43&gt;0),IF(MAX(0,Inputs!$B$43-B1031)&lt;=0,0,(INT(MAX(0,Inputs!$B$43-B1031)/(IF(Inputs!$B$38="pvp",15,MAX(0.1,Skills!D6-IF(Skills!E6=TRUE,Inputs!$B$32,0)))*(1-IF(AND(ArtifactsInput!$M$27,Inputs!$B$4="Chapter Hunt"),CHOOSE(ArtifactsInput!$N$27+1,20,24,28,32,36,40),0)/100)))+1)),0)</f>
        <v/>
      </c>
      <c r="S997">
        <f>IFERROR(O997/N997,0)</f>
        <v/>
      </c>
      <c r="T997">
        <f>IF(C997,(H997*N997*IF(AND(Inputs!$B$38&lt;&gt;"pvp",Inputs!$B$43&gt;0),((Skills!G6*((R997-1)*IF(Skills!H6&gt;0,Skills!I6/Skills!H6,1)+IF(Skills!H6&gt;0,MIN(Skills!I6,MAX(0,MAX(0,Inputs!$B$43-B1031)-((R997-1)*(IF(Inputs!$B$38="pvp",15,MAX(0.1,Skills!D6-IF(Skills!E6=TRUE,Inputs!$B$32,0)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997*(1-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1031)-((R997-1)*(IF(Inputs!$B$38="pvp",15,MAX(0.1,Skills!D6-IF(Skills!E6=TRUE,Inputs!$B$32,0)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IF(Skills!C7=1,60+Inputs!$B$25+(Inputs!$B$29+1),IF(Skills!C7=2,90+Inputs!$B$26+(Inputs!$B$29+1),IF(Skills!C7=3,120+Inputs!$B$27+(Inputs!$B$29+1),MAX(0,(Inputs!$B$3-100)*3)+Inputs!$B$28+(Inputs!$B$29+1))))</f>
        <v/>
      </c>
      <c r="E998">
        <f>INDEX(FactorTable!$B$2:$Y$301, MATCH(ROUND(MIN(300,MAX(1,D998)),0), FactorTable!$A$2:$A$301,0), Skills!M7+1)</f>
        <v/>
      </c>
      <c r="F998">
        <f>IF(Skills!N7=TRUE,(Skills!L7/10)*(E998/1000),Skills!L7/10)+Skills!O7</f>
        <v/>
      </c>
      <c r="G998" t="inlineStr"/>
      <c r="H998" t="inlineStr"/>
      <c r="I998" t="inlineStr">
        <is>
          <t>1</t>
        </is>
      </c>
      <c r="J998" t="inlineStr"/>
      <c r="K998" t="inlineStr"/>
      <c r="L998" t="inlineStr"/>
      <c r="M998" t="inlineStr"/>
      <c r="N998" t="inlineStr"/>
      <c r="O998" t="inlineStr"/>
      <c r="P998" t="inlineStr"/>
      <c r="Q998" t="inlineStr"/>
      <c r="R998" t="inlineStr"/>
      <c r="S998" t="inlineStr"/>
      <c r="T998" t="inlineStr"/>
      <c r="V998" t="inlineStr"/>
    </row>
    <row r="999">
      <c r="A999">
        <f>Skills!A8</f>
        <v/>
      </c>
      <c r="B999">
        <f>Skills!B8</f>
        <v/>
      </c>
      <c r="C999">
        <f>Inputs!$B$3&gt;=69</f>
        <v/>
      </c>
      <c r="D999">
        <f>IF(Skills!C8=1,60+Inputs!$B$25+(Inputs!$B$29+1),IF(Skills!C8=2,90+Inputs!$B$26+(Inputs!$B$29+1),IF(Skills!C8=3,120+Inputs!$B$27+(Inputs!$B$29+1),MAX(0,(Inputs!$B$3-100)*3)+Inputs!$B$28+(Inputs!$B$29+1))))</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1001=TRUE,F1001,0)/100)*(1+(IF(Skills!A8="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1015=TRUE)*(F1015-Calc!F24)),(Inputs!$B$23+((C1020=TRUE)*(F1020-Calc!F29))+(IF(ArtifactsInput!$M$15,CHOOSE(ArtifactsInput!$N$15+1,25,30,35,40,45,50)/100*(Inputs!$B$11-Inputs!$B$11),0))))/100+(Inputs!$B$23+((C1020=TRUE)*(F1020-Calc!F29))+(IF(ArtifactsInput!$M$15,CHOOSE(ArtifactsInput!$N$15+1,25,30,35,40,45,50)/100*(Inputs!$B$11-Inputs!$B$11),0)))/100)/2</f>
        <v/>
      </c>
      <c r="M999">
        <f>L999*(1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IF(B1034=0,0,O999/B1034)</f>
        <v/>
      </c>
      <c r="Q999">
        <f>IFERROR(1/(IF(Inputs!$B$38="pvp",15,MAX(0.1,Skills!D8-IF(Skills!E8=TRUE,Inputs!$B$32,0)))*(1-IF(AND(ArtifactsInput!$M$27,Inputs!$B$4="Chapter Hunt"),CHOOSE(ArtifactsInput!$N$27+1,20,24,28,32,36,40),0)/100)),0)</f>
        <v/>
      </c>
      <c r="R999">
        <f>IF(AND(Inputs!$B$38&lt;&gt;"pvp",Inputs!$B$43&gt;0),IF(MAX(0,Inputs!$B$43-B1031)&lt;=0,0,(INT(MAX(0,Inputs!$B$43-B1031)/(IF(Inputs!$B$38="pvp",15,MAX(0.1,Skills!D8-IF(Skills!E8=TRUE,Inputs!$B$32,0)))*(1-IF(AND(ArtifactsInput!$M$27,Inputs!$B$4="Chapter Hunt"),CHOOSE(ArtifactsInput!$N$27+1,20,24,28,32,36,40),0)/100)))+1)),0)</f>
        <v/>
      </c>
      <c r="S999">
        <f>IFERROR(O999/N999,0)</f>
        <v/>
      </c>
      <c r="T999">
        <f>IF(C999,(H999*N999*IF(AND(Inputs!$B$38&lt;&gt;"pvp",Inputs!$B$43&gt;0),((Skills!G8*((R999-1)*IF(Skills!H8&gt;0,Skills!I8/Skills!H8,1)+IF(Skills!H8&gt;0,MIN(Skills!I8,MAX(0,MAX(0,Inputs!$B$43-B1031)-((R999-1)*(IF(Inputs!$B$38="pvp",15,MAX(0.1,Skills!D8-IF(Skills!E8=TRUE,Inputs!$B$32,0)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999*(1-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1031)-((R999-1)*(IF(Inputs!$B$38="pvp",15,MAX(0.1,Skills!D8-IF(Skills!E8=TRUE,Inputs!$B$32,0)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Inputs!$B$3&gt;=63</f>
        <v/>
      </c>
      <c r="D1000">
        <f>IF(Skills!C9=1,60+Inputs!$B$25+(Inputs!$B$29+1),IF(Skills!C9=2,90+Inputs!$B$26+(Inputs!$B$29+1),IF(Skills!C9=3,120+Inputs!$B$27+(Inputs!$B$29+1),MAX(0,(Inputs!$B$3-100)*3)+Inputs!$B$28+(Inputs!$B$29+1))))</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1001=TRUE,F1001,0)/100)*(1+(IF(Skills!A9="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1015=TRUE)*(F1015-Calc!F24)),(Inputs!$B$23+((C1020=TRUE)*(F1020-Calc!F29))+(IF(ArtifactsInput!$M$15,CHOOSE(ArtifactsInput!$N$15+1,25,30,35,40,45,50)/100*(Inputs!$B$11-Inputs!$B$11),0))))/100+(Inputs!$B$23+((C1020=TRUE)*(F1020-Calc!F29))+(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IFERROR(1/(IF(Inputs!$B$38="pvp",15,MAX(0.1,Skills!D9-IF(Skills!E9=TRUE,Inputs!$B$32,0)))*(1-IF(AND(ArtifactsInput!$M$27,Inputs!$B$4="Chapter Hunt"),CHOOSE(ArtifactsInput!$N$27+1,20,24,28,32,36,40),0)/100)),0)</f>
        <v/>
      </c>
      <c r="R1000">
        <f>IF(AND(Inputs!$B$38&lt;&gt;"pvp",Inputs!$B$43&gt;0),IF(MAX(0,Inputs!$B$43-B1031)&lt;=0,0,(INT(MAX(0,Inputs!$B$43-B1031)/(IF(Inputs!$B$38="pvp",15,MAX(0.1,Skills!D9-IF(Skills!E9=TRUE,Inputs!$B$32,0)))*(1-IF(AND(ArtifactsInput!$M$27,Inputs!$B$4="Chapter Hunt"),CHOOSE(ArtifactsInput!$N$27+1,20,24,28,32,36,40),0)/100)))+1)),0)</f>
        <v/>
      </c>
      <c r="S1000">
        <f>IFERROR(O1000/N1000,0)</f>
        <v/>
      </c>
      <c r="T1000">
        <f>IF(C1000,(H1000*N1000*IF(AND(Inputs!$B$38&lt;&gt;"pvp",Inputs!$B$43&gt;0),((Skills!G9*((R1000-1)*IF(Skills!H9&gt;0,Skills!I9/Skills!H9,1)+IF(Skills!H9&gt;0,MIN(Skills!I9,MAX(0,MAX(0,Inputs!$B$43-B1031)-((R1000-1)*(IF(Inputs!$B$38="pvp",15,MAX(0.1,Skills!D9-IF(Skills!E9=TRUE,Inputs!$B$32,0)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1000*(1-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1031)-((R1000-1)*(IF(Inputs!$B$38="pvp",15,MAX(0.1,Skills!D9-IF(Skills!E9=TRUE,Inputs!$B$32,0)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Inputs!$B$3&gt;=100</f>
        <v/>
      </c>
      <c r="D1001">
        <f>IF(Skills!C10=1,60+Inputs!$B$25+(Inputs!$B$29+1),IF(Skills!C10=2,90+Inputs!$B$26+(Inputs!$B$29+1),IF(Skills!C10=3,120+Inputs!$B$27+(Inputs!$B$29+1),MAX(0,(Inputs!$B$3-100)*3)+Inputs!$B$28+(Inputs!$B$29+1))))</f>
        <v/>
      </c>
      <c r="E1001">
        <f>INDEX(FactorTable!$B$2:$Y$301, MATCH(ROUND(MIN(300,MAX(1,D1001)),0), FactorTable!$A$2:$A$301,0), Skills!M10+1)</f>
        <v/>
      </c>
      <c r="F1001">
        <f>IF(Skills!N10=TRUE,(Skills!L10/10)*(E1001/1000),Skills!L10/10)+Skills!O10</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T1001" t="inlineStr"/>
      <c r="V1001" t="inlineStr"/>
    </row>
    <row r="1002">
      <c r="A1002">
        <f>Skills!A11</f>
        <v/>
      </c>
      <c r="B1002">
        <f>Skills!B11</f>
        <v/>
      </c>
      <c r="C1002">
        <f>Inputs!$B$3&gt;=60</f>
        <v/>
      </c>
      <c r="D1002">
        <f>IF(Skills!C11=1,60+Inputs!$B$25+(Inputs!$B$29+1),IF(Skills!C11=2,90+Inputs!$B$26+(Inputs!$B$29+1),IF(Skills!C11=3,120+Inputs!$B$27+(Inputs!$B$29+1),MAX(0,(Inputs!$B$3-100)*3)+Inputs!$B$28+(Inputs!$B$29+1))))</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1003=TRUE,F1003,0)/100)*(1+(IF(Skills!A11="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1015=TRUE)*(F1015-Calc!F24)),(Inputs!$B$23+((C1020=TRUE)*(F1020-Calc!F29))+(IF(ArtifactsInput!$M$15,CHOOSE(ArtifactsInput!$N$15+1,25,30,35,40,45,50)/100*(Inputs!$B$11-Inputs!$B$11),0))))/100+(Inputs!$B$23+((C1020=TRUE)*(F1020-Calc!F29))+(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IFERROR(1/(IF(Inputs!$B$38="pvp",15,MAX(0.1,Skills!D11-IF(Skills!E11=TRUE,Inputs!$B$32,0)))*(1-IF(AND(ArtifactsInput!$M$27,Inputs!$B$4="Chapter Hunt"),CHOOSE(ArtifactsInput!$N$27+1,20,24,28,32,36,40),0)/100)),0)</f>
        <v/>
      </c>
      <c r="R1002">
        <f>IF(AND(Inputs!$B$38&lt;&gt;"pvp",Inputs!$B$43&gt;0),IF(MAX(0,Inputs!$B$43-B1031)&lt;=0,0,(INT(MAX(0,Inputs!$B$43-B1031)/(IF(Inputs!$B$38="pvp",15,MAX(0.1,Skills!D11-IF(Skills!E11=TRUE,Inputs!$B$32,0)))*(1-IF(AND(ArtifactsInput!$M$27,Inputs!$B$4="Chapter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1031)-((R1002-1)*(IF(Inputs!$B$38="pvp",15,MAX(0.1,Skills!D11-IF(Skills!E11=TRUE,Inputs!$B$32,0)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1002*(1-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1031)-((R1002-1)*(IF(Inputs!$B$38="pvp",15,MAX(0.1,Skills!D11-IF(Skills!E11=TRUE,Inputs!$B$32,0)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Inputs!$B$3&gt;=110</f>
        <v/>
      </c>
      <c r="D1003">
        <f>IF(Skills!C12=1,60+Inputs!$B$25+(Inputs!$B$29+1),IF(Skills!C12=2,90+Inputs!$B$26+(Inputs!$B$29+1),IF(Skills!C12=3,120+Inputs!$B$27+(Inputs!$B$29+1),MAX(0,(Inputs!$B$3-100)*3)+Inputs!$B$28+(Inputs!$B$29+1))))</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c r="T1003" t="inlineStr"/>
      <c r="V1003" t="inlineStr"/>
    </row>
    <row r="1004">
      <c r="A1004">
        <f>Skills!A13</f>
        <v/>
      </c>
      <c r="B1004">
        <f>Skills!B13</f>
        <v/>
      </c>
      <c r="C1004">
        <f>Inputs!$B$3&gt;=74</f>
        <v/>
      </c>
      <c r="D1004">
        <f>IF(Skills!C13=1,60+Inputs!$B$25+(Inputs!$B$29+1),IF(Skills!C13=2,90+Inputs!$B$26+(Inputs!$B$29+1),IF(Skills!C13=3,120+Inputs!$B$27+(Inputs!$B$29+1),MAX(0,(Inputs!$B$3-100)*3)+Inputs!$B$28+(Inputs!$B$29+1))))</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IF(B1034=0,0,O1004/B1034)</f>
        <v/>
      </c>
      <c r="Q1004" t="n">
        <v>0</v>
      </c>
      <c r="R1004" t="n">
        <v>0</v>
      </c>
      <c r="S1004">
        <f>IFERROR(O1004/N1004,0)</f>
        <v/>
      </c>
      <c r="T1004" t="n">
        <v>0</v>
      </c>
      <c r="V1004" t="n">
        <v>0</v>
      </c>
    </row>
    <row r="1005">
      <c r="A1005">
        <f>Skills!A14</f>
        <v/>
      </c>
      <c r="B1005">
        <f>Skills!B14</f>
        <v/>
      </c>
      <c r="C1005">
        <f>Inputs!$B$3&gt;=74</f>
        <v/>
      </c>
      <c r="D1005">
        <f>IF(Skills!C14=1,60+Inputs!$B$25+(Inputs!$B$29+1),IF(Skills!C14=2,90+Inputs!$B$26+(Inputs!$B$29+1),IF(Skills!C14=3,120+Inputs!$B$27+(Inputs!$B$29+1),MAX(0,(Inputs!$B$3-100)*3)+Inputs!$B$28+(Inputs!$B$29+1))))</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IF(B1034=0,0,O1005/B1034)</f>
        <v/>
      </c>
      <c r="Q1005" t="n">
        <v>0</v>
      </c>
      <c r="R1005" t="n">
        <v>0</v>
      </c>
      <c r="S1005">
        <f>IFERROR(O1005/N1005,0)</f>
        <v/>
      </c>
      <c r="T1005" t="n">
        <v>0</v>
      </c>
      <c r="V1005" t="n">
        <v>0</v>
      </c>
    </row>
    <row r="1006">
      <c r="A1006">
        <f>Skills!A15</f>
        <v/>
      </c>
      <c r="B1006">
        <f>Skills!B15</f>
        <v/>
      </c>
      <c r="C1006">
        <f>Inputs!$B$3&gt;=117</f>
        <v/>
      </c>
      <c r="D1006">
        <f>IF(Skills!C15=1,60+Inputs!$B$25+(Inputs!$B$29+1),IF(Skills!C15=2,90+Inputs!$B$26+(Inputs!$B$29+1),IF(Skills!C15=3,120+Inputs!$B$27+(Inputs!$B$29+1),MAX(0,(Inputs!$B$3-100)*3)+Inputs!$B$28+(Inputs!$B$29+1))))</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IF(B1034=0,0,O1006/B1034)</f>
        <v/>
      </c>
      <c r="Q1006">
        <f>IFERROR(1/(IF(Inputs!$B$38="pvp",15,MAX(0.1,Skills!D15-IF(Skills!E15=TRUE,Inputs!$B$32,0)))*(1-IF(AND(ArtifactsInput!$M$27,Inputs!$B$4="Chapter Hunt"),CHOOSE(ArtifactsInput!$N$27+1,20,24,28,32,36,40),0)/100)),0)</f>
        <v/>
      </c>
      <c r="R1006">
        <f>IF(AND(Inputs!$B$38&lt;&gt;"pvp",Inputs!$B$43&gt;0),IF(Inputs!$B$43&lt;=0,0,(INT(Inputs!$B$43/(IF(Inputs!$B$38="pvp",15,MAX(0.1,Skills!D15-IF(Skills!E15=TRUE,Inputs!$B$32,0)))*(1-IF(AND(ArtifactsInput!$M$27,Inputs!$B$4="Chapter Hunt"),CHOOSE(ArtifactsInput!$N$27+1,20,24,28,32,36,40),0)/100)))+1)),0)</f>
        <v/>
      </c>
      <c r="S1006">
        <f>IFERROR(O1006/N1006,0)</f>
        <v/>
      </c>
      <c r="T1006" t="n">
        <v>0</v>
      </c>
      <c r="V1006" t="n">
        <v>0</v>
      </c>
    </row>
    <row r="1007">
      <c r="A1007">
        <f>Skills!A16</f>
        <v/>
      </c>
      <c r="B1007">
        <f>Skills!B16</f>
        <v/>
      </c>
      <c r="C1007">
        <f>Inputs!$B$3&gt;=115</f>
        <v/>
      </c>
      <c r="D1007">
        <f>IF(Skills!C16=1,60+Inputs!$B$25+(Inputs!$B$29+1),IF(Skills!C16=2,90+Inputs!$B$26+(Inputs!$B$29+1),IF(Skills!C16=3,120+Inputs!$B$27+(Inputs!$B$29+1),MAX(0,(Inputs!$B$3-100)*3)+Inputs!$B$28+(Inputs!$B$29+1))))</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IF(B1034=0,0,O1007/B1034)</f>
        <v/>
      </c>
      <c r="Q1007">
        <f>IFERROR(1/(IF(Inputs!$B$38="pvp",15,MAX(0.1,Skills!D16-IF(Skills!E16=TRUE,Inputs!$B$32,0)))*(1-IF(AND(ArtifactsInput!$M$27,Inputs!$B$4="Chapter Hunt"),CHOOSE(ArtifactsInput!$N$27+1,20,24,28,32,36,40),0)/100)),0)</f>
        <v/>
      </c>
      <c r="R1007">
        <f>IF(AND(Inputs!$B$38&lt;&gt;"pvp",Inputs!$B$43&gt;0),IF(Inputs!$B$43&lt;=0,0,(INT(Inputs!$B$43/(IF(Inputs!$B$38="pvp",15,MAX(0.1,Skills!D16-IF(Skills!E16=TRUE,Inputs!$B$32,0)))*(1-IF(AND(ArtifactsInput!$M$27,Inputs!$B$4="Chapter Hunt"),CHOOSE(ArtifactsInput!$N$27+1,20,24,28,32,36,40),0)/100)))+1)),0)</f>
        <v/>
      </c>
      <c r="S1007">
        <f>IFERROR(O1007/N1007,0)</f>
        <v/>
      </c>
      <c r="T1007" t="n">
        <v>0</v>
      </c>
      <c r="V1007" t="n">
        <v>0</v>
      </c>
    </row>
    <row r="1008">
      <c r="A1008">
        <f>Skills!A17</f>
        <v/>
      </c>
      <c r="B1008">
        <f>Skills!B17</f>
        <v/>
      </c>
      <c r="C1008">
        <f>Inputs!$B$3&gt;=66</f>
        <v/>
      </c>
      <c r="D1008">
        <f>IF(Skills!C17=1,60+Inputs!$B$25+(Inputs!$B$29+1),IF(Skills!C17=2,90+Inputs!$B$26+(Inputs!$B$29+1),IF(Skills!C17=3,120+Inputs!$B$27+(Inputs!$B$29+1),MAX(0,(Inputs!$B$3-100)*3)+Inputs!$B$28+(Inputs!$B$29+1))))</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Skills!A18</f>
        <v/>
      </c>
      <c r="B1009">
        <f>Skills!B18</f>
        <v/>
      </c>
      <c r="C1009">
        <f>Inputs!$B$3&gt;=72</f>
        <v/>
      </c>
      <c r="D1009">
        <f>IF(Skills!C18=1,60+Inputs!$B$25+(Inputs!$B$29+1),IF(Skills!C18=2,90+Inputs!$B$26+(Inputs!$B$29+1),IF(Skills!C18=3,120+Inputs!$B$27+(Inputs!$B$29+1),MAX(0,(Inputs!$B$3-100)*3)+Inputs!$B$28+(Inputs!$B$29+1))))</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Skills!A19</f>
        <v/>
      </c>
      <c r="B1010">
        <f>Skills!B19</f>
        <v/>
      </c>
      <c r="C1010">
        <f>TRUE</f>
        <v/>
      </c>
      <c r="D1010">
        <f>IF(Skills!C19=1,60+Inputs!$B$25+(Inputs!$B$29+1),IF(Skills!C19=2,90+Inputs!$B$26+(Inputs!$B$29+1),IF(Skills!C19=3,120+Inputs!$B$27+(Inputs!$B$29+1),MAX(0,(Inputs!$B$3-100)*3)+Inputs!$B$28+(Inputs!$B$29+1))))</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IF(B1034=0,0,O1010/B1034)</f>
        <v/>
      </c>
      <c r="Q1010">
        <f>IFERROR(1/(IF(Inputs!$B$38="pvp",15,MAX(0.1,Skills!D19-IF(Skills!E19=TRUE,Inputs!$B$32,0)))*(1-IF(AND(ArtifactsInput!$M$27,Inputs!$B$4="Chapter Hunt"),CHOOSE(ArtifactsInput!$N$27+1,20,24,28,32,36,40),0)/100)),0)</f>
        <v/>
      </c>
      <c r="R1010">
        <f>IF(AND(Inputs!$B$38&lt;&gt;"pvp",Inputs!$B$43&gt;0),IF(Inputs!$B$43&lt;=0,0,(INT(Inputs!$B$43/(IF(Inputs!$B$38="pvp",15,MAX(0.1,Skills!D19-IF(Skills!E19=TRUE,Inputs!$B$32,0)))*(1-IF(AND(ArtifactsInput!$M$27,Inputs!$B$4="Chapter Hunt"),CHOOSE(ArtifactsInput!$N$27+1,20,24,28,32,36,40),0)/100)))+1)),0)</f>
        <v/>
      </c>
      <c r="S1010">
        <f>IFERROR(O1010/N1010,0)</f>
        <v/>
      </c>
      <c r="T1010" t="n">
        <v>0</v>
      </c>
      <c r="V1010" t="n">
        <v>0</v>
      </c>
    </row>
    <row r="1011">
      <c r="A1011">
        <f>Skills!A20</f>
        <v/>
      </c>
      <c r="B1011">
        <f>Skills!B20</f>
        <v/>
      </c>
      <c r="C1011">
        <f>Inputs!$B$3&gt;=15</f>
        <v/>
      </c>
      <c r="D1011">
        <f>IF(Skills!C20=1,60+Inputs!$B$25+(Inputs!$B$29+1),IF(Skills!C20=2,90+Inputs!$B$26+(Inputs!$B$29+1),IF(Skills!C20=3,120+Inputs!$B$27+(Inputs!$B$29+1),MAX(0,(Inputs!$B$3-100)*3)+Inputs!$B$28+(Inputs!$B$29+1))))</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IF(B1034=0,0,O1011/B1034)</f>
        <v/>
      </c>
      <c r="Q1011" t="n">
        <v>0</v>
      </c>
      <c r="R1011" t="n">
        <v>0</v>
      </c>
      <c r="S1011">
        <f>IFERROR(O1011/N1011,0)</f>
        <v/>
      </c>
      <c r="T1011" t="n">
        <v>0</v>
      </c>
      <c r="V1011" t="n">
        <v>0</v>
      </c>
    </row>
    <row r="1012">
      <c r="A1012">
        <f>Skills!A21</f>
        <v/>
      </c>
      <c r="B1012">
        <f>Skills!B21</f>
        <v/>
      </c>
      <c r="C1012">
        <f>Inputs!$B$3&gt;=10</f>
        <v/>
      </c>
      <c r="D1012">
        <f>IF(Skills!C21=1,60+Inputs!$B$25+(Inputs!$B$29+1),IF(Skills!C21=2,90+Inputs!$B$26+(Inputs!$B$29+1),IF(Skills!C21=3,120+Inputs!$B$27+(Inputs!$B$29+1),MAX(0,(Inputs!$B$3-100)*3)+Inputs!$B$28+(Inputs!$B$29+1))))</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IF(B1034=0,0,O1012/B1034)</f>
        <v/>
      </c>
      <c r="Q1012" t="n">
        <v>0</v>
      </c>
      <c r="R1012" t="n">
        <v>0</v>
      </c>
      <c r="S1012">
        <f>IFERROR(O1012/N1012,0)</f>
        <v/>
      </c>
      <c r="T1012" t="n">
        <v>0</v>
      </c>
      <c r="V1012" t="n">
        <v>0</v>
      </c>
    </row>
    <row r="1013">
      <c r="A1013">
        <f>Skills!A22</f>
        <v/>
      </c>
      <c r="B1013">
        <f>Skills!B22</f>
        <v/>
      </c>
      <c r="C1013">
        <f>Inputs!$B$3&gt;=33</f>
        <v/>
      </c>
      <c r="D1013">
        <f>IF(Skills!C22=1,60+Inputs!$B$25+(Inputs!$B$29+1),IF(Skills!C22=2,90+Inputs!$B$26+(Inputs!$B$29+1),IF(Skills!C22=3,120+Inputs!$B$27+(Inputs!$B$29+1),MAX(0,(Inputs!$B$3-100)*3)+Inputs!$B$28+(Inputs!$B$29+1))))</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IF(B1034=0,0,O1013/B1034)</f>
        <v/>
      </c>
      <c r="Q1013" t="n">
        <v>0</v>
      </c>
      <c r="R1013" t="n">
        <v>0</v>
      </c>
      <c r="S1013">
        <f>IFERROR(O1013/N1013,0)</f>
        <v/>
      </c>
      <c r="T1013" t="n">
        <v>0</v>
      </c>
      <c r="V1013" t="n">
        <v>0</v>
      </c>
    </row>
    <row r="1014">
      <c r="A1014">
        <f>Skills!A23</f>
        <v/>
      </c>
      <c r="B1014">
        <f>Skills!B23</f>
        <v/>
      </c>
      <c r="C1014">
        <f>Inputs!$B$3&gt;=38</f>
        <v/>
      </c>
      <c r="D1014">
        <f>IF(Skills!C23=1,60+Inputs!$B$25+(Inputs!$B$29+1),IF(Skills!C23=2,90+Inputs!$B$26+(Inputs!$B$29+1),IF(Skills!C23=3,120+Inputs!$B$27+(Inputs!$B$29+1),MAX(0,(Inputs!$B$3-100)*3)+Inputs!$B$28+(Inputs!$B$29+1))))</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IF(B1034=0,0,O1014/B1034)</f>
        <v/>
      </c>
      <c r="Q1014" t="n">
        <v>0</v>
      </c>
      <c r="R1014" t="n">
        <v>0</v>
      </c>
      <c r="S1014">
        <f>IFERROR(O1014/N1014,0)</f>
        <v/>
      </c>
      <c r="T1014" t="n">
        <v>0</v>
      </c>
      <c r="V1014" t="n">
        <v>0</v>
      </c>
    </row>
    <row r="1015">
      <c r="A1015">
        <f>Skills!A24</f>
        <v/>
      </c>
      <c r="B1015">
        <f>Skills!B24</f>
        <v/>
      </c>
      <c r="C1015">
        <f>Inputs!$B$3&gt;=43</f>
        <v/>
      </c>
      <c r="D1015">
        <f>IF(Skills!C24=1,60+Inputs!$B$25+(Inputs!$B$29+1),IF(Skills!C24=2,90+Inputs!$B$26+(Inputs!$B$29+1),IF(Skills!C24=3,120+Inputs!$B$27+(Inputs!$B$29+1),MAX(0,(Inputs!$B$3-100)*3)+Inputs!$B$28+(Inputs!$B$29+1))))</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Skills!A25</f>
        <v/>
      </c>
      <c r="B1016">
        <f>Skills!B25</f>
        <v/>
      </c>
      <c r="C1016">
        <f>Inputs!$B$3&gt;=75</f>
        <v/>
      </c>
      <c r="D1016">
        <f>IF(Skills!C25=1,60+Inputs!$B$25+(Inputs!$B$29+1),IF(Skills!C25=2,90+Inputs!$B$26+(Inputs!$B$29+1),IF(Skills!C25=3,120+Inputs!$B$27+(Inputs!$B$29+1),MAX(0,(Inputs!$B$3-100)*3)+Inputs!$B$28+(Inputs!$B$29+1))))</f>
        <v/>
      </c>
      <c r="E1016">
        <f>INDEX(FactorTable!$B$2:$Y$301, MATCH(ROUND(MIN(300,MAX(1,D1016)),0), FactorTable!$A$2:$A$301,0), Skills!M25+1)</f>
        <v/>
      </c>
      <c r="F1016">
        <f>IF(Skills!N25=TRUE,(Skills!L25/10)*(E1016/1000),Skills!L25/10)+Skills!O25</f>
        <v/>
      </c>
      <c r="G1016">
        <f>Skills!G25*IF(Skills!H25&gt;0,Skills!I25/Skills!H25,1)</f>
        <v/>
      </c>
      <c r="H1016">
        <f>1-(1-Skills!J25/100)^Skills!K25</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Skills!A26</f>
        <v/>
      </c>
      <c r="B1017">
        <f>Skills!B26</f>
        <v/>
      </c>
      <c r="C1017">
        <f>Inputs!$B$3&gt;=125</f>
        <v/>
      </c>
      <c r="D1017">
        <f>IF(Skills!C26=1,60+Inputs!$B$25+(Inputs!$B$29+1),IF(Skills!C26=2,90+Inputs!$B$26+(Inputs!$B$29+1),IF(Skills!C26=3,120+Inputs!$B$27+(Inputs!$B$29+1),MAX(0,(Inputs!$B$3-100)*3)+Inputs!$B$28+(Inputs!$B$29+1))))</f>
        <v/>
      </c>
      <c r="E1017">
        <f>INDEX(FactorTable!$B$2:$Y$301, MATCH(ROUND(MIN(300,MAX(1,D1017)),0), FactorTable!$A$2:$A$301,0), Skills!M26+1)</f>
        <v/>
      </c>
      <c r="F1017">
        <f>IF(Skills!N26=TRUE,(Skills!L26/10)*(E1017/1000),Skills!L26/10)+Skills!O26</f>
        <v/>
      </c>
      <c r="G1017">
        <f>Skills!G26*IF(Skills!H26&gt;0,Skills!I26/Skills!H26,1)</f>
        <v/>
      </c>
      <c r="H1017">
        <f>1-(1-Skills!J26/100)^Skills!K26</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Skills!A27</f>
        <v/>
      </c>
      <c r="B1018">
        <f>Skills!B27</f>
        <v/>
      </c>
      <c r="C1018">
        <f>Inputs!$B$3&gt;=125</f>
        <v/>
      </c>
      <c r="D1018">
        <f>IF(Skills!C27=1,60+Inputs!$B$25+(Inputs!$B$29+1),IF(Skills!C27=2,90+Inputs!$B$26+(Inputs!$B$29+1),IF(Skills!C27=3,120+Inputs!$B$27+(Inputs!$B$29+1),MAX(0,(Inputs!$B$3-100)*3)+Inputs!$B$28+(Inputs!$B$29+1))))</f>
        <v/>
      </c>
      <c r="E1018">
        <f>INDEX(FactorTable!$B$2:$Y$301, MATCH(ROUND(MIN(300,MAX(1,D1018)),0), FactorTable!$A$2:$A$301,0), Skills!M27+1)</f>
        <v/>
      </c>
      <c r="F1018">
        <f>IF(Skills!N27=TRUE,(Skills!L27/10)*(E1018/1000),Skills!L27/10)+Skills!O27</f>
        <v/>
      </c>
      <c r="G1018">
        <f>Skills!G27*IF(Skills!H27&gt;0,Skills!I27/Skills!H27,1)</f>
        <v/>
      </c>
      <c r="H1018">
        <f>1-(1-Skills!J27/100)^Skills!K27</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Skills!A28</f>
        <v/>
      </c>
      <c r="B1019">
        <f>Skills!B28</f>
        <v/>
      </c>
      <c r="C1019">
        <f>Inputs!$B$3&gt;=120</f>
        <v/>
      </c>
      <c r="D1019">
        <f>IF(Skills!C28=1,60+Inputs!$B$25+(Inputs!$B$29+1),IF(Skills!C28=2,90+Inputs!$B$26+(Inputs!$B$29+1),IF(Skills!C28=3,120+Inputs!$B$27+(Inputs!$B$29+1),MAX(0,(Inputs!$B$3-100)*3)+Inputs!$B$28+(Inputs!$B$29+1))))</f>
        <v/>
      </c>
      <c r="E1019">
        <f>INDEX(FactorTable!$B$2:$Y$301, MATCH(ROUND(MIN(300,MAX(1,D1019)),0), FactorTable!$A$2:$A$301,0), Skills!M28+1)</f>
        <v/>
      </c>
      <c r="F1019">
        <f>IF(Skills!N28=TRUE,(Skills!L28/10)*(E1019/1000),Skills!L28/10)+Skills!O28</f>
        <v/>
      </c>
      <c r="G1019">
        <f>Skills!G28*IF(Skills!H28&gt;0,Skills!I28/Skills!H28,1)</f>
        <v/>
      </c>
      <c r="H1019">
        <f>1-(1-Skills!J28/100)^Skills!K28</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Skills!A29</f>
        <v/>
      </c>
      <c r="B1020">
        <f>Skills!B29</f>
        <v/>
      </c>
      <c r="C1020">
        <f>Inputs!$B$3&gt;=120</f>
        <v/>
      </c>
      <c r="D1020">
        <f>IF(Skills!C29=1,60+Inputs!$B$25+(Inputs!$B$29+1),IF(Skills!C29=2,90+Inputs!$B$26+(Inputs!$B$29+1),IF(Skills!C29=3,120+Inputs!$B$27+(Inputs!$B$29+1),MAX(0,(Inputs!$B$3-100)*3)+Inputs!$B$28+(Inputs!$B$29+1))))</f>
        <v/>
      </c>
      <c r="E1020">
        <f>INDEX(FactorTable!$B$2:$Y$301, MATCH(ROUND(MIN(300,MAX(1,D1020)),0), FactorTable!$A$2:$A$301,0), Skills!M29+1)</f>
        <v/>
      </c>
      <c r="F1020">
        <f>IF(Skills!N29=TRUE,(Skills!L29/10)*(E1020/1000),Skills!L29/10)+Skills!O29</f>
        <v/>
      </c>
      <c r="G1020">
        <f>Skills!G29*IF(Skills!H29&gt;0,Skills!I29/Skills!H29,1)</f>
        <v/>
      </c>
      <c r="H1020">
        <f>1-(1-Skills!J29/100)^Skills!K29</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Skills!A30</f>
        <v/>
      </c>
      <c r="B1021">
        <f>Skills!B30</f>
        <v/>
      </c>
      <c r="C1021">
        <f>Inputs!$B$3&gt;=45</f>
        <v/>
      </c>
      <c r="D1021">
        <f>IF(Skills!C30=1,60+Inputs!$B$25+(Inputs!$B$29+1),IF(Skills!C30=2,90+Inputs!$B$26+(Inputs!$B$29+1),IF(Skills!C30=3,120+Inputs!$B$27+(Inputs!$B$29+1),MAX(0,(Inputs!$B$3-100)*3)+Inputs!$B$28+(Inputs!$B$29+1))))</f>
        <v/>
      </c>
      <c r="E1021">
        <f>INDEX(FactorTable!$B$2:$Y$301, MATCH(ROUND(MIN(300,MAX(1,D1021)),0), FactorTable!$A$2:$A$301,0), Skills!M30+1)</f>
        <v/>
      </c>
      <c r="F1021">
        <f>IF(Skills!N30=TRUE,(Skills!L30/10)*(E1021/1000),Skills!L30/10)+Skills!O30</f>
        <v/>
      </c>
      <c r="G1021">
        <f>Skills!G30*IF(Skills!H30&gt;0,Skills!I30/Skills!H30,1)</f>
        <v/>
      </c>
      <c r="H1021">
        <f>1-(1-Skills!J30/100)^Skills!K30</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f>(C1007=TRUE)*20*IF(AND(Inputs!$B$38&lt;&gt;"pvp",Inputs!$B$43&gt;0),(((R1007-1)*(Skills!T16*(1+Inputs!$B$34/100))+MIN((Skills!T16*(1+Inputs!$B$34/100)),MAX(0,Inputs!$B$43-((R1007-1)*Skills!D16))))/Inputs!$B$43),IF(Inputs!$B$38="pvp",MIN((Skills!T16*(1+Inputs!$B$34/100)),15)/15,(Skills!T16*(1+Inputs!$B$34/100))/Skills!D16))</f>
        <v/>
      </c>
    </row>
    <row r="1025">
      <c r="A1025" t="inlineStr">
        <is>
          <t>Attack Speed Buff Bonus %</t>
        </is>
      </c>
      <c r="B1025">
        <f>((C1010=TRUE)*F1010*IF(AND(Inputs!$B$38&lt;&gt;"pvp",Inputs!$B$43&gt;0),(((R1010-1)*(Skills!T19*(1+Inputs!$B$34/100))+MIN((Skills!T19*(1+Inputs!$B$34/100)),MAX(0,Inputs!$B$43-((R1010-1)*Skills!D19))))/Inputs!$B$43),IF(Inputs!$B$38="pvp",MIN((Skills!T19*(1+Inputs!$B$34/100)),15)/15,(Skills!T19*(1+Inputs!$B$34/100))/Skills!D19)))</f>
        <v/>
      </c>
    </row>
    <row r="1026">
      <c r="A1026" t="inlineStr">
        <is>
          <t>Actions Per Second</t>
        </is>
      </c>
      <c r="B1026">
        <f>1+MIN(150,150*(1-(1-(Inputs!$B$11+((C1012=TRUE)*(F1012-Calc!F21))+((C1013=TRUE)*(F1013-Calc!F22)))/150)*(1-B1025/150)))/100</f>
        <v/>
      </c>
    </row>
    <row r="1027">
      <c r="A1027" t="inlineStr">
        <is>
          <t>Skill + Buff Cast Rate</t>
        </is>
      </c>
      <c r="B1027">
        <f>IF(AND(Inputs!$B$38&lt;&gt;"pvp",Inputs!$B$43&gt;0),SUMPRODUCT((Skills!E2:E30=TRUE)*(C993:C1021=TRUE)*R993:R1021*Skills!F2:F30)/Inputs!$B$43,SUMPRODUCT((Skills!E2:E30=TRUE)*(C993:C1021=TRUE)*Q993:Q1021*Skills!F2:F30))</f>
        <v/>
      </c>
    </row>
    <row r="1028">
      <c r="A1028" t="inlineStr">
        <is>
          <t>Arrow Stream Casts Per Second</t>
        </is>
      </c>
      <c r="B1028">
        <f>MAX(0,B1026-B1027)</f>
        <v/>
      </c>
    </row>
    <row r="1029">
      <c r="A1029" t="inlineStr">
        <is>
          <t>Global Critical Damage Bonus % (Sharp Eyes + Concentration)</t>
        </is>
      </c>
      <c r="B1029">
        <f>(C1007=TRUE)*F1007*IF(AND(Inputs!$B$38&lt;&gt;"pvp",Inputs!$B$43&gt;0),(((R1007-1)*(Skills!T16*(1+Inputs!$B$34/100))+MIN((Skills!T16*(1+Inputs!$B$34/100)),MAX(0,Inputs!$B$43-((R1007-1)*Skills!D16))))/Inputs!$B$43),IF(Inputs!$B$38="pvp",MIN((Skills!T16*(1+Inputs!$B$34/100)),15)/15,(Skills!T16*(1+Inputs!$B$34/100))/Skills!D16))+(C1008=TRUE)*30</f>
        <v/>
      </c>
    </row>
    <row r="1030">
      <c r="A1030" t="inlineStr">
        <is>
          <t>Global Final Damage Bonus % (Mortal Blow)</t>
        </is>
      </c>
      <c r="B1030">
        <f>(C1009=TRUE)*F1009</f>
        <v/>
      </c>
    </row>
    <row r="1031">
      <c r="A1031" t="inlineStr">
        <is>
          <t>Buff-Casting Startup Delay (s, fixed-duration only)</t>
        </is>
      </c>
      <c r="B1031">
        <f>IF(AND(Inputs!$B$38&lt;&gt;"pvp",Inputs!$B$43&gt;0),SUMPRODUCT((Skills!T2:T30&gt;0)*(Skills!E2:E30=TRUE)*(C993:C1021=TRUE))/B1026,0)</f>
        <v/>
      </c>
    </row>
    <row r="1032">
      <c r="A1032" t="inlineStr">
        <is>
          <t>Boss-Only Total DPS (this block's swept value)</t>
        </is>
      </c>
      <c r="B1032">
        <f>SUM(T993:T1021)</f>
        <v/>
      </c>
    </row>
    <row r="1033">
      <c r="A1033" t="inlineStr">
        <is>
          <t>Normal-Only Total DPS (this block's swept value)</t>
        </is>
      </c>
      <c r="B1033">
        <f>SUM(V993:V1021)</f>
        <v/>
      </c>
    </row>
    <row r="1034">
      <c r="A1034" s="6" t="inlineStr">
        <is>
          <t>TOTAL DPS</t>
        </is>
      </c>
      <c r="B1034" s="6">
        <f>SUM(O993:O1021)</f>
        <v/>
      </c>
    </row>
    <row r="1037">
      <c r="A1037" s="6" t="inlineStr">
        <is>
          <t>Stat: Flat ATTACK</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(((Inputs!$B$6+1)*(1+Inputs!$B$7/100))+(((Inputs!$B$12*(1+Inputs!$B$13/100))-(Inputs!$B$12*(1+Inputs!$B$13/100)))+0.25*(Inputs!$B$14-Inputs!$B$14))*(1+Inputs!$B$7/100))*(F1039/100)</f>
        <v/>
      </c>
      <c r="K1039">
        <f>J1039*(1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1061=TRUE)*(F1061-Calc!F24)),(Inputs!$B$23+((C1066=TRUE)*(F1066-Calc!F29))+(IF(ArtifactsInput!$M$15,CHOOSE(ArtifactsInput!$N$15+1,25,30,35,40,45,50)/100*(Inputs!$B$11-Inputs!$B$11),0))))/100+(Inputs!$B$23+((C1066=TRUE)*(F1066-Calc!F29))+(IF(ArtifactsInput!$M$15,CHOOSE(ArtifactsInput!$N$15+1,25,30,35,40,45,50)/100*(Inputs!$B$11-Inputs!$B$11),0)))/100)/2</f>
        <v/>
      </c>
      <c r="M1039">
        <f>L1039*(1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IF(B1080=0,0,O1039/B1080)</f>
        <v/>
      </c>
      <c r="Q1039" t="n">
        <v>0</v>
      </c>
      <c r="R1039" t="n">
        <v>0</v>
      </c>
      <c r="S1039">
        <f>IFERROR(O1039/N1039,0)</f>
        <v/>
      </c>
      <c r="T1039">
        <f>IF(C1039,(Skills!G2*N1039*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1039*(1-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T1040" t="inlineStr"/>
      <c r="U1040">
        <f>INDEX(FactorTable!$B$2:$Y$301, MATCH(ROUND(MIN(300,MAX(1,U1039)),0), FactorTable!$A$2:$A$301,0), 22)</f>
        <v/>
      </c>
      <c r="V1040" t="inlineStr"/>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T1041" t="inlineStr"/>
      <c r="U1041">
        <f>290*U1040/1000</f>
        <v/>
      </c>
      <c r="V1041" t="inlineStr"/>
    </row>
    <row r="1042">
      <c r="A1042">
        <f>Skills!A5</f>
        <v/>
      </c>
      <c r="B1042">
        <f>Skills!B5</f>
        <v/>
      </c>
      <c r="C1042">
        <f>Inputs!$B$3&gt;=35</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(((Inputs!$B$6+1)*(1+Inputs!$B$7/100))+(((Inputs!$B$12*(1+Inputs!$B$13/100))-(Inputs!$B$12*(1+Inputs!$B$13/100)))+0.25*(Inputs!$B$14-Inputs!$B$14))*(1+Inputs!$B$7/100))*(F1042/100)</f>
        <v/>
      </c>
      <c r="K1042">
        <f>J1042*(1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1047=TRUE,F1047,0)/100)*(1+(IF(Skills!A5="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24)),(Inputs!$B$23+((C1066=TRUE)*(F1066-Calc!F29))+(IF(ArtifactsInput!$M$15,CHOOSE(ArtifactsInput!$N$15+1,25,30,35,40,45,50)/100*(Inputs!$B$11-Inputs!$B$11),0))))/100+(Inputs!$B$23+((C1066=TRUE)*(F1066-Calc!F29))+(IF(ArtifactsInput!$M$15,CHOOSE(ArtifactsInput!$N$15+1,25,30,35,40,45,50)/100*(Inputs!$B$11-Inputs!$B$11),0)))/100)/2</f>
        <v/>
      </c>
      <c r="M1042">
        <f>L1042*(1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IFERROR(1/(IF(Inputs!$B$38="pvp",15,MAX(0.1,Skills!D5-IF(Skills!E5=TRUE,Inputs!$B$32,0)))*(1-IF(AND(ArtifactsInput!$M$27,Inputs!$B$4="Chapter Hunt"),CHOOSE(ArtifactsInput!$N$27+1,20,24,28,32,36,40),0)/100)),0)</f>
        <v/>
      </c>
      <c r="R1042">
        <f>IF(AND(Inputs!$B$38&lt;&gt;"pvp",Inputs!$B$43&gt;0),IF(MAX(0,Inputs!$B$43-B1077)&lt;=0,0,(INT(MAX(0,Inputs!$B$43-B1077)/(IF(Inputs!$B$38="pvp",15,MAX(0.1,Skills!D5-IF(Skills!E5=TRUE,Inputs!$B$32,0)))*(1-IF(AND(ArtifactsInput!$M$27,Inputs!$B$4="Chapter Hunt"),CHOOSE(ArtifactsInput!$N$27+1,20,24,28,32,36,40),0)/100)))+1)),0)</f>
        <v/>
      </c>
      <c r="S1042">
        <f>IFERROR(O1042/N1042,0)</f>
        <v/>
      </c>
      <c r="T1042">
        <f>IF(C1042,(H1042*N1042*IF(AND(Inputs!$B$38&lt;&gt;"pvp",Inputs!$B$43&gt;0),((Skills!G5*((R1042-1)*IF(Skills!H5&gt;0,Skills!I5/Skills!H5,1)+IF(Skills!H5&gt;0,MIN(Skills!I5,MAX(0,MAX(0,Inputs!$B$43-B1077)-((R1042-1)*(IF(Inputs!$B$38="pvp",15,MAX(0.1,Skills!D5-IF(Skills!E5=TRUE,Inputs!$B$32,0)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1042*(1-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1077)-((R1042-1)*(IF(Inputs!$B$38="pvp",15,MAX(0.1,Skills!D5-IF(Skills!E5=TRUE,Inputs!$B$32,0)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Inputs!$B$3&gt;=40</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(((Inputs!$B$6+1)*(1+Inputs!$B$7/100))+(((Inputs!$B$12*(1+Inputs!$B$13/100))-(Inputs!$B$12*(1+Inputs!$B$13/100)))+0.25*(Inputs!$B$14-Inputs!$B$14))*(1+Inputs!$B$7/100))*(F1043/100)</f>
        <v/>
      </c>
      <c r="K1043">
        <f>J1043*(1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1044=TRUE,F1044,0)/100)*(1+(IF(Skills!A6="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24)),(Inputs!$B$23+((C1066=TRUE)*(F1066-Calc!F29))+(IF(ArtifactsInput!$M$15,CHOOSE(ArtifactsInput!$N$15+1,25,30,35,40,45,50)/100*(Inputs!$B$11-Inputs!$B$11),0))))/100+(Inputs!$B$23+((C1066=TRUE)*(F1066-Calc!F29))+(IF(ArtifactsInput!$M$15,CHOOSE(ArtifactsInput!$N$15+1,25,30,35,40,45,50)/100*(Inputs!$B$11-Inputs!$B$11),0)))/100)/2</f>
        <v/>
      </c>
      <c r="M1043">
        <f>L1043*(1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IFERROR(1/(IF(Inputs!$B$38="pvp",15,MAX(0.1,Skills!D6-IF(Skills!E6=TRUE,Inputs!$B$32,0)))*(1-IF(AND(ArtifactsInput!$M$27,Inputs!$B$4="Chapter Hunt"),CHOOSE(ArtifactsInput!$N$27+1,20,24,28,32,36,40),0)/100)),0)</f>
        <v/>
      </c>
      <c r="R1043">
        <f>IF(AND(Inputs!$B$38&lt;&gt;"pvp",Inputs!$B$43&gt;0),IF(MAX(0,Inputs!$B$43-B1077)&lt;=0,0,(INT(MAX(0,Inputs!$B$43-B1077)/(IF(Inputs!$B$38="pvp",15,MAX(0.1,Skills!D6-IF(Skills!E6=TRUE,Inputs!$B$32,0)))*(1-IF(AND(ArtifactsInput!$M$27,Inputs!$B$4="Chapter Hunt"),CHOOSE(ArtifactsInput!$N$27+1,20,24,28,32,36,40),0)/100)))+1)),0)</f>
        <v/>
      </c>
      <c r="S1043">
        <f>IFERROR(O1043/N1043,0)</f>
        <v/>
      </c>
      <c r="T1043">
        <f>IF(C1043,(H1043*N1043*IF(AND(Inputs!$B$38&lt;&gt;"pvp",Inputs!$B$43&gt;0),((Skills!G6*((R1043-1)*IF(Skills!H6&gt;0,Skills!I6/Skills!H6,1)+IF(Skills!H6&gt;0,MIN(Skills!I6,MAX(0,MAX(0,Inputs!$B$43-B1077)-((R1043-1)*(IF(Inputs!$B$38="pvp",15,MAX(0.1,Skills!D6-IF(Skills!E6=TRUE,Inputs!$B$32,0)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1043*(1-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1077)-((R1043-1)*(IF(Inputs!$B$38="pvp",15,MAX(0.1,Skills!D6-IF(Skills!E6=TRUE,Inputs!$B$32,0)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t="inlineStr"/>
      <c r="H1044" t="inlineStr"/>
      <c r="I1044" t="inlineStr">
        <is>
          <t>1</t>
        </is>
      </c>
      <c r="J1044" t="inlineStr"/>
      <c r="K1044" t="inlineStr"/>
      <c r="L1044" t="inlineStr"/>
      <c r="M1044" t="inlineStr"/>
      <c r="N1044" t="inlineStr"/>
      <c r="O1044" t="inlineStr"/>
      <c r="P1044" t="inlineStr"/>
      <c r="Q1044" t="inlineStr"/>
      <c r="R1044" t="inlineStr"/>
      <c r="S1044" t="inlineStr"/>
      <c r="T1044" t="inlineStr"/>
      <c r="V1044" t="inlineStr"/>
    </row>
    <row r="1045">
      <c r="A1045">
        <f>Skills!A8</f>
        <v/>
      </c>
      <c r="B1045">
        <f>Skills!B8</f>
        <v/>
      </c>
      <c r="C1045">
        <f>Inputs!$B$3&gt;=69</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(((Inputs!$B$6+1)*(1+Inputs!$B$7/100))+(((Inputs!$B$12*(1+Inputs!$B$13/100))-(Inputs!$B$12*(1+Inputs!$B$13/100)))+0.25*(Inputs!$B$14-Inputs!$B$14))*(1+Inputs!$B$7/100))*(F1045/100)</f>
        <v/>
      </c>
      <c r="K1045">
        <f>J1045*(1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1047=TRUE,F1047,0)/100)*(1+(IF(Skills!A8="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24)),(Inputs!$B$23+((C1066=TRUE)*(F1066-Calc!F29))+(IF(ArtifactsInput!$M$15,CHOOSE(ArtifactsInput!$N$15+1,25,30,35,40,45,50)/100*(Inputs!$B$11-Inputs!$B$11),0))))/100+(Inputs!$B$23+((C1066=TRUE)*(F1066-Calc!F29))+(IF(ArtifactsInput!$M$15,CHOOSE(ArtifactsInput!$N$15+1,25,30,35,40,45,50)/100*(Inputs!$B$11-Inputs!$B$11),0)))/100)/2</f>
        <v/>
      </c>
      <c r="M1045">
        <f>L1045*(1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IFERROR(1/(IF(Inputs!$B$38="pvp",15,MAX(0.1,Skills!D8-IF(Skills!E8=TRUE,Inputs!$B$32,0)))*(1-IF(AND(ArtifactsInput!$M$27,Inputs!$B$4="Chapter Hunt"),CHOOSE(ArtifactsInput!$N$27+1,20,24,28,32,36,40),0)/100)),0)</f>
        <v/>
      </c>
      <c r="R1045">
        <f>IF(AND(Inputs!$B$38&lt;&gt;"pvp",Inputs!$B$43&gt;0),IF(MAX(0,Inputs!$B$43-B1077)&lt;=0,0,(INT(MAX(0,Inputs!$B$43-B1077)/(IF(Inputs!$B$38="pvp",15,MAX(0.1,Skills!D8-IF(Skills!E8=TRUE,Inputs!$B$32,0)))*(1-IF(AND(ArtifactsInput!$M$27,Inputs!$B$4="Chapter Hunt"),CHOOSE(ArtifactsInput!$N$27+1,20,24,28,32,36,40),0)/100)))+1)),0)</f>
        <v/>
      </c>
      <c r="S1045">
        <f>IFERROR(O1045/N1045,0)</f>
        <v/>
      </c>
      <c r="T1045">
        <f>IF(C1045,(H1045*N1045*IF(AND(Inputs!$B$38&lt;&gt;"pvp",Inputs!$B$43&gt;0),((Skills!G8*((R1045-1)*IF(Skills!H8&gt;0,Skills!I8/Skills!H8,1)+IF(Skills!H8&gt;0,MIN(Skills!I8,MAX(0,MAX(0,Inputs!$B$43-B1077)-((R1045-1)*(IF(Inputs!$B$38="pvp",15,MAX(0.1,Skills!D8-IF(Skills!E8=TRUE,Inputs!$B$32,0)))*(1-IF(AND(ArtifactsInput!$M$27,Inputs!$B$4="Chapter Hunt"),CHOOSE(ArtifactsInput!$N$27+1,20,24,28,32,36,40),0)/100)))))/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1045*(1-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1077)-((R1045-1)*(IF(Inputs!$B$38="pvp",15,MAX(0.1,Skills!D8-IF(Skills!E8=TRUE,Inputs!$B$32,0)))*(1-IF(AND(ArtifactsInput!$M$27,Inputs!$B$4="Chapter Hunt"),CHOOSE(ArtifactsInput!$N$27+1,20,24,28,32,36,40),0)/100)))))/Skills!H8,1)))/Inputs!$B$43),G1045*Q1045))*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Inputs!$B$3&gt;=63</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(((Inputs!$B$6+1)*(1+Inputs!$B$7/100))+(((Inputs!$B$12*(1+Inputs!$B$13/100))-(Inputs!$B$12*(1+Inputs!$B$13/100)))+0.25*(Inputs!$B$14-Inputs!$B$14))*(1+Inputs!$B$7/100))*(F1046/100)</f>
        <v/>
      </c>
      <c r="K1046">
        <f>J1046*(1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1047=TRUE,F1047,0)/100)*(1+(IF(Skills!A9="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24)),(Inputs!$B$23+((C1066=TRUE)*(F1066-Calc!F29))+(IF(ArtifactsInput!$M$15,CHOOSE(ArtifactsInput!$N$15+1,25,30,35,40,45,50)/100*(Inputs!$B$11-Inputs!$B$11),0))))/100+(Inputs!$B$23+((C1066=TRUE)*(F1066-Calc!F29))+(IF(ArtifactsInput!$M$15,CHOOSE(ArtifactsInput!$N$15+1,25,30,35,40,45,50)/100*(Inputs!$B$11-Inputs!$B$11),0)))/100)/2</f>
        <v/>
      </c>
      <c r="M1046">
        <f>L1046*(1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IFERROR(1/(IF(Inputs!$B$38="pvp",15,MAX(0.1,Skills!D9-IF(Skills!E9=TRUE,Inputs!$B$32,0)))*(1-IF(AND(ArtifactsInput!$M$27,Inputs!$B$4="Chapter Hunt"),CHOOSE(ArtifactsInput!$N$27+1,20,24,28,32,36,40),0)/100)),0)</f>
        <v/>
      </c>
      <c r="R1046">
        <f>IF(AND(Inputs!$B$38&lt;&gt;"pvp",Inputs!$B$43&gt;0),IF(MAX(0,Inputs!$B$43-B1077)&lt;=0,0,(INT(MAX(0,Inputs!$B$43-B1077)/(IF(Inputs!$B$38="pvp",15,MAX(0.1,Skills!D9-IF(Skills!E9=TRUE,Inputs!$B$32,0)))*(1-IF(AND(ArtifactsInput!$M$27,Inputs!$B$4="Chapter Hunt"),CHOOSE(ArtifactsInput!$N$27+1,20,24,28,32,36,40),0)/100)))+1)),0)</f>
        <v/>
      </c>
      <c r="S1046">
        <f>IFERROR(O1046/N1046,0)</f>
        <v/>
      </c>
      <c r="T1046">
        <f>IF(C1046,(H1046*N1046*IF(AND(Inputs!$B$38&lt;&gt;"pvp",Inputs!$B$43&gt;0),((Skills!G9*((R1046-1)*IF(Skills!H9&gt;0,Skills!I9/Skills!H9,1)+IF(Skills!H9&gt;0,MIN(Skills!I9,MAX(0,MAX(0,Inputs!$B$43-B1077)-((R1046-1)*(IF(Inputs!$B$38="pvp",15,MAX(0.1,Skills!D9-IF(Skills!E9=TRUE,Inputs!$B$32,0)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1046*(1-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1077)-((R1046-1)*(IF(Inputs!$B$38="pvp",15,MAX(0.1,Skills!D9-IF(Skills!E9=TRUE,Inputs!$B$32,0)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Inputs!$B$3&gt;=100</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t="inlineStr"/>
      <c r="H1047" t="inlineStr"/>
      <c r="I1047" t="inlineStr">
        <is>
          <t>1</t>
        </is>
      </c>
      <c r="J1047" t="inlineStr"/>
      <c r="K1047" t="inlineStr"/>
      <c r="L1047" t="inlineStr"/>
      <c r="M1047" t="inlineStr"/>
      <c r="N1047" t="inlineStr"/>
      <c r="O1047" t="inlineStr"/>
      <c r="P1047" t="inlineStr"/>
      <c r="Q1047" t="inlineStr"/>
      <c r="R1047" t="inlineStr"/>
      <c r="S1047" t="inlineStr"/>
      <c r="T1047" t="inlineStr"/>
      <c r="V1047" t="inlineStr"/>
    </row>
    <row r="1048">
      <c r="A1048">
        <f>Skills!A11</f>
        <v/>
      </c>
      <c r="B1048">
        <f>Skills!B11</f>
        <v/>
      </c>
      <c r="C1048">
        <f>Inputs!$B$3&gt;=60</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(((Inputs!$B$6+1)*(1+Inputs!$B$7/100))+(((Inputs!$B$12*(1+Inputs!$B$13/100))-(Inputs!$B$12*(1+Inputs!$B$13/100)))+0.25*(Inputs!$B$14-Inputs!$B$14))*(1+Inputs!$B$7/100))*(F1048/100)</f>
        <v/>
      </c>
      <c r="K1048">
        <f>J1048*(1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1049=TRUE,F1049,0)/100)*(1+(IF(Skills!A11="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24)),(Inputs!$B$23+((C1066=TRUE)*(F1066-Calc!F29))+(IF(ArtifactsInput!$M$15,CHOOSE(ArtifactsInput!$N$15+1,25,30,35,40,45,50)/100*(Inputs!$B$11-Inputs!$B$11),0))))/100+(Inputs!$B$23+((C1066=TRUE)*(F1066-Calc!F29))+(IF(ArtifactsInput!$M$15,CHOOSE(ArtifactsInput!$N$15+1,25,30,35,40,45,50)/100*(Inputs!$B$11-Inputs!$B$11),0)))/100)/2</f>
        <v/>
      </c>
      <c r="M1048">
        <f>L1048*(1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IFERROR(1/(IF(Inputs!$B$38="pvp",15,MAX(0.1,Skills!D11-IF(Skills!E11=TRUE,Inputs!$B$32,0)))*(1-IF(AND(ArtifactsInput!$M$27,Inputs!$B$4="Chapter Hunt"),CHOOSE(ArtifactsInput!$N$27+1,20,24,28,32,36,40),0)/100)),0)</f>
        <v/>
      </c>
      <c r="R1048">
        <f>IF(AND(Inputs!$B$38&lt;&gt;"pvp",Inputs!$B$43&gt;0),IF(MAX(0,Inputs!$B$43-B1077)&lt;=0,0,(INT(MAX(0,Inputs!$B$43-B1077)/(IF(Inputs!$B$38="pvp",15,MAX(0.1,Skills!D11-IF(Skills!E11=TRUE,Inputs!$B$32,0)))*(1-IF(AND(ArtifactsInput!$M$27,Inputs!$B$4="Chapter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1077)-((R1048-1)*(IF(Inputs!$B$38="pvp",15,MAX(0.1,Skills!D11-IF(Skills!E11=TRUE,Inputs!$B$32,0)))*(1-IF(AND(ArtifactsInput!$M$27,Inputs!$B$4="Chapter Hunt"),CHOOSE(ArtifactsInput!$N$27+1,20,24,28,32,36,40),0)/100)))))/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1048*(1-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1077)-((R1048-1)*(IF(Inputs!$B$38="pvp",15,MAX(0.1,Skills!D11-IF(Skills!E11=TRUE,Inputs!$B$32,0)))*(1-IF(AND(ArtifactsInput!$M$27,Inputs!$B$4="Chapter Hunt"),CHOOSE(ArtifactsInput!$N$27+1,20,24,28,32,36,40),0)/100)))))/Skills!H11,1)))/Inputs!$B$43),G1048*Q1048))*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Inputs!$B$3&gt;=110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T1049" t="inlineStr"/>
      <c r="V1049" t="inlineStr"/>
    </row>
    <row r="1050">
      <c r="A1050">
        <f>Skills!A13</f>
        <v/>
      </c>
      <c r="B1050">
        <f>Skills!B13</f>
        <v/>
      </c>
      <c r="C1050">
        <f>Inputs!$B$3&gt;=74</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IF(B1080=0,0,O1050/B1080)</f>
        <v/>
      </c>
      <c r="Q1050" t="n">
        <v>0</v>
      </c>
      <c r="R1050" t="n">
        <v>0</v>
      </c>
      <c r="S1050">
        <f>IFERROR(O1050/N1050,0)</f>
        <v/>
      </c>
      <c r="T1050" t="n">
        <v>0</v>
      </c>
      <c r="V1050" t="n">
        <v>0</v>
      </c>
    </row>
    <row r="1051">
      <c r="A1051">
        <f>Skills!A14</f>
        <v/>
      </c>
      <c r="B1051">
        <f>Skills!B14</f>
        <v/>
      </c>
      <c r="C1051">
        <f>Inputs!$B$3&gt;=74</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IF(B1080=0,0,O1051/B1080)</f>
        <v/>
      </c>
      <c r="Q1051" t="n">
        <v>0</v>
      </c>
      <c r="R1051" t="n">
        <v>0</v>
      </c>
      <c r="S1051">
        <f>IFERROR(O1051/N1051,0)</f>
        <v/>
      </c>
      <c r="T1051" t="n">
        <v>0</v>
      </c>
      <c r="V1051" t="n">
        <v>0</v>
      </c>
    </row>
    <row r="1052">
      <c r="A1052">
        <f>Skills!A15</f>
        <v/>
      </c>
      <c r="B1052">
        <f>Skills!B15</f>
        <v/>
      </c>
      <c r="C1052">
        <f>Inputs!$B$3&gt;=117</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IF(B1080=0,0,O1052/B1080)</f>
        <v/>
      </c>
      <c r="Q1052">
        <f>IFERROR(1/(IF(Inputs!$B$38="pvp",15,MAX(0.1,Skills!D15-IF(Skills!E15=TRUE,Inputs!$B$32,0)))*(1-IF(AND(ArtifactsInput!$M$27,Inputs!$B$4="Chapter Hunt"),CHOOSE(ArtifactsInput!$N$27+1,20,24,28,32,36,40),0)/100)),0)</f>
        <v/>
      </c>
      <c r="R1052">
        <f>IF(AND(Inputs!$B$38&lt;&gt;"pvp",Inputs!$B$43&gt;0),IF(Inputs!$B$43&lt;=0,0,(INT(Inputs!$B$43/(IF(Inputs!$B$38="pvp",15,MAX(0.1,Skills!D15-IF(Skills!E15=TRUE,Inputs!$B$32,0)))*(1-IF(AND(ArtifactsInput!$M$27,Inputs!$B$4="Chapter Hunt"),CHOOSE(ArtifactsInput!$N$27+1,20,24,28,32,36,40),0)/100)))+1)),0)</f>
        <v/>
      </c>
      <c r="S1052">
        <f>IFERROR(O1052/N1052,0)</f>
        <v/>
      </c>
      <c r="T1052" t="n">
        <v>0</v>
      </c>
      <c r="V1052" t="n">
        <v>0</v>
      </c>
    </row>
    <row r="1053">
      <c r="A1053">
        <f>Skills!A16</f>
        <v/>
      </c>
      <c r="B1053">
        <f>Skills!B16</f>
        <v/>
      </c>
      <c r="C1053">
        <f>Inputs!$B$3&gt;=115</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IF(B1080=0,0,O1053/B1080)</f>
        <v/>
      </c>
      <c r="Q1053">
        <f>IFERROR(1/(IF(Inputs!$B$38="pvp",15,MAX(0.1,Skills!D16-IF(Skills!E16=TRUE,Inputs!$B$32,0)))*(1-IF(AND(ArtifactsInput!$M$27,Inputs!$B$4="Chapter Hunt"),CHOOSE(ArtifactsInput!$N$27+1,20,24,28,32,36,40),0)/100)),0)</f>
        <v/>
      </c>
      <c r="R1053">
        <f>IF(AND(Inputs!$B$38&lt;&gt;"pvp",Inputs!$B$43&gt;0),IF(Inputs!$B$43&lt;=0,0,(INT(Inputs!$B$43/(IF(Inputs!$B$38="pvp",15,MAX(0.1,Skills!D16-IF(Skills!E16=TRUE,Inputs!$B$32,0)))*(1-IF(AND(ArtifactsInput!$M$27,Inputs!$B$4="Chapter Hunt"),CHOOSE(ArtifactsInput!$N$27+1,20,24,28,32,36,40),0)/100)))+1)),0)</f>
        <v/>
      </c>
      <c r="S1053">
        <f>IFERROR(O1053/N1053,0)</f>
        <v/>
      </c>
      <c r="T1053" t="n">
        <v>0</v>
      </c>
      <c r="V1053" t="n">
        <v>0</v>
      </c>
    </row>
    <row r="1054">
      <c r="A1054">
        <f>Skills!A17</f>
        <v/>
      </c>
      <c r="B1054">
        <f>Skills!B17</f>
        <v/>
      </c>
      <c r="C1054">
        <f>Inputs!$B$3&gt;=66</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IF(B1080=0,0,O1054/B1080)</f>
        <v/>
      </c>
      <c r="Q1054" t="n">
        <v>0</v>
      </c>
      <c r="R1054" t="n">
        <v>0</v>
      </c>
      <c r="S1054">
        <f>IFERROR(O1054/N1054,0)</f>
        <v/>
      </c>
      <c r="T1054" t="n">
        <v>0</v>
      </c>
      <c r="V1054" t="n">
        <v>0</v>
      </c>
    </row>
    <row r="1055">
      <c r="A1055">
        <f>Skills!A18</f>
        <v/>
      </c>
      <c r="B1055">
        <f>Skills!B18</f>
        <v/>
      </c>
      <c r="C1055">
        <f>Inputs!$B$3&gt;=72</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IF(B1080=0,0,O1055/B1080)</f>
        <v/>
      </c>
      <c r="Q1055" t="n">
        <v>0</v>
      </c>
      <c r="R1055" t="n">
        <v>0</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IF(B1080=0,0,O1056/B1080)</f>
        <v/>
      </c>
      <c r="Q1056">
        <f>IFERROR(1/(IF(Inputs!$B$38="pvp",15,MAX(0.1,Skills!D19-IF(Skills!E19=TRUE,Inputs!$B$32,0)))*(1-IF(AND(ArtifactsInput!$M$27,Inputs!$B$4="Chapter Hunt"),CHOOSE(ArtifactsInput!$N$27+1,20,24,28,32,36,40),0)/100)),0)</f>
        <v/>
      </c>
      <c r="R1056">
        <f>IF(AND(Inputs!$B$38&lt;&gt;"pvp",Inputs!$B$43&gt;0),IF(Inputs!$B$43&lt;=0,0,(INT(Inputs!$B$43/(IF(Inputs!$B$38="pvp",15,MAX(0.1,Skills!D19-IF(Skills!E19=TRUE,Inputs!$B$32,0)))*(1-IF(AND(ArtifactsInput!$M$27,Inputs!$B$4="Chapter Hunt"),CHOOSE(ArtifactsInput!$N$27+1,20,24,28,32,36,40),0)/100)))+1)),0)</f>
        <v/>
      </c>
      <c r="S1056">
        <f>IFERROR(O1056/N1056,0)</f>
        <v/>
      </c>
      <c r="T1056" t="n">
        <v>0</v>
      </c>
      <c r="V1056" t="n">
        <v>0</v>
      </c>
    </row>
    <row r="1057">
      <c r="A1057">
        <f>Skills!A20</f>
        <v/>
      </c>
      <c r="B1057">
        <f>Skills!B20</f>
        <v/>
      </c>
      <c r="C1057">
        <f>Inputs!$B$3&gt;=15</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IF(B1080=0,0,O1057/B1080)</f>
        <v/>
      </c>
      <c r="Q1057" t="n">
        <v>0</v>
      </c>
      <c r="R1057" t="n">
        <v>0</v>
      </c>
      <c r="S1057">
        <f>IFERROR(O1057/N1057,0)</f>
        <v/>
      </c>
      <c r="T1057" t="n">
        <v>0</v>
      </c>
      <c r="V1057" t="n">
        <v>0</v>
      </c>
    </row>
    <row r="1058">
      <c r="A1058">
        <f>Skills!A21</f>
        <v/>
      </c>
      <c r="B1058">
        <f>Skills!B21</f>
        <v/>
      </c>
      <c r="C1058">
        <f>Inputs!$B$3&gt;=10</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Skills!A22</f>
        <v/>
      </c>
      <c r="B1059">
        <f>Skills!B22</f>
        <v/>
      </c>
      <c r="C1059">
        <f>Inputs!$B$3&gt;=33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Skills!A24</f>
        <v/>
      </c>
      <c r="B1061">
        <f>Skills!B24</f>
        <v/>
      </c>
      <c r="C1061">
        <f>Inputs!$B$3&gt;=43</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Skills!A25</f>
        <v/>
      </c>
      <c r="B1062">
        <f>Skills!B25</f>
        <v/>
      </c>
      <c r="C1062">
        <f>Inputs!$B$3&gt;=75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Skills!A26</f>
        <v/>
      </c>
      <c r="B1063">
        <f>Skills!B26</f>
        <v/>
      </c>
      <c r="C1063">
        <f>Inputs!$B$3&gt;=125</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Skills!A27</f>
        <v/>
      </c>
      <c r="B1064">
        <f>Skills!B27</f>
        <v/>
      </c>
      <c r="C1064">
        <f>Inputs!$B$3&gt;=125</f>
        <v/>
      </c>
      <c r="D1064">
        <f>IF(Skills!C27=1,60+Inputs!$B$25+Inputs!$B$29,IF(Skills!C27=2,90+Inputs!$B$26+Inputs!$B$29,IF(Skills!C27=3,120+Inputs!$B$27+Inputs!$B$29,MAX(0,(Inputs!$B$3-100)*3)+Inputs!$B$28+Inputs!$B$29)))</f>
        <v/>
      </c>
      <c r="E1064">
        <f>INDEX(FactorTable!$B$2:$Y$301, MATCH(ROUND(MIN(300,MAX(1,D1064)),0), FactorTable!$A$2:$A$301,0), Skills!M27+1)</f>
        <v/>
      </c>
      <c r="F1064">
        <f>IF(Skills!N27=TRUE,(Skills!L27/10)*(E1064/1000),Skills!L27/10)+Skills!O27</f>
        <v/>
      </c>
      <c r="G1064">
        <f>Skills!G27*IF(Skills!H27&gt;0,Skills!I27/Skills!H27,1)</f>
        <v/>
      </c>
      <c r="H1064">
        <f>1-(1-Skills!J27/100)^Skills!K27</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Skills!A28</f>
        <v/>
      </c>
      <c r="B1065">
        <f>Skills!B28</f>
        <v/>
      </c>
      <c r="C1065">
        <f>Inputs!$B$3&gt;=120</f>
        <v/>
      </c>
      <c r="D1065">
        <f>IF(Skills!C28=1,60+Inputs!$B$25+Inputs!$B$29,IF(Skills!C28=2,90+Inputs!$B$26+Inputs!$B$29,IF(Skills!C28=3,120+Inputs!$B$27+Inputs!$B$29,MAX(0,(Inputs!$B$3-100)*3)+Inputs!$B$28+Inputs!$B$29)))</f>
        <v/>
      </c>
      <c r="E1065">
        <f>INDEX(FactorTable!$B$2:$Y$301, MATCH(ROUND(MIN(300,MAX(1,D1065)),0), FactorTable!$A$2:$A$301,0), Skills!M28+1)</f>
        <v/>
      </c>
      <c r="F1065">
        <f>IF(Skills!N28=TRUE,(Skills!L28/10)*(E1065/1000),Skills!L28/10)+Skills!O28</f>
        <v/>
      </c>
      <c r="G1065">
        <f>Skills!G28*IF(Skills!H28&gt;0,Skills!I28/Skills!H28,1)</f>
        <v/>
      </c>
      <c r="H1065">
        <f>1-(1-Skills!J28/100)^Skills!K28</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Skills!A29</f>
        <v/>
      </c>
      <c r="B1066">
        <f>Skills!B29</f>
        <v/>
      </c>
      <c r="C1066">
        <f>Inputs!$B$3&gt;=120</f>
        <v/>
      </c>
      <c r="D1066">
        <f>IF(Skills!C29=1,60+Inputs!$B$25+Inputs!$B$29,IF(Skills!C29=2,90+Inputs!$B$26+Inputs!$B$29,IF(Skills!C29=3,120+Inputs!$B$27+Inputs!$B$29,MAX(0,(Inputs!$B$3-100)*3)+Inputs!$B$28+Inputs!$B$29)))</f>
        <v/>
      </c>
      <c r="E1066">
        <f>INDEX(FactorTable!$B$2:$Y$301, MATCH(ROUND(MIN(300,MAX(1,D1066)),0), FactorTable!$A$2:$A$301,0), Skills!M29+1)</f>
        <v/>
      </c>
      <c r="F1066">
        <f>IF(Skills!N29=TRUE,(Skills!L29/10)*(E1066/1000),Skills!L29/10)+Skills!O29</f>
        <v/>
      </c>
      <c r="G1066">
        <f>Skills!G29*IF(Skills!H29&gt;0,Skills!I29/Skills!H29,1)</f>
        <v/>
      </c>
      <c r="H1066">
        <f>1-(1-Skills!J29/100)^Skills!K29</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Skills!A30</f>
        <v/>
      </c>
      <c r="B1067">
        <f>Skills!B30</f>
        <v/>
      </c>
      <c r="C1067">
        <f>Inputs!$B$3&gt;=45</f>
        <v/>
      </c>
      <c r="D1067">
        <f>IF(Skills!C30=1,60+Inputs!$B$25+Inputs!$B$29,IF(Skills!C30=2,90+Inputs!$B$26+Inputs!$B$29,IF(Skills!C30=3,120+Inputs!$B$27+Inputs!$B$29,MAX(0,(Inputs!$B$3-100)*3)+Inputs!$B$28+Inputs!$B$29)))</f>
        <v/>
      </c>
      <c r="E1067">
        <f>INDEX(FactorTable!$B$2:$Y$301, MATCH(ROUND(MIN(300,MAX(1,D1067)),0), FactorTable!$A$2:$A$301,0), Skills!M30+1)</f>
        <v/>
      </c>
      <c r="F1067">
        <f>IF(Skills!N30=TRUE,(Skills!L30/10)*(E1067/1000),Skills!L30/10)+Skills!O30</f>
        <v/>
      </c>
      <c r="G1067">
        <f>Skills!G30*IF(Skills!H30&gt;0,Skills!I30/Skills!H30,1)</f>
        <v/>
      </c>
      <c r="H1067">
        <f>1-(1-Skills!J30/100)^Skills!K30</f>
        <v/>
      </c>
      <c r="I1067" t="inlineStr">
        <is>
          <t>1</t>
        </is>
      </c>
      <c r="J1067" t="inlineStr"/>
      <c r="K1067" t="inlineStr"/>
      <c r="L1067" t="inlineStr"/>
      <c r="M1067" t="inlineStr"/>
      <c r="N1067" t="inlineStr"/>
      <c r="O1067">
        <f>(1-Summary!$B$11)*T1067+Summary!$B$11*V1067</f>
        <v/>
      </c>
      <c r="P1067">
        <f>IF(B1080=0,0,O1067/B1080)</f>
        <v/>
      </c>
      <c r="Q1067" t="n">
        <v>0</v>
      </c>
      <c r="R1067" t="n">
        <v>0</v>
      </c>
      <c r="S1067">
        <f>IFERROR(O1067/N1067,0)</f>
        <v/>
      </c>
      <c r="T1067" t="n">
        <v>0</v>
      </c>
      <c r="V1067" t="n">
        <v>0</v>
      </c>
    </row>
    <row r="1069">
      <c r="A1069" t="inlineStr">
        <is>
          <t>Attack% Bucket Multiplier</t>
        </is>
      </c>
      <c r="B1069">
        <f>(1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f>(C1053=TRUE)*20*IF(AND(Inputs!$B$38&lt;&gt;"pvp",Inputs!$B$43&gt;0),(((R1053-1)*(Skills!T16*(1+Inputs!$B$34/100))+MIN((Skills!T16*(1+Inputs!$B$34/100)),MAX(0,Inputs!$B$43-((R1053-1)*Skills!D16))))/Inputs!$B$43),IF(Inputs!$B$38="pvp",MIN((Skills!T16*(1+Inputs!$B$34/100)),15)/15,(Skills!T16*(1+Inputs!$B$34/100))/Skills!D16))</f>
        <v/>
      </c>
    </row>
    <row r="1071">
      <c r="A1071" t="inlineStr">
        <is>
          <t>Attack Speed Buff Bonus %</t>
        </is>
      </c>
      <c r="B1071">
        <f>((C1056=TRUE)*F1056*IF(AND(Inputs!$B$38&lt;&gt;"pvp",Inputs!$B$43&gt;0),(((R1056-1)*(Skills!T19*(1+Inputs!$B$34/100))+MIN((Skills!T19*(1+Inputs!$B$34/100)),MAX(0,Inputs!$B$43-((R1056-1)*Skills!D19))))/Inputs!$B$43),IF(Inputs!$B$38="pvp",MIN((Skills!T19*(1+Inputs!$B$34/100)),15)/15,(Skills!T19*(1+Inputs!$B$34/100))/Skills!D19)))</f>
        <v/>
      </c>
    </row>
    <row r="1072">
      <c r="A1072" t="inlineStr">
        <is>
          <t>Actions Per Second</t>
        </is>
      </c>
      <c r="B1072">
        <f>1+MIN(150,150*(1-(1-(Inputs!$B$11+((C1058=TRUE)*(F1058-Calc!F21))+((C1059=TRUE)*(F1059-Calc!F22)))/150)*(1-B1071/150)))/100</f>
        <v/>
      </c>
    </row>
    <row r="1073">
      <c r="A1073" t="inlineStr">
        <is>
          <t>Skill + Buff Cast Rate</t>
        </is>
      </c>
      <c r="B1073">
        <f>IF(AND(Inputs!$B$38&lt;&gt;"pvp",Inputs!$B$43&gt;0),SUMPRODUCT((Skills!E2:E30=TRUE)*(C1039:C1067=TRUE)*R1039:R1067*Skills!F2:F30)/Inputs!$B$43,SUMPRODUCT((Skills!E2:E30=TRUE)*(C1039:C1067=TRUE)*Q1039:Q1067*Skills!F2:F30))</f>
        <v/>
      </c>
    </row>
    <row r="1074">
      <c r="A1074" t="inlineStr">
        <is>
          <t>Arrow Stream Casts Per Second</t>
        </is>
      </c>
      <c r="B1074">
        <f>MAX(0,B1072-B1073)</f>
        <v/>
      </c>
    </row>
    <row r="1075">
      <c r="A1075" t="inlineStr">
        <is>
          <t>Global Critical Damage Bonus % (Sharp Eyes + Concentration)</t>
        </is>
      </c>
      <c r="B1075">
        <f>(C1053=TRUE)*F1053*IF(AND(Inputs!$B$38&lt;&gt;"pvp",Inputs!$B$43&gt;0),(((R1053-1)*(Skills!T16*(1+Inputs!$B$34/100))+MIN((Skills!T16*(1+Inputs!$B$34/100)),MAX(0,Inputs!$B$43-((R1053-1)*Skills!D16))))/Inputs!$B$43),IF(Inputs!$B$38="pvp",MIN((Skills!T16*(1+Inputs!$B$34/100)),15)/15,(Skills!T16*(1+Inputs!$B$34/100))/Skills!D16))+(C1054=TRUE)*30</f>
        <v/>
      </c>
    </row>
    <row r="1076">
      <c r="A1076" t="inlineStr">
        <is>
          <t>Global Final Damage Bonus % (Mortal Blow)</t>
        </is>
      </c>
      <c r="B1076">
        <f>(C1055=TRUE)*F1055</f>
        <v/>
      </c>
    </row>
    <row r="1077">
      <c r="A1077" t="inlineStr">
        <is>
          <t>Buff-Casting Startup Delay (s, fixed-duration only)</t>
        </is>
      </c>
      <c r="B1077">
        <f>IF(AND(Inputs!$B$38&lt;&gt;"pvp",Inputs!$B$43&gt;0),SUMPRODUCT((Skills!T2:T30&gt;0)*(Skills!E2:E30=TRUE)*(C1039:C1067=TRUE))/B1072,0)</f>
        <v/>
      </c>
    </row>
    <row r="1078">
      <c r="A1078" t="inlineStr">
        <is>
          <t>Boss-Only Total DPS (this block's swept value)</t>
        </is>
      </c>
      <c r="B1078">
        <f>SUM(T1039:T1067)</f>
        <v/>
      </c>
    </row>
    <row r="1079">
      <c r="A1079" t="inlineStr">
        <is>
          <t>Normal-Only Total DPS (this block's swept value)</t>
        </is>
      </c>
      <c r="B1079">
        <f>SUM(V1039:V1067)</f>
        <v/>
      </c>
    </row>
    <row r="1080">
      <c r="A1080" s="6" t="inlineStr">
        <is>
          <t>TOTAL DPS</t>
        </is>
      </c>
      <c r="B1080" s="6">
        <f>SUM(O1039:O1067)</f>
        <v/>
      </c>
    </row>
    <row r="1083">
      <c r="A1083" s="6" t="inlineStr">
        <is>
          <t>Stat: ATTACK %</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((Inputs!$B$6*(1+(Inputs!$B$7+1)/100))+(((Inputs!$B$12*(1+Inputs!$B$13/100))-(Inputs!$B$12*(1+Inputs!$B$13/100)))+0.25*(Inputs!$B$14-Inputs!$B$14))*(1+(Inputs!$B$7+1)/100))*(F1085/100)</f>
        <v/>
      </c>
      <c r="K1085">
        <f>J1085*(1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1107=TRUE)*(F1107-Calc!F24)),(Inputs!$B$23+((C1112=TRUE)*(F1112-Calc!F29))+(IF(ArtifactsInput!$M$15,CHOOSE(ArtifactsInput!$N$15+1,25,30,35,40,45,50)/100*(Inputs!$B$11-Inputs!$B$11),0))))/100+(Inputs!$B$23+((C1112=TRUE)*(F1112-Calc!F29))+(IF(ArtifactsInput!$M$15,CHOOSE(ArtifactsInput!$N$15+1,25,30,35,40,45,50)/100*(Inputs!$B$11-Inputs!$B$11),0)))/100)/2</f>
        <v/>
      </c>
      <c r="M1085">
        <f>L1085*(1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IF(B1126=0,0,O1085/B1126)</f>
        <v/>
      </c>
      <c r="Q1085" t="n">
        <v>0</v>
      </c>
      <c r="R1085" t="n">
        <v>0</v>
      </c>
      <c r="S1085">
        <f>IFERROR(O1085/N1085,0)</f>
        <v/>
      </c>
      <c r="T1085">
        <f>IF(C1085,(Skills!G2*N1085*B1120)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1085*(1-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IF(C1085,(Skills!G2*N1085*B1120)*IF(Inputs!$B$38="pvp",1,(1+(Inputs!$B$21+Skills!Q2+(IF(ArtifactsInput!$M$33,CHOOSE(ArtifactsInput!$N$33+1,30,36,42,48,54,60),0))+(IF(AND(ArtifactsInput!$M$35,Inputs!$B$4&lt;&gt;"Chapter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Inputs!$B$3&gt;=50</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U1086">
        <f>INDEX(FactorTable!$B$2:$Y$301, MATCH(ROUND(MIN(300,MAX(1,U1085)),0), FactorTable!$A$2:$A$301,0), 22)</f>
        <v/>
      </c>
      <c r="V1086" t="inlineStr"/>
    </row>
    <row r="1087">
      <c r="A1087">
        <f>Skills!A4</f>
        <v/>
      </c>
      <c r="B1087">
        <f>Skills!B4</f>
        <v/>
      </c>
      <c r="C1087">
        <f>Inputs!$B$3&gt;=105</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t="inlineStr"/>
      <c r="H1087" t="inlineStr"/>
      <c r="I1087" t="inlineStr">
        <is>
          <t>1</t>
        </is>
      </c>
      <c r="J1087" t="inlineStr"/>
      <c r="K1087" t="inlineStr"/>
      <c r="L1087" t="inlineStr"/>
      <c r="M1087" t="inlineStr"/>
      <c r="N1087" t="inlineStr"/>
      <c r="O1087" t="inlineStr"/>
      <c r="P1087" t="inlineStr"/>
      <c r="Q1087" t="inlineStr"/>
      <c r="R1087" t="inlineStr"/>
      <c r="S1087" t="inlineStr"/>
      <c r="T1087" t="inlineStr"/>
      <c r="U1087">
        <f>290*U1086/1000</f>
        <v/>
      </c>
      <c r="V1087" t="inlineStr"/>
    </row>
    <row r="1088">
      <c r="A1088">
        <f>Skills!A5</f>
        <v/>
      </c>
      <c r="B1088">
        <f>Skills!B5</f>
        <v/>
      </c>
      <c r="C1088">
        <f>Inputs!$B$3&gt;=35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((Inputs!$B$6*(1+(Inputs!$B$7+1)/100))+(((Inputs!$B$12*(1+Inputs!$B$13/100))-(Inputs!$B$12*(1+Inputs!$B$13/100)))+0.25*(Inputs!$B$14-Inputs!$B$14))*(1+(Inputs!$B$7+1)/100))*(F1088/100)</f>
        <v/>
      </c>
      <c r="K1088">
        <f>J1088*(1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1093=TRUE,F1093,0)/100)*(1+(IF(Skills!A5="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1107=TRUE)*(F1107-Calc!F24)),(Inputs!$B$23+((C1112=TRUE)*(F1112-Calc!F29))+(IF(ArtifactsInput!$M$15,CHOOSE(ArtifactsInput!$N$15+1,25,30,35,40,45,50)/100*(Inputs!$B$11-Inputs!$B$11),0))))/100+(Inputs!$B$23+((C1112=TRUE)*(F1112-Calc!F29))+(IF(ArtifactsInput!$M$15,CHOOSE(ArtifactsInput!$N$15+1,25,30,35,40,45,50)/100*(Inputs!$B$11-Inputs!$B$11),0)))/100)/2</f>
        <v/>
      </c>
      <c r="M1088">
        <f>L1088*(1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IF(B1126=0,0,O1088/B1126)</f>
        <v/>
      </c>
      <c r="Q1088">
        <f>IFERROR(1/(IF(Inputs!$B$38="pvp",15,MAX(0.1,Skills!D5-IF(Skills!E5=TRUE,Inputs!$B$32,0)))*(1-IF(AND(ArtifactsInput!$M$27,Inputs!$B$4="Chapter Hunt"),CHOOSE(ArtifactsInput!$N$27+1,20,24,28,32,36,40),0)/100)),0)</f>
        <v/>
      </c>
      <c r="R1088">
        <f>IF(AND(Inputs!$B$38&lt;&gt;"pvp",Inputs!$B$43&gt;0),IF(MAX(0,Inputs!$B$43-B1123)&lt;=0,0,(INT(MAX(0,Inputs!$B$43-B1123)/(IF(Inputs!$B$38="pvp",15,MAX(0.1,Skills!D5-IF(Skills!E5=TRUE,Inputs!$B$32,0)))*(1-IF(AND(ArtifactsInput!$M$27,Inputs!$B$4="Chapter Hunt"),CHOOSE(ArtifactsInput!$N$27+1,20,24,28,32,36,40),0)/100)))+1)),0)</f>
        <v/>
      </c>
      <c r="S1088">
        <f>IFERROR(O1088/N1088,0)</f>
        <v/>
      </c>
      <c r="T1088">
        <f>IF(C1088,(H1088*N1088*IF(AND(Inputs!$B$38&lt;&gt;"pvp",Inputs!$B$43&gt;0),((Skills!G5*((R1088-1)*IF(Skills!H5&gt;0,Skills!I5/Skills!H5,1)+IF(Skills!H5&gt;0,MIN(Skills!I5,MAX(0,MAX(0,Inputs!$B$43-B1123)-((R1088-1)*(IF(Inputs!$B$38="pvp",15,MAX(0.1,Skills!D5-IF(Skills!E5=TRUE,Inputs!$B$32,0)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1088*(1-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1123)-((R1088-1)*(IF(Inputs!$B$38="pvp",15,MAX(0.1,Skills!D5-IF(Skills!E5=TRUE,Inputs!$B$32,0)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Inputs!$B$3&gt;=40</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((Inputs!$B$6*(1+(Inputs!$B$7+1)/100))+(((Inputs!$B$12*(1+Inputs!$B$13/100))-(Inputs!$B$12*(1+Inputs!$B$13/100)))+0.25*(Inputs!$B$14-Inputs!$B$14))*(1+(Inputs!$B$7+1)/100))*(F1089/100)</f>
        <v/>
      </c>
      <c r="K1089">
        <f>J1089*(1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1090=TRUE,F1090,0)/100)*(1+(IF(Skills!A6="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1107=TRUE)*(F1107-Calc!F24)),(Inputs!$B$23+((C1112=TRUE)*(F1112-Calc!F29))+(IF(ArtifactsInput!$M$15,CHOOSE(ArtifactsInput!$N$15+1,25,30,35,40,45,50)/100*(Inputs!$B$11-Inputs!$B$11),0))))/100+(Inputs!$B$23+((C1112=TRUE)*(F1112-Calc!F29))+(IF(ArtifactsInput!$M$15,CHOOSE(ArtifactsInput!$N$15+1,25,30,35,40,45,50)/100*(Inputs!$B$11-Inputs!$B$11),0)))/100)/2</f>
        <v/>
      </c>
      <c r="M1089">
        <f>L1089*(1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IF(B1126=0,0,O1089/B1126)</f>
        <v/>
      </c>
      <c r="Q1089">
        <f>IFERROR(1/(IF(Inputs!$B$38="pvp",15,MAX(0.1,Skills!D6-IF(Skills!E6=TRUE,Inputs!$B$32,0)))*(1-IF(AND(ArtifactsInput!$M$27,Inputs!$B$4="Chapter Hunt"),CHOOSE(ArtifactsInput!$N$27+1,20,24,28,32,36,40),0)/100)),0)</f>
        <v/>
      </c>
      <c r="R1089">
        <f>IF(AND(Inputs!$B$38&lt;&gt;"pvp",Inputs!$B$43&gt;0),IF(MAX(0,Inputs!$B$43-B1123)&lt;=0,0,(INT(MAX(0,Inputs!$B$43-B1123)/(IF(Inputs!$B$38="pvp",15,MAX(0.1,Skills!D6-IF(Skills!E6=TRUE,Inputs!$B$32,0)))*(1-IF(AND(ArtifactsInput!$M$27,Inputs!$B$4="Chapter Hunt"),CHOOSE(ArtifactsInput!$N$27+1,20,24,28,32,36,40),0)/100)))+1)),0)</f>
        <v/>
      </c>
      <c r="S1089">
        <f>IFERROR(O1089/N1089,0)</f>
        <v/>
      </c>
      <c r="T1089">
        <f>IF(C1089,(H1089*N1089*IF(AND(Inputs!$B$38&lt;&gt;"pvp",Inputs!$B$43&gt;0),((Skills!G6*((R1089-1)*IF(Skills!H6&gt;0,Skills!I6/Skills!H6,1)+IF(Skills!H6&gt;0,MIN(Skills!I6,MAX(0,MAX(0,Inputs!$B$43-B1123)-((R1089-1)*(IF(Inputs!$B$38="pvp",15,MAX(0.1,Skills!D6-IF(Skills!E6=TRUE,Inputs!$B$32,0)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1123)-((R1089-1)*(IF(Inputs!$B$38="pvp",15,MAX(0.1,Skills!D6-IF(Skills!E6=TRUE,Inputs!$B$32,0)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Inputs!$B$3&gt;=107</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t="inlineStr"/>
      <c r="H1090" t="inlineStr"/>
      <c r="I1090" t="inlineStr">
        <is>
          <t>1</t>
        </is>
      </c>
      <c r="J1090" t="inlineStr"/>
      <c r="K1090" t="inlineStr"/>
      <c r="L1090" t="inlineStr"/>
      <c r="M1090" t="inlineStr"/>
      <c r="N1090" t="inlineStr"/>
      <c r="O1090" t="inlineStr"/>
      <c r="P1090" t="inlineStr"/>
      <c r="Q1090" t="inlineStr"/>
      <c r="R1090" t="inlineStr"/>
      <c r="S1090" t="inlineStr"/>
      <c r="T1090" t="inlineStr"/>
      <c r="V1090" t="inlineStr"/>
    </row>
    <row r="1091">
      <c r="A1091">
        <f>Skills!A8</f>
        <v/>
      </c>
      <c r="B1091">
        <f>Skills!B8</f>
        <v/>
      </c>
      <c r="C1091">
        <f>Inputs!$B$3&gt;=69</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((Inputs!$B$6*(1+(Inputs!$B$7+1)/100))+(((Inputs!$B$12*(1+Inputs!$B$13/100))-(Inputs!$B$12*(1+Inputs!$B$13/100)))+0.25*(Inputs!$B$14-Inputs!$B$14))*(1+(Inputs!$B$7+1)/100))*(F1091/100)</f>
        <v/>
      </c>
      <c r="K1091">
        <f>J1091*(1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1093=TRUE,F1093,0)/100)*(1+(IF(Skills!A8="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1107=TRUE)*(F1107-Calc!F24)),(Inputs!$B$23+((C1112=TRUE)*(F1112-Calc!F29))+(IF(ArtifactsInput!$M$15,CHOOSE(ArtifactsInput!$N$15+1,25,30,35,40,45,50)/100*(Inputs!$B$11-Inputs!$B$11),0))))/100+(Inputs!$B$23+((C1112=TRUE)*(F1112-Calc!F29))+(IF(ArtifactsInput!$M$15,CHOOSE(ArtifactsInput!$N$15+1,25,30,35,40,45,50)/100*(Inputs!$B$11-Inputs!$B$11),0)))/100)/2</f>
        <v/>
      </c>
      <c r="M1091">
        <f>L1091*(1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IF(B1126=0,0,O1091/B1126)</f>
        <v/>
      </c>
      <c r="Q1091">
        <f>IFERROR(1/(IF(Inputs!$B$38="pvp",15,MAX(0.1,Skills!D8-IF(Skills!E8=TRUE,Inputs!$B$32,0)))*(1-IF(AND(ArtifactsInput!$M$27,Inputs!$B$4="Chapter Hunt"),CHOOSE(ArtifactsInput!$N$27+1,20,24,28,32,36,40),0)/100)),0)</f>
        <v/>
      </c>
      <c r="R1091">
        <f>IF(AND(Inputs!$B$38&lt;&gt;"pvp",Inputs!$B$43&gt;0),IF(MAX(0,Inputs!$B$43-B1123)&lt;=0,0,(INT(MAX(0,Inputs!$B$43-B1123)/(IF(Inputs!$B$38="pvp",15,MAX(0.1,Skills!D8-IF(Skills!E8=TRUE,Inputs!$B$32,0)))*(1-IF(AND(ArtifactsInput!$M$27,Inputs!$B$4="Chapter Hunt"),CHOOSE(ArtifactsInput!$N$27+1,20,24,28,32,36,40),0)/100)))+1)),0)</f>
        <v/>
      </c>
      <c r="S1091">
        <f>IFERROR(O1091/N1091,0)</f>
        <v/>
      </c>
      <c r="T1091">
        <f>IF(C1091,(H1091*N1091*IF(AND(Inputs!$B$38&lt;&gt;"pvp",Inputs!$B$43&gt;0),((Skills!G8*((R1091-1)*IF(Skills!H8&gt;0,Skills!I8/Skills!H8,1)+IF(Skills!H8&gt;0,MIN(Skills!I8,MAX(0,MAX(0,Inputs!$B$43-B1123)-((R1091-1)*(IF(Inputs!$B$38="pvp",15,MAX(0.1,Skills!D8-IF(Skills!E8=TRUE,Inputs!$B$32,0)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1091*(1-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1123)-((R1091-1)*(IF(Inputs!$B$38="pvp",15,MAX(0.1,Skills!D8-IF(Skills!E8=TRUE,Inputs!$B$32,0)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Inputs!$B$3&gt;=63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((Inputs!$B$6*(1+(Inputs!$B$7+1)/100))+(((Inputs!$B$12*(1+Inputs!$B$13/100))-(Inputs!$B$12*(1+Inputs!$B$13/100)))+0.25*(Inputs!$B$14-Inputs!$B$14))*(1+(Inputs!$B$7+1)/100))*(F1092/100)</f>
        <v/>
      </c>
      <c r="K1092">
        <f>J1092*(1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1093=TRUE,F1093,0)/100)*(1+(IF(Skills!A9="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1107=TRUE)*(F1107-Calc!F24)),(Inputs!$B$23+((C1112=TRUE)*(F1112-Calc!F29))+(IF(ArtifactsInput!$M$15,CHOOSE(ArtifactsInput!$N$15+1,25,30,35,40,45,50)/100*(Inputs!$B$11-Inputs!$B$11),0))))/100+(Inputs!$B$23+((C1112=TRUE)*(F1112-Calc!F29))+(IF(ArtifactsInput!$M$15,CHOOSE(ArtifactsInput!$N$15+1,25,30,35,40,45,50)/100*(Inputs!$B$11-Inputs!$B$11),0)))/100)/2</f>
        <v/>
      </c>
      <c r="M1092">
        <f>L1092*(1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IF(B1126=0,0,O1092/B1126)</f>
        <v/>
      </c>
      <c r="Q1092">
        <f>IFERROR(1/(IF(Inputs!$B$38="pvp",15,MAX(0.1,Skills!D9-IF(Skills!E9=TRUE,Inputs!$B$32,0)))*(1-IF(AND(ArtifactsInput!$M$27,Inputs!$B$4="Chapter Hunt"),CHOOSE(ArtifactsInput!$N$27+1,20,24,28,32,36,40),0)/100)),0)</f>
        <v/>
      </c>
      <c r="R1092">
        <f>IF(AND(Inputs!$B$38&lt;&gt;"pvp",Inputs!$B$43&gt;0),IF(MAX(0,Inputs!$B$43-B1123)&lt;=0,0,(INT(MAX(0,Inputs!$B$43-B1123)/(IF(Inputs!$B$38="pvp",15,MAX(0.1,Skills!D9-IF(Skills!E9=TRUE,Inputs!$B$32,0)))*(1-IF(AND(ArtifactsInput!$M$27,Inputs!$B$4="Chapter Hunt"),CHOOSE(ArtifactsInput!$N$27+1,20,24,28,32,36,40),0)/100)))+1)),0)</f>
        <v/>
      </c>
      <c r="S1092">
        <f>IFERROR(O1092/N1092,0)</f>
        <v/>
      </c>
      <c r="T1092">
        <f>IF(C1092,(H1092*N1092*IF(AND(Inputs!$B$38&lt;&gt;"pvp",Inputs!$B$43&gt;0),((Skills!G9*((R1092-1)*IF(Skills!H9&gt;0,Skills!I9/Skills!H9,1)+IF(Skills!H9&gt;0,MIN(Skills!I9,MAX(0,MAX(0,Inputs!$B$43-B1123)-((R1092-1)*(IF(Inputs!$B$38="pvp",15,MAX(0.1,Skills!D9-IF(Skills!E9=TRUE,Inputs!$B$32,0)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1092*(1-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1123)-((R1092-1)*(IF(Inputs!$B$38="pvp",15,MAX(0.1,Skills!D9-IF(Skills!E9=TRUE,Inputs!$B$32,0)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Inputs!$B$3&gt;=100</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T1093" t="inlineStr"/>
      <c r="V1093" t="inlineStr"/>
    </row>
    <row r="1094">
      <c r="A1094">
        <f>Skills!A11</f>
        <v/>
      </c>
      <c r="B1094">
        <f>Skills!B11</f>
        <v/>
      </c>
      <c r="C1094">
        <f>Inputs!$B$3&gt;=60</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((Inputs!$B$6*(1+(Inputs!$B$7+1)/100))+(((Inputs!$B$12*(1+Inputs!$B$13/100))-(Inputs!$B$12*(1+Inputs!$B$13/100)))+0.25*(Inputs!$B$14-Inputs!$B$14))*(1+(Inputs!$B$7+1)/100))*(F1094/100)</f>
        <v/>
      </c>
      <c r="K1094">
        <f>J1094*(1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1095=TRUE,F1095,0)/100)*(1+(IF(Skills!A11="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1107=TRUE)*(F1107-Calc!F24)),(Inputs!$B$23+((C1112=TRUE)*(F1112-Calc!F29))+(IF(ArtifactsInput!$M$15,CHOOSE(ArtifactsInput!$N$15+1,25,30,35,40,45,50)/100*(Inputs!$B$11-Inputs!$B$11),0))))/100+(Inputs!$B$23+((C1112=TRUE)*(F1112-Calc!F29))+(IF(ArtifactsInput!$M$15,CHOOSE(ArtifactsInput!$N$15+1,25,30,35,40,45,50)/100*(Inputs!$B$11-Inputs!$B$11),0)))/100)/2</f>
        <v/>
      </c>
      <c r="M1094">
        <f>L1094*(1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IF(B1126=0,0,O1094/B1126)</f>
        <v/>
      </c>
      <c r="Q1094">
        <f>IFERROR(1/(IF(Inputs!$B$38="pvp",15,MAX(0.1,Skills!D11-IF(Skills!E11=TRUE,Inputs!$B$32,0)))*(1-IF(AND(ArtifactsInput!$M$27,Inputs!$B$4="Chapter Hunt"),CHOOSE(ArtifactsInput!$N$27+1,20,24,28,32,36,40),0)/100)),0)</f>
        <v/>
      </c>
      <c r="R1094">
        <f>IF(AND(Inputs!$B$38&lt;&gt;"pvp",Inputs!$B$43&gt;0),IF(MAX(0,Inputs!$B$43-B1123)&lt;=0,0,(INT(MAX(0,Inputs!$B$43-B1123)/(IF(Inputs!$B$38="pvp",15,MAX(0.1,Skills!D11-IF(Skills!E11=TRUE,Inputs!$B$32,0)))*(1-IF(AND(ArtifactsInput!$M$27,Inputs!$B$4="Chapter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1123)-((R1094-1)*(IF(Inputs!$B$38="pvp",15,MAX(0.1,Skills!D11-IF(Skills!E11=TRUE,Inputs!$B$32,0)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1094*(1-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1123)-((R1094-1)*(IF(Inputs!$B$38="pvp",15,MAX(0.1,Skills!D11-IF(Skills!E11=TRUE,Inputs!$B$32,0)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t="inlineStr"/>
      <c r="H1095" t="inlineStr"/>
      <c r="I1095" t="inlineStr">
        <is>
          <t>1</t>
        </is>
      </c>
      <c r="J1095" t="inlineStr"/>
      <c r="K1095" t="inlineStr"/>
      <c r="L1095" t="inlineStr"/>
      <c r="M1095" t="inlineStr"/>
      <c r="N1095" t="inlineStr"/>
      <c r="O1095" t="inlineStr"/>
      <c r="P1095" t="inlineStr"/>
      <c r="Q1095" t="inlineStr"/>
      <c r="R1095" t="inlineStr"/>
      <c r="S1095" t="inlineStr"/>
      <c r="T1095" t="inlineStr"/>
      <c r="V1095" t="inlineStr"/>
    </row>
    <row r="1096">
      <c r="A1096">
        <f>Skills!A13</f>
        <v/>
      </c>
      <c r="B1096">
        <f>Skills!B13</f>
        <v/>
      </c>
      <c r="C1096">
        <f>Inputs!$B$3&gt;=74</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t="inlineStr"/>
      <c r="K1096" t="inlineStr"/>
      <c r="L1096" t="inlineStr"/>
      <c r="M1096" t="inlineStr"/>
      <c r="N1096" t="inlineStr"/>
      <c r="O1096">
        <f>(1-Summary!$B$11)*T1096+Summary!$B$11*V1096</f>
        <v/>
      </c>
      <c r="P1096">
        <f>IF(B1126=0,0,O1096/B1126)</f>
        <v/>
      </c>
      <c r="Q1096" t="n">
        <v>0</v>
      </c>
      <c r="R1096" t="n">
        <v>0</v>
      </c>
      <c r="S1096">
        <f>IFERROR(O1096/N1096,0)</f>
        <v/>
      </c>
      <c r="T1096" t="n">
        <v>0</v>
      </c>
      <c r="V1096" t="n">
        <v>0</v>
      </c>
    </row>
    <row r="1097">
      <c r="A1097">
        <f>Skills!A14</f>
        <v/>
      </c>
      <c r="B1097">
        <f>Skills!B14</f>
        <v/>
      </c>
      <c r="C1097">
        <f>Inputs!$B$3&gt;=74</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t="inlineStr"/>
      <c r="K1097" t="inlineStr"/>
      <c r="L1097" t="inlineStr"/>
      <c r="M1097" t="inlineStr"/>
      <c r="N1097" t="inlineStr"/>
      <c r="O1097">
        <f>(1-Summary!$B$11)*T1097+Summary!$B$11*V1097</f>
        <v/>
      </c>
      <c r="P1097">
        <f>IF(B1126=0,0,O1097/B1126)</f>
        <v/>
      </c>
      <c r="Q1097" t="n">
        <v>0</v>
      </c>
      <c r="R1097" t="n">
        <v>0</v>
      </c>
      <c r="S1097">
        <f>IFERROR(O1097/N1097,0)</f>
        <v/>
      </c>
      <c r="T1097" t="n">
        <v>0</v>
      </c>
      <c r="V1097" t="n">
        <v>0</v>
      </c>
    </row>
    <row r="1098">
      <c r="A1098">
        <f>Skills!A15</f>
        <v/>
      </c>
      <c r="B1098">
        <f>Skills!B15</f>
        <v/>
      </c>
      <c r="C1098">
        <f>Inputs!$B$3&gt;=117</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f>Skills!G15*IF(Skills!H15&gt;0,Skills!I15/Skills!H15,1)</f>
        <v/>
      </c>
      <c r="H1098">
        <f>1-(1-Skills!J15/100)^Skills!K15</f>
        <v/>
      </c>
      <c r="I1098" t="inlineStr">
        <is>
          <t>1</t>
        </is>
      </c>
      <c r="J1098" t="inlineStr"/>
      <c r="K1098" t="inlineStr"/>
      <c r="L1098" t="inlineStr"/>
      <c r="M1098" t="inlineStr"/>
      <c r="N1098" t="inlineStr"/>
      <c r="O1098">
        <f>(1-Summary!$B$11)*T1098+Summary!$B$11*V1098</f>
        <v/>
      </c>
      <c r="P1098">
        <f>IF(B1126=0,0,O1098/B1126)</f>
        <v/>
      </c>
      <c r="Q1098">
        <f>IFERROR(1/(IF(Inputs!$B$38="pvp",15,MAX(0.1,Skills!D15-IF(Skills!E15=TRUE,Inputs!$B$32,0)))*(1-IF(AND(ArtifactsInput!$M$27,Inputs!$B$4="Chapter Hunt"),CHOOSE(ArtifactsInput!$N$27+1,20,24,28,32,36,40),0)/100)),0)</f>
        <v/>
      </c>
      <c r="R1098">
        <f>IF(AND(Inputs!$B$38&lt;&gt;"pvp",Inputs!$B$43&gt;0),IF(Inputs!$B$43&lt;=0,0,(INT(Inputs!$B$43/(IF(Inputs!$B$38="pvp",15,MAX(0.1,Skills!D15-IF(Skills!E15=TRUE,Inputs!$B$32,0)))*(1-IF(AND(ArtifactsInput!$M$27,Inputs!$B$4="Chapter Hunt"),CHOOSE(ArtifactsInput!$N$27+1,20,24,28,32,36,40),0)/100)))+1)),0)</f>
        <v/>
      </c>
      <c r="S1098">
        <f>IFERROR(O1098/N1098,0)</f>
        <v/>
      </c>
      <c r="T1098" t="n">
        <v>0</v>
      </c>
      <c r="V1098" t="n">
        <v>0</v>
      </c>
    </row>
    <row r="1099">
      <c r="A1099">
        <f>Skills!A16</f>
        <v/>
      </c>
      <c r="B1099">
        <f>Skills!B16</f>
        <v/>
      </c>
      <c r="C1099">
        <f>Inputs!$B$3&gt;=115</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f>Skills!G16*IF(Skills!H16&gt;0,Skills!I16/Skills!H16,1)</f>
        <v/>
      </c>
      <c r="H1099">
        <f>1-(1-Skills!J16/100)^Skills!K16</f>
        <v/>
      </c>
      <c r="I1099" t="inlineStr">
        <is>
          <t>1</t>
        </is>
      </c>
      <c r="J1099" t="inlineStr"/>
      <c r="K1099" t="inlineStr"/>
      <c r="L1099" t="inlineStr"/>
      <c r="M1099" t="inlineStr"/>
      <c r="N1099" t="inlineStr"/>
      <c r="O1099">
        <f>(1-Summary!$B$11)*T1099+Summary!$B$11*V1099</f>
        <v/>
      </c>
      <c r="P1099">
        <f>IF(B1126=0,0,O1099/B1126)</f>
        <v/>
      </c>
      <c r="Q1099">
        <f>IFERROR(1/(IF(Inputs!$B$38="pvp",15,MAX(0.1,Skills!D16-IF(Skills!E16=TRUE,Inputs!$B$32,0)))*(1-IF(AND(ArtifactsInput!$M$27,Inputs!$B$4="Chapter Hunt"),CHOOSE(ArtifactsInput!$N$27+1,20,24,28,32,36,40),0)/100)),0)</f>
        <v/>
      </c>
      <c r="R1099">
        <f>IF(AND(Inputs!$B$38&lt;&gt;"pvp",Inputs!$B$43&gt;0),IF(Inputs!$B$43&lt;=0,0,(INT(Inputs!$B$43/(IF(Inputs!$B$38="pvp",15,MAX(0.1,Skills!D16-IF(Skills!E16=TRUE,Inputs!$B$32,0)))*(1-IF(AND(ArtifactsInput!$M$27,Inputs!$B$4="Chapter Hunt"),CHOOSE(ArtifactsInput!$N$27+1,20,24,28,32,36,40),0)/100)))+1)),0)</f>
        <v/>
      </c>
      <c r="S1099">
        <f>IFERROR(O1099/N1099,0)</f>
        <v/>
      </c>
      <c r="T1099" t="n">
        <v>0</v>
      </c>
      <c r="V1099" t="n">
        <v>0</v>
      </c>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IF(B1126=0,0,O1100/B1126)</f>
        <v/>
      </c>
      <c r="Q1100" t="n">
        <v>0</v>
      </c>
      <c r="R1100" t="n">
        <v>0</v>
      </c>
      <c r="S1100">
        <f>IFERROR(O1100/N1100,0)</f>
        <v/>
      </c>
      <c r="T1100" t="n">
        <v>0</v>
      </c>
      <c r="V1100" t="n">
        <v>0</v>
      </c>
    </row>
    <row r="1101">
      <c r="A1101">
        <f>Skills!A18</f>
        <v/>
      </c>
      <c r="B1101">
        <f>Skills!B18</f>
        <v/>
      </c>
      <c r="C1101">
        <f>Inputs!$B$3&gt;=72</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IF(B1126=0,0,O1101/B1126)</f>
        <v/>
      </c>
      <c r="Q1101" t="n">
        <v>0</v>
      </c>
      <c r="R1101" t="n">
        <v>0</v>
      </c>
      <c r="S1101">
        <f>IFERROR(O1101/N1101,0)</f>
        <v/>
      </c>
      <c r="T1101" t="n">
        <v>0</v>
      </c>
      <c r="V1101" t="n">
        <v>0</v>
      </c>
    </row>
    <row r="1102">
      <c r="A1102">
        <f>Skills!A19</f>
        <v/>
      </c>
      <c r="B1102">
        <f>Skills!B19</f>
        <v/>
      </c>
      <c r="C1102">
        <f>TRUE</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IF(B1126=0,0,O1102/B1126)</f>
        <v/>
      </c>
      <c r="Q1102">
        <f>IFERROR(1/(IF(Inputs!$B$38="pvp",15,MAX(0.1,Skills!D19-IF(Skills!E19=TRUE,Inputs!$B$32,0)))*(1-IF(AND(ArtifactsInput!$M$27,Inputs!$B$4="Chapter Hunt"),CHOOSE(ArtifactsInput!$N$27+1,20,24,28,32,36,40),0)/100)),0)</f>
        <v/>
      </c>
      <c r="R1102">
        <f>IF(AND(Inputs!$B$38&lt;&gt;"pvp",Inputs!$B$43&gt;0),IF(Inputs!$B$43&lt;=0,0,(INT(Inputs!$B$43/(IF(Inputs!$B$38="pvp",15,MAX(0.1,Skills!D19-IF(Skills!E19=TRUE,Inputs!$B$32,0)))*(1-IF(AND(ArtifactsInput!$M$27,Inputs!$B$4="Chapter Hunt"),CHOOSE(ArtifactsInput!$N$27+1,20,24,28,32,36,40),0)/100)))+1)),0)</f>
        <v/>
      </c>
      <c r="S1102">
        <f>IFERROR(O1102/N1102,0)</f>
        <v/>
      </c>
      <c r="T1102" t="n">
        <v>0</v>
      </c>
      <c r="V1102" t="n">
        <v>0</v>
      </c>
    </row>
    <row r="1103">
      <c r="A1103">
        <f>Skills!A20</f>
        <v/>
      </c>
      <c r="B1103">
        <f>Skills!B20</f>
        <v/>
      </c>
      <c r="C1103">
        <f>Inputs!$B$3&gt;=15</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IF(B1126=0,0,O1103/B1126)</f>
        <v/>
      </c>
      <c r="Q1103" t="n">
        <v>0</v>
      </c>
      <c r="R1103" t="n">
        <v>0</v>
      </c>
      <c r="S1103">
        <f>IFERROR(O1103/N1103,0)</f>
        <v/>
      </c>
      <c r="T1103" t="n">
        <v>0</v>
      </c>
      <c r="V1103" t="n">
        <v>0</v>
      </c>
    </row>
    <row r="1104">
      <c r="A1104">
        <f>Skills!A21</f>
        <v/>
      </c>
      <c r="B1104">
        <f>Skills!B21</f>
        <v/>
      </c>
      <c r="C1104">
        <f>Inputs!$B$3&gt;=10</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IF(B1126=0,0,O1104/B1126)</f>
        <v/>
      </c>
      <c r="Q1104" t="n">
        <v>0</v>
      </c>
      <c r="R1104" t="n">
        <v>0</v>
      </c>
      <c r="S1104">
        <f>IFERROR(O1104/N1104,0)</f>
        <v/>
      </c>
      <c r="T1104" t="n">
        <v>0</v>
      </c>
      <c r="V1104" t="n">
        <v>0</v>
      </c>
    </row>
    <row r="1105">
      <c r="A1105">
        <f>Skills!A22</f>
        <v/>
      </c>
      <c r="B1105">
        <f>Skills!B22</f>
        <v/>
      </c>
      <c r="C1105">
        <f>Inputs!$B$3&gt;=33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IF(B1126=0,0,O1105/B1126)</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IF(B1126=0,0,O1106/B1126)</f>
        <v/>
      </c>
      <c r="Q1106" t="n">
        <v>0</v>
      </c>
      <c r="R1106" t="n">
        <v>0</v>
      </c>
      <c r="S1106">
        <f>IFERROR(O1106/N1106,0)</f>
        <v/>
      </c>
      <c r="T1106" t="n">
        <v>0</v>
      </c>
      <c r="V1106" t="n">
        <v>0</v>
      </c>
    </row>
    <row r="1107">
      <c r="A1107">
        <f>Skills!A24</f>
        <v/>
      </c>
      <c r="B1107">
        <f>Skills!B24</f>
        <v/>
      </c>
      <c r="C1107">
        <f>Inputs!$B$3&gt;=43</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IF(B1126=0,0,O1107/B1126)</f>
        <v/>
      </c>
      <c r="Q1107" t="n">
        <v>0</v>
      </c>
      <c r="R1107" t="n">
        <v>0</v>
      </c>
      <c r="S1107">
        <f>IFERROR(O1107/N1107,0)</f>
        <v/>
      </c>
      <c r="T1107" t="n">
        <v>0</v>
      </c>
      <c r="V1107" t="n">
        <v>0</v>
      </c>
    </row>
    <row r="1108">
      <c r="A1108">
        <f>Skills!A25</f>
        <v/>
      </c>
      <c r="B1108">
        <f>Skills!B25</f>
        <v/>
      </c>
      <c r="C1108">
        <f>Inputs!$B$3&gt;=75</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IF(B1126=0,0,O1108/B1126)</f>
        <v/>
      </c>
      <c r="Q1108" t="n">
        <v>0</v>
      </c>
      <c r="R1108" t="n">
        <v>0</v>
      </c>
      <c r="S1108">
        <f>IFERROR(O1108/N1108,0)</f>
        <v/>
      </c>
      <c r="T1108" t="n">
        <v>0</v>
      </c>
      <c r="V1108" t="n">
        <v>0</v>
      </c>
    </row>
    <row r="1109">
      <c r="A1109">
        <f>Skills!A26</f>
        <v/>
      </c>
      <c r="B1109">
        <f>Skills!B26</f>
        <v/>
      </c>
      <c r="C1109">
        <f>Inputs!$B$3&gt;=125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IF(B1126=0,0,O1109/B1126)</f>
        <v/>
      </c>
      <c r="Q1109" t="n">
        <v>0</v>
      </c>
      <c r="R1109" t="n">
        <v>0</v>
      </c>
      <c r="S1109">
        <f>IFERROR(O1109/N1109,0)</f>
        <v/>
      </c>
      <c r="T1109" t="n">
        <v>0</v>
      </c>
      <c r="V1109" t="n">
        <v>0</v>
      </c>
    </row>
    <row r="1110">
      <c r="A1110">
        <f>Skills!A27</f>
        <v/>
      </c>
      <c r="B1110">
        <f>Skills!B27</f>
        <v/>
      </c>
      <c r="C1110">
        <f>Inputs!$B$3&gt;=125</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IF(B1126=0,0,O1110/B1126)</f>
        <v/>
      </c>
      <c r="Q1110" t="n">
        <v>0</v>
      </c>
      <c r="R1110" t="n">
        <v>0</v>
      </c>
      <c r="S1110">
        <f>IFERROR(O1110/N1110,0)</f>
        <v/>
      </c>
      <c r="T1110" t="n">
        <v>0</v>
      </c>
      <c r="V1110" t="n">
        <v>0</v>
      </c>
    </row>
    <row r="1111">
      <c r="A1111">
        <f>Skills!A28</f>
        <v/>
      </c>
      <c r="B1111">
        <f>Skills!B28</f>
        <v/>
      </c>
      <c r="C1111">
        <f>Inputs!$B$3&gt;=120</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IF(B1126=0,0,O1111/B1126)</f>
        <v/>
      </c>
      <c r="Q1111" t="n">
        <v>0</v>
      </c>
      <c r="R1111" t="n">
        <v>0</v>
      </c>
      <c r="S1111">
        <f>IFERROR(O1111/N1111,0)</f>
        <v/>
      </c>
      <c r="T1111" t="n">
        <v>0</v>
      </c>
      <c r="V1111" t="n">
        <v>0</v>
      </c>
    </row>
    <row r="1112">
      <c r="A1112">
        <f>Skills!A29</f>
        <v/>
      </c>
      <c r="B1112">
        <f>Skills!B29</f>
        <v/>
      </c>
      <c r="C1112">
        <f>Inputs!$B$3&gt;=120</f>
        <v/>
      </c>
      <c r="D1112">
        <f>IF(Skills!C29=1,60+Inputs!$B$25+Inputs!$B$29,IF(Skills!C29=2,90+Inputs!$B$26+Inputs!$B$29,IF(Skills!C29=3,120+Inputs!$B$27+Inputs!$B$29,MAX(0,(Inputs!$B$3-100)*3)+Inputs!$B$28+Inputs!$B$29)))</f>
        <v/>
      </c>
      <c r="E1112">
        <f>INDEX(FactorTable!$B$2:$Y$301, MATCH(ROUND(MIN(300,MAX(1,D1112)),0), FactorTable!$A$2:$A$301,0), Skills!M29+1)</f>
        <v/>
      </c>
      <c r="F1112">
        <f>IF(Skills!N29=TRUE,(Skills!L29/10)*(E1112/1000),Skills!L29/10)+Skills!O29</f>
        <v/>
      </c>
      <c r="G1112">
        <f>Skills!G29*IF(Skills!H29&gt;0,Skills!I29/Skills!H29,1)</f>
        <v/>
      </c>
      <c r="H1112">
        <f>1-(1-Skills!J29/100)^Skills!K29</f>
        <v/>
      </c>
      <c r="I1112" t="inlineStr">
        <is>
          <t>1</t>
        </is>
      </c>
      <c r="J1112" t="inlineStr"/>
      <c r="K1112" t="inlineStr"/>
      <c r="L1112" t="inlineStr"/>
      <c r="M1112" t="inlineStr"/>
      <c r="N1112" t="inlineStr"/>
      <c r="O1112">
        <f>(1-Summary!$B$11)*T1112+Summary!$B$11*V1112</f>
        <v/>
      </c>
      <c r="P1112">
        <f>IF(B1126=0,0,O1112/B1126)</f>
        <v/>
      </c>
      <c r="Q1112" t="n">
        <v>0</v>
      </c>
      <c r="R1112" t="n">
        <v>0</v>
      </c>
      <c r="S1112">
        <f>IFERROR(O1112/N1112,0)</f>
        <v/>
      </c>
      <c r="T1112" t="n">
        <v>0</v>
      </c>
      <c r="V1112" t="n">
        <v>0</v>
      </c>
    </row>
    <row r="1113">
      <c r="A1113">
        <f>Skills!A30</f>
        <v/>
      </c>
      <c r="B1113">
        <f>Skills!B30</f>
        <v/>
      </c>
      <c r="C1113">
        <f>Inputs!$B$3&gt;=45</f>
        <v/>
      </c>
      <c r="D1113">
        <f>IF(Skills!C30=1,60+Inputs!$B$25+Inputs!$B$29,IF(Skills!C30=2,90+Inputs!$B$26+Inputs!$B$29,IF(Skills!C30=3,120+Inputs!$B$27+Inputs!$B$29,MAX(0,(Inputs!$B$3-100)*3)+Inputs!$B$28+Inputs!$B$29)))</f>
        <v/>
      </c>
      <c r="E1113">
        <f>INDEX(FactorTable!$B$2:$Y$301, MATCH(ROUND(MIN(300,MAX(1,D1113)),0), FactorTable!$A$2:$A$301,0), Skills!M30+1)</f>
        <v/>
      </c>
      <c r="F1113">
        <f>IF(Skills!N30=TRUE,(Skills!L30/10)*(E1113/1000),Skills!L30/10)+Skills!O30</f>
        <v/>
      </c>
      <c r="G1113">
        <f>Skills!G30*IF(Skills!H30&gt;0,Skills!I30/Skills!H30,1)</f>
        <v/>
      </c>
      <c r="H1113">
        <f>1-(1-Skills!J30/100)^Skills!K30</f>
        <v/>
      </c>
      <c r="I1113" t="inlineStr">
        <is>
          <t>1</t>
        </is>
      </c>
      <c r="J1113" t="inlineStr"/>
      <c r="K1113" t="inlineStr"/>
      <c r="L1113" t="inlineStr"/>
      <c r="M1113" t="inlineStr"/>
      <c r="N1113" t="inlineStr"/>
      <c r="O1113">
        <f>(1-Summary!$B$11)*T1113+Summary!$B$11*V1113</f>
        <v/>
      </c>
      <c r="P1113">
        <f>IF(B1126=0,0,O1113/B1126)</f>
        <v/>
      </c>
      <c r="Q1113" t="n">
        <v>0</v>
      </c>
      <c r="R1113" t="n">
        <v>0</v>
      </c>
      <c r="S1113">
        <f>IFERROR(O1113/N1113,0)</f>
        <v/>
      </c>
      <c r="T1113" t="n">
        <v>0</v>
      </c>
      <c r="V1113" t="n">
        <v>0</v>
      </c>
    </row>
    <row r="1115">
      <c r="A1115" t="inlineStr">
        <is>
          <t>Attack% Bucket Multiplier</t>
        </is>
      </c>
      <c r="B1115">
        <f>(1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6">
      <c r="A1116" t="inlineStr">
        <is>
          <t>Global Crit Rate Bonus %</t>
        </is>
      </c>
      <c r="B1116">
        <f>(C1099=TRUE)*20*IF(AND(Inputs!$B$38&lt;&gt;"pvp",Inputs!$B$43&gt;0),(((R1099-1)*(Skills!T16*(1+Inputs!$B$34/100))+MIN((Skills!T16*(1+Inputs!$B$34/100)),MAX(0,Inputs!$B$43-((R1099-1)*Skills!D16))))/Inputs!$B$43),IF(Inputs!$B$38="pvp",MIN((Skills!T16*(1+Inputs!$B$34/100)),15)/15,(Skills!T16*(1+Inputs!$B$34/100))/Skills!D16))</f>
        <v/>
      </c>
    </row>
    <row r="1117">
      <c r="A1117" t="inlineStr">
        <is>
          <t>Attack Speed Buff Bonus %</t>
        </is>
      </c>
      <c r="B1117">
        <f>((C1102=TRUE)*F1102*IF(AND(Inputs!$B$38&lt;&gt;"pvp",Inputs!$B$43&gt;0),(((R1102-1)*(Skills!T19*(1+Inputs!$B$34/100))+MIN((Skills!T19*(1+Inputs!$B$34/100)),MAX(0,Inputs!$B$43-((R1102-1)*Skills!D19))))/Inputs!$B$43),IF(Inputs!$B$38="pvp",MIN((Skills!T19*(1+Inputs!$B$34/100)),15)/15,(Skills!T19*(1+Inputs!$B$34/100))/Skills!D19)))</f>
        <v/>
      </c>
    </row>
    <row r="1118">
      <c r="A1118" t="inlineStr">
        <is>
          <t>Actions Per Second</t>
        </is>
      </c>
      <c r="B1118">
        <f>1+MIN(150,150*(1-(1-(Inputs!$B$11+((C1104=TRUE)*(F1104-Calc!F21))+((C1105=TRUE)*(F1105-Calc!F22)))/150)*(1-B1117/150)))/100</f>
        <v/>
      </c>
    </row>
    <row r="1119">
      <c r="A1119" t="inlineStr">
        <is>
          <t>Skill + Buff Cast Rate</t>
        </is>
      </c>
      <c r="B1119">
        <f>IF(AND(Inputs!$B$38&lt;&gt;"pvp",Inputs!$B$43&gt;0),SUMPRODUCT((Skills!E2:E30=TRUE)*(C1085:C1113=TRUE)*R1085:R1113*Skills!F2:F30)/Inputs!$B$43,SUMPRODUCT((Skills!E2:E30=TRUE)*(C1085:C1113=TRUE)*Q1085:Q1113*Skills!F2:F30))</f>
        <v/>
      </c>
    </row>
    <row r="1120">
      <c r="A1120" t="inlineStr">
        <is>
          <t>Arrow Stream Casts Per Second</t>
        </is>
      </c>
      <c r="B1120">
        <f>MAX(0,B1118-B1119)</f>
        <v/>
      </c>
    </row>
    <row r="1121">
      <c r="A1121" t="inlineStr">
        <is>
          <t>Global Critical Damage Bonus % (Sharp Eyes + Concentration)</t>
        </is>
      </c>
      <c r="B1121">
        <f>(C1099=TRUE)*F1099*IF(AND(Inputs!$B$38&lt;&gt;"pvp",Inputs!$B$43&gt;0),(((R1099-1)*(Skills!T16*(1+Inputs!$B$34/100))+MIN((Skills!T16*(1+Inputs!$B$34/100)),MAX(0,Inputs!$B$43-((R1099-1)*Skills!D16))))/Inputs!$B$43),IF(Inputs!$B$38="pvp",MIN((Skills!T16*(1+Inputs!$B$34/100)),15)/15,(Skills!T16*(1+Inputs!$B$34/100))/Skills!D16))+(C1100=TRUE)*30</f>
        <v/>
      </c>
    </row>
    <row r="1122">
      <c r="A1122" t="inlineStr">
        <is>
          <t>Global Final Damage Bonus % (Mortal Blow)</t>
        </is>
      </c>
      <c r="B1122">
        <f>(C1101=TRUE)*F1101</f>
        <v/>
      </c>
    </row>
    <row r="1123">
      <c r="A1123" t="inlineStr">
        <is>
          <t>Buff-Casting Startup Delay (s, fixed-duration only)</t>
        </is>
      </c>
      <c r="B1123">
        <f>IF(AND(Inputs!$B$38&lt;&gt;"pvp",Inputs!$B$43&gt;0),SUMPRODUCT((Skills!T2:T30&gt;0)*(Skills!E2:E30=TRUE)*(C1085:C1113=TRUE))/B1118,0)</f>
        <v/>
      </c>
    </row>
    <row r="1124">
      <c r="A1124" t="inlineStr">
        <is>
          <t>Boss-Only Total DPS (this block's swept value)</t>
        </is>
      </c>
      <c r="B1124">
        <f>SUM(T1085:T1113)</f>
        <v/>
      </c>
    </row>
    <row r="1125">
      <c r="A1125" t="inlineStr">
        <is>
          <t>Normal-Only Total DPS (this block's swept value)</t>
        </is>
      </c>
      <c r="B1125">
        <f>SUM(V1085:V1113)</f>
        <v/>
      </c>
    </row>
    <row r="1126">
      <c r="A1126" s="6" t="inlineStr">
        <is>
          <t>TOTAL DPS</t>
        </is>
      </c>
      <c r="B1126" s="6">
        <f>SUM(O1085:O1113)</f>
        <v/>
      </c>
    </row>
    <row r="1129">
      <c r="A1129" s="6" t="inlineStr">
        <is>
          <t>Stat: Skill Cooldown Decrease (seconds)</t>
        </is>
      </c>
    </row>
    <row r="1130">
      <c r="A1130" s="5" t="inlineStr">
        <is>
          <t>Key</t>
        </is>
      </c>
      <c r="B1130" s="5" t="inlineStr">
        <is>
          <t>Name</t>
        </is>
      </c>
      <c r="C1130" s="5" t="inlineStr">
        <is>
          <t>Unlocked</t>
        </is>
      </c>
      <c r="D1130" s="5" t="inlineStr">
        <is>
          <t>InputLevel</t>
        </is>
      </c>
      <c r="E1130" s="5" t="inlineStr">
        <is>
          <t>Factor</t>
        </is>
      </c>
      <c r="F1130" s="5" t="inlineStr">
        <is>
          <t>CoefficientPercent</t>
        </is>
      </c>
      <c r="G1130" s="5" t="inlineStr">
        <is>
          <t>EffectiveHits</t>
        </is>
      </c>
      <c r="H1130" s="5" t="inlineStr">
        <is>
          <t>ProcProbability</t>
        </is>
      </c>
      <c r="I1130" s="5" t="inlineStr">
        <is>
          <t>MapleHeroMultiplier</t>
        </is>
      </c>
      <c r="J1130" s="5" t="inlineStr">
        <is>
          <t>BaseDamage</t>
        </is>
      </c>
      <c r="K1130" s="5" t="inlineStr">
        <is>
          <t>BaseHitDamage</t>
        </is>
      </c>
      <c r="L1130" s="5" t="inlineStr">
        <is>
          <t>NonCritAvg</t>
        </is>
      </c>
      <c r="M1130" s="5" t="inlineStr">
        <is>
          <t>CritAvg</t>
        </is>
      </c>
      <c r="N1130" s="5" t="inlineStr">
        <is>
          <t>ExpectedDamage(perHit)</t>
        </is>
      </c>
      <c r="O1130" s="5" t="inlineStr">
        <is>
          <t>DPS</t>
        </is>
      </c>
      <c r="P1130" s="5" t="inlineStr">
        <is>
          <t>% of Total</t>
        </is>
      </c>
      <c r="Q1130" s="5" t="inlineStr">
        <is>
          <t>InvCooldown</t>
        </is>
      </c>
      <c r="R1130" s="5" t="inlineStr">
        <is>
          <t>CastsInFight</t>
        </is>
      </c>
      <c r="S1130" s="5" t="inlineStr">
        <is>
          <t>HitRate(perSec)</t>
        </is>
      </c>
      <c r="U1130" t="inlineStr">
        <is>
          <t>helpers</t>
        </is>
      </c>
    </row>
    <row r="1131">
      <c r="A1131">
        <f>Skills!A2</f>
        <v/>
      </c>
      <c r="B1131">
        <f>Skills!B2</f>
        <v/>
      </c>
      <c r="C1131">
        <f>Inputs!$B$3&gt;=100</f>
        <v/>
      </c>
      <c r="D1131" t="inlineStr"/>
      <c r="E1131" t="inlineStr"/>
      <c r="F1131">
        <f>U1133+Skills!O2</f>
        <v/>
      </c>
      <c r="G1131">
        <f>Skills!G2*IF(Skills!H2&gt;0,Skills!I2/Skills!H2,1)</f>
        <v/>
      </c>
      <c r="H1131">
        <f>1-(1-Skills!J2/100)^Skills!K2</f>
        <v/>
      </c>
      <c r="I1131" t="inlineStr">
        <is>
          <t>1</t>
        </is>
      </c>
      <c r="J1131">
        <f>((Inputs!$B$6*(1+Inputs!$B$7/100))+(((Inputs!$B$12*(1+Inputs!$B$13/100))-(Inputs!$B$12*(1+Inputs!$B$13/100)))+0.25*(Inputs!$B$14-Inputs!$B$14))*(1+Inputs!$B$7/100))*(F1131/100)</f>
        <v/>
      </c>
      <c r="K1131">
        <f>J1131*(1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1153=TRUE)*(F1153-Calc!F24)),(Inputs!$B$23+((C1158=TRUE)*(F1158-Calc!F29))+(IF(ArtifactsInput!$M$15,CHOOSE(ArtifactsInput!$N$15+1,25,30,35,40,45,50)/100*(Inputs!$B$11-Inputs!$B$11),0))))/100+(Inputs!$B$23+((C1158=TRUE)*(F1158-Calc!F29))+(IF(ArtifactsInput!$M$15,CHOOSE(ArtifactsInput!$N$15+1,25,30,35,40,45,50)/100*(Inputs!$B$11-Inputs!$B$11),0)))/100)/2</f>
        <v/>
      </c>
      <c r="M1131">
        <f>L1131*(1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IF(B1172=0,0,O1131/B1172)</f>
        <v/>
      </c>
      <c r="Q1131" t="n">
        <v>0</v>
      </c>
      <c r="R1131" t="n">
        <v>0</v>
      </c>
      <c r="S1131">
        <f>IFERROR(O1131/N1131,0)</f>
        <v/>
      </c>
      <c r="T1131">
        <f>IF(C1131,(Skills!G2*N1131*B1166)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1131*(1-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MAX(0,(Inputs!$B$3-100)*3)+Inputs!$B$28+Inputs!$B$29</f>
        <v/>
      </c>
      <c r="V1131">
        <f>IF(C1131,(Skills!G2*N1131*B1166)*IF(Inputs!$B$38="pvp",1,(1+(Inputs!$B$21+Skills!Q2+(IF(ArtifactsInput!$M$33,CHOOSE(ArtifactsInput!$N$33+1,30,36,42,48,54,60),0))+(IF(AND(ArtifactsInput!$M$35,Inputs!$B$4&lt;&gt;"Chapter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Skills!A3</f>
        <v/>
      </c>
      <c r="B1132">
        <f>Skills!B3</f>
        <v/>
      </c>
      <c r="C1132">
        <f>Inputs!$B$3&gt;=50</f>
        <v/>
      </c>
      <c r="D1132">
        <f>IF(Skills!C3=1,60+Inputs!$B$25+Inputs!$B$29,IF(Skills!C3=2,90+Inputs!$B$26+Inputs!$B$29,IF(Skills!C3=3,120+Inputs!$B$27+Inputs!$B$29,MAX(0,(Inputs!$B$3-100)*3)+Inputs!$B$28+Inputs!$B$29)))</f>
        <v/>
      </c>
      <c r="E1132">
        <f>INDEX(FactorTable!$B$2:$Y$301, MATCH(ROUND(MIN(300,MAX(1,D1132)),0), FactorTable!$A$2:$A$301,0), Skills!M3+1)</f>
        <v/>
      </c>
      <c r="F1132">
        <f>IF(Skills!N3=TRUE,(Skills!L3/10)*(E1132/1000),Skills!L3/10)+Skills!O3</f>
        <v/>
      </c>
      <c r="G1132" t="inlineStr"/>
      <c r="H1132" t="inlineStr"/>
      <c r="I1132" t="inlineStr">
        <is>
          <t>1</t>
        </is>
      </c>
      <c r="J1132" t="inlineStr"/>
      <c r="K1132" t="inlineStr"/>
      <c r="L1132" t="inlineStr"/>
      <c r="M1132" t="inlineStr"/>
      <c r="N1132" t="inlineStr"/>
      <c r="O1132" t="inlineStr"/>
      <c r="P1132" t="inlineStr"/>
      <c r="Q1132" t="inlineStr"/>
      <c r="R1132" t="inlineStr"/>
      <c r="S1132" t="inlineStr"/>
      <c r="T1132" t="inlineStr"/>
      <c r="U1132">
        <f>INDEX(FactorTable!$B$2:$Y$301, MATCH(ROUND(MIN(300,MAX(1,U1131)),0), FactorTable!$A$2:$A$301,0), 22)</f>
        <v/>
      </c>
      <c r="V1132" t="inlineStr"/>
    </row>
    <row r="1133">
      <c r="A1133">
        <f>Skills!A4</f>
        <v/>
      </c>
      <c r="B1133">
        <f>Skills!B4</f>
        <v/>
      </c>
      <c r="C1133">
        <f>Inputs!$B$3&gt;=105</f>
        <v/>
      </c>
      <c r="D1133">
        <f>IF(Skills!C4=1,60+Inputs!$B$25+Inputs!$B$29,IF(Skills!C4=2,90+Inputs!$B$26+Inputs!$B$29,IF(Skills!C4=3,120+Inputs!$B$27+Inputs!$B$29,MAX(0,(Inputs!$B$3-100)*3)+Inputs!$B$28+Inputs!$B$29)))</f>
        <v/>
      </c>
      <c r="E1133">
        <f>INDEX(FactorTable!$B$2:$Y$301, MATCH(ROUND(MIN(300,MAX(1,D1133)),0), FactorTable!$A$2:$A$301,0), Skills!M4+1)</f>
        <v/>
      </c>
      <c r="F1133">
        <f>IF(Skills!N4=TRUE,(Skills!L4/10)*(E1133/1000),Skills!L4/10)+Skills!O4</f>
        <v/>
      </c>
      <c r="G1133" t="inlineStr"/>
      <c r="H1133" t="inlineStr"/>
      <c r="I1133" t="inlineStr">
        <is>
          <t>1</t>
        </is>
      </c>
      <c r="J1133" t="inlineStr"/>
      <c r="K1133" t="inlineStr"/>
      <c r="L1133" t="inlineStr"/>
      <c r="M1133" t="inlineStr"/>
      <c r="N1133" t="inlineStr"/>
      <c r="O1133" t="inlineStr"/>
      <c r="P1133" t="inlineStr"/>
      <c r="Q1133" t="inlineStr"/>
      <c r="R1133" t="inlineStr"/>
      <c r="S1133" t="inlineStr"/>
      <c r="T1133" t="inlineStr"/>
      <c r="U1133">
        <f>290*U1132/1000</f>
        <v/>
      </c>
      <c r="V1133" t="inlineStr"/>
    </row>
    <row r="1134">
      <c r="A1134">
        <f>Skills!A5</f>
        <v/>
      </c>
      <c r="B1134">
        <f>Skills!B5</f>
        <v/>
      </c>
      <c r="C1134">
        <f>Inputs!$B$3&gt;=35</f>
        <v/>
      </c>
      <c r="D1134">
        <f>IF(Skills!C5=1,60+Inputs!$B$25+Inputs!$B$29,IF(Skills!C5=2,90+Inputs!$B$26+Inputs!$B$29,IF(Skills!C5=3,120+Inputs!$B$27+Inputs!$B$29,MAX(0,(Inputs!$B$3-100)*3)+Inputs!$B$28+Inputs!$B$29)))</f>
        <v/>
      </c>
      <c r="E1134">
        <f>INDEX(FactorTable!$B$2:$Y$301, MATCH(ROUND(MIN(300,MAX(1,D1134)),0), FactorTable!$A$2:$A$301,0), Skills!M5+1)</f>
        <v/>
      </c>
      <c r="F1134">
        <f>IF(Skills!N5=TRUE,(Skills!L5/10)*(E1134/1000),Skills!L5/10)+Skills!O5</f>
        <v/>
      </c>
      <c r="G1134">
        <f>Skills!G5*IF(Skills!H5&gt;0,Skills!I5/Skills!H5,1)</f>
        <v/>
      </c>
      <c r="H1134">
        <f>1-(1-Skills!J5/100)^Skills!K5</f>
        <v/>
      </c>
      <c r="I1134" t="inlineStr">
        <is>
          <t>1</t>
        </is>
      </c>
      <c r="J1134">
        <f>((Inputs!$B$6*(1+Inputs!$B$7/100))+(((Inputs!$B$12*(1+Inputs!$B$13/100))-(Inputs!$B$12*(1+Inputs!$B$13/100)))+0.25*(Inputs!$B$14-Inputs!$B$14))*(1+Inputs!$B$7/100))*(F1134/100)</f>
        <v/>
      </c>
      <c r="K1134">
        <f>J1134*(1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1139=TRUE,F1139,0)/100)*(1+(IF(Skills!A5="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1153=TRUE)*(F1153-Calc!F24)),(Inputs!$B$23+((C1158=TRUE)*(F1158-Calc!F29))+(IF(ArtifactsInput!$M$15,CHOOSE(ArtifactsInput!$N$15+1,25,30,35,40,45,50)/100*(Inputs!$B$11-Inputs!$B$11),0))))/100+(Inputs!$B$23+((C1158=TRUE)*(F1158-Calc!F29))+(IF(ArtifactsInput!$M$15,CHOOSE(ArtifactsInput!$N$15+1,25,30,35,40,45,50)/100*(Inputs!$B$11-Inputs!$B$11),0)))/100)/2</f>
        <v/>
      </c>
      <c r="M1134">
        <f>L1134*(1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IF(B1172=0,0,O1134/B1172)</f>
        <v/>
      </c>
      <c r="Q1134">
        <f>IFERROR(1/(IF(Inputs!$B$38="pvp",15,MAX(0.1,Skills!D5-IF(Skills!E5=TRUE,(Inputs!$B$32+1),0)))*(1-IF(AND(ArtifactsInput!$M$27,Inputs!$B$4="Chapter Hunt"),CHOOSE(ArtifactsInput!$N$27+1,20,24,28,32,36,40),0)/100)),0)</f>
        <v/>
      </c>
      <c r="R1134">
        <f>IF(AND(Inputs!$B$38&lt;&gt;"pvp",Inputs!$B$43&gt;0),IF(MAX(0,Inputs!$B$43-B1169)&lt;=0,0,(INT(MAX(0,Inputs!$B$43-B1169)/(IF(Inputs!$B$38="pvp",15,MAX(0.1,Skills!D5-IF(Skills!E5=TRUE,(Inputs!$B$32+1),0)))*(1-IF(AND(ArtifactsInput!$M$27,Inputs!$B$4="Chapter Hunt"),CHOOSE(ArtifactsInput!$N$27+1,20,24,28,32,36,40),0)/100)))+1)),0)</f>
        <v/>
      </c>
      <c r="S1134">
        <f>IFERROR(O1134/N1134,0)</f>
        <v/>
      </c>
      <c r="T1134">
        <f>IF(C1134,(H1134*N1134*IF(AND(Inputs!$B$38&lt;&gt;"pvp",Inputs!$B$43&gt;0),((Skills!G5*((R1134-1)*IF(Skills!H5&gt;0,Skills!I5/Skills!H5,1)+IF(Skills!H5&gt;0,MIN(Skills!I5,MAX(0,MAX(0,Inputs!$B$43-B1169)-((R1134-1)*(IF(Inputs!$B$38="pvp",15,MAX(0.1,Skills!D5-IF(Skills!E5=TRUE,(Inputs!$B$32+1),0)))*(1-IF(AND(ArtifactsInput!$M$27,Inputs!$B$4="Chapter Hunt"),CHOOSE(ArtifactsInput!$N$27+1,20,24,28,32,36,40),0)/100)))))/Skills!H5,1)))/Inputs!$B$43),G1134*Q1134)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1134*(1-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5*((R1134-1)*IF(Skills!H5&gt;0,Skills!I5/Skills!H5,1)+IF(Skills!H5&gt;0,MIN(Skills!I5,MAX(0,MAX(0,Inputs!$B$43-B1169)-((R1134-1)*(IF(Inputs!$B$38="pvp",15,MAX(0.1,Skills!D5-IF(Skills!E5=TRUE,(Inputs!$B$32+1),0)))*(1-IF(AND(ArtifactsInput!$M$27,Inputs!$B$4="Chapter Hunt"),CHOOSE(ArtifactsInput!$N$27+1,20,24,28,32,36,40),0)/100)))))/Skills!H5,1)))/Inputs!$B$43),G1134*Q1134))*IF(Inputs!$B$38="pvp",1,(1+(Inputs!$B$21+Skills!Q5+(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Skills!A6</f>
        <v/>
      </c>
      <c r="B1135">
        <f>Skills!B6</f>
        <v/>
      </c>
      <c r="C1135">
        <f>Inputs!$B$3&gt;=40</f>
        <v/>
      </c>
      <c r="D1135">
        <f>IF(Skills!C6=1,60+Inputs!$B$25+Inputs!$B$29,IF(Skills!C6=2,90+Inputs!$B$26+Inputs!$B$29,IF(Skills!C6=3,120+Inputs!$B$27+Inputs!$B$29,MAX(0,(Inputs!$B$3-100)*3)+Inputs!$B$28+Inputs!$B$29)))</f>
        <v/>
      </c>
      <c r="E1135">
        <f>INDEX(FactorTable!$B$2:$Y$301, MATCH(ROUND(MIN(300,MAX(1,D1135)),0), FactorTable!$A$2:$A$301,0), Skills!M6+1)</f>
        <v/>
      </c>
      <c r="F1135">
        <f>IF(Skills!N6=TRUE,(Skills!L6/10)*(E1135/1000),Skills!L6/10)+Skills!O6</f>
        <v/>
      </c>
      <c r="G1135">
        <f>Skills!G6*IF(Skills!H6&gt;0,Skills!I6/Skills!H6,1)</f>
        <v/>
      </c>
      <c r="H1135">
        <f>1-(1-Skills!J6/100)^Skills!K6</f>
        <v/>
      </c>
      <c r="I1135" t="inlineStr">
        <is>
          <t>1</t>
        </is>
      </c>
      <c r="J1135">
        <f>((Inputs!$B$6*(1+Inputs!$B$7/100))+(((Inputs!$B$12*(1+Inputs!$B$13/100))-(Inputs!$B$12*(1+Inputs!$B$13/100)))+0.25*(Inputs!$B$14-Inputs!$B$14))*(1+Inputs!$B$7/100))*(F1135/100)</f>
        <v/>
      </c>
      <c r="K1135">
        <f>J1135*(1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1136=TRUE,F1136,0)/100)*(1+(IF(Skills!A6="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1153=TRUE)*(F1153-Calc!F24)),(Inputs!$B$23+((C1158=TRUE)*(F1158-Calc!F29))+(IF(ArtifactsInput!$M$15,CHOOSE(ArtifactsInput!$N$15+1,25,30,35,40,45,50)/100*(Inputs!$B$11-Inputs!$B$11),0))))/100+(Inputs!$B$23+((C1158=TRUE)*(F1158-Calc!F29))+(IF(ArtifactsInput!$M$15,CHOOSE(ArtifactsInput!$N$15+1,25,30,35,40,45,50)/100*(Inputs!$B$11-Inputs!$B$11),0)))/100)/2</f>
        <v/>
      </c>
      <c r="M1135">
        <f>L1135*(1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IF(B1172=0,0,O1135/B1172)</f>
        <v/>
      </c>
      <c r="Q1135">
        <f>IFERROR(1/(IF(Inputs!$B$38="pvp",15,MAX(0.1,Skills!D6-IF(Skills!E6=TRUE,(Inputs!$B$32+1),0)))*(1-IF(AND(ArtifactsInput!$M$27,Inputs!$B$4="Chapter Hunt"),CHOOSE(ArtifactsInput!$N$27+1,20,24,28,32,36,40),0)/100)),0)</f>
        <v/>
      </c>
      <c r="R1135">
        <f>IF(AND(Inputs!$B$38&lt;&gt;"pvp",Inputs!$B$43&gt;0),IF(MAX(0,Inputs!$B$43-B1169)&lt;=0,0,(INT(MAX(0,Inputs!$B$43-B1169)/(IF(Inputs!$B$38="pvp",15,MAX(0.1,Skills!D6-IF(Skills!E6=TRUE,(Inputs!$B$32+1),0)))*(1-IF(AND(ArtifactsInput!$M$27,Inputs!$B$4="Chapter Hunt"),CHOOSE(ArtifactsInput!$N$27+1,20,24,28,32,36,40),0)/100)))+1)),0)</f>
        <v/>
      </c>
      <c r="S1135">
        <f>IFERROR(O1135/N1135,0)</f>
        <v/>
      </c>
      <c r="T1135">
        <f>IF(C1135,(H1135*N1135*IF(AND(Inputs!$B$38&lt;&gt;"pvp",Inputs!$B$43&gt;0),((Skills!G6*((R1135-1)*IF(Skills!H6&gt;0,Skills!I6/Skills!H6,1)+IF(Skills!H6&gt;0,MIN(Skills!I6,MAX(0,MAX(0,Inputs!$B$43-B1169)-((R1135-1)*(IF(Inputs!$B$38="pvp",15,MAX(0.1,Skills!D6-IF(Skills!E6=TRUE,(Inputs!$B$32+1),0)))*(1-IF(AND(ArtifactsInput!$M$27,Inputs!$B$4="Chapter Hunt"),CHOOSE(ArtifactsInput!$N$27+1,20,24,28,32,36,40),0)/100)))))/Skills!H6,1)))/Inputs!$B$43),G1135*Q1135)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1135*(1-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6*((R1135-1)*IF(Skills!H6&gt;0,Skills!I6/Skills!H6,1)+IF(Skills!H6&gt;0,MIN(Skills!I6,MAX(0,MAX(0,Inputs!$B$43-B1169)-((R1135-1)*(IF(Inputs!$B$38="pvp",15,MAX(0.1,Skills!D6-IF(Skills!E6=TRUE,(Inputs!$B$32+1),0)))*(1-IF(AND(ArtifactsInput!$M$27,Inputs!$B$4="Chapter Hunt"),CHOOSE(ArtifactsInput!$N$27+1,20,24,28,32,36,40),0)/100)))))/Skills!H6,1)))/Inputs!$B$43),G1135*Q1135))*IF(Inputs!$B$38="pvp",1,(1+(Inputs!$B$21+Skills!Q6+(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Skills!A7</f>
        <v/>
      </c>
      <c r="B1136">
        <f>Skills!B7</f>
        <v/>
      </c>
      <c r="C1136">
        <f>Inputs!$B$3&gt;=107</f>
        <v/>
      </c>
      <c r="D1136">
        <f>IF(Skills!C7=1,60+Inputs!$B$25+Inputs!$B$29,IF(Skills!C7=2,90+Inputs!$B$26+Inputs!$B$29,IF(Skills!C7=3,120+Inputs!$B$27+Inputs!$B$29,MAX(0,(Inputs!$B$3-100)*3)+Inputs!$B$28+Inputs!$B$29)))</f>
        <v/>
      </c>
      <c r="E1136">
        <f>INDEX(FactorTable!$B$2:$Y$301, MATCH(ROUND(MIN(300,MAX(1,D1136)),0), FactorTable!$A$2:$A$301,0), Skills!M7+1)</f>
        <v/>
      </c>
      <c r="F1136">
        <f>IF(Skills!N7=TRUE,(Skills!L7/10)*(E1136/1000),Skills!L7/10)+Skills!O7</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Skills!A8</f>
        <v/>
      </c>
      <c r="B1137">
        <f>Skills!B8</f>
        <v/>
      </c>
      <c r="C1137">
        <f>Inputs!$B$3&gt;=69</f>
        <v/>
      </c>
      <c r="D1137">
        <f>IF(Skills!C8=1,60+Inputs!$B$25+Inputs!$B$29,IF(Skills!C8=2,90+Inputs!$B$26+Inputs!$B$29,IF(Skills!C8=3,120+Inputs!$B$27+Inputs!$B$29,MAX(0,(Inputs!$B$3-100)*3)+Inputs!$B$28+Inputs!$B$29)))</f>
        <v/>
      </c>
      <c r="E1137">
        <f>INDEX(FactorTable!$B$2:$Y$301, MATCH(ROUND(MIN(300,MAX(1,D1137)),0), FactorTable!$A$2:$A$301,0), Skills!M8+1)</f>
        <v/>
      </c>
      <c r="F1137">
        <f>IF(Skills!N8=TRUE,(Skills!L8/10)*(E1137/1000),Skills!L8/10)+Skills!O8</f>
        <v/>
      </c>
      <c r="G1137">
        <f>Skills!G8*IF(Skills!H8&gt;0,Skills!I8/Skills!H8,1)</f>
        <v/>
      </c>
      <c r="H1137">
        <f>1-(1-Skills!J8/100)^Skills!K8</f>
        <v/>
      </c>
      <c r="I1137" t="inlineStr">
        <is>
          <t>1</t>
        </is>
      </c>
      <c r="J1137">
        <f>((Inputs!$B$6*(1+Inputs!$B$7/100))+(((Inputs!$B$12*(1+Inputs!$B$13/100))-(Inputs!$B$12*(1+Inputs!$B$13/100)))+0.25*(Inputs!$B$14-Inputs!$B$14))*(1+Inputs!$B$7/100))*(F1137/100)</f>
        <v/>
      </c>
      <c r="K1137">
        <f>J1137*(1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1139=TRUE,F1139,0)/100)*(1+(IF(Skills!A8="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1153=TRUE)*(F1153-Calc!F24)),(Inputs!$B$23+((C1158=TRUE)*(F1158-Calc!F29))+(IF(ArtifactsInput!$M$15,CHOOSE(ArtifactsInput!$N$15+1,25,30,35,40,45,50)/100*(Inputs!$B$11-Inputs!$B$11),0))))/100+(Inputs!$B$23+((C1158=TRUE)*(F1158-Calc!F29))+(IF(ArtifactsInput!$M$15,CHOOSE(ArtifactsInput!$N$15+1,25,30,35,40,45,50)/100*(Inputs!$B$11-Inputs!$B$11),0)))/100)/2</f>
        <v/>
      </c>
      <c r="M1137">
        <f>L1137*(1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IF(B1172=0,0,O1137/B1172)</f>
        <v/>
      </c>
      <c r="Q1137">
        <f>IFERROR(1/(IF(Inputs!$B$38="pvp",15,MAX(0.1,Skills!D8-IF(Skills!E8=TRUE,(Inputs!$B$32+1),0)))*(1-IF(AND(ArtifactsInput!$M$27,Inputs!$B$4="Chapter Hunt"),CHOOSE(ArtifactsInput!$N$27+1,20,24,28,32,36,40),0)/100)),0)</f>
        <v/>
      </c>
      <c r="R1137">
        <f>IF(AND(Inputs!$B$38&lt;&gt;"pvp",Inputs!$B$43&gt;0),IF(MAX(0,Inputs!$B$43-B1169)&lt;=0,0,(INT(MAX(0,Inputs!$B$43-B1169)/(IF(Inputs!$B$38="pvp",15,MAX(0.1,Skills!D8-IF(Skills!E8=TRUE,(Inputs!$B$32+1),0)))*(1-IF(AND(ArtifactsInput!$M$27,Inputs!$B$4="Chapter Hunt"),CHOOSE(ArtifactsInput!$N$27+1,20,24,28,32,36,40),0)/100)))+1)),0)</f>
        <v/>
      </c>
      <c r="S1137">
        <f>IFERROR(O1137/N1137,0)</f>
        <v/>
      </c>
      <c r="T1137">
        <f>IF(C1137,(H1137*N1137*IF(AND(Inputs!$B$38&lt;&gt;"pvp",Inputs!$B$43&gt;0),((Skills!G8*((R1137-1)*IF(Skills!H8&gt;0,Skills!I8/Skills!H8,1)+IF(Skills!H8&gt;0,MIN(Skills!I8,MAX(0,MAX(0,Inputs!$B$43-B1169)-((R1137-1)*(IF(Inputs!$B$38="pvp",15,MAX(0.1,Skills!D8-IF(Skills!E8=TRUE,(Inputs!$B$32+1),0)))*(1-IF(AND(ArtifactsInput!$M$27,Inputs!$B$4="Chapter Hunt"),CHOOSE(ArtifactsInput!$N$27+1,20,24,28,32,36,40),0)/100)))))/Skills!H8,1)))/Inputs!$B$43),G1137*Q1137)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1137*(1-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8*((R1137-1)*IF(Skills!H8&gt;0,Skills!I8/Skills!H8,1)+IF(Skills!H8&gt;0,MIN(Skills!I8,MAX(0,MAX(0,Inputs!$B$43-B1169)-((R1137-1)*(IF(Inputs!$B$38="pvp",15,MAX(0.1,Skills!D8-IF(Skills!E8=TRUE,(Inputs!$B$32+1),0)))*(1-IF(AND(ArtifactsInput!$M$27,Inputs!$B$4="Chapter Hunt"),CHOOSE(ArtifactsInput!$N$27+1,20,24,28,32,36,40),0)/100)))))/Skills!H8,1)))/Inputs!$B$43),G1137*Q1137))*IF(Inputs!$B$38="pvp",1,(1+(Inputs!$B$21+Skills!Q8+(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Skills!A9</f>
        <v/>
      </c>
      <c r="B1138">
        <f>Skills!B9</f>
        <v/>
      </c>
      <c r="C1138">
        <f>Inputs!$B$3&gt;=63</f>
        <v/>
      </c>
      <c r="D1138">
        <f>IF(Skills!C9=1,60+Inputs!$B$25+Inputs!$B$29,IF(Skills!C9=2,90+Inputs!$B$26+Inputs!$B$29,IF(Skills!C9=3,120+Inputs!$B$27+Inputs!$B$29,MAX(0,(Inputs!$B$3-100)*3)+Inputs!$B$28+Inputs!$B$29)))</f>
        <v/>
      </c>
      <c r="E1138">
        <f>INDEX(FactorTable!$B$2:$Y$301, MATCH(ROUND(MIN(300,MAX(1,D1138)),0), FactorTable!$A$2:$A$301,0), Skills!M9+1)</f>
        <v/>
      </c>
      <c r="F1138">
        <f>IF(Skills!N9=TRUE,(Skills!L9/10)*(E1138/1000),Skills!L9/10)+Skills!O9</f>
        <v/>
      </c>
      <c r="G1138">
        <f>Skills!G9*IF(Skills!H9&gt;0,Skills!I9/Skills!H9,1)</f>
        <v/>
      </c>
      <c r="H1138">
        <f>1-(1-Skills!J9/100)^Skills!K9</f>
        <v/>
      </c>
      <c r="I1138" t="inlineStr">
        <is>
          <t>1</t>
        </is>
      </c>
      <c r="J1138">
        <f>((Inputs!$B$6*(1+Inputs!$B$7/100))+(((Inputs!$B$12*(1+Inputs!$B$13/100))-(Inputs!$B$12*(1+Inputs!$B$13/100)))+0.25*(Inputs!$B$14-Inputs!$B$14))*(1+Inputs!$B$7/100))*(F1138/100)</f>
        <v/>
      </c>
      <c r="K1138">
        <f>J1138*(1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1139=TRUE,F1139,0)/100)*(1+(IF(Skills!A9="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1153=TRUE)*(F1153-Calc!F24)),(Inputs!$B$23+((C1158=TRUE)*(F1158-Calc!F29))+(IF(ArtifactsInput!$M$15,CHOOSE(ArtifactsInput!$N$15+1,25,30,35,40,45,50)/100*(Inputs!$B$11-Inputs!$B$11),0))))/100+(Inputs!$B$23+((C1158=TRUE)*(F1158-Calc!F29))+(IF(ArtifactsInput!$M$15,CHOOSE(ArtifactsInput!$N$15+1,25,30,35,40,45,50)/100*(Inputs!$B$11-Inputs!$B$11),0)))/100)/2</f>
        <v/>
      </c>
      <c r="M1138">
        <f>L1138*(1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IF(B1172=0,0,O1138/B1172)</f>
        <v/>
      </c>
      <c r="Q1138">
        <f>IFERROR(1/(IF(Inputs!$B$38="pvp",15,MAX(0.1,Skills!D9-IF(Skills!E9=TRUE,(Inputs!$B$32+1),0)))*(1-IF(AND(ArtifactsInput!$M$27,Inputs!$B$4="Chapter Hunt"),CHOOSE(ArtifactsInput!$N$27+1,20,24,28,32,36,40),0)/100)),0)</f>
        <v/>
      </c>
      <c r="R1138">
        <f>IF(AND(Inputs!$B$38&lt;&gt;"pvp",Inputs!$B$43&gt;0),IF(MAX(0,Inputs!$B$43-B1169)&lt;=0,0,(INT(MAX(0,Inputs!$B$43-B1169)/(IF(Inputs!$B$38="pvp",15,MAX(0.1,Skills!D9-IF(Skills!E9=TRUE,(Inputs!$B$32+1),0)))*(1-IF(AND(ArtifactsInput!$M$27,Inputs!$B$4="Chapter Hunt"),CHOOSE(ArtifactsInput!$N$27+1,20,24,28,32,36,40),0)/100)))+1)),0)</f>
        <v/>
      </c>
      <c r="S1138">
        <f>IFERROR(O1138/N1138,0)</f>
        <v/>
      </c>
      <c r="T1138">
        <f>IF(C1138,(H1138*N1138*IF(AND(Inputs!$B$38&lt;&gt;"pvp",Inputs!$B$43&gt;0),((Skills!G9*((R1138-1)*IF(Skills!H9&gt;0,Skills!I9/Skills!H9,1)+IF(Skills!H9&gt;0,MIN(Skills!I9,MAX(0,MAX(0,Inputs!$B$43-B1169)-((R1138-1)*(IF(Inputs!$B$38="pvp",15,MAX(0.1,Skills!D9-IF(Skills!E9=TRUE,(Inputs!$B$32+1),0)))*(1-IF(AND(ArtifactsInput!$M$27,Inputs!$B$4="Chapter Hunt"),CHOOSE(ArtifactsInput!$N$27+1,20,24,28,32,36,40),0)/100)))))/Skills!H9,1)))/Inputs!$B$43),G1138*Q1138)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1138*(1-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9*((R1138-1)*IF(Skills!H9&gt;0,Skills!I9/Skills!H9,1)+IF(Skills!H9&gt;0,MIN(Skills!I9,MAX(0,MAX(0,Inputs!$B$43-B1169)-((R1138-1)*(IF(Inputs!$B$38="pvp",15,MAX(0.1,Skills!D9-IF(Skills!E9=TRUE,(Inputs!$B$32+1),0)))*(1-IF(AND(ArtifactsInput!$M$27,Inputs!$B$4="Chapter Hunt"),CHOOSE(ArtifactsInput!$N$27+1,20,24,28,32,36,40),0)/100)))))/Skills!H9,1)))/Inputs!$B$43),G1138*Q1138))*IF(Inputs!$B$38="pvp",1,(1+(Inputs!$B$21+Skills!Q9+(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Skills!A10</f>
        <v/>
      </c>
      <c r="B1139">
        <f>Skills!B10</f>
        <v/>
      </c>
      <c r="C1139">
        <f>Inputs!$B$3&gt;=100</f>
        <v/>
      </c>
      <c r="D1139">
        <f>IF(Skills!C10=1,60+Inputs!$B$25+Inputs!$B$29,IF(Skills!C10=2,90+Inputs!$B$26+Inputs!$B$29,IF(Skills!C10=3,120+Inputs!$B$27+Inputs!$B$29,MAX(0,(Inputs!$B$3-100)*3)+Inputs!$B$28+Inputs!$B$29)))</f>
        <v/>
      </c>
      <c r="E1139">
        <f>INDEX(FactorTable!$B$2:$Y$301, MATCH(ROUND(MIN(300,MAX(1,D1139)),0), FactorTable!$A$2:$A$301,0), Skills!M10+1)</f>
        <v/>
      </c>
      <c r="F1139">
        <f>IF(Skills!N10=TRUE,(Skills!L10/10)*(E1139/1000),Skills!L10/10)+Skills!O10</f>
        <v/>
      </c>
      <c r="G1139" t="inlineStr"/>
      <c r="H1139" t="inlineStr"/>
      <c r="I1139" t="inlineStr">
        <is>
          <t>1</t>
        </is>
      </c>
      <c r="J1139" t="inlineStr"/>
      <c r="K1139" t="inlineStr"/>
      <c r="L1139" t="inlineStr"/>
      <c r="M1139" t="inlineStr"/>
      <c r="N1139" t="inlineStr"/>
      <c r="O1139" t="inlineStr"/>
      <c r="P1139" t="inlineStr"/>
      <c r="Q1139" t="inlineStr"/>
      <c r="R1139" t="inlineStr"/>
      <c r="S1139" t="inlineStr"/>
      <c r="T1139" t="inlineStr"/>
      <c r="V1139" t="inlineStr"/>
    </row>
    <row r="1140">
      <c r="A1140">
        <f>Skills!A11</f>
        <v/>
      </c>
      <c r="B1140">
        <f>Skills!B11</f>
        <v/>
      </c>
      <c r="C1140">
        <f>Inputs!$B$3&gt;=60</f>
        <v/>
      </c>
      <c r="D1140">
        <f>IF(Skills!C11=1,60+Inputs!$B$25+Inputs!$B$29,IF(Skills!C11=2,90+Inputs!$B$26+Inputs!$B$29,IF(Skills!C11=3,120+Inputs!$B$27+Inputs!$B$29,MAX(0,(Inputs!$B$3-100)*3)+Inputs!$B$28+Inputs!$B$29)))</f>
        <v/>
      </c>
      <c r="E1140">
        <f>INDEX(FactorTable!$B$2:$Y$301, MATCH(ROUND(MIN(300,MAX(1,D1140)),0), FactorTable!$A$2:$A$301,0), Skills!M11+1)</f>
        <v/>
      </c>
      <c r="F1140">
        <f>IF(Skills!N11=TRUE,(Skills!L11/10)*(E1140/1000),Skills!L11/10)+Skills!O11</f>
        <v/>
      </c>
      <c r="G1140">
        <f>Skills!G11*IF(Skills!H11&gt;0,Skills!I11/Skills!H11,1)</f>
        <v/>
      </c>
      <c r="H1140">
        <f>1-(1-Skills!J11/100)^Skills!K11</f>
        <v/>
      </c>
      <c r="I1140" t="inlineStr">
        <is>
          <t>1</t>
        </is>
      </c>
      <c r="J1140">
        <f>((Inputs!$B$6*(1+Inputs!$B$7/100))+(((Inputs!$B$12*(1+Inputs!$B$13/100))-(Inputs!$B$12*(1+Inputs!$B$13/100)))+0.25*(Inputs!$B$14-Inputs!$B$14))*(1+Inputs!$B$7/100))*(F1140/100)</f>
        <v/>
      </c>
      <c r="K1140">
        <f>J1140*(1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1141=TRUE,F1141,0)/100)*(1+(IF(Skills!A11="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1153=TRUE)*(F1153-Calc!F24)),(Inputs!$B$23+((C1158=TRUE)*(F1158-Calc!F29))+(IF(ArtifactsInput!$M$15,CHOOSE(ArtifactsInput!$N$15+1,25,30,35,40,45,50)/100*(Inputs!$B$11-Inputs!$B$11),0))))/100+(Inputs!$B$23+((C1158=TRUE)*(F1158-Calc!F29))+(IF(ArtifactsInput!$M$15,CHOOSE(ArtifactsInput!$N$15+1,25,30,35,40,45,50)/100*(Inputs!$B$11-Inputs!$B$11),0)))/100)/2</f>
        <v/>
      </c>
      <c r="M1140">
        <f>L1140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IF(B1172=0,0,O1140/B1172)</f>
        <v/>
      </c>
      <c r="Q1140">
        <f>IFERROR(1/(IF(Inputs!$B$38="pvp",15,MAX(0.1,Skills!D11-IF(Skills!E11=TRUE,(Inputs!$B$32+1),0)))*(1-IF(AND(ArtifactsInput!$M$27,Inputs!$B$4="Chapter Hunt"),CHOOSE(ArtifactsInput!$N$27+1,20,24,28,32,36,40),0)/100)),0)</f>
        <v/>
      </c>
      <c r="R1140">
        <f>IF(AND(Inputs!$B$38&lt;&gt;"pvp",Inputs!$B$43&gt;0),IF(MAX(0,Inputs!$B$43-B1169)&lt;=0,0,(INT(MAX(0,Inputs!$B$43-B1169)/(IF(Inputs!$B$38="pvp",15,MAX(0.1,Skills!D11-IF(Skills!E11=TRUE,(Inputs!$B$32+1),0)))*(1-IF(AND(ArtifactsInput!$M$27,Inputs!$B$4="Chapter Hunt"),CHOOSE(ArtifactsInput!$N$27+1,20,24,28,32,36,40),0)/100)))+1)),0)</f>
        <v/>
      </c>
      <c r="S1140">
        <f>IFERROR(O1140/N1140,0)</f>
        <v/>
      </c>
      <c r="T1140">
        <f>IF(C1140,(H1140*N1140*IF(AND(Inputs!$B$38&lt;&gt;"pvp",Inputs!$B$43&gt;0),((Skills!G11*((R1140-1)*IF(Skills!H11&gt;0,Skills!I11/Skills!H11,1)+IF(Skills!H11&gt;0,MIN(Skills!I11,MAX(0,MAX(0,Inputs!$B$43-B1169)-((R1140-1)*(IF(Inputs!$B$38="pvp",15,MAX(0.1,Skills!D11-IF(Skills!E11=TRUE,(Inputs!$B$32+1),0)))*(1-IF(AND(ArtifactsInput!$M$27,Inputs!$B$4="Chapter Hunt"),CHOOSE(ArtifactsInput!$N$27+1,20,24,28,32,36,40),0)/100)))))/Skills!H11,1)))/Inputs!$B$43),G1140*Q1140)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1140*(1-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11*((R1140-1)*IF(Skills!H11&gt;0,Skills!I11/Skills!H11,1)+IF(Skills!H11&gt;0,MIN(Skills!I11,MAX(0,MAX(0,Inputs!$B$43-B1169)-((R1140-1)*(IF(Inputs!$B$38="pvp",15,MAX(0.1,Skills!D11-IF(Skills!E11=TRUE,(Inputs!$B$32+1),0)))*(1-IF(AND(ArtifactsInput!$M$27,Inputs!$B$4="Chapter Hunt"),CHOOSE(ArtifactsInput!$N$27+1,20,24,28,32,36,40),0)/100)))))/Skills!H11,1)))/Inputs!$B$43),G1140*Q1140))*IF(Inputs!$B$38="pvp",1,(1+(Inputs!$B$21+Skills!Q11+(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Skills!A12</f>
        <v/>
      </c>
      <c r="B1141">
        <f>Skills!B12</f>
        <v/>
      </c>
      <c r="C1141">
        <f>Inputs!$B$3&gt;=110</f>
        <v/>
      </c>
      <c r="D1141">
        <f>IF(Skills!C12=1,60+Inputs!$B$25+Inputs!$B$29,IF(Skills!C12=2,90+Inputs!$B$26+Inputs!$B$29,IF(Skills!C12=3,120+Inputs!$B$27+Inputs!$B$29,MAX(0,(Inputs!$B$3-100)*3)+Inputs!$B$28+Inputs!$B$29)))</f>
        <v/>
      </c>
      <c r="E1141">
        <f>INDEX(FactorTable!$B$2:$Y$301, MATCH(ROUND(MIN(300,MAX(1,D1141)),0), FactorTable!$A$2:$A$301,0), Skills!M12+1)</f>
        <v/>
      </c>
      <c r="F1141">
        <f>IF(Skills!N12=TRUE,(Skills!L12/10)*(E1141/1000),Skills!L12/10)+Skills!O12</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V1141" t="inlineStr"/>
    </row>
    <row r="1142">
      <c r="A1142">
        <f>Skills!A13</f>
        <v/>
      </c>
      <c r="B1142">
        <f>Skills!B13</f>
        <v/>
      </c>
      <c r="C1142">
        <f>Inputs!$B$3&gt;=74</f>
        <v/>
      </c>
      <c r="D1142">
        <f>IF(Skills!C13=1,60+Inputs!$B$25+Inputs!$B$29,IF(Skills!C13=2,90+Inputs!$B$26+Inputs!$B$29,IF(Skills!C13=3,120+Inputs!$B$27+Inputs!$B$29,MAX(0,(Inputs!$B$3-100)*3)+Inputs!$B$28+Inputs!$B$29)))</f>
        <v/>
      </c>
      <c r="E1142">
        <f>INDEX(FactorTable!$B$2:$Y$301, MATCH(ROUND(MIN(300,MAX(1,D1142)),0), FactorTable!$A$2:$A$301,0), Skills!M13+1)</f>
        <v/>
      </c>
      <c r="F1142">
        <f>IF(Skills!N13=TRUE,(Skills!L13/10)*(E1142/1000),Skills!L13/10)+Skills!O13</f>
        <v/>
      </c>
      <c r="G1142">
        <f>Skills!G13*IF(Skills!H13&gt;0,Skills!I13/Skills!H13,1)</f>
        <v/>
      </c>
      <c r="H1142">
        <f>1-(1-Skills!J13/100)^Skills!K13</f>
        <v/>
      </c>
      <c r="I1142" t="inlineStr">
        <is>
          <t>1</t>
        </is>
      </c>
      <c r="J1142" t="inlineStr"/>
      <c r="K1142" t="inlineStr"/>
      <c r="L1142" t="inlineStr"/>
      <c r="M1142" t="inlineStr"/>
      <c r="N1142" t="inlineStr"/>
      <c r="O1142">
        <f>(1-Summary!$B$11)*T1142+Summary!$B$11*V1142</f>
        <v/>
      </c>
      <c r="P1142">
        <f>IF(B1172=0,0,O1142/B1172)</f>
        <v/>
      </c>
      <c r="Q1142" t="n">
        <v>0</v>
      </c>
      <c r="R1142" t="n">
        <v>0</v>
      </c>
      <c r="S1142">
        <f>IFERROR(O1142/N1142,0)</f>
        <v/>
      </c>
      <c r="T1142" t="n">
        <v>0</v>
      </c>
      <c r="V1142" t="n">
        <v>0</v>
      </c>
    </row>
    <row r="1143">
      <c r="A1143">
        <f>Skills!A14</f>
        <v/>
      </c>
      <c r="B1143">
        <f>Skills!B14</f>
        <v/>
      </c>
      <c r="C1143">
        <f>Inputs!$B$3&gt;=74</f>
        <v/>
      </c>
      <c r="D1143">
        <f>IF(Skills!C14=1,60+Inputs!$B$25+Inputs!$B$29,IF(Skills!C14=2,90+Inputs!$B$26+Inputs!$B$29,IF(Skills!C14=3,120+Inputs!$B$27+Inputs!$B$29,MAX(0,(Inputs!$B$3-100)*3)+Inputs!$B$28+Inputs!$B$29)))</f>
        <v/>
      </c>
      <c r="E1143">
        <f>INDEX(FactorTable!$B$2:$Y$301, MATCH(ROUND(MIN(300,MAX(1,D1143)),0), FactorTable!$A$2:$A$301,0), Skills!M14+1)</f>
        <v/>
      </c>
      <c r="F1143">
        <f>IF(Skills!N14=TRUE,(Skills!L14/10)*(E1143/1000),Skills!L14/10)+Skills!O14</f>
        <v/>
      </c>
      <c r="G1143">
        <f>Skills!G14*IF(Skills!H14&gt;0,Skills!I14/Skills!H14,1)</f>
        <v/>
      </c>
      <c r="H1143">
        <f>1-(1-Skills!J14/100)^Skills!K14</f>
        <v/>
      </c>
      <c r="I1143" t="inlineStr">
        <is>
          <t>1</t>
        </is>
      </c>
      <c r="J1143" t="inlineStr"/>
      <c r="K1143" t="inlineStr"/>
      <c r="L1143" t="inlineStr"/>
      <c r="M1143" t="inlineStr"/>
      <c r="N1143" t="inlineStr"/>
      <c r="O1143">
        <f>(1-Summary!$B$11)*T1143+Summary!$B$11*V1143</f>
        <v/>
      </c>
      <c r="P1143">
        <f>IF(B1172=0,0,O1143/B1172)</f>
        <v/>
      </c>
      <c r="Q1143" t="n">
        <v>0</v>
      </c>
      <c r="R1143" t="n">
        <v>0</v>
      </c>
      <c r="S1143">
        <f>IFERROR(O1143/N1143,0)</f>
        <v/>
      </c>
      <c r="T1143" t="n">
        <v>0</v>
      </c>
      <c r="V1143" t="n">
        <v>0</v>
      </c>
    </row>
    <row r="1144">
      <c r="A1144">
        <f>Skills!A15</f>
        <v/>
      </c>
      <c r="B1144">
        <f>Skills!B15</f>
        <v/>
      </c>
      <c r="C1144">
        <f>Inputs!$B$3&gt;=117</f>
        <v/>
      </c>
      <c r="D1144">
        <f>IF(Skills!C15=1,60+Inputs!$B$25+Inputs!$B$29,IF(Skills!C15=2,90+Inputs!$B$26+Inputs!$B$29,IF(Skills!C15=3,120+Inputs!$B$27+Inputs!$B$29,MAX(0,(Inputs!$B$3-100)*3)+Inputs!$B$28+Inputs!$B$29)))</f>
        <v/>
      </c>
      <c r="E1144">
        <f>INDEX(FactorTable!$B$2:$Y$301, MATCH(ROUND(MIN(300,MAX(1,D1144)),0), FactorTable!$A$2:$A$301,0), Skills!M15+1)</f>
        <v/>
      </c>
      <c r="F1144">
        <f>IF(Skills!N15=TRUE,(Skills!L15/10)*(E1144/1000),Skills!L15/10)+Skills!O15</f>
        <v/>
      </c>
      <c r="G1144">
        <f>Skills!G15*IF(Skills!H15&gt;0,Skills!I15/Skills!H15,1)</f>
        <v/>
      </c>
      <c r="H1144">
        <f>1-(1-Skills!J15/100)^Skills!K15</f>
        <v/>
      </c>
      <c r="I1144" t="inlineStr">
        <is>
          <t>1</t>
        </is>
      </c>
      <c r="J1144" t="inlineStr"/>
      <c r="K1144" t="inlineStr"/>
      <c r="L1144" t="inlineStr"/>
      <c r="M1144" t="inlineStr"/>
      <c r="N1144" t="inlineStr"/>
      <c r="O1144">
        <f>(1-Summary!$B$11)*T1144+Summary!$B$11*V1144</f>
        <v/>
      </c>
      <c r="P1144">
        <f>IF(B1172=0,0,O1144/B1172)</f>
        <v/>
      </c>
      <c r="Q1144">
        <f>IFERROR(1/(IF(Inputs!$B$38="pvp",15,MAX(0.1,Skills!D15-IF(Skills!E15=TRUE,(Inputs!$B$32+1),0)))*(1-IF(AND(ArtifactsInput!$M$27,Inputs!$B$4="Chapter Hunt"),CHOOSE(ArtifactsInput!$N$27+1,20,24,28,32,36,40),0)/100)),0)</f>
        <v/>
      </c>
      <c r="R1144">
        <f>IF(AND(Inputs!$B$38&lt;&gt;"pvp",Inputs!$B$43&gt;0),IF(Inputs!$B$43&lt;=0,0,(INT(Inputs!$B$43/(IF(Inputs!$B$38="pvp",15,MAX(0.1,Skills!D15-IF(Skills!E15=TRUE,(Inputs!$B$32+1),0)))*(1-IF(AND(ArtifactsInput!$M$27,Inputs!$B$4="Chapter Hunt"),CHOOSE(ArtifactsInput!$N$27+1,20,24,28,32,36,40),0)/100)))+1)),0)</f>
        <v/>
      </c>
      <c r="S1144">
        <f>IFERROR(O1144/N1144,0)</f>
        <v/>
      </c>
      <c r="T1144" t="n">
        <v>0</v>
      </c>
      <c r="V1144" t="n">
        <v>0</v>
      </c>
    </row>
    <row r="1145">
      <c r="A1145">
        <f>Skills!A16</f>
        <v/>
      </c>
      <c r="B1145">
        <f>Skills!B16</f>
        <v/>
      </c>
      <c r="C1145">
        <f>Inputs!$B$3&gt;=115</f>
        <v/>
      </c>
      <c r="D1145">
        <f>IF(Skills!C16=1,60+Inputs!$B$25+Inputs!$B$29,IF(Skills!C16=2,90+Inputs!$B$26+Inputs!$B$29,IF(Skills!C16=3,120+Inputs!$B$27+Inputs!$B$29,MAX(0,(Inputs!$B$3-100)*3)+Inputs!$B$28+Inputs!$B$29)))</f>
        <v/>
      </c>
      <c r="E1145">
        <f>INDEX(FactorTable!$B$2:$Y$301, MATCH(ROUND(MIN(300,MAX(1,D1145)),0), FactorTable!$A$2:$A$301,0), Skills!M16+1)</f>
        <v/>
      </c>
      <c r="F1145">
        <f>IF(Skills!N16=TRUE,(Skills!L16/10)*(E1145/1000),Skills!L16/10)+Skills!O16</f>
        <v/>
      </c>
      <c r="G1145">
        <f>Skills!G16*IF(Skills!H16&gt;0,Skills!I16/Skills!H16,1)</f>
        <v/>
      </c>
      <c r="H1145">
        <f>1-(1-Skills!J16/100)^Skills!K16</f>
        <v/>
      </c>
      <c r="I1145" t="inlineStr">
        <is>
          <t>1</t>
        </is>
      </c>
      <c r="J1145" t="inlineStr"/>
      <c r="K1145" t="inlineStr"/>
      <c r="L1145" t="inlineStr"/>
      <c r="M1145" t="inlineStr"/>
      <c r="N1145" t="inlineStr"/>
      <c r="O1145">
        <f>(1-Summary!$B$11)*T1145+Summary!$B$11*V1145</f>
        <v/>
      </c>
      <c r="P1145">
        <f>IF(B1172=0,0,O1145/B1172)</f>
        <v/>
      </c>
      <c r="Q1145">
        <f>IFERROR(1/(IF(Inputs!$B$38="pvp",15,MAX(0.1,Skills!D16-IF(Skills!E16=TRUE,(Inputs!$B$32+1),0)))*(1-IF(AND(ArtifactsInput!$M$27,Inputs!$B$4="Chapter Hunt"),CHOOSE(ArtifactsInput!$N$27+1,20,24,28,32,36,40),0)/100)),0)</f>
        <v/>
      </c>
      <c r="R1145">
        <f>IF(AND(Inputs!$B$38&lt;&gt;"pvp",Inputs!$B$43&gt;0),IF(Inputs!$B$43&lt;=0,0,(INT(Inputs!$B$43/(IF(Inputs!$B$38="pvp",15,MAX(0.1,Skills!D16-IF(Skills!E16=TRUE,(Inputs!$B$32+1),0)))*(1-IF(AND(ArtifactsInput!$M$27,Inputs!$B$4="Chapter Hunt"),CHOOSE(ArtifactsInput!$N$27+1,20,24,28,32,36,40),0)/100)))+1)),0)</f>
        <v/>
      </c>
      <c r="S1145">
        <f>IFERROR(O1145/N1145,0)</f>
        <v/>
      </c>
      <c r="T1145" t="n">
        <v>0</v>
      </c>
      <c r="V1145" t="n">
        <v>0</v>
      </c>
    </row>
    <row r="1146">
      <c r="A1146">
        <f>Skills!A17</f>
        <v/>
      </c>
      <c r="B1146">
        <f>Skills!B17</f>
        <v/>
      </c>
      <c r="C1146">
        <f>Inputs!$B$3&gt;=66</f>
        <v/>
      </c>
      <c r="D1146">
        <f>IF(Skills!C17=1,60+Inputs!$B$25+Inputs!$B$29,IF(Skills!C17=2,90+Inputs!$B$26+Inputs!$B$29,IF(Skills!C17=3,120+Inputs!$B$27+Inputs!$B$29,MAX(0,(Inputs!$B$3-100)*3)+Inputs!$B$28+Inputs!$B$29)))</f>
        <v/>
      </c>
      <c r="E1146">
        <f>INDEX(FactorTable!$B$2:$Y$301, MATCH(ROUND(MIN(300,MAX(1,D1146)),0), FactorTable!$A$2:$A$301,0), Skills!M17+1)</f>
        <v/>
      </c>
      <c r="F1146">
        <f>IF(Skills!N17=TRUE,(Skills!L17/10)*(E1146/1000),Skills!L17/10)+Skills!O17</f>
        <v/>
      </c>
      <c r="G1146">
        <f>Skills!G17*IF(Skills!H17&gt;0,Skills!I17/Skills!H17,1)</f>
        <v/>
      </c>
      <c r="H1146">
        <f>1-(1-Skills!J17/100)^Skills!K17</f>
        <v/>
      </c>
      <c r="I1146" t="inlineStr">
        <is>
          <t>1</t>
        </is>
      </c>
      <c r="J1146" t="inlineStr"/>
      <c r="K1146" t="inlineStr"/>
      <c r="L1146" t="inlineStr"/>
      <c r="M1146" t="inlineStr"/>
      <c r="N1146" t="inlineStr"/>
      <c r="O1146">
        <f>(1-Summary!$B$11)*T1146+Summary!$B$11*V1146</f>
        <v/>
      </c>
      <c r="P1146">
        <f>IF(B1172=0,0,O1146/B1172)</f>
        <v/>
      </c>
      <c r="Q1146" t="n">
        <v>0</v>
      </c>
      <c r="R1146" t="n">
        <v>0</v>
      </c>
      <c r="S1146">
        <f>IFERROR(O1146/N1146,0)</f>
        <v/>
      </c>
      <c r="T1146" t="n">
        <v>0</v>
      </c>
      <c r="V1146" t="n">
        <v>0</v>
      </c>
    </row>
    <row r="1147">
      <c r="A1147">
        <f>Skills!A18</f>
        <v/>
      </c>
      <c r="B1147">
        <f>Skills!B18</f>
        <v/>
      </c>
      <c r="C1147">
        <f>Inputs!$B$3&gt;=72</f>
        <v/>
      </c>
      <c r="D1147">
        <f>IF(Skills!C18=1,60+Inputs!$B$25+Inputs!$B$29,IF(Skills!C18=2,90+Inputs!$B$26+Inputs!$B$29,IF(Skills!C18=3,120+Inputs!$B$27+Inputs!$B$29,MAX(0,(Inputs!$B$3-100)*3)+Inputs!$B$28+Inputs!$B$29)))</f>
        <v/>
      </c>
      <c r="E1147">
        <f>INDEX(FactorTable!$B$2:$Y$301, MATCH(ROUND(MIN(300,MAX(1,D1147)),0), FactorTable!$A$2:$A$301,0), Skills!M18+1)</f>
        <v/>
      </c>
      <c r="F1147">
        <f>IF(Skills!N18=TRUE,(Skills!L18/10)*(E1147/1000),Skills!L18/10)+Skills!O18</f>
        <v/>
      </c>
      <c r="G1147">
        <f>Skills!G18*IF(Skills!H18&gt;0,Skills!I18/Skills!H18,1)</f>
        <v/>
      </c>
      <c r="H1147">
        <f>1-(1-Skills!J18/100)^Skills!K18</f>
        <v/>
      </c>
      <c r="I1147" t="inlineStr">
        <is>
          <t>1</t>
        </is>
      </c>
      <c r="J1147" t="inlineStr"/>
      <c r="K1147" t="inlineStr"/>
      <c r="L1147" t="inlineStr"/>
      <c r="M1147" t="inlineStr"/>
      <c r="N1147" t="inlineStr"/>
      <c r="O1147">
        <f>(1-Summary!$B$11)*T1147+Summary!$B$11*V1147</f>
        <v/>
      </c>
      <c r="P1147">
        <f>IF(B1172=0,0,O1147/B1172)</f>
        <v/>
      </c>
      <c r="Q1147" t="n">
        <v>0</v>
      </c>
      <c r="R1147" t="n">
        <v>0</v>
      </c>
      <c r="S1147">
        <f>IFERROR(O1147/N1147,0)</f>
        <v/>
      </c>
      <c r="T1147" t="n">
        <v>0</v>
      </c>
      <c r="V1147" t="n">
        <v>0</v>
      </c>
    </row>
    <row r="1148">
      <c r="A1148">
        <f>Skills!A19</f>
        <v/>
      </c>
      <c r="B1148">
        <f>Skills!B19</f>
        <v/>
      </c>
      <c r="C1148">
        <f>TRUE</f>
        <v/>
      </c>
      <c r="D1148">
        <f>IF(Skills!C19=1,60+Inputs!$B$25+Inputs!$B$29,IF(Skills!C19=2,90+Inputs!$B$26+Inputs!$B$29,IF(Skills!C19=3,120+Inputs!$B$27+Inputs!$B$29,MAX(0,(Inputs!$B$3-100)*3)+Inputs!$B$28+Inputs!$B$29)))</f>
        <v/>
      </c>
      <c r="E1148">
        <f>INDEX(FactorTable!$B$2:$Y$301, MATCH(ROUND(MIN(300,MAX(1,D1148)),0), FactorTable!$A$2:$A$301,0), Skills!M19+1)</f>
        <v/>
      </c>
      <c r="F1148">
        <f>IF(Skills!N19=TRUE,(Skills!L19/10)*(E1148/1000),Skills!L19/10)+Skills!O19</f>
        <v/>
      </c>
      <c r="G1148">
        <f>Skills!G19*IF(Skills!H19&gt;0,Skills!I19/Skills!H19,1)</f>
        <v/>
      </c>
      <c r="H1148">
        <f>1-(1-Skills!J19/100)^Skills!K19</f>
        <v/>
      </c>
      <c r="I1148" t="inlineStr">
        <is>
          <t>1</t>
        </is>
      </c>
      <c r="J1148" t="inlineStr"/>
      <c r="K1148" t="inlineStr"/>
      <c r="L1148" t="inlineStr"/>
      <c r="M1148" t="inlineStr"/>
      <c r="N1148" t="inlineStr"/>
      <c r="O1148">
        <f>(1-Summary!$B$11)*T1148+Summary!$B$11*V1148</f>
        <v/>
      </c>
      <c r="P1148">
        <f>IF(B1172=0,0,O1148/B1172)</f>
        <v/>
      </c>
      <c r="Q1148">
        <f>IFERROR(1/(IF(Inputs!$B$38="pvp",15,MAX(0.1,Skills!D19-IF(Skills!E19=TRUE,(Inputs!$B$32+1),0)))*(1-IF(AND(ArtifactsInput!$M$27,Inputs!$B$4="Chapter Hunt"),CHOOSE(ArtifactsInput!$N$27+1,20,24,28,32,36,40),0)/100)),0)</f>
        <v/>
      </c>
      <c r="R1148">
        <f>IF(AND(Inputs!$B$38&lt;&gt;"pvp",Inputs!$B$43&gt;0),IF(Inputs!$B$43&lt;=0,0,(INT(Inputs!$B$43/(IF(Inputs!$B$38="pvp",15,MAX(0.1,Skills!D19-IF(Skills!E19=TRUE,(Inputs!$B$32+1),0)))*(1-IF(AND(ArtifactsInput!$M$27,Inputs!$B$4="Chapter Hunt"),CHOOSE(ArtifactsInput!$N$27+1,20,24,28,32,36,40),0)/100)))+1)),0)</f>
        <v/>
      </c>
      <c r="S1148">
        <f>IFERROR(O1148/N1148,0)</f>
        <v/>
      </c>
      <c r="T1148" t="n">
        <v>0</v>
      </c>
      <c r="V1148" t="n">
        <v>0</v>
      </c>
    </row>
    <row r="1149">
      <c r="A1149">
        <f>Skills!A20</f>
        <v/>
      </c>
      <c r="B1149">
        <f>Skills!B20</f>
        <v/>
      </c>
      <c r="C1149">
        <f>Inputs!$B$3&gt;=15</f>
        <v/>
      </c>
      <c r="D1149">
        <f>IF(Skills!C20=1,60+Inputs!$B$25+Inputs!$B$29,IF(Skills!C20=2,90+Inputs!$B$26+Inputs!$B$29,IF(Skills!C20=3,120+Inputs!$B$27+Inputs!$B$29,MAX(0,(Inputs!$B$3-100)*3)+Inputs!$B$28+Inputs!$B$29)))</f>
        <v/>
      </c>
      <c r="E1149">
        <f>INDEX(FactorTable!$B$2:$Y$301, MATCH(ROUND(MIN(300,MAX(1,D1149)),0), FactorTable!$A$2:$A$301,0), Skills!M20+1)</f>
        <v/>
      </c>
      <c r="F1149">
        <f>IF(Skills!N20=TRUE,(Skills!L20/10)*(E1149/1000),Skills!L20/10)+Skills!O20</f>
        <v/>
      </c>
      <c r="G1149">
        <f>Skills!G20*IF(Skills!H20&gt;0,Skills!I20/Skills!H20,1)</f>
        <v/>
      </c>
      <c r="H1149">
        <f>1-(1-Skills!J20/100)^Skills!K20</f>
        <v/>
      </c>
      <c r="I1149" t="inlineStr">
        <is>
          <t>1</t>
        </is>
      </c>
      <c r="J1149" t="inlineStr"/>
      <c r="K1149" t="inlineStr"/>
      <c r="L1149" t="inlineStr"/>
      <c r="M1149" t="inlineStr"/>
      <c r="N1149" t="inlineStr"/>
      <c r="O1149">
        <f>(1-Summary!$B$11)*T1149+Summary!$B$11*V1149</f>
        <v/>
      </c>
      <c r="P1149">
        <f>IF(B1172=0,0,O1149/B1172)</f>
        <v/>
      </c>
      <c r="Q1149" t="n">
        <v>0</v>
      </c>
      <c r="R1149" t="n">
        <v>0</v>
      </c>
      <c r="S1149">
        <f>IFERROR(O1149/N1149,0)</f>
        <v/>
      </c>
      <c r="T1149" t="n">
        <v>0</v>
      </c>
      <c r="V1149" t="n">
        <v>0</v>
      </c>
    </row>
    <row r="1150">
      <c r="A1150">
        <f>Skills!A21</f>
        <v/>
      </c>
      <c r="B1150">
        <f>Skills!B21</f>
        <v/>
      </c>
      <c r="C1150">
        <f>Inputs!$B$3&gt;=10</f>
        <v/>
      </c>
      <c r="D1150">
        <f>IF(Skills!C21=1,60+Inputs!$B$25+Inputs!$B$29,IF(Skills!C21=2,90+Inputs!$B$26+Inputs!$B$29,IF(Skills!C21=3,120+Inputs!$B$27+Inputs!$B$29,MAX(0,(Inputs!$B$3-100)*3)+Inputs!$B$28+Inputs!$B$29)))</f>
        <v/>
      </c>
      <c r="E1150">
        <f>INDEX(FactorTable!$B$2:$Y$301, MATCH(ROUND(MIN(300,MAX(1,D1150)),0), FactorTable!$A$2:$A$301,0), Skills!M21+1)</f>
        <v/>
      </c>
      <c r="F1150">
        <f>IF(Skills!N21=TRUE,(Skills!L21/10)*(E1150/1000),Skills!L21/10)+Skills!O21</f>
        <v/>
      </c>
      <c r="G1150">
        <f>Skills!G21*IF(Skills!H21&gt;0,Skills!I21/Skills!H21,1)</f>
        <v/>
      </c>
      <c r="H1150">
        <f>1-(1-Skills!J21/100)^Skills!K21</f>
        <v/>
      </c>
      <c r="I1150" t="inlineStr">
        <is>
          <t>1</t>
        </is>
      </c>
      <c r="J1150" t="inlineStr"/>
      <c r="K1150" t="inlineStr"/>
      <c r="L1150" t="inlineStr"/>
      <c r="M1150" t="inlineStr"/>
      <c r="N1150" t="inlineStr"/>
      <c r="O1150">
        <f>(1-Summary!$B$11)*T1150+Summary!$B$11*V1150</f>
        <v/>
      </c>
      <c r="P1150">
        <f>IF(B1172=0,0,O1150/B1172)</f>
        <v/>
      </c>
      <c r="Q1150" t="n">
        <v>0</v>
      </c>
      <c r="R1150" t="n">
        <v>0</v>
      </c>
      <c r="S1150">
        <f>IFERROR(O1150/N1150,0)</f>
        <v/>
      </c>
      <c r="T1150" t="n">
        <v>0</v>
      </c>
      <c r="V1150" t="n">
        <v>0</v>
      </c>
    </row>
    <row r="1151">
      <c r="A1151">
        <f>Skills!A22</f>
        <v/>
      </c>
      <c r="B1151">
        <f>Skills!B22</f>
        <v/>
      </c>
      <c r="C1151">
        <f>Inputs!$B$3&gt;=33</f>
        <v/>
      </c>
      <c r="D1151">
        <f>IF(Skills!C22=1,60+Inputs!$B$25+Inputs!$B$29,IF(Skills!C22=2,90+Inputs!$B$26+Inputs!$B$29,IF(Skills!C22=3,120+Inputs!$B$27+Inputs!$B$29,MAX(0,(Inputs!$B$3-100)*3)+Inputs!$B$28+Inputs!$B$29)))</f>
        <v/>
      </c>
      <c r="E1151">
        <f>INDEX(FactorTable!$B$2:$Y$301, MATCH(ROUND(MIN(300,MAX(1,D1151)),0), FactorTable!$A$2:$A$301,0), Skills!M22+1)</f>
        <v/>
      </c>
      <c r="F1151">
        <f>IF(Skills!N22=TRUE,(Skills!L22/10)*(E1151/1000),Skills!L22/10)+Skills!O22</f>
        <v/>
      </c>
      <c r="G1151">
        <f>Skills!G22*IF(Skills!H22&gt;0,Skills!I22/Skills!H22,1)</f>
        <v/>
      </c>
      <c r="H1151">
        <f>1-(1-Skills!J22/100)^Skills!K22</f>
        <v/>
      </c>
      <c r="I1151" t="inlineStr">
        <is>
          <t>1</t>
        </is>
      </c>
      <c r="J1151" t="inlineStr"/>
      <c r="K1151" t="inlineStr"/>
      <c r="L1151" t="inlineStr"/>
      <c r="M1151" t="inlineStr"/>
      <c r="N1151" t="inlineStr"/>
      <c r="O1151">
        <f>(1-Summary!$B$11)*T1151+Summary!$B$11*V1151</f>
        <v/>
      </c>
      <c r="P1151">
        <f>IF(B1172=0,0,O1151/B1172)</f>
        <v/>
      </c>
      <c r="Q1151" t="n">
        <v>0</v>
      </c>
      <c r="R1151" t="n">
        <v>0</v>
      </c>
      <c r="S1151">
        <f>IFERROR(O1151/N1151,0)</f>
        <v/>
      </c>
      <c r="T1151" t="n">
        <v>0</v>
      </c>
      <c r="V1151" t="n">
        <v>0</v>
      </c>
    </row>
    <row r="1152">
      <c r="A1152">
        <f>Skills!A23</f>
        <v/>
      </c>
      <c r="B1152">
        <f>Skills!B23</f>
        <v/>
      </c>
      <c r="C1152">
        <f>Inputs!$B$3&gt;=38</f>
        <v/>
      </c>
      <c r="D1152">
        <f>IF(Skills!C23=1,60+Inputs!$B$25+Inputs!$B$29,IF(Skills!C23=2,90+Inputs!$B$26+Inputs!$B$29,IF(Skills!C23=3,120+Inputs!$B$27+Inputs!$B$29,MAX(0,(Inputs!$B$3-100)*3)+Inputs!$B$28+Inputs!$B$29)))</f>
        <v/>
      </c>
      <c r="E1152">
        <f>INDEX(FactorTable!$B$2:$Y$301, MATCH(ROUND(MIN(300,MAX(1,D1152)),0), FactorTable!$A$2:$A$301,0), Skills!M23+1)</f>
        <v/>
      </c>
      <c r="F1152">
        <f>IF(Skills!N23=TRUE,(Skills!L23/10)*(E1152/1000),Skills!L23/10)+Skills!O23</f>
        <v/>
      </c>
      <c r="G1152">
        <f>Skills!G23*IF(Skills!H23&gt;0,Skills!I23/Skills!H23,1)</f>
        <v/>
      </c>
      <c r="H1152">
        <f>1-(1-Skills!J23/100)^Skills!K23</f>
        <v/>
      </c>
      <c r="I1152" t="inlineStr">
        <is>
          <t>1</t>
        </is>
      </c>
      <c r="J1152" t="inlineStr"/>
      <c r="K1152" t="inlineStr"/>
      <c r="L1152" t="inlineStr"/>
      <c r="M1152" t="inlineStr"/>
      <c r="N1152" t="inlineStr"/>
      <c r="O1152">
        <f>(1-Summary!$B$11)*T1152+Summary!$B$11*V1152</f>
        <v/>
      </c>
      <c r="P1152">
        <f>IF(B1172=0,0,O1152/B1172)</f>
        <v/>
      </c>
      <c r="Q1152" t="n">
        <v>0</v>
      </c>
      <c r="R1152" t="n">
        <v>0</v>
      </c>
      <c r="S1152">
        <f>IFERROR(O1152/N1152,0)</f>
        <v/>
      </c>
      <c r="T1152" t="n">
        <v>0</v>
      </c>
      <c r="V1152" t="n">
        <v>0</v>
      </c>
    </row>
    <row r="1153">
      <c r="A1153">
        <f>Skills!A24</f>
        <v/>
      </c>
      <c r="B1153">
        <f>Skills!B24</f>
        <v/>
      </c>
      <c r="C1153">
        <f>Inputs!$B$3&gt;=43</f>
        <v/>
      </c>
      <c r="D1153">
        <f>IF(Skills!C24=1,60+Inputs!$B$25+Inputs!$B$29,IF(Skills!C24=2,90+Inputs!$B$26+Inputs!$B$29,IF(Skills!C24=3,120+Inputs!$B$27+Inputs!$B$29,MAX(0,(Inputs!$B$3-100)*3)+Inputs!$B$28+Inputs!$B$29)))</f>
        <v/>
      </c>
      <c r="E1153">
        <f>INDEX(FactorTable!$B$2:$Y$301, MATCH(ROUND(MIN(300,MAX(1,D1153)),0), FactorTable!$A$2:$A$301,0), Skills!M24+1)</f>
        <v/>
      </c>
      <c r="F1153">
        <f>IF(Skills!N24=TRUE,(Skills!L24/10)*(E1153/1000),Skills!L24/10)+Skills!O24</f>
        <v/>
      </c>
      <c r="G1153">
        <f>Skills!G24*IF(Skills!H24&gt;0,Skills!I24/Skills!H24,1)</f>
        <v/>
      </c>
      <c r="H1153">
        <f>1-(1-Skills!J24/100)^Skills!K24</f>
        <v/>
      </c>
      <c r="I1153" t="inlineStr">
        <is>
          <t>1</t>
        </is>
      </c>
      <c r="J1153" t="inlineStr"/>
      <c r="K1153" t="inlineStr"/>
      <c r="L1153" t="inlineStr"/>
      <c r="M1153" t="inlineStr"/>
      <c r="N1153" t="inlineStr"/>
      <c r="O1153">
        <f>(1-Summary!$B$11)*T1153+Summary!$B$11*V1153</f>
        <v/>
      </c>
      <c r="P1153">
        <f>IF(B1172=0,0,O1153/B1172)</f>
        <v/>
      </c>
      <c r="Q1153" t="n">
        <v>0</v>
      </c>
      <c r="R1153" t="n">
        <v>0</v>
      </c>
      <c r="S1153">
        <f>IFERROR(O1153/N1153,0)</f>
        <v/>
      </c>
      <c r="T1153" t="n">
        <v>0</v>
      </c>
      <c r="V1153" t="n">
        <v>0</v>
      </c>
    </row>
    <row r="1154">
      <c r="A1154">
        <f>Skills!A25</f>
        <v/>
      </c>
      <c r="B1154">
        <f>Skills!B25</f>
        <v/>
      </c>
      <c r="C1154">
        <f>Inputs!$B$3&gt;=75</f>
        <v/>
      </c>
      <c r="D1154">
        <f>IF(Skills!C25=1,60+Inputs!$B$25+Inputs!$B$29,IF(Skills!C25=2,90+Inputs!$B$26+Inputs!$B$29,IF(Skills!C25=3,120+Inputs!$B$27+Inputs!$B$29,MAX(0,(Inputs!$B$3-100)*3)+Inputs!$B$28+Inputs!$B$29)))</f>
        <v/>
      </c>
      <c r="E1154">
        <f>INDEX(FactorTable!$B$2:$Y$301, MATCH(ROUND(MIN(300,MAX(1,D1154)),0), FactorTable!$A$2:$A$301,0), Skills!M25+1)</f>
        <v/>
      </c>
      <c r="F1154">
        <f>IF(Skills!N25=TRUE,(Skills!L25/10)*(E1154/1000),Skills!L25/10)+Skills!O25</f>
        <v/>
      </c>
      <c r="G1154">
        <f>Skills!G25*IF(Skills!H25&gt;0,Skills!I25/Skills!H25,1)</f>
        <v/>
      </c>
      <c r="H1154">
        <f>1-(1-Skills!J25/100)^Skills!K25</f>
        <v/>
      </c>
      <c r="I1154" t="inlineStr">
        <is>
          <t>1</t>
        </is>
      </c>
      <c r="J1154" t="inlineStr"/>
      <c r="K1154" t="inlineStr"/>
      <c r="L1154" t="inlineStr"/>
      <c r="M1154" t="inlineStr"/>
      <c r="N1154" t="inlineStr"/>
      <c r="O1154">
        <f>(1-Summary!$B$11)*T1154+Summary!$B$11*V1154</f>
        <v/>
      </c>
      <c r="P1154">
        <f>IF(B1172=0,0,O1154/B1172)</f>
        <v/>
      </c>
      <c r="Q1154" t="n">
        <v>0</v>
      </c>
      <c r="R1154" t="n">
        <v>0</v>
      </c>
      <c r="S1154">
        <f>IFERROR(O1154/N1154,0)</f>
        <v/>
      </c>
      <c r="T1154" t="n">
        <v>0</v>
      </c>
      <c r="V1154" t="n">
        <v>0</v>
      </c>
    </row>
    <row r="1155">
      <c r="A1155">
        <f>Skills!A26</f>
        <v/>
      </c>
      <c r="B1155">
        <f>Skills!B26</f>
        <v/>
      </c>
      <c r="C1155">
        <f>Inputs!$B$3&gt;=125</f>
        <v/>
      </c>
      <c r="D1155">
        <f>IF(Skills!C26=1,60+Inputs!$B$25+Inputs!$B$29,IF(Skills!C26=2,90+Inputs!$B$26+Inputs!$B$29,IF(Skills!C26=3,120+Inputs!$B$27+Inputs!$B$29,MAX(0,(Inputs!$B$3-100)*3)+Inputs!$B$28+Inputs!$B$29)))</f>
        <v/>
      </c>
      <c r="E1155">
        <f>INDEX(FactorTable!$B$2:$Y$301, MATCH(ROUND(MIN(300,MAX(1,D1155)),0), FactorTable!$A$2:$A$301,0), Skills!M26+1)</f>
        <v/>
      </c>
      <c r="F1155">
        <f>IF(Skills!N26=TRUE,(Skills!L26/10)*(E1155/1000),Skills!L26/10)+Skills!O26</f>
        <v/>
      </c>
      <c r="G1155">
        <f>Skills!G26*IF(Skills!H26&gt;0,Skills!I26/Skills!H26,1)</f>
        <v/>
      </c>
      <c r="H1155">
        <f>1-(1-Skills!J26/100)^Skills!K26</f>
        <v/>
      </c>
      <c r="I1155" t="inlineStr">
        <is>
          <t>1</t>
        </is>
      </c>
      <c r="J1155" t="inlineStr"/>
      <c r="K1155" t="inlineStr"/>
      <c r="L1155" t="inlineStr"/>
      <c r="M1155" t="inlineStr"/>
      <c r="N1155" t="inlineStr"/>
      <c r="O1155">
        <f>(1-Summary!$B$11)*T1155+Summary!$B$11*V1155</f>
        <v/>
      </c>
      <c r="P1155">
        <f>IF(B1172=0,0,O1155/B1172)</f>
        <v/>
      </c>
      <c r="Q1155" t="n">
        <v>0</v>
      </c>
      <c r="R1155" t="n">
        <v>0</v>
      </c>
      <c r="S1155">
        <f>IFERROR(O1155/N1155,0)</f>
        <v/>
      </c>
      <c r="T1155" t="n">
        <v>0</v>
      </c>
      <c r="V1155" t="n">
        <v>0</v>
      </c>
    </row>
    <row r="1156">
      <c r="A1156">
        <f>Skills!A27</f>
        <v/>
      </c>
      <c r="B1156">
        <f>Skills!B27</f>
        <v/>
      </c>
      <c r="C1156">
        <f>Inputs!$B$3&gt;=125</f>
        <v/>
      </c>
      <c r="D1156">
        <f>IF(Skills!C27=1,60+Inputs!$B$25+Inputs!$B$29,IF(Skills!C27=2,90+Inputs!$B$26+Inputs!$B$29,IF(Skills!C27=3,120+Inputs!$B$27+Inputs!$B$29,MAX(0,(Inputs!$B$3-100)*3)+Inputs!$B$28+Inputs!$B$29)))</f>
        <v/>
      </c>
      <c r="E1156">
        <f>INDEX(FactorTable!$B$2:$Y$301, MATCH(ROUND(MIN(300,MAX(1,D1156)),0), FactorTable!$A$2:$A$301,0), Skills!M27+1)</f>
        <v/>
      </c>
      <c r="F1156">
        <f>IF(Skills!N27=TRUE,(Skills!L27/10)*(E1156/1000),Skills!L27/10)+Skills!O27</f>
        <v/>
      </c>
      <c r="G1156">
        <f>Skills!G27*IF(Skills!H27&gt;0,Skills!I27/Skills!H27,1)</f>
        <v/>
      </c>
      <c r="H1156">
        <f>1-(1-Skills!J27/100)^Skills!K27</f>
        <v/>
      </c>
      <c r="I1156" t="inlineStr">
        <is>
          <t>1</t>
        </is>
      </c>
      <c r="J1156" t="inlineStr"/>
      <c r="K1156" t="inlineStr"/>
      <c r="L1156" t="inlineStr"/>
      <c r="M1156" t="inlineStr"/>
      <c r="N1156" t="inlineStr"/>
      <c r="O1156">
        <f>(1-Summary!$B$11)*T1156+Summary!$B$11*V1156</f>
        <v/>
      </c>
      <c r="P1156">
        <f>IF(B1172=0,0,O1156/B1172)</f>
        <v/>
      </c>
      <c r="Q1156" t="n">
        <v>0</v>
      </c>
      <c r="R1156" t="n">
        <v>0</v>
      </c>
      <c r="S1156">
        <f>IFERROR(O1156/N1156,0)</f>
        <v/>
      </c>
      <c r="T1156" t="n">
        <v>0</v>
      </c>
      <c r="V1156" t="n">
        <v>0</v>
      </c>
    </row>
    <row r="1157">
      <c r="A1157">
        <f>Skills!A28</f>
        <v/>
      </c>
      <c r="B1157">
        <f>Skills!B28</f>
        <v/>
      </c>
      <c r="C1157">
        <f>Inputs!$B$3&gt;=120</f>
        <v/>
      </c>
      <c r="D1157">
        <f>IF(Skills!C28=1,60+Inputs!$B$25+Inputs!$B$29,IF(Skills!C28=2,90+Inputs!$B$26+Inputs!$B$29,IF(Skills!C28=3,120+Inputs!$B$27+Inputs!$B$29,MAX(0,(Inputs!$B$3-100)*3)+Inputs!$B$28+Inputs!$B$29)))</f>
        <v/>
      </c>
      <c r="E1157">
        <f>INDEX(FactorTable!$B$2:$Y$301, MATCH(ROUND(MIN(300,MAX(1,D1157)),0), FactorTable!$A$2:$A$301,0), Skills!M28+1)</f>
        <v/>
      </c>
      <c r="F1157">
        <f>IF(Skills!N28=TRUE,(Skills!L28/10)*(E1157/1000),Skills!L28/10)+Skills!O28</f>
        <v/>
      </c>
      <c r="G1157">
        <f>Skills!G28*IF(Skills!H28&gt;0,Skills!I28/Skills!H28,1)</f>
        <v/>
      </c>
      <c r="H1157">
        <f>1-(1-Skills!J28/100)^Skills!K28</f>
        <v/>
      </c>
      <c r="I1157" t="inlineStr">
        <is>
          <t>1</t>
        </is>
      </c>
      <c r="J1157" t="inlineStr"/>
      <c r="K1157" t="inlineStr"/>
      <c r="L1157" t="inlineStr"/>
      <c r="M1157" t="inlineStr"/>
      <c r="N1157" t="inlineStr"/>
      <c r="O1157">
        <f>(1-Summary!$B$11)*T1157+Summary!$B$11*V1157</f>
        <v/>
      </c>
      <c r="P1157">
        <f>IF(B1172=0,0,O1157/B1172)</f>
        <v/>
      </c>
      <c r="Q1157" t="n">
        <v>0</v>
      </c>
      <c r="R1157" t="n">
        <v>0</v>
      </c>
      <c r="S1157">
        <f>IFERROR(O1157/N1157,0)</f>
        <v/>
      </c>
      <c r="T1157" t="n">
        <v>0</v>
      </c>
      <c r="V1157" t="n">
        <v>0</v>
      </c>
    </row>
    <row r="1158">
      <c r="A1158">
        <f>Skills!A29</f>
        <v/>
      </c>
      <c r="B1158">
        <f>Skills!B29</f>
        <v/>
      </c>
      <c r="C1158">
        <f>Inputs!$B$3&gt;=120</f>
        <v/>
      </c>
      <c r="D1158">
        <f>IF(Skills!C29=1,60+Inputs!$B$25+Inputs!$B$29,IF(Skills!C29=2,90+Inputs!$B$26+Inputs!$B$29,IF(Skills!C29=3,120+Inputs!$B$27+Inputs!$B$29,MAX(0,(Inputs!$B$3-100)*3)+Inputs!$B$28+Inputs!$B$29)))</f>
        <v/>
      </c>
      <c r="E1158">
        <f>INDEX(FactorTable!$B$2:$Y$301, MATCH(ROUND(MIN(300,MAX(1,D1158)),0), FactorTable!$A$2:$A$301,0), Skills!M29+1)</f>
        <v/>
      </c>
      <c r="F1158">
        <f>IF(Skills!N29=TRUE,(Skills!L29/10)*(E1158/1000),Skills!L29/10)+Skills!O29</f>
        <v/>
      </c>
      <c r="G1158">
        <f>Skills!G29*IF(Skills!H29&gt;0,Skills!I29/Skills!H29,1)</f>
        <v/>
      </c>
      <c r="H1158">
        <f>1-(1-Skills!J29/100)^Skills!K29</f>
        <v/>
      </c>
      <c r="I1158" t="inlineStr">
        <is>
          <t>1</t>
        </is>
      </c>
      <c r="J1158" t="inlineStr"/>
      <c r="K1158" t="inlineStr"/>
      <c r="L1158" t="inlineStr"/>
      <c r="M1158" t="inlineStr"/>
      <c r="N1158" t="inlineStr"/>
      <c r="O1158">
        <f>(1-Summary!$B$11)*T1158+Summary!$B$11*V1158</f>
        <v/>
      </c>
      <c r="P1158">
        <f>IF(B1172=0,0,O1158/B1172)</f>
        <v/>
      </c>
      <c r="Q1158" t="n">
        <v>0</v>
      </c>
      <c r="R1158" t="n">
        <v>0</v>
      </c>
      <c r="S1158">
        <f>IFERROR(O1158/N1158,0)</f>
        <v/>
      </c>
      <c r="T1158" t="n">
        <v>0</v>
      </c>
      <c r="V1158" t="n">
        <v>0</v>
      </c>
    </row>
    <row r="1159">
      <c r="A1159">
        <f>Skills!A30</f>
        <v/>
      </c>
      <c r="B1159">
        <f>Skills!B30</f>
        <v/>
      </c>
      <c r="C1159">
        <f>Inputs!$B$3&gt;=45</f>
        <v/>
      </c>
      <c r="D1159">
        <f>IF(Skills!C30=1,60+Inputs!$B$25+Inputs!$B$29,IF(Skills!C30=2,90+Inputs!$B$26+Inputs!$B$29,IF(Skills!C30=3,120+Inputs!$B$27+Inputs!$B$29,MAX(0,(Inputs!$B$3-100)*3)+Inputs!$B$28+Inputs!$B$29)))</f>
        <v/>
      </c>
      <c r="E1159">
        <f>INDEX(FactorTable!$B$2:$Y$301, MATCH(ROUND(MIN(300,MAX(1,D1159)),0), FactorTable!$A$2:$A$301,0), Skills!M30+1)</f>
        <v/>
      </c>
      <c r="F1159">
        <f>IF(Skills!N30=TRUE,(Skills!L30/10)*(E1159/1000),Skills!L30/10)+Skills!O30</f>
        <v/>
      </c>
      <c r="G1159">
        <f>Skills!G30*IF(Skills!H30&gt;0,Skills!I30/Skills!H30,1)</f>
        <v/>
      </c>
      <c r="H1159">
        <f>1-(1-Skills!J30/100)^Skills!K30</f>
        <v/>
      </c>
      <c r="I1159" t="inlineStr">
        <is>
          <t>1</t>
        </is>
      </c>
      <c r="J1159" t="inlineStr"/>
      <c r="K1159" t="inlineStr"/>
      <c r="L1159" t="inlineStr"/>
      <c r="M1159" t="inlineStr"/>
      <c r="N1159" t="inlineStr"/>
      <c r="O1159">
        <f>(1-Summary!$B$11)*T1159+Summary!$B$11*V1159</f>
        <v/>
      </c>
      <c r="P1159">
        <f>IF(B1172=0,0,O1159/B1172)</f>
        <v/>
      </c>
      <c r="Q1159" t="n">
        <v>0</v>
      </c>
      <c r="R1159" t="n">
        <v>0</v>
      </c>
      <c r="S1159">
        <f>IFERROR(O1159/N1159,0)</f>
        <v/>
      </c>
      <c r="T1159" t="n">
        <v>0</v>
      </c>
      <c r="V1159" t="n">
        <v>0</v>
      </c>
    </row>
    <row r="1161">
      <c r="A1161" t="inlineStr">
        <is>
          <t>Attack% Bucket Multiplier</t>
        </is>
      </c>
      <c r="B1161">
        <f>(1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2">
      <c r="A1162" t="inlineStr">
        <is>
          <t>Global Crit Rate Bonus %</t>
        </is>
      </c>
      <c r="B1162">
        <f>(C1145=TRUE)*20*IF(AND(Inputs!$B$38&lt;&gt;"pvp",Inputs!$B$43&gt;0),(((R1145-1)*(Skills!T16*(1+Inputs!$B$34/100))+MIN((Skills!T16*(1+Inputs!$B$34/100)),MAX(0,Inputs!$B$43-((R1145-1)*Skills!D16))))/Inputs!$B$43),IF(Inputs!$B$38="pvp",MIN((Skills!T16*(1+Inputs!$B$34/100)),15)/15,(Skills!T16*(1+Inputs!$B$34/100))/Skills!D16))</f>
        <v/>
      </c>
    </row>
    <row r="1163">
      <c r="A1163" t="inlineStr">
        <is>
          <t>Attack Speed Buff Bonus %</t>
        </is>
      </c>
      <c r="B1163">
        <f>((C1148=TRUE)*F1148*IF(AND(Inputs!$B$38&lt;&gt;"pvp",Inputs!$B$43&gt;0),(((R1148-1)*(Skills!T19*(1+Inputs!$B$34/100))+MIN((Skills!T19*(1+Inputs!$B$34/100)),MAX(0,Inputs!$B$43-((R1148-1)*Skills!D19))))/Inputs!$B$43),IF(Inputs!$B$38="pvp",MIN((Skills!T19*(1+Inputs!$B$34/100)),15)/15,(Skills!T19*(1+Inputs!$B$34/100))/Skills!D19)))</f>
        <v/>
      </c>
    </row>
    <row r="1164">
      <c r="A1164" t="inlineStr">
        <is>
          <t>Actions Per Second</t>
        </is>
      </c>
      <c r="B1164">
        <f>1+MIN(150,150*(1-(1-(Inputs!$B$11+((C1150=TRUE)*(F1150-Calc!F21))+((C1151=TRUE)*(F1151-Calc!F22)))/150)*(1-B1163/150)))/100</f>
        <v/>
      </c>
    </row>
    <row r="1165">
      <c r="A1165" t="inlineStr">
        <is>
          <t>Skill + Buff Cast Rate</t>
        </is>
      </c>
      <c r="B1165">
        <f>IF(AND(Inputs!$B$38&lt;&gt;"pvp",Inputs!$B$43&gt;0),SUMPRODUCT((Skills!E2:E30=TRUE)*(C1131:C1159=TRUE)*R1131:R1159*Skills!F2:F30)/Inputs!$B$43,SUMPRODUCT((Skills!E2:E30=TRUE)*(C1131:C1159=TRUE)*Q1131:Q1159*Skills!F2:F30))</f>
        <v/>
      </c>
    </row>
    <row r="1166">
      <c r="A1166" t="inlineStr">
        <is>
          <t>Arrow Stream Casts Per Second</t>
        </is>
      </c>
      <c r="B1166">
        <f>MAX(0,B1164-B1165)</f>
        <v/>
      </c>
    </row>
    <row r="1167">
      <c r="A1167" t="inlineStr">
        <is>
          <t>Global Critical Damage Bonus % (Sharp Eyes + Concentration)</t>
        </is>
      </c>
      <c r="B1167">
        <f>(C1145=TRUE)*F1145*IF(AND(Inputs!$B$38&lt;&gt;"pvp",Inputs!$B$43&gt;0),(((R1145-1)*(Skills!T16*(1+Inputs!$B$34/100))+MIN((Skills!T16*(1+Inputs!$B$34/100)),MAX(0,Inputs!$B$43-((R1145-1)*Skills!D16))))/Inputs!$B$43),IF(Inputs!$B$38="pvp",MIN((Skills!T16*(1+Inputs!$B$34/100)),15)/15,(Skills!T16*(1+Inputs!$B$34/100))/Skills!D16))+(C1146=TRUE)*30</f>
        <v/>
      </c>
    </row>
    <row r="1168">
      <c r="A1168" t="inlineStr">
        <is>
          <t>Global Final Damage Bonus % (Mortal Blow)</t>
        </is>
      </c>
      <c r="B1168">
        <f>(C1147=TRUE)*F1147</f>
        <v/>
      </c>
    </row>
    <row r="1169">
      <c r="A1169" t="inlineStr">
        <is>
          <t>Buff-Casting Startup Delay (s, fixed-duration only)</t>
        </is>
      </c>
      <c r="B1169">
        <f>IF(AND(Inputs!$B$38&lt;&gt;"pvp",Inputs!$B$43&gt;0),SUMPRODUCT((Skills!T2:T30&gt;0)*(Skills!E2:E30=TRUE)*(C1131:C1159=TRUE))/B1164,0)</f>
        <v/>
      </c>
    </row>
    <row r="1170">
      <c r="A1170" t="inlineStr">
        <is>
          <t>Boss-Only Total DPS (this block's swept value)</t>
        </is>
      </c>
      <c r="B1170">
        <f>SUM(T1131:T1159)</f>
        <v/>
      </c>
    </row>
    <row r="1171">
      <c r="A1171" t="inlineStr">
        <is>
          <t>Normal-Only Total DPS (this block's swept value)</t>
        </is>
      </c>
      <c r="B1171">
        <f>SUM(V1131:V1159)</f>
        <v/>
      </c>
    </row>
    <row r="1172">
      <c r="A1172" s="6" t="inlineStr">
        <is>
          <t>TOTAL DPS</t>
        </is>
      </c>
      <c r="B1172" s="6">
        <f>SUM(O1131:O1159)</f>
        <v/>
      </c>
    </row>
    <row r="1175">
      <c r="A1175" s="6" t="inlineStr">
        <is>
          <t>Stat: Basic Attack Target Increase (flat)</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1199=TRUE)*(F1199-Calc!F24)),(Inputs!$B$23+((C1204=TRUE)*(F1204-Calc!F29))+(IF(ArtifactsInput!$M$15,CHOOSE(ArtifactsInput!$N$15+1,25,30,35,40,45,50)/100*(Inputs!$B$11-Inputs!$B$11),0))))/100+(Inputs!$B$23+((C1204=TRUE)*(F1204-Calc!F29))+(IF(ArtifactsInput!$M$15,CHOOSE(ArtifactsInput!$N$15+1,25,30,35,40,45,50)/100*(Inputs!$B$11-Inputs!$B$11),0)))/100)/2</f>
        <v/>
      </c>
      <c r="M1177">
        <f>L1177*(1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IF(B1218=0,0,O1177/B1218)</f>
        <v/>
      </c>
      <c r="Q1177" t="n">
        <v>0</v>
      </c>
      <c r="R1177" t="n">
        <v>0</v>
      </c>
      <c r="S1177">
        <f>IFERROR(O1177/N1177,0)</f>
        <v/>
      </c>
      <c r="T1177">
        <f>IF(C1177,(Skills!G2*N1177*B1212)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1177*(1-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IF(C1177,(Skills!G2*N1177*B1212)*IF(Inputs!$B$38="pvp",1,(1+(Inputs!$B$21+Skills!Q2+(IF(ArtifactsInput!$M$33,CHOOSE(ArtifactsInput!$N$33+1,30,36,42,48,54,60),0))+(IF(AND(ArtifactsInput!$M$35,Inputs!$B$4&lt;&gt;"Chapter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Inputs!$B$3&gt;=50</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t="inlineStr"/>
      <c r="H1178" t="inlineStr"/>
      <c r="I1178" t="inlineStr">
        <is>
          <t>1</t>
        </is>
      </c>
      <c r="J1178" t="inlineStr"/>
      <c r="K1178" t="inlineStr"/>
      <c r="L1178" t="inlineStr"/>
      <c r="M1178" t="inlineStr"/>
      <c r="N1178" t="inlineStr"/>
      <c r="O1178" t="inlineStr"/>
      <c r="P1178" t="inlineStr"/>
      <c r="Q1178" t="inlineStr"/>
      <c r="R1178" t="inlineStr"/>
      <c r="S1178" t="inlineStr"/>
      <c r="T1178" t="inlineStr"/>
      <c r="U1178">
        <f>INDEX(FactorTable!$B$2:$Y$301, MATCH(ROUND(MIN(300,MAX(1,U1177)),0), FactorTable!$A$2:$A$301,0), 22)</f>
        <v/>
      </c>
      <c r="V1178" t="inlineStr"/>
    </row>
    <row r="1179">
      <c r="A1179">
        <f>Skills!A4</f>
        <v/>
      </c>
      <c r="B1179">
        <f>Skills!B4</f>
        <v/>
      </c>
      <c r="C1179">
        <f>Inputs!$B$3&gt;=105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t="inlineStr"/>
      <c r="H1179" t="inlineStr"/>
      <c r="I1179" t="inlineStr">
        <is>
          <t>1</t>
        </is>
      </c>
      <c r="J1179" t="inlineStr"/>
      <c r="K1179" t="inlineStr"/>
      <c r="L1179" t="inlineStr"/>
      <c r="M1179" t="inlineStr"/>
      <c r="N1179" t="inlineStr"/>
      <c r="O1179" t="inlineStr"/>
      <c r="P1179" t="inlineStr"/>
      <c r="Q1179" t="inlineStr"/>
      <c r="R1179" t="inlineStr"/>
      <c r="S1179" t="inlineStr"/>
      <c r="T1179" t="inlineStr"/>
      <c r="U1179">
        <f>290*U1178/1000</f>
        <v/>
      </c>
      <c r="V1179" t="inlineStr"/>
    </row>
    <row r="1180">
      <c r="A1180">
        <f>Skills!A5</f>
        <v/>
      </c>
      <c r="B1180">
        <f>Skills!B5</f>
        <v/>
      </c>
      <c r="C1180">
        <f>Inputs!$B$3&gt;=35</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Skills!G5*IF(Skills!H5&gt;0,Skills!I5/Skills!H5,1)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1185=TRUE,F1185,0)/100)*(1+(IF(Skills!A5="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1199=TRUE)*(F1199-Calc!F24)),(Inputs!$B$23+((C1204=TRUE)*(F1204-Calc!F29))+(IF(ArtifactsInput!$M$15,CHOOSE(ArtifactsInput!$N$15+1,25,30,35,40,45,50)/100*(Inputs!$B$11-Inputs!$B$11),0))))/100+(Inputs!$B$23+((C1204=TRUE)*(F1204-Calc!F29))+(IF(ArtifactsInput!$M$15,CHOOSE(ArtifactsInput!$N$15+1,25,30,35,40,45,50)/100*(Inputs!$B$11-Inputs!$B$11),0)))/100)/2</f>
        <v/>
      </c>
      <c r="M1180">
        <f>L1180*(1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IF(B1218=0,0,O1180/B1218)</f>
        <v/>
      </c>
      <c r="Q1180">
        <f>IFERROR(1/(IF(Inputs!$B$38="pvp",15,MAX(0.1,Skills!D5-IF(Skills!E5=TRUE,Inputs!$B$32,0)))*(1-IF(AND(ArtifactsInput!$M$27,Inputs!$B$4="Chapter Hunt"),CHOOSE(ArtifactsInput!$N$27+1,20,24,28,32,36,40),0)/100)),0)</f>
        <v/>
      </c>
      <c r="R1180">
        <f>IF(AND(Inputs!$B$38&lt;&gt;"pvp",Inputs!$B$43&gt;0),IF(MAX(0,Inputs!$B$43-B1215)&lt;=0,0,(INT(MAX(0,Inputs!$B$43-B1215)/(IF(Inputs!$B$38="pvp",15,MAX(0.1,Skills!D5-IF(Skills!E5=TRUE,Inputs!$B$32,0)))*(1-IF(AND(ArtifactsInput!$M$27,Inputs!$B$4="Chapter Hunt"),CHOOSE(ArtifactsInput!$N$27+1,20,24,28,32,36,40),0)/100)))+1)),0)</f>
        <v/>
      </c>
      <c r="S1180">
        <f>IFERROR(O1180/N1180,0)</f>
        <v/>
      </c>
      <c r="T1180">
        <f>IF(C1180,(H1180*N1180*IF(AND(Inputs!$B$38&lt;&gt;"pvp",Inputs!$B$43&gt;0),((Skills!G5*((R1180-1)*IF(Skills!H5&gt;0,Skills!I5/Skills!H5,1)+IF(Skills!H5&gt;0,MIN(Skills!I5,MAX(0,MAX(0,Inputs!$B$43-B1215)-((R1180-1)*(IF(Inputs!$B$38="pvp",15,MAX(0.1,Skills!D5-IF(Skills!E5=TRUE,Inputs!$B$32,0)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1180*(1-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Skills!I5/Skills!H5,1)+IF(Skills!H5&gt;0,MIN(Skills!I5,MAX(0,MAX(0,Inputs!$B$43-B1215)-((R1180-1)*(IF(Inputs!$B$38="pvp",15,MAX(0.1,Skills!D5-IF(Skills!E5=TRUE,Inputs!$B$32,0)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Inputs!$B$3&gt;=40</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1182=TRUE,F1182,0)/100)*(1+(IF(Skills!A6="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1199=TRUE)*(F1199-Calc!F24)),(Inputs!$B$23+((C1204=TRUE)*(F1204-Calc!F29))+(IF(ArtifactsInput!$M$15,CHOOSE(ArtifactsInput!$N$15+1,25,30,35,40,45,50)/100*(Inputs!$B$11-Inputs!$B$11),0))))/100+(Inputs!$B$23+((C1204=TRUE)*(F1204-Calc!F29))+(IF(ArtifactsInput!$M$15,CHOOSE(ArtifactsInput!$N$15+1,25,30,35,40,45,50)/100*(Inputs!$B$11-Inputs!$B$11),0)))/100)/2</f>
        <v/>
      </c>
      <c r="M1181">
        <f>L1181*(1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IF(B1218=0,0,O1181/B1218)</f>
        <v/>
      </c>
      <c r="Q1181">
        <f>IFERROR(1/(IF(Inputs!$B$38="pvp",15,MAX(0.1,Skills!D6-IF(Skills!E6=TRUE,Inputs!$B$32,0)))*(1-IF(AND(ArtifactsInput!$M$27,Inputs!$B$4="Chapter Hunt"),CHOOSE(ArtifactsInput!$N$27+1,20,24,28,32,36,40),0)/100)),0)</f>
        <v/>
      </c>
      <c r="R1181">
        <f>IF(AND(Inputs!$B$38&lt;&gt;"pvp",Inputs!$B$43&gt;0),IF(MAX(0,Inputs!$B$43-B1215)&lt;=0,0,(INT(MAX(0,Inputs!$B$43-B1215)/(IF(Inputs!$B$38="pvp",15,MAX(0.1,Skills!D6-IF(Skills!E6=TRUE,Inputs!$B$32,0)))*(1-IF(AND(ArtifactsInput!$M$27,Inputs!$B$4="Chapter Hunt"),CHOOSE(ArtifactsInput!$N$27+1,20,24,28,32,36,40),0)/100)))+1)),0)</f>
        <v/>
      </c>
      <c r="S1181">
        <f>IFERROR(O1181/N1181,0)</f>
        <v/>
      </c>
      <c r="T1181">
        <f>IF(C1181,(H1181*N1181*IF(AND(Inputs!$B$38&lt;&gt;"pvp",Inputs!$B$43&gt;0),((Skills!G6*((R1181-1)*IF(Skills!H6&gt;0,Skills!I6/Skills!H6,1)+IF(Skills!H6&gt;0,MIN(Skills!I6,MAX(0,MAX(0,Inputs!$B$43-B1215)-((R1181-1)*(IF(Inputs!$B$38="pvp",15,MAX(0.1,Skills!D6-IF(Skills!E6=TRUE,Inputs!$B$32,0)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1181*(1-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1215)-((R1181-1)*(IF(Inputs!$B$38="pvp",15,MAX(0.1,Skills!D6-IF(Skills!E6=TRUE,Inputs!$B$32,0)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Inputs!$B$3&gt;=107</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t="inlineStr"/>
      <c r="H1182" t="inlineStr"/>
      <c r="I1182" t="inlineStr">
        <is>
          <t>1</t>
        </is>
      </c>
      <c r="J1182" t="inlineStr"/>
      <c r="K1182" t="inlineStr"/>
      <c r="L1182" t="inlineStr"/>
      <c r="M1182" t="inlineStr"/>
      <c r="N1182" t="inlineStr"/>
      <c r="O1182" t="inlineStr"/>
      <c r="P1182" t="inlineStr"/>
      <c r="Q1182" t="inlineStr"/>
      <c r="R1182" t="inlineStr"/>
      <c r="S1182" t="inlineStr"/>
      <c r="T1182" t="inlineStr"/>
      <c r="V1182" t="inlineStr"/>
    </row>
    <row r="1183">
      <c r="A1183">
        <f>Skills!A8</f>
        <v/>
      </c>
      <c r="B1183">
        <f>Skills!B8</f>
        <v/>
      </c>
      <c r="C1183">
        <f>Inputs!$B$3&gt;=69</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1185=TRUE,F1185,0)/100)*(1+(IF(Skills!A8="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1199=TRUE)*(F1199-Calc!F24)),(Inputs!$B$23+((C1204=TRUE)*(F1204-Calc!F29))+(IF(ArtifactsInput!$M$15,CHOOSE(ArtifactsInput!$N$15+1,25,30,35,40,45,50)/100*(Inputs!$B$11-Inputs!$B$11),0))))/100+(Inputs!$B$23+((C1204=TRUE)*(F1204-Calc!F29))+(IF(ArtifactsInput!$M$15,CHOOSE(ArtifactsInput!$N$15+1,25,30,35,40,45,50)/100*(Inputs!$B$11-Inputs!$B$11),0)))/100)/2</f>
        <v/>
      </c>
      <c r="M1183">
        <f>L1183*(1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IF(B1218=0,0,O1183/B1218)</f>
        <v/>
      </c>
      <c r="Q1183">
        <f>IFERROR(1/(IF(Inputs!$B$38="pvp",15,MAX(0.1,Skills!D8-IF(Skills!E8=TRUE,Inputs!$B$32,0)))*(1-IF(AND(ArtifactsInput!$M$27,Inputs!$B$4="Chapter Hunt"),CHOOSE(ArtifactsInput!$N$27+1,20,24,28,32,36,40),0)/100)),0)</f>
        <v/>
      </c>
      <c r="R1183">
        <f>IF(AND(Inputs!$B$38&lt;&gt;"pvp",Inputs!$B$43&gt;0),IF(MAX(0,Inputs!$B$43-B1215)&lt;=0,0,(INT(MAX(0,Inputs!$B$43-B1215)/(IF(Inputs!$B$38="pvp",15,MAX(0.1,Skills!D8-IF(Skills!E8=TRUE,Inputs!$B$32,0)))*(1-IF(AND(ArtifactsInput!$M$27,Inputs!$B$4="Chapter Hunt"),CHOOSE(ArtifactsInput!$N$27+1,20,24,28,32,36,40),0)/100)))+1)),0)</f>
        <v/>
      </c>
      <c r="S1183">
        <f>IFERROR(O1183/N1183,0)</f>
        <v/>
      </c>
      <c r="T1183">
        <f>IF(C1183,(H1183*N1183*IF(AND(Inputs!$B$38&lt;&gt;"pvp",Inputs!$B$43&gt;0),((Skills!G8*((R1183-1)*IF(Skills!H8&gt;0,Skills!I8/Skills!H8,1)+IF(Skills!H8&gt;0,MIN(Skills!I8,MAX(0,MAX(0,Inputs!$B$43-B1215)-((R1183-1)*(IF(Inputs!$B$38="pvp",15,MAX(0.1,Skills!D8-IF(Skills!E8=TRUE,Inputs!$B$32,0)))*(1-IF(AND(ArtifactsInput!$M$27,Inputs!$B$4="Chapter Hunt"),CHOOSE(ArtifactsInput!$N$27+1,20,24,28,32,36,40),0)/100)))))/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1183*(1-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1215)-((R1183-1)*(IF(Inputs!$B$38="pvp",15,MAX(0.1,Skills!D8-IF(Skills!E8=TRUE,Inputs!$B$32,0)))*(1-IF(AND(ArtifactsInput!$M$27,Inputs!$B$4="Chapter Hunt"),CHOOSE(ArtifactsInput!$N$27+1,20,24,28,32,36,40),0)/100)))))/Skills!H8,1)))/Inputs!$B$43),G1183*Q1183))*IF(Inputs!$B$38="pvp",1,(1+(Inputs!$B$21+Skills!Q8+(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Inputs!$B$3&gt;=63</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1185=TRUE,F1185,0)/100)*(1+(IF(Skills!A9="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1199=TRUE)*(F1199-Calc!F24)),(Inputs!$B$23+((C1204=TRUE)*(F1204-Calc!F29))+(IF(ArtifactsInput!$M$15,CHOOSE(ArtifactsInput!$N$15+1,25,30,35,40,45,50)/100*(Inputs!$B$11-Inputs!$B$11),0))))/100+(Inputs!$B$23+((C1204=TRUE)*(F1204-Calc!F29))+(IF(ArtifactsInput!$M$15,CHOOSE(ArtifactsInput!$N$15+1,25,30,35,40,45,50)/100*(Inputs!$B$11-Inputs!$B$11),0)))/100)/2</f>
        <v/>
      </c>
      <c r="M1184">
        <f>L1184*(1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IF(B1218=0,0,O1184/B1218)</f>
        <v/>
      </c>
      <c r="Q1184">
        <f>IFERROR(1/(IF(Inputs!$B$38="pvp",15,MAX(0.1,Skills!D9-IF(Skills!E9=TRUE,Inputs!$B$32,0)))*(1-IF(AND(ArtifactsInput!$M$27,Inputs!$B$4="Chapter Hunt"),CHOOSE(ArtifactsInput!$N$27+1,20,24,28,32,36,40),0)/100)),0)</f>
        <v/>
      </c>
      <c r="R1184">
        <f>IF(AND(Inputs!$B$38&lt;&gt;"pvp",Inputs!$B$43&gt;0),IF(MAX(0,Inputs!$B$43-B1215)&lt;=0,0,(INT(MAX(0,Inputs!$B$43-B1215)/(IF(Inputs!$B$38="pvp",15,MAX(0.1,Skills!D9-IF(Skills!E9=TRUE,Inputs!$B$32,0)))*(1-IF(AND(ArtifactsInput!$M$27,Inputs!$B$4="Chapter Hunt"),CHOOSE(ArtifactsInput!$N$27+1,20,24,28,32,36,40),0)/100)))+1)),0)</f>
        <v/>
      </c>
      <c r="S1184">
        <f>IFERROR(O1184/N1184,0)</f>
        <v/>
      </c>
      <c r="T1184">
        <f>IF(C1184,(H1184*N1184*IF(AND(Inputs!$B$38&lt;&gt;"pvp",Inputs!$B$43&gt;0),((Skills!G9*((R1184-1)*IF(Skills!H9&gt;0,Skills!I9/Skills!H9,1)+IF(Skills!H9&gt;0,MIN(Skills!I9,MAX(0,MAX(0,Inputs!$B$43-B1215)-((R1184-1)*(IF(Inputs!$B$38="pvp",15,MAX(0.1,Skills!D9-IF(Skills!E9=TRUE,Inputs!$B$32,0)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1184*(1-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1215)-((R1184-1)*(IF(Inputs!$B$38="pvp",15,MAX(0.1,Skills!D9-IF(Skills!E9=TRUE,Inputs!$B$32,0)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Inputs!$B$3&gt;=100</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T1185" t="inlineStr"/>
      <c r="V1185" t="inlineStr"/>
    </row>
    <row r="1186">
      <c r="A1186">
        <f>Skills!A11</f>
        <v/>
      </c>
      <c r="B1186">
        <f>Skills!B11</f>
        <v/>
      </c>
      <c r="C1186">
        <f>Inputs!$B$3&gt;=60</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1187=TRUE,F1187,0)/100)*(1+(IF(Skills!A11="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1199=TRUE)*(F1199-Calc!F24)),(Inputs!$B$23+((C1204=TRUE)*(F1204-Calc!F29))+(IF(ArtifactsInput!$M$15,CHOOSE(ArtifactsInput!$N$15+1,25,30,35,40,45,50)/100*(Inputs!$B$11-Inputs!$B$11),0))))/100+(Inputs!$B$23+((C1204=TRUE)*(F1204-Calc!F29))+(IF(ArtifactsInput!$M$15,CHOOSE(ArtifactsInput!$N$15+1,25,30,35,40,45,50)/100*(Inputs!$B$11-Inputs!$B$11),0)))/100)/2</f>
        <v/>
      </c>
      <c r="M1186">
        <f>L1186*(1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IF(B1218=0,0,O1186/B1218)</f>
        <v/>
      </c>
      <c r="Q1186">
        <f>IFERROR(1/(IF(Inputs!$B$38="pvp",15,MAX(0.1,Skills!D11-IF(Skills!E11=TRUE,Inputs!$B$32,0)))*(1-IF(AND(ArtifactsInput!$M$27,Inputs!$B$4="Chapter Hunt"),CHOOSE(ArtifactsInput!$N$27+1,20,24,28,32,36,40),0)/100)),0)</f>
        <v/>
      </c>
      <c r="R1186">
        <f>IF(AND(Inputs!$B$38&lt;&gt;"pvp",Inputs!$B$43&gt;0),IF(MAX(0,Inputs!$B$43-B1215)&lt;=0,0,(INT(MAX(0,Inputs!$B$43-B1215)/(IF(Inputs!$B$38="pvp",15,MAX(0.1,Skills!D11-IF(Skills!E11=TRUE,Inputs!$B$32,0)))*(1-IF(AND(ArtifactsInput!$M$27,Inputs!$B$4="Chapter Hunt"),CHOOSE(ArtifactsInput!$N$27+1,20,24,28,32,36,40),0)/100)))+1)),0)</f>
        <v/>
      </c>
      <c r="S1186">
        <f>IFERROR(O1186/N1186,0)</f>
        <v/>
      </c>
      <c r="T1186">
        <f>IF(C1186,(H1186*N1186*IF(AND(Inputs!$B$38&lt;&gt;"pvp",Inputs!$B$43&gt;0),((Skills!G11*((R1186-1)*IF(Skills!H11&gt;0,Skills!I11/Skills!H11,1)+IF(Skills!H11&gt;0,MIN(Skills!I11,MAX(0,MAX(0,Inputs!$B$43-B1215)-((R1186-1)*(IF(Inputs!$B$38="pvp",15,MAX(0.1,Skills!D11-IF(Skills!E11=TRUE,Inputs!$B$32,0)))*(1-IF(AND(ArtifactsInput!$M$27,Inputs!$B$4="Chapter Hunt"),CHOOSE(ArtifactsInput!$N$27+1,20,24,28,32,36,40),0)/100)))))/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1186*(1-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1215)-((R1186-1)*(IF(Inputs!$B$38="pvp",15,MAX(0.1,Skills!D11-IF(Skills!E11=TRUE,Inputs!$B$32,0)))*(1-IF(AND(ArtifactsInput!$M$27,Inputs!$B$4="Chapter Hunt"),CHOOSE(ArtifactsInput!$N$27+1,20,24,28,32,36,40),0)/100)))))/Skills!H11,1)))/Inputs!$B$43),G1186*Q1186))*IF(Inputs!$B$38="pvp",1,(1+(Inputs!$B$21+Skills!Q11+(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Inputs!$B$3&gt;=110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V1187" t="inlineStr"/>
    </row>
    <row r="1188">
      <c r="A1188">
        <f>Skills!A13</f>
        <v/>
      </c>
      <c r="B1188">
        <f>Skills!B13</f>
        <v/>
      </c>
      <c r="C1188">
        <f>Inputs!$B$3&gt;=74</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Skills!G13*IF(Skills!H13&gt;0,Skills!I13/Skills!H13,1)</f>
        <v/>
      </c>
      <c r="H1188">
        <f>1-(1-Skills!J13/100)^Skills!K13</f>
        <v/>
      </c>
      <c r="I1188" t="inlineStr">
        <is>
          <t>1</t>
        </is>
      </c>
      <c r="J1188" t="inlineStr"/>
      <c r="K1188" t="inlineStr"/>
      <c r="L1188" t="inlineStr"/>
      <c r="M1188" t="inlineStr"/>
      <c r="N1188" t="inlineStr"/>
      <c r="O1188">
        <f>(1-Summary!$B$11)*T1188+Summary!$B$11*V1188</f>
        <v/>
      </c>
      <c r="P1188">
        <f>IF(B1218=0,0,O1188/B1218)</f>
        <v/>
      </c>
      <c r="Q1188" t="n">
        <v>0</v>
      </c>
      <c r="R1188" t="n">
        <v>0</v>
      </c>
      <c r="S1188">
        <f>IFERROR(O1188/N1188,0)</f>
        <v/>
      </c>
      <c r="T1188" t="n">
        <v>0</v>
      </c>
      <c r="V1188" t="n">
        <v>0</v>
      </c>
    </row>
    <row r="1189">
      <c r="A1189">
        <f>Skills!A14</f>
        <v/>
      </c>
      <c r="B1189">
        <f>Skills!B14</f>
        <v/>
      </c>
      <c r="C1189">
        <f>Inputs!$B$3&gt;=74</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f>Skills!G14*IF(Skills!H14&gt;0,Skills!I14/Skills!H14,1)</f>
        <v/>
      </c>
      <c r="H1189">
        <f>1-(1-Skills!J14/100)^Skills!K14</f>
        <v/>
      </c>
      <c r="I1189" t="inlineStr">
        <is>
          <t>1</t>
        </is>
      </c>
      <c r="J1189" t="inlineStr"/>
      <c r="K1189" t="inlineStr"/>
      <c r="L1189" t="inlineStr"/>
      <c r="M1189" t="inlineStr"/>
      <c r="N1189" t="inlineStr"/>
      <c r="O1189">
        <f>(1-Summary!$B$11)*T1189+Summary!$B$11*V1189</f>
        <v/>
      </c>
      <c r="P1189">
        <f>IF(B1218=0,0,O1189/B1218)</f>
        <v/>
      </c>
      <c r="Q1189" t="n">
        <v>0</v>
      </c>
      <c r="R1189" t="n">
        <v>0</v>
      </c>
      <c r="S1189">
        <f>IFERROR(O1189/N1189,0)</f>
        <v/>
      </c>
      <c r="T1189" t="n">
        <v>0</v>
      </c>
      <c r="V1189" t="n">
        <v>0</v>
      </c>
    </row>
    <row r="1190">
      <c r="A1190">
        <f>Skills!A15</f>
        <v/>
      </c>
      <c r="B1190">
        <f>Skills!B15</f>
        <v/>
      </c>
      <c r="C1190">
        <f>Inputs!$B$3&gt;=117</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f>Skills!G15*IF(Skills!H15&gt;0,Skills!I15/Skills!H15,1)</f>
        <v/>
      </c>
      <c r="H1190">
        <f>1-(1-Skills!J15/100)^Skills!K15</f>
        <v/>
      </c>
      <c r="I1190" t="inlineStr">
        <is>
          <t>1</t>
        </is>
      </c>
      <c r="J1190" t="inlineStr"/>
      <c r="K1190" t="inlineStr"/>
      <c r="L1190" t="inlineStr"/>
      <c r="M1190" t="inlineStr"/>
      <c r="N1190" t="inlineStr"/>
      <c r="O1190">
        <f>(1-Summary!$B$11)*T1190+Summary!$B$11*V1190</f>
        <v/>
      </c>
      <c r="P1190">
        <f>IF(B1218=0,0,O1190/B1218)</f>
        <v/>
      </c>
      <c r="Q1190">
        <f>IFERROR(1/(IF(Inputs!$B$38="pvp",15,MAX(0.1,Skills!D15-IF(Skills!E15=TRUE,Inputs!$B$32,0)))*(1-IF(AND(ArtifactsInput!$M$27,Inputs!$B$4="Chapter Hunt"),CHOOSE(ArtifactsInput!$N$27+1,20,24,28,32,36,40),0)/100)),0)</f>
        <v/>
      </c>
      <c r="R1190">
        <f>IF(AND(Inputs!$B$38&lt;&gt;"pvp",Inputs!$B$43&gt;0),IF(Inputs!$B$43&lt;=0,0,(INT(Inputs!$B$43/(IF(Inputs!$B$38="pvp",15,MAX(0.1,Skills!D15-IF(Skills!E15=TRUE,Inputs!$B$32,0)))*(1-IF(AND(ArtifactsInput!$M$27,Inputs!$B$4="Chapter Hunt"),CHOOSE(ArtifactsInput!$N$27+1,20,24,28,32,36,40),0)/100)))+1)),0)</f>
        <v/>
      </c>
      <c r="S1190">
        <f>IFERROR(O1190/N1190,0)</f>
        <v/>
      </c>
      <c r="T1190" t="n">
        <v>0</v>
      </c>
      <c r="V1190" t="n">
        <v>0</v>
      </c>
    </row>
    <row r="1191">
      <c r="A1191">
        <f>Skills!A16</f>
        <v/>
      </c>
      <c r="B1191">
        <f>Skills!B16</f>
        <v/>
      </c>
      <c r="C1191">
        <f>Inputs!$B$3&gt;=115</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f>Skills!G16*IF(Skills!H16&gt;0,Skills!I16/Skills!H16,1)</f>
        <v/>
      </c>
      <c r="H1191">
        <f>1-(1-Skills!J16/100)^Skills!K16</f>
        <v/>
      </c>
      <c r="I1191" t="inlineStr">
        <is>
          <t>1</t>
        </is>
      </c>
      <c r="J1191" t="inlineStr"/>
      <c r="K1191" t="inlineStr"/>
      <c r="L1191" t="inlineStr"/>
      <c r="M1191" t="inlineStr"/>
      <c r="N1191" t="inlineStr"/>
      <c r="O1191">
        <f>(1-Summary!$B$11)*T1191+Summary!$B$11*V1191</f>
        <v/>
      </c>
      <c r="P1191">
        <f>IF(B1218=0,0,O1191/B1218)</f>
        <v/>
      </c>
      <c r="Q1191">
        <f>IFERROR(1/(IF(Inputs!$B$38="pvp",15,MAX(0.1,Skills!D16-IF(Skills!E16=TRUE,Inputs!$B$32,0)))*(1-IF(AND(ArtifactsInput!$M$27,Inputs!$B$4="Chapter Hunt"),CHOOSE(ArtifactsInput!$N$27+1,20,24,28,32,36,40),0)/100)),0)</f>
        <v/>
      </c>
      <c r="R1191">
        <f>IF(AND(Inputs!$B$38&lt;&gt;"pvp",Inputs!$B$43&gt;0),IF(Inputs!$B$43&lt;=0,0,(INT(Inputs!$B$43/(IF(Inputs!$B$38="pvp",15,MAX(0.1,Skills!D16-IF(Skills!E16=TRUE,Inputs!$B$32,0)))*(1-IF(AND(ArtifactsInput!$M$27,Inputs!$B$4="Chapter Hunt"),CHOOSE(ArtifactsInput!$N$27+1,20,24,28,32,36,40),0)/100)))+1)),0)</f>
        <v/>
      </c>
      <c r="S1191">
        <f>IFERROR(O1191/N1191,0)</f>
        <v/>
      </c>
      <c r="T1191" t="n">
        <v>0</v>
      </c>
      <c r="V1191" t="n">
        <v>0</v>
      </c>
    </row>
    <row r="1192">
      <c r="A1192">
        <f>Skills!A17</f>
        <v/>
      </c>
      <c r="B1192">
        <f>Skills!B17</f>
        <v/>
      </c>
      <c r="C1192">
        <f>Inputs!$B$3&gt;=66</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Skills!G17*IF(Skills!H17&gt;0,Skills!I17/Skills!H17,1)</f>
        <v/>
      </c>
      <c r="H1192">
        <f>1-(1-Skills!J17/100)^Skills!K17</f>
        <v/>
      </c>
      <c r="I1192" t="inlineStr">
        <is>
          <t>1</t>
        </is>
      </c>
      <c r="J1192" t="inlineStr"/>
      <c r="K1192" t="inlineStr"/>
      <c r="L1192" t="inlineStr"/>
      <c r="M1192" t="inlineStr"/>
      <c r="N1192" t="inlineStr"/>
      <c r="O1192">
        <f>(1-Summary!$B$11)*T1192+Summary!$B$11*V1192</f>
        <v/>
      </c>
      <c r="P1192">
        <f>IF(B1218=0,0,O1192/B1218)</f>
        <v/>
      </c>
      <c r="Q1192" t="n">
        <v>0</v>
      </c>
      <c r="R1192" t="n">
        <v>0</v>
      </c>
      <c r="S1192">
        <f>IFERROR(O1192/N1192,0)</f>
        <v/>
      </c>
      <c r="T1192" t="n">
        <v>0</v>
      </c>
      <c r="V1192" t="n">
        <v>0</v>
      </c>
    </row>
    <row r="1193">
      <c r="A1193">
        <f>Skills!A18</f>
        <v/>
      </c>
      <c r="B1193">
        <f>Skills!B18</f>
        <v/>
      </c>
      <c r="C1193">
        <f>Inputs!$B$3&gt;=72</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Skills!G18*IF(Skills!H18&gt;0,Skills!I18/Skills!H18,1)</f>
        <v/>
      </c>
      <c r="H1193">
        <f>1-(1-Skills!J18/100)^Skills!K18</f>
        <v/>
      </c>
      <c r="I1193" t="inlineStr">
        <is>
          <t>1</t>
        </is>
      </c>
      <c r="J1193" t="inlineStr"/>
      <c r="K1193" t="inlineStr"/>
      <c r="L1193" t="inlineStr"/>
      <c r="M1193" t="inlineStr"/>
      <c r="N1193" t="inlineStr"/>
      <c r="O1193">
        <f>(1-Summary!$B$11)*T1193+Summary!$B$11*V1193</f>
        <v/>
      </c>
      <c r="P1193">
        <f>IF(B1218=0,0,O1193/B1218)</f>
        <v/>
      </c>
      <c r="Q1193" t="n">
        <v>0</v>
      </c>
      <c r="R1193" t="n">
        <v>0</v>
      </c>
      <c r="S1193">
        <f>IFERROR(O1193/N1193,0)</f>
        <v/>
      </c>
      <c r="T1193" t="n">
        <v>0</v>
      </c>
      <c r="V1193" t="n">
        <v>0</v>
      </c>
    </row>
    <row r="1194">
      <c r="A1194">
        <f>Skills!A19</f>
        <v/>
      </c>
      <c r="B1194">
        <f>Skills!B19</f>
        <v/>
      </c>
      <c r="C1194">
        <f>TRUE</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Skills!G19*IF(Skills!H19&gt;0,Skills!I19/Skills!H19,1)</f>
        <v/>
      </c>
      <c r="H1194">
        <f>1-(1-Skills!J19/100)^Skills!K19</f>
        <v/>
      </c>
      <c r="I1194" t="inlineStr">
        <is>
          <t>1</t>
        </is>
      </c>
      <c r="J1194" t="inlineStr"/>
      <c r="K1194" t="inlineStr"/>
      <c r="L1194" t="inlineStr"/>
      <c r="M1194" t="inlineStr"/>
      <c r="N1194" t="inlineStr"/>
      <c r="O1194">
        <f>(1-Summary!$B$11)*T1194+Summary!$B$11*V1194</f>
        <v/>
      </c>
      <c r="P1194">
        <f>IF(B1218=0,0,O1194/B1218)</f>
        <v/>
      </c>
      <c r="Q1194">
        <f>IFERROR(1/(IF(Inputs!$B$38="pvp",15,MAX(0.1,Skills!D19-IF(Skills!E19=TRUE,Inputs!$B$32,0)))*(1-IF(AND(ArtifactsInput!$M$27,Inputs!$B$4="Chapter Hunt"),CHOOSE(ArtifactsInput!$N$27+1,20,24,28,32,36,40),0)/100)),0)</f>
        <v/>
      </c>
      <c r="R1194">
        <f>IF(AND(Inputs!$B$38&lt;&gt;"pvp",Inputs!$B$43&gt;0),IF(Inputs!$B$43&lt;=0,0,(INT(Inputs!$B$43/(IF(Inputs!$B$38="pvp",15,MAX(0.1,Skills!D19-IF(Skills!E19=TRUE,Inputs!$B$32,0)))*(1-IF(AND(ArtifactsInput!$M$27,Inputs!$B$4="Chapter Hunt"),CHOOSE(ArtifactsInput!$N$27+1,20,24,28,32,36,40),0)/100)))+1)),0)</f>
        <v/>
      </c>
      <c r="S1194">
        <f>IFERROR(O1194/N1194,0)</f>
        <v/>
      </c>
      <c r="T1194" t="n">
        <v>0</v>
      </c>
      <c r="V1194" t="n">
        <v>0</v>
      </c>
    </row>
    <row r="1195">
      <c r="A1195">
        <f>Skills!A20</f>
        <v/>
      </c>
      <c r="B1195">
        <f>Skills!B20</f>
        <v/>
      </c>
      <c r="C1195">
        <f>Inputs!$B$3&gt;=15</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Skills!G20*IF(Skills!H20&gt;0,Skills!I20/Skills!H20,1)</f>
        <v/>
      </c>
      <c r="H1195">
        <f>1-(1-Skills!J20/100)^Skills!K20</f>
        <v/>
      </c>
      <c r="I1195" t="inlineStr">
        <is>
          <t>1</t>
        </is>
      </c>
      <c r="J1195" t="inlineStr"/>
      <c r="K1195" t="inlineStr"/>
      <c r="L1195" t="inlineStr"/>
      <c r="M1195" t="inlineStr"/>
      <c r="N1195" t="inlineStr"/>
      <c r="O1195">
        <f>(1-Summary!$B$11)*T1195+Summary!$B$11*V1195</f>
        <v/>
      </c>
      <c r="P1195">
        <f>IF(B1218=0,0,O1195/B1218)</f>
        <v/>
      </c>
      <c r="Q1195" t="n">
        <v>0</v>
      </c>
      <c r="R1195" t="n">
        <v>0</v>
      </c>
      <c r="S1195">
        <f>IFERROR(O1195/N1195,0)</f>
        <v/>
      </c>
      <c r="T1195" t="n">
        <v>0</v>
      </c>
      <c r="V1195" t="n">
        <v>0</v>
      </c>
    </row>
    <row r="1196">
      <c r="A1196">
        <f>Skills!A21</f>
        <v/>
      </c>
      <c r="B1196">
        <f>Skills!B21</f>
        <v/>
      </c>
      <c r="C1196">
        <f>Inputs!$B$3&gt;=10</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Skills!G21*IF(Skills!H21&gt;0,Skills!I21/Skills!H21,1)</f>
        <v/>
      </c>
      <c r="H1196">
        <f>1-(1-Skills!J21/100)^Skills!K21</f>
        <v/>
      </c>
      <c r="I1196" t="inlineStr">
        <is>
          <t>1</t>
        </is>
      </c>
      <c r="J1196" t="inlineStr"/>
      <c r="K1196" t="inlineStr"/>
      <c r="L1196" t="inlineStr"/>
      <c r="M1196" t="inlineStr"/>
      <c r="N1196" t="inlineStr"/>
      <c r="O1196">
        <f>(1-Summary!$B$11)*T1196+Summary!$B$11*V1196</f>
        <v/>
      </c>
      <c r="P1196">
        <f>IF(B1218=0,0,O1196/B1218)</f>
        <v/>
      </c>
      <c r="Q1196" t="n">
        <v>0</v>
      </c>
      <c r="R1196" t="n">
        <v>0</v>
      </c>
      <c r="S1196">
        <f>IFERROR(O1196/N1196,0)</f>
        <v/>
      </c>
      <c r="T1196" t="n">
        <v>0</v>
      </c>
      <c r="V1196" t="n">
        <v>0</v>
      </c>
    </row>
    <row r="1197">
      <c r="A1197">
        <f>Skills!A22</f>
        <v/>
      </c>
      <c r="B1197">
        <f>Skills!B22</f>
        <v/>
      </c>
      <c r="C1197">
        <f>Inputs!$B$3&gt;=33</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Skills!G22*IF(Skills!H22&gt;0,Skills!I22/Skills!H22,1)</f>
        <v/>
      </c>
      <c r="H1197">
        <f>1-(1-Skills!J22/100)^Skills!K22</f>
        <v/>
      </c>
      <c r="I1197" t="inlineStr">
        <is>
          <t>1</t>
        </is>
      </c>
      <c r="J1197" t="inlineStr"/>
      <c r="K1197" t="inlineStr"/>
      <c r="L1197" t="inlineStr"/>
      <c r="M1197" t="inlineStr"/>
      <c r="N1197" t="inlineStr"/>
      <c r="O1197">
        <f>(1-Summary!$B$11)*T1197+Summary!$B$11*V1197</f>
        <v/>
      </c>
      <c r="P1197">
        <f>IF(B1218=0,0,O1197/B1218)</f>
        <v/>
      </c>
      <c r="Q1197" t="n">
        <v>0</v>
      </c>
      <c r="R1197" t="n">
        <v>0</v>
      </c>
      <c r="S1197">
        <f>IFERROR(O1197/N1197,0)</f>
        <v/>
      </c>
      <c r="T1197" t="n">
        <v>0</v>
      </c>
      <c r="V1197" t="n">
        <v>0</v>
      </c>
    </row>
    <row r="1198">
      <c r="A1198">
        <f>Skills!A23</f>
        <v/>
      </c>
      <c r="B1198">
        <f>Skills!B23</f>
        <v/>
      </c>
      <c r="C1198">
        <f>Inputs!$B$3&gt;=38</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Skills!G23*IF(Skills!H23&gt;0,Skills!I23/Skills!H23,1)</f>
        <v/>
      </c>
      <c r="H1198">
        <f>1-(1-Skills!J23/100)^Skills!K23</f>
        <v/>
      </c>
      <c r="I1198" t="inlineStr">
        <is>
          <t>1</t>
        </is>
      </c>
      <c r="J1198" t="inlineStr"/>
      <c r="K1198" t="inlineStr"/>
      <c r="L1198" t="inlineStr"/>
      <c r="M1198" t="inlineStr"/>
      <c r="N1198" t="inlineStr"/>
      <c r="O1198">
        <f>(1-Summary!$B$11)*T1198+Summary!$B$11*V1198</f>
        <v/>
      </c>
      <c r="P1198">
        <f>IF(B1218=0,0,O1198/B1218)</f>
        <v/>
      </c>
      <c r="Q1198" t="n">
        <v>0</v>
      </c>
      <c r="R1198" t="n">
        <v>0</v>
      </c>
      <c r="S1198">
        <f>IFERROR(O1198/N1198,0)</f>
        <v/>
      </c>
      <c r="T1198" t="n">
        <v>0</v>
      </c>
      <c r="V1198" t="n">
        <v>0</v>
      </c>
    </row>
    <row r="1199">
      <c r="A1199">
        <f>Skills!A24</f>
        <v/>
      </c>
      <c r="B1199">
        <f>Skills!B24</f>
        <v/>
      </c>
      <c r="C1199">
        <f>Inputs!$B$3&gt;=43</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Skills!G24*IF(Skills!H24&gt;0,Skills!I24/Skills!H24,1)</f>
        <v/>
      </c>
      <c r="H1199">
        <f>1-(1-Skills!J24/100)^Skills!K24</f>
        <v/>
      </c>
      <c r="I1199" t="inlineStr">
        <is>
          <t>1</t>
        </is>
      </c>
      <c r="J1199" t="inlineStr"/>
      <c r="K1199" t="inlineStr"/>
      <c r="L1199" t="inlineStr"/>
      <c r="M1199" t="inlineStr"/>
      <c r="N1199" t="inlineStr"/>
      <c r="O1199">
        <f>(1-Summary!$B$11)*T1199+Summary!$B$11*V1199</f>
        <v/>
      </c>
      <c r="P1199">
        <f>IF(B1218=0,0,O1199/B1218)</f>
        <v/>
      </c>
      <c r="Q1199" t="n">
        <v>0</v>
      </c>
      <c r="R1199" t="n">
        <v>0</v>
      </c>
      <c r="S1199">
        <f>IFERROR(O1199/N1199,0)</f>
        <v/>
      </c>
      <c r="T1199" t="n">
        <v>0</v>
      </c>
      <c r="V1199" t="n">
        <v>0</v>
      </c>
    </row>
    <row r="1200">
      <c r="A1200">
        <f>Skills!A25</f>
        <v/>
      </c>
      <c r="B1200">
        <f>Skills!B25</f>
        <v/>
      </c>
      <c r="C1200">
        <f>Inputs!$B$3&gt;=75</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Skills!G25*IF(Skills!H25&gt;0,Skills!I25/Skills!H25,1)</f>
        <v/>
      </c>
      <c r="H1200">
        <f>1-(1-Skills!J25/100)^Skills!K25</f>
        <v/>
      </c>
      <c r="I1200" t="inlineStr">
        <is>
          <t>1</t>
        </is>
      </c>
      <c r="J1200" t="inlineStr"/>
      <c r="K1200" t="inlineStr"/>
      <c r="L1200" t="inlineStr"/>
      <c r="M1200" t="inlineStr"/>
      <c r="N1200" t="inlineStr"/>
      <c r="O1200">
        <f>(1-Summary!$B$11)*T1200+Summary!$B$11*V1200</f>
        <v/>
      </c>
      <c r="P1200">
        <f>IF(B1218=0,0,O1200/B1218)</f>
        <v/>
      </c>
      <c r="Q1200" t="n">
        <v>0</v>
      </c>
      <c r="R1200" t="n">
        <v>0</v>
      </c>
      <c r="S1200">
        <f>IFERROR(O1200/N1200,0)</f>
        <v/>
      </c>
      <c r="T1200" t="n">
        <v>0</v>
      </c>
      <c r="V1200" t="n">
        <v>0</v>
      </c>
    </row>
    <row r="1201">
      <c r="A1201">
        <f>Skills!A26</f>
        <v/>
      </c>
      <c r="B1201">
        <f>Skills!B26</f>
        <v/>
      </c>
      <c r="C1201">
        <f>Inputs!$B$3&gt;=125</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Skills!G26*IF(Skills!H26&gt;0,Skills!I26/Skills!H26,1)</f>
        <v/>
      </c>
      <c r="H1201">
        <f>1-(1-Skills!J26/100)^Skills!K26</f>
        <v/>
      </c>
      <c r="I1201" t="inlineStr">
        <is>
          <t>1</t>
        </is>
      </c>
      <c r="J1201" t="inlineStr"/>
      <c r="K1201" t="inlineStr"/>
      <c r="L1201" t="inlineStr"/>
      <c r="M1201" t="inlineStr"/>
      <c r="N1201" t="inlineStr"/>
      <c r="O1201">
        <f>(1-Summary!$B$11)*T1201+Summary!$B$11*V1201</f>
        <v/>
      </c>
      <c r="P1201">
        <f>IF(B1218=0,0,O1201/B1218)</f>
        <v/>
      </c>
      <c r="Q1201" t="n">
        <v>0</v>
      </c>
      <c r="R1201" t="n">
        <v>0</v>
      </c>
      <c r="S1201">
        <f>IFERROR(O1201/N1201,0)</f>
        <v/>
      </c>
      <c r="T1201" t="n">
        <v>0</v>
      </c>
      <c r="V1201" t="n">
        <v>0</v>
      </c>
    </row>
    <row r="1202">
      <c r="A1202">
        <f>Skills!A27</f>
        <v/>
      </c>
      <c r="B1202">
        <f>Skills!B27</f>
        <v/>
      </c>
      <c r="C1202">
        <f>Inputs!$B$3&gt;=125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Skills!G27*IF(Skills!H27&gt;0,Skills!I27/Skills!H27,1)</f>
        <v/>
      </c>
      <c r="H1202">
        <f>1-(1-Skills!J27/100)^Skills!K27</f>
        <v/>
      </c>
      <c r="I1202" t="inlineStr">
        <is>
          <t>1</t>
        </is>
      </c>
      <c r="J1202" t="inlineStr"/>
      <c r="K1202" t="inlineStr"/>
      <c r="L1202" t="inlineStr"/>
      <c r="M1202" t="inlineStr"/>
      <c r="N1202" t="inlineStr"/>
      <c r="O1202">
        <f>(1-Summary!$B$11)*T1202+Summary!$B$11*V1202</f>
        <v/>
      </c>
      <c r="P1202">
        <f>IF(B1218=0,0,O1202/B1218)</f>
        <v/>
      </c>
      <c r="Q1202" t="n">
        <v>0</v>
      </c>
      <c r="R1202" t="n">
        <v>0</v>
      </c>
      <c r="S1202">
        <f>IFERROR(O1202/N1202,0)</f>
        <v/>
      </c>
      <c r="T1202" t="n">
        <v>0</v>
      </c>
      <c r="V1202" t="n">
        <v>0</v>
      </c>
    </row>
    <row r="1203">
      <c r="A1203">
        <f>Skills!A28</f>
        <v/>
      </c>
      <c r="B1203">
        <f>Skills!B28</f>
        <v/>
      </c>
      <c r="C1203">
        <f>Inputs!$B$3&gt;=120</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Skills!G28*IF(Skills!H28&gt;0,Skills!I28/Skills!H28,1)</f>
        <v/>
      </c>
      <c r="H1203">
        <f>1-(1-Skills!J28/100)^Skills!K28</f>
        <v/>
      </c>
      <c r="I1203" t="inlineStr">
        <is>
          <t>1</t>
        </is>
      </c>
      <c r="J1203" t="inlineStr"/>
      <c r="K1203" t="inlineStr"/>
      <c r="L1203" t="inlineStr"/>
      <c r="M1203" t="inlineStr"/>
      <c r="N1203" t="inlineStr"/>
      <c r="O1203">
        <f>(1-Summary!$B$11)*T1203+Summary!$B$11*V1203</f>
        <v/>
      </c>
      <c r="P1203">
        <f>IF(B1218=0,0,O1203/B1218)</f>
        <v/>
      </c>
      <c r="Q1203" t="n">
        <v>0</v>
      </c>
      <c r="R1203" t="n">
        <v>0</v>
      </c>
      <c r="S1203">
        <f>IFERROR(O1203/N1203,0)</f>
        <v/>
      </c>
      <c r="T1203" t="n">
        <v>0</v>
      </c>
      <c r="V1203" t="n">
        <v>0</v>
      </c>
    </row>
    <row r="1204">
      <c r="A1204">
        <f>Skills!A29</f>
        <v/>
      </c>
      <c r="B1204">
        <f>Skills!B29</f>
        <v/>
      </c>
      <c r="C1204">
        <f>Inputs!$B$3&gt;=120</f>
        <v/>
      </c>
      <c r="D1204">
        <f>IF(Skills!C29=1,60+Inputs!$B$25+Inputs!$B$29,IF(Skills!C29=2,90+Inputs!$B$26+Inputs!$B$29,IF(Skills!C29=3,120+Inputs!$B$27+Inputs!$B$29,MAX(0,(Inputs!$B$3-100)*3)+Inputs!$B$28+Inputs!$B$29)))</f>
        <v/>
      </c>
      <c r="E1204">
        <f>INDEX(FactorTable!$B$2:$Y$301, MATCH(ROUND(MIN(300,MAX(1,D1204)),0), FactorTable!$A$2:$A$301,0), Skills!M29+1)</f>
        <v/>
      </c>
      <c r="F1204">
        <f>IF(Skills!N29=TRUE,(Skills!L29/10)*(E1204/1000),Skills!L29/10)+Skills!O29</f>
        <v/>
      </c>
      <c r="G1204">
        <f>Skills!G29*IF(Skills!H29&gt;0,Skills!I29/Skills!H29,1)</f>
        <v/>
      </c>
      <c r="H1204">
        <f>1-(1-Skills!J29/100)^Skills!K29</f>
        <v/>
      </c>
      <c r="I1204" t="inlineStr">
        <is>
          <t>1</t>
        </is>
      </c>
      <c r="J1204" t="inlineStr"/>
      <c r="K1204" t="inlineStr"/>
      <c r="L1204" t="inlineStr"/>
      <c r="M1204" t="inlineStr"/>
      <c r="N1204" t="inlineStr"/>
      <c r="O1204">
        <f>(1-Summary!$B$11)*T1204+Summary!$B$11*V1204</f>
        <v/>
      </c>
      <c r="P1204">
        <f>IF(B1218=0,0,O1204/B1218)</f>
        <v/>
      </c>
      <c r="Q1204" t="n">
        <v>0</v>
      </c>
      <c r="R1204" t="n">
        <v>0</v>
      </c>
      <c r="S1204">
        <f>IFERROR(O1204/N1204,0)</f>
        <v/>
      </c>
      <c r="T1204" t="n">
        <v>0</v>
      </c>
      <c r="V1204" t="n">
        <v>0</v>
      </c>
    </row>
    <row r="1205">
      <c r="A1205">
        <f>Skills!A30</f>
        <v/>
      </c>
      <c r="B1205">
        <f>Skills!B30</f>
        <v/>
      </c>
      <c r="C1205">
        <f>Inputs!$B$3&gt;=45</f>
        <v/>
      </c>
      <c r="D1205">
        <f>IF(Skills!C30=1,60+Inputs!$B$25+Inputs!$B$29,IF(Skills!C30=2,90+Inputs!$B$26+Inputs!$B$29,IF(Skills!C30=3,120+Inputs!$B$27+Inputs!$B$29,MAX(0,(Inputs!$B$3-100)*3)+Inputs!$B$28+Inputs!$B$29)))</f>
        <v/>
      </c>
      <c r="E1205">
        <f>INDEX(FactorTable!$B$2:$Y$301, MATCH(ROUND(MIN(300,MAX(1,D1205)),0), FactorTable!$A$2:$A$301,0), Skills!M30+1)</f>
        <v/>
      </c>
      <c r="F1205">
        <f>IF(Skills!N30=TRUE,(Skills!L30/10)*(E1205/1000),Skills!L30/10)+Skills!O30</f>
        <v/>
      </c>
      <c r="G1205">
        <f>Skills!G30*IF(Skills!H30&gt;0,Skills!I30/Skills!H30,1)</f>
        <v/>
      </c>
      <c r="H1205">
        <f>1-(1-Skills!J30/100)^Skills!K30</f>
        <v/>
      </c>
      <c r="I1205" t="inlineStr">
        <is>
          <t>1</t>
        </is>
      </c>
      <c r="J1205" t="inlineStr"/>
      <c r="K1205" t="inlineStr"/>
      <c r="L1205" t="inlineStr"/>
      <c r="M1205" t="inlineStr"/>
      <c r="N1205" t="inlineStr"/>
      <c r="O1205">
        <f>(1-Summary!$B$11)*T1205+Summary!$B$11*V1205</f>
        <v/>
      </c>
      <c r="P1205">
        <f>IF(B1218=0,0,O1205/B1218)</f>
        <v/>
      </c>
      <c r="Q1205" t="n">
        <v>0</v>
      </c>
      <c r="R1205" t="n">
        <v>0</v>
      </c>
      <c r="S1205">
        <f>IFERROR(O1205/N1205,0)</f>
        <v/>
      </c>
      <c r="T1205" t="n">
        <v>0</v>
      </c>
      <c r="V1205" t="n">
        <v>0</v>
      </c>
    </row>
    <row r="1207">
      <c r="A1207" t="inlineStr">
        <is>
          <t>Attack% Bucket Multiplier</t>
        </is>
      </c>
      <c r="B1207">
        <f>(1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8">
      <c r="A1208" t="inlineStr">
        <is>
          <t>Global Crit Rate Bonus %</t>
        </is>
      </c>
      <c r="B1208">
        <f>(C1191=TRUE)*20*IF(AND(Inputs!$B$38&lt;&gt;"pvp",Inputs!$B$43&gt;0),(((R1191-1)*(Skills!T16*(1+Inputs!$B$34/100))+MIN((Skills!T16*(1+Inputs!$B$34/100)),MAX(0,Inputs!$B$43-((R1191-1)*Skills!D16))))/Inputs!$B$43),IF(Inputs!$B$38="pvp",MIN((Skills!T16*(1+Inputs!$B$34/100)),15)/15,(Skills!T16*(1+Inputs!$B$34/100))/Skills!D16))</f>
        <v/>
      </c>
    </row>
    <row r="1209">
      <c r="A1209" t="inlineStr">
        <is>
          <t>Attack Speed Buff Bonus %</t>
        </is>
      </c>
      <c r="B1209">
        <f>((C1194=TRUE)*F1194*IF(AND(Inputs!$B$38&lt;&gt;"pvp",Inputs!$B$43&gt;0),(((R1194-1)*(Skills!T19*(1+Inputs!$B$34/100))+MIN((Skills!T19*(1+Inputs!$B$34/100)),MAX(0,Inputs!$B$43-((R1194-1)*Skills!D19))))/Inputs!$B$43),IF(Inputs!$B$38="pvp",MIN((Skills!T19*(1+Inputs!$B$34/100)),15)/15,(Skills!T19*(1+Inputs!$B$34/100))/Skills!D19)))</f>
        <v/>
      </c>
    </row>
    <row r="1210">
      <c r="A1210" t="inlineStr">
        <is>
          <t>Actions Per Second</t>
        </is>
      </c>
      <c r="B1210">
        <f>1+MIN(150,150*(1-(1-(Inputs!$B$11+((C1196=TRUE)*(F1196-Calc!F21))+((C1197=TRUE)*(F1197-Calc!F22)))/150)*(1-B1209/150)))/100</f>
        <v/>
      </c>
    </row>
    <row r="1211">
      <c r="A1211" t="inlineStr">
        <is>
          <t>Skill + Buff Cast Rate</t>
        </is>
      </c>
      <c r="B1211">
        <f>IF(AND(Inputs!$B$38&lt;&gt;"pvp",Inputs!$B$43&gt;0),SUMPRODUCT((Skills!E2:E30=TRUE)*(C1177:C1205=TRUE)*R1177:R1205*Skills!F2:F30)/Inputs!$B$43,SUMPRODUCT((Skills!E2:E30=TRUE)*(C1177:C1205=TRUE)*Q1177:Q1205*Skills!F2:F30))</f>
        <v/>
      </c>
    </row>
    <row r="1212">
      <c r="A1212" t="inlineStr">
        <is>
          <t>Arrow Stream Casts Per Second</t>
        </is>
      </c>
      <c r="B1212">
        <f>MAX(0,B1210-B1211)</f>
        <v/>
      </c>
    </row>
    <row r="1213">
      <c r="A1213" t="inlineStr">
        <is>
          <t>Global Critical Damage Bonus % (Sharp Eyes + Concentration)</t>
        </is>
      </c>
      <c r="B1213">
        <f>(C1191=TRUE)*F1191*IF(AND(Inputs!$B$38&lt;&gt;"pvp",Inputs!$B$43&gt;0),(((R1191-1)*(Skills!T16*(1+Inputs!$B$34/100))+MIN((Skills!T16*(1+Inputs!$B$34/100)),MAX(0,Inputs!$B$43-((R1191-1)*Skills!D16))))/Inputs!$B$43),IF(Inputs!$B$38="pvp",MIN((Skills!T16*(1+Inputs!$B$34/100)),15)/15,(Skills!T16*(1+Inputs!$B$34/100))/Skills!D16))+(C1192=TRUE)*30</f>
        <v/>
      </c>
    </row>
    <row r="1214">
      <c r="A1214" t="inlineStr">
        <is>
          <t>Global Final Damage Bonus % (Mortal Blow)</t>
        </is>
      </c>
      <c r="B1214">
        <f>(C1193=TRUE)*F1193</f>
        <v/>
      </c>
    </row>
    <row r="1215">
      <c r="A1215" t="inlineStr">
        <is>
          <t>Buff-Casting Startup Delay (s, fixed-duration only)</t>
        </is>
      </c>
      <c r="B1215">
        <f>IF(AND(Inputs!$B$38&lt;&gt;"pvp",Inputs!$B$43&gt;0),SUMPRODUCT((Skills!T2:T30&gt;0)*(Skills!E2:E30=TRUE)*(C1177:C1205=TRUE))/B1210,0)</f>
        <v/>
      </c>
    </row>
    <row r="1216">
      <c r="A1216" t="inlineStr">
        <is>
          <t>Boss-Only Total DPS (this block's swept value)</t>
        </is>
      </c>
      <c r="B1216">
        <f>SUM(T1177:T1205)</f>
        <v/>
      </c>
    </row>
    <row r="1217">
      <c r="A1217" t="inlineStr">
        <is>
          <t>Normal-Only Total DPS (this block's swept value)</t>
        </is>
      </c>
      <c r="B1217">
        <f>SUM(V1177:V1205)</f>
        <v/>
      </c>
    </row>
    <row r="1218">
      <c r="A1218" s="6" t="inlineStr">
        <is>
          <t>TOTAL DPS</t>
        </is>
      </c>
      <c r="B1218" s="6">
        <f>SUM(O1177:O1205)</f>
        <v/>
      </c>
    </row>
    <row r="1221">
      <c r="A1221" s="6" t="inlineStr">
        <is>
          <t>Stat: Buff Duration Increase %</t>
        </is>
      </c>
    </row>
    <row r="1222">
      <c r="A1222" s="5" t="inlineStr">
        <is>
          <t>Key</t>
        </is>
      </c>
      <c r="B1222" s="5" t="inlineStr">
        <is>
          <t>Name</t>
        </is>
      </c>
      <c r="C1222" s="5" t="inlineStr">
        <is>
          <t>Unlocked</t>
        </is>
      </c>
      <c r="D1222" s="5" t="inlineStr">
        <is>
          <t>InputLevel</t>
        </is>
      </c>
      <c r="E1222" s="5" t="inlineStr">
        <is>
          <t>Factor</t>
        </is>
      </c>
      <c r="F1222" s="5" t="inlineStr">
        <is>
          <t>CoefficientPercent</t>
        </is>
      </c>
      <c r="G1222" s="5" t="inlineStr">
        <is>
          <t>EffectiveHits</t>
        </is>
      </c>
      <c r="H1222" s="5" t="inlineStr">
        <is>
          <t>ProcProbability</t>
        </is>
      </c>
      <c r="I1222" s="5" t="inlineStr">
        <is>
          <t>MapleHeroMultiplier</t>
        </is>
      </c>
      <c r="J1222" s="5" t="inlineStr">
        <is>
          <t>BaseDamage</t>
        </is>
      </c>
      <c r="K1222" s="5" t="inlineStr">
        <is>
          <t>BaseHitDamage</t>
        </is>
      </c>
      <c r="L1222" s="5" t="inlineStr">
        <is>
          <t>NonCritAvg</t>
        </is>
      </c>
      <c r="M1222" s="5" t="inlineStr">
        <is>
          <t>CritAvg</t>
        </is>
      </c>
      <c r="N1222" s="5" t="inlineStr">
        <is>
          <t>ExpectedDamage(perHit)</t>
        </is>
      </c>
      <c r="O1222" s="5" t="inlineStr">
        <is>
          <t>DPS</t>
        </is>
      </c>
      <c r="P1222" s="5" t="inlineStr">
        <is>
          <t>% of Total</t>
        </is>
      </c>
      <c r="Q1222" s="5" t="inlineStr">
        <is>
          <t>InvCooldown</t>
        </is>
      </c>
      <c r="R1222" s="5" t="inlineStr">
        <is>
          <t>CastsInFight</t>
        </is>
      </c>
      <c r="S1222" s="5" t="inlineStr">
        <is>
          <t>HitRate(perSec)</t>
        </is>
      </c>
      <c r="U1222" t="inlineStr">
        <is>
          <t>helpers</t>
        </is>
      </c>
    </row>
    <row r="1223">
      <c r="A1223">
        <f>Skills!A2</f>
        <v/>
      </c>
      <c r="B1223">
        <f>Skills!B2</f>
        <v/>
      </c>
      <c r="C1223">
        <f>Inputs!$B$3&gt;=100</f>
        <v/>
      </c>
      <c r="D1223" t="inlineStr"/>
      <c r="E1223" t="inlineStr"/>
      <c r="F1223">
        <f>U1225+Skills!O2</f>
        <v/>
      </c>
      <c r="G1223">
        <f>Skills!G2*IF(Skills!H2&gt;0,Skills!I2/Skills!H2,1)</f>
        <v/>
      </c>
      <c r="H1223">
        <f>1-(1-Skills!J2/100)^Skills!K2</f>
        <v/>
      </c>
      <c r="I1223" t="inlineStr">
        <is>
          <t>1</t>
        </is>
      </c>
      <c r="J1223">
        <f>((Inputs!$B$6*(1+Inputs!$B$7/100))+(((Inputs!$B$12*(1+Inputs!$B$13/100))-(Inputs!$B$12*(1+Inputs!$B$13/100)))+0.25*(Inputs!$B$14-Inputs!$B$14))*(1+Inputs!$B$7/100))*(F1223/100)</f>
        <v/>
      </c>
      <c r="K1223">
        <f>J1223*(1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1245=TRUE)*(F1245-Calc!F24)),(Inputs!$B$23+((C1250=TRUE)*(F1250-Calc!F29))+(IF(ArtifactsInput!$M$15,CHOOSE(ArtifactsInput!$N$15+1,25,30,35,40,45,50)/100*(Inputs!$B$11-Inputs!$B$11),0))))/100+(Inputs!$B$23+((C1250=TRUE)*(F1250-Calc!F29))+(IF(ArtifactsInput!$M$15,CHOOSE(ArtifactsInput!$N$15+1,25,30,35,40,45,50)/100*(Inputs!$B$11-Inputs!$B$11),0)))/100)/2</f>
        <v/>
      </c>
      <c r="M1223">
        <f>L1223*(1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IF(B1264=0,0,O1223/B1264)</f>
        <v/>
      </c>
      <c r="Q1223" t="n">
        <v>0</v>
      </c>
      <c r="R1223" t="n">
        <v>0</v>
      </c>
      <c r="S1223">
        <f>IFERROR(O1223/N1223,0)</f>
        <v/>
      </c>
      <c r="T1223">
        <f>IF(C1223,(Skills!G2*N1223*B1258)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1223*(1-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MAX(0,(Inputs!$B$3-100)*3)+Inputs!$B$28+Inputs!$B$29</f>
        <v/>
      </c>
      <c r="V1223">
        <f>IF(C1223,(Skills!G2*N1223*B1258)*IF(Inputs!$B$38="pvp",1,(1+(Inputs!$B$21+Skills!Q2+(IF(ArtifactsInput!$M$33,CHOOSE(ArtifactsInput!$N$33+1,30,36,42,48,54,60),0))+(IF(AND(ArtifactsInput!$M$35,Inputs!$B$4&lt;&gt;"Chapter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Skills!A3</f>
        <v/>
      </c>
      <c r="B1224">
        <f>Skills!B3</f>
        <v/>
      </c>
      <c r="C1224">
        <f>Inputs!$B$3&gt;=50</f>
        <v/>
      </c>
      <c r="D1224">
        <f>IF(Skills!C3=1,60+Inputs!$B$25+Inputs!$B$29,IF(Skills!C3=2,90+Inputs!$B$26+Inputs!$B$29,IF(Skills!C3=3,120+Inputs!$B$27+Inputs!$B$29,MAX(0,(Inputs!$B$3-100)*3)+Inputs!$B$28+Inputs!$B$29)))</f>
        <v/>
      </c>
      <c r="E1224">
        <f>INDEX(FactorTable!$B$2:$Y$301, MATCH(ROUND(MIN(300,MAX(1,D1224)),0), FactorTable!$A$2:$A$301,0), Skills!M3+1)</f>
        <v/>
      </c>
      <c r="F1224">
        <f>IF(Skills!N3=TRUE,(Skills!L3/10)*(E1224/1000),Skills!L3/10)+Skills!O3</f>
        <v/>
      </c>
      <c r="G1224" t="inlineStr"/>
      <c r="H1224" t="inlineStr"/>
      <c r="I1224" t="inlineStr">
        <is>
          <t>1</t>
        </is>
      </c>
      <c r="J1224" t="inlineStr"/>
      <c r="K1224" t="inlineStr"/>
      <c r="L1224" t="inlineStr"/>
      <c r="M1224" t="inlineStr"/>
      <c r="N1224" t="inlineStr"/>
      <c r="O1224" t="inlineStr"/>
      <c r="P1224" t="inlineStr"/>
      <c r="Q1224" t="inlineStr"/>
      <c r="R1224" t="inlineStr"/>
      <c r="S1224" t="inlineStr"/>
      <c r="T1224" t="inlineStr"/>
      <c r="U1224">
        <f>INDEX(FactorTable!$B$2:$Y$301, MATCH(ROUND(MIN(300,MAX(1,U1223)),0), FactorTable!$A$2:$A$301,0), 22)</f>
        <v/>
      </c>
      <c r="V1224" t="inlineStr"/>
    </row>
    <row r="1225">
      <c r="A1225">
        <f>Skills!A4</f>
        <v/>
      </c>
      <c r="B1225">
        <f>Skills!B4</f>
        <v/>
      </c>
      <c r="C1225">
        <f>Inputs!$B$3&gt;=105</f>
        <v/>
      </c>
      <c r="D1225">
        <f>IF(Skills!C4=1,60+Inputs!$B$25+Inputs!$B$29,IF(Skills!C4=2,90+Inputs!$B$26+Inputs!$B$29,IF(Skills!C4=3,120+Inputs!$B$27+Inputs!$B$29,MAX(0,(Inputs!$B$3-100)*3)+Inputs!$B$28+Inputs!$B$29)))</f>
        <v/>
      </c>
      <c r="E1225">
        <f>INDEX(FactorTable!$B$2:$Y$301, MATCH(ROUND(MIN(300,MAX(1,D1225)),0), FactorTable!$A$2:$A$301,0), Skills!M4+1)</f>
        <v/>
      </c>
      <c r="F1225">
        <f>IF(Skills!N4=TRUE,(Skills!L4/10)*(E1225/1000),Skills!L4/10)+Skills!O4</f>
        <v/>
      </c>
      <c r="G1225" t="inlineStr"/>
      <c r="H1225" t="inlineStr"/>
      <c r="I1225" t="inlineStr">
        <is>
          <t>1</t>
        </is>
      </c>
      <c r="J1225" t="inlineStr"/>
      <c r="K1225" t="inlineStr"/>
      <c r="L1225" t="inlineStr"/>
      <c r="M1225" t="inlineStr"/>
      <c r="N1225" t="inlineStr"/>
      <c r="O1225" t="inlineStr"/>
      <c r="P1225" t="inlineStr"/>
      <c r="Q1225" t="inlineStr"/>
      <c r="R1225" t="inlineStr"/>
      <c r="S1225" t="inlineStr"/>
      <c r="T1225" t="inlineStr"/>
      <c r="U1225">
        <f>290*U1224/1000</f>
        <v/>
      </c>
      <c r="V1225" t="inlineStr"/>
    </row>
    <row r="1226">
      <c r="A1226">
        <f>Skills!A5</f>
        <v/>
      </c>
      <c r="B1226">
        <f>Skills!B5</f>
        <v/>
      </c>
      <c r="C1226">
        <f>Inputs!$B$3&gt;=35</f>
        <v/>
      </c>
      <c r="D1226">
        <f>IF(Skills!C5=1,60+Inputs!$B$25+Inputs!$B$29,IF(Skills!C5=2,90+Inputs!$B$26+Inputs!$B$29,IF(Skills!C5=3,120+Inputs!$B$27+Inputs!$B$29,MAX(0,(Inputs!$B$3-100)*3)+Inputs!$B$28+Inputs!$B$29)))</f>
        <v/>
      </c>
      <c r="E1226">
        <f>INDEX(FactorTable!$B$2:$Y$301, MATCH(ROUND(MIN(300,MAX(1,D1226)),0), FactorTable!$A$2:$A$301,0), Skills!M5+1)</f>
        <v/>
      </c>
      <c r="F1226">
        <f>IF(Skills!N5=TRUE,(Skills!L5/10)*(E1226/1000),Skills!L5/10)+Skills!O5</f>
        <v/>
      </c>
      <c r="G1226">
        <f>Skills!G5*IF(Skills!H5&gt;0,Skills!I5/Skills!H5,1)</f>
        <v/>
      </c>
      <c r="H1226">
        <f>1-(1-Skills!J5/100)^Skills!K5</f>
        <v/>
      </c>
      <c r="I1226" t="inlineStr">
        <is>
          <t>1</t>
        </is>
      </c>
      <c r="J1226">
        <f>((Inputs!$B$6*(1+Inputs!$B$7/100))+(((Inputs!$B$12*(1+Inputs!$B$13/100))-(Inputs!$B$12*(1+Inputs!$B$13/100)))+0.25*(Inputs!$B$14-Inputs!$B$14))*(1+Inputs!$B$7/100))*(F1226/100)</f>
        <v/>
      </c>
      <c r="K1226">
        <f>J1226*(1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1231=TRUE,F1231,0)/100)*(1+(IF(Skills!A5="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1245=TRUE)*(F1245-Calc!F24)),(Inputs!$B$23+((C1250=TRUE)*(F1250-Calc!F29))+(IF(ArtifactsInput!$M$15,CHOOSE(ArtifactsInput!$N$15+1,25,30,35,40,45,50)/100*(Inputs!$B$11-Inputs!$B$11),0))))/100+(Inputs!$B$23+((C1250=TRUE)*(F1250-Calc!F29))+(IF(ArtifactsInput!$M$15,CHOOSE(ArtifactsInput!$N$15+1,25,30,35,40,45,50)/100*(Inputs!$B$11-Inputs!$B$11),0)))/100)/2</f>
        <v/>
      </c>
      <c r="M1226">
        <f>L1226*(1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IF(B1264=0,0,O1226/B1264)</f>
        <v/>
      </c>
      <c r="Q1226">
        <f>IFERROR(1/(IF(Inputs!$B$38="pvp",15,MAX(0.1,Skills!D5-IF(Skills!E5=TRUE,Inputs!$B$32,0)))*(1-IF(AND(ArtifactsInput!$M$27,Inputs!$B$4="Chapter Hunt"),CHOOSE(ArtifactsInput!$N$27+1,20,24,28,32,36,40),0)/100)),0)</f>
        <v/>
      </c>
      <c r="R1226">
        <f>IF(AND(Inputs!$B$38&lt;&gt;"pvp",Inputs!$B$43&gt;0),IF(MAX(0,Inputs!$B$43-B1261)&lt;=0,0,(INT(MAX(0,Inputs!$B$43-B1261)/(IF(Inputs!$B$38="pvp",15,MAX(0.1,Skills!D5-IF(Skills!E5=TRUE,Inputs!$B$32,0)))*(1-IF(AND(ArtifactsInput!$M$27,Inputs!$B$4="Chapter Hunt"),CHOOSE(ArtifactsInput!$N$27+1,20,24,28,32,36,40),0)/100)))+1)),0)</f>
        <v/>
      </c>
      <c r="S1226">
        <f>IFERROR(O1226/N1226,0)</f>
        <v/>
      </c>
      <c r="T1226">
        <f>IF(C1226,(H1226*N1226*IF(AND(Inputs!$B$38&lt;&gt;"pvp",Inputs!$B$43&gt;0),((Skills!G5*((R1226-1)*IF(Skills!H5&gt;0,Skills!I5/Skills!H5,1)+IF(Skills!H5&gt;0,MIN(Skills!I5,MAX(0,MAX(0,Inputs!$B$43-B1261)-((R1226-1)*(IF(Inputs!$B$38="pvp",15,MAX(0.1,Skills!D5-IF(Skills!E5=TRUE,Inputs!$B$32,0)))*(1-IF(AND(ArtifactsInput!$M$27,Inputs!$B$4="Chapter Hunt"),CHOOSE(ArtifactsInput!$N$27+1,20,24,28,32,36,40),0)/100)))))/Skills!H5,1)))/Inputs!$B$43),G1226*Q1226)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1226*(1-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5*((R1226-1)*IF(Skills!H5&gt;0,Skills!I5/Skills!H5,1)+IF(Skills!H5&gt;0,MIN(Skills!I5,MAX(0,MAX(0,Inputs!$B$43-B1261)-((R1226-1)*(IF(Inputs!$B$38="pvp",15,MAX(0.1,Skills!D5-IF(Skills!E5=TRUE,Inputs!$B$32,0)))*(1-IF(AND(ArtifactsInput!$M$27,Inputs!$B$4="Chapter Hunt"),CHOOSE(ArtifactsInput!$N$27+1,20,24,28,32,36,40),0)/100)))))/Skills!H5,1)))/Inputs!$B$43),G1226*Q1226))*IF(Inputs!$B$38="pvp",1,(1+(Inputs!$B$21+Skills!Q5+(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Skills!A6</f>
        <v/>
      </c>
      <c r="B1227">
        <f>Skills!B6</f>
        <v/>
      </c>
      <c r="C1227">
        <f>Inputs!$B$3&gt;=40</f>
        <v/>
      </c>
      <c r="D1227">
        <f>IF(Skills!C6=1,60+Inputs!$B$25+Inputs!$B$29,IF(Skills!C6=2,90+Inputs!$B$26+Inputs!$B$29,IF(Skills!C6=3,120+Inputs!$B$27+Inputs!$B$29,MAX(0,(Inputs!$B$3-100)*3)+Inputs!$B$28+Inputs!$B$29)))</f>
        <v/>
      </c>
      <c r="E1227">
        <f>INDEX(FactorTable!$B$2:$Y$301, MATCH(ROUND(MIN(300,MAX(1,D1227)),0), FactorTable!$A$2:$A$301,0), Skills!M6+1)</f>
        <v/>
      </c>
      <c r="F1227">
        <f>IF(Skills!N6=TRUE,(Skills!L6/10)*(E1227/1000),Skills!L6/10)+Skills!O6</f>
        <v/>
      </c>
      <c r="G1227">
        <f>Skills!G6*IF(Skills!H6&gt;0,Skills!I6/Skills!H6,1)</f>
        <v/>
      </c>
      <c r="H1227">
        <f>1-(1-Skills!J6/100)^Skills!K6</f>
        <v/>
      </c>
      <c r="I1227" t="inlineStr">
        <is>
          <t>1</t>
        </is>
      </c>
      <c r="J1227">
        <f>((Inputs!$B$6*(1+Inputs!$B$7/100))+(((Inputs!$B$12*(1+Inputs!$B$13/100))-(Inputs!$B$12*(1+Inputs!$B$13/100)))+0.25*(Inputs!$B$14-Inputs!$B$14))*(1+Inputs!$B$7/100))*(F1227/100)</f>
        <v/>
      </c>
      <c r="K1227">
        <f>J1227*(1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1228=TRUE,F1228,0)/100)*(1+(IF(Skills!A6="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1245=TRUE)*(F1245-Calc!F24)),(Inputs!$B$23+((C1250=TRUE)*(F1250-Calc!F29))+(IF(ArtifactsInput!$M$15,CHOOSE(ArtifactsInput!$N$15+1,25,30,35,40,45,50)/100*(Inputs!$B$11-Inputs!$B$11),0))))/100+(Inputs!$B$23+((C1250=TRUE)*(F1250-Calc!F29))+(IF(ArtifactsInput!$M$15,CHOOSE(ArtifactsInput!$N$15+1,25,30,35,40,45,50)/100*(Inputs!$B$11-Inputs!$B$11),0)))/100)/2</f>
        <v/>
      </c>
      <c r="M1227">
        <f>L1227*(1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IF(B1264=0,0,O1227/B1264)</f>
        <v/>
      </c>
      <c r="Q1227">
        <f>IFERROR(1/(IF(Inputs!$B$38="pvp",15,MAX(0.1,Skills!D6-IF(Skills!E6=TRUE,Inputs!$B$32,0)))*(1-IF(AND(ArtifactsInput!$M$27,Inputs!$B$4="Chapter Hunt"),CHOOSE(ArtifactsInput!$N$27+1,20,24,28,32,36,40),0)/100)),0)</f>
        <v/>
      </c>
      <c r="R1227">
        <f>IF(AND(Inputs!$B$38&lt;&gt;"pvp",Inputs!$B$43&gt;0),IF(MAX(0,Inputs!$B$43-B1261)&lt;=0,0,(INT(MAX(0,Inputs!$B$43-B1261)/(IF(Inputs!$B$38="pvp",15,MAX(0.1,Skills!D6-IF(Skills!E6=TRUE,Inputs!$B$32,0)))*(1-IF(AND(ArtifactsInput!$M$27,Inputs!$B$4="Chapter Hunt"),CHOOSE(ArtifactsInput!$N$27+1,20,24,28,32,36,40),0)/100)))+1)),0)</f>
        <v/>
      </c>
      <c r="S1227">
        <f>IFERROR(O1227/N1227,0)</f>
        <v/>
      </c>
      <c r="T1227">
        <f>IF(C1227,(H1227*N1227*IF(AND(Inputs!$B$38&lt;&gt;"pvp",Inputs!$B$43&gt;0),((Skills!G6*((R1227-1)*IF(Skills!H6&gt;0,Skills!I6/Skills!H6,1)+IF(Skills!H6&gt;0,MIN(Skills!I6,MAX(0,MAX(0,Inputs!$B$43-B1261)-((R1227-1)*(IF(Inputs!$B$38="pvp",15,MAX(0.1,Skills!D6-IF(Skills!E6=TRUE,Inputs!$B$32,0)))*(1-IF(AND(ArtifactsInput!$M$27,Inputs!$B$4="Chapter Hunt"),CHOOSE(ArtifactsInput!$N$27+1,20,24,28,32,36,40),0)/100)))))/Skills!H6,1)))/Inputs!$B$43),G1227*Q1227)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1227*(1-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6*((R1227-1)*IF(Skills!H6&gt;0,Skills!I6/Skills!H6,1)+IF(Skills!H6&gt;0,MIN(Skills!I6,MAX(0,MAX(0,Inputs!$B$43-B1261)-((R1227-1)*(IF(Inputs!$B$38="pvp",15,MAX(0.1,Skills!D6-IF(Skills!E6=TRUE,Inputs!$B$32,0)))*(1-IF(AND(ArtifactsInput!$M$27,Inputs!$B$4="Chapter Hunt"),CHOOSE(ArtifactsInput!$N$27+1,20,24,28,32,36,40),0)/100)))))/Skills!H6,1)))/Inputs!$B$43),G1227*Q1227))*IF(Inputs!$B$38="pvp",1,(1+(Inputs!$B$21+Skills!Q6+(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Skills!A7</f>
        <v/>
      </c>
      <c r="B1228">
        <f>Skills!B7</f>
        <v/>
      </c>
      <c r="C1228">
        <f>Inputs!$B$3&gt;=107</f>
        <v/>
      </c>
      <c r="D1228">
        <f>IF(Skills!C7=1,60+Inputs!$B$25+Inputs!$B$29,IF(Skills!C7=2,90+Inputs!$B$26+Inputs!$B$29,IF(Skills!C7=3,120+Inputs!$B$27+Inputs!$B$29,MAX(0,(Inputs!$B$3-100)*3)+Inputs!$B$28+Inputs!$B$29)))</f>
        <v/>
      </c>
      <c r="E1228">
        <f>INDEX(FactorTable!$B$2:$Y$301, MATCH(ROUND(MIN(300,MAX(1,D1228)),0), FactorTable!$A$2:$A$301,0), Skills!M7+1)</f>
        <v/>
      </c>
      <c r="F1228">
        <f>IF(Skills!N7=TRUE,(Skills!L7/10)*(E1228/1000),Skills!L7/10)+Skills!O7</f>
        <v/>
      </c>
      <c r="G1228" t="inlineStr"/>
      <c r="H1228" t="inlineStr"/>
      <c r="I1228" t="inlineStr">
        <is>
          <t>1</t>
        </is>
      </c>
      <c r="J1228" t="inlineStr"/>
      <c r="K1228" t="inlineStr"/>
      <c r="L1228" t="inlineStr"/>
      <c r="M1228" t="inlineStr"/>
      <c r="N1228" t="inlineStr"/>
      <c r="O1228" t="inlineStr"/>
      <c r="P1228" t="inlineStr"/>
      <c r="Q1228" t="inlineStr"/>
      <c r="R1228" t="inlineStr"/>
      <c r="S1228" t="inlineStr"/>
      <c r="T1228" t="inlineStr"/>
      <c r="V1228" t="inlineStr"/>
    </row>
    <row r="1229">
      <c r="A1229">
        <f>Skills!A8</f>
        <v/>
      </c>
      <c r="B1229">
        <f>Skills!B8</f>
        <v/>
      </c>
      <c r="C1229">
        <f>Inputs!$B$3&gt;=69</f>
        <v/>
      </c>
      <c r="D1229">
        <f>IF(Skills!C8=1,60+Inputs!$B$25+Inputs!$B$29,IF(Skills!C8=2,90+Inputs!$B$26+Inputs!$B$29,IF(Skills!C8=3,120+Inputs!$B$27+Inputs!$B$29,MAX(0,(Inputs!$B$3-100)*3)+Inputs!$B$28+Inputs!$B$29)))</f>
        <v/>
      </c>
      <c r="E1229">
        <f>INDEX(FactorTable!$B$2:$Y$301, MATCH(ROUND(MIN(300,MAX(1,D1229)),0), FactorTable!$A$2:$A$301,0), Skills!M8+1)</f>
        <v/>
      </c>
      <c r="F1229">
        <f>IF(Skills!N8=TRUE,(Skills!L8/10)*(E1229/1000),Skills!L8/10)+Skills!O8</f>
        <v/>
      </c>
      <c r="G1229">
        <f>Skills!G8*IF(Skills!H8&gt;0,Skills!I8/Skills!H8,1)</f>
        <v/>
      </c>
      <c r="H1229">
        <f>1-(1-Skills!J8/100)^Skills!K8</f>
        <v/>
      </c>
      <c r="I1229" t="inlineStr">
        <is>
          <t>1</t>
        </is>
      </c>
      <c r="J1229">
        <f>((Inputs!$B$6*(1+Inputs!$B$7/100))+(((Inputs!$B$12*(1+Inputs!$B$13/100))-(Inputs!$B$12*(1+Inputs!$B$13/100)))+0.25*(Inputs!$B$14-Inputs!$B$14))*(1+Inputs!$B$7/100))*(F1229/100)</f>
        <v/>
      </c>
      <c r="K1229">
        <f>J1229*(1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1231=TRUE,F1231,0)/100)*(1+(IF(Skills!A8="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1245=TRUE)*(F1245-Calc!F24)),(Inputs!$B$23+((C1250=TRUE)*(F1250-Calc!F29))+(IF(ArtifactsInput!$M$15,CHOOSE(ArtifactsInput!$N$15+1,25,30,35,40,45,50)/100*(Inputs!$B$11-Inputs!$B$11),0))))/100+(Inputs!$B$23+((C1250=TRUE)*(F1250-Calc!F29))+(IF(ArtifactsInput!$M$15,CHOOSE(ArtifactsInput!$N$15+1,25,30,35,40,45,50)/100*(Inputs!$B$11-Inputs!$B$11),0)))/100)/2</f>
        <v/>
      </c>
      <c r="M1229">
        <f>L1229*(1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IF(B1264=0,0,O1229/B1264)</f>
        <v/>
      </c>
      <c r="Q1229">
        <f>IFERROR(1/(IF(Inputs!$B$38="pvp",15,MAX(0.1,Skills!D8-IF(Skills!E8=TRUE,Inputs!$B$32,0)))*(1-IF(AND(ArtifactsInput!$M$27,Inputs!$B$4="Chapter Hunt"),CHOOSE(ArtifactsInput!$N$27+1,20,24,28,32,36,40),0)/100)),0)</f>
        <v/>
      </c>
      <c r="R1229">
        <f>IF(AND(Inputs!$B$38&lt;&gt;"pvp",Inputs!$B$43&gt;0),IF(MAX(0,Inputs!$B$43-B1261)&lt;=0,0,(INT(MAX(0,Inputs!$B$43-B1261)/(IF(Inputs!$B$38="pvp",15,MAX(0.1,Skills!D8-IF(Skills!E8=TRUE,Inputs!$B$32,0)))*(1-IF(AND(ArtifactsInput!$M$27,Inputs!$B$4="Chapter Hunt"),CHOOSE(ArtifactsInput!$N$27+1,20,24,28,32,36,40),0)/100)))+1)),0)</f>
        <v/>
      </c>
      <c r="S1229">
        <f>IFERROR(O1229/N1229,0)</f>
        <v/>
      </c>
      <c r="T1229">
        <f>IF(C1229,(H1229*N1229*IF(AND(Inputs!$B$38&lt;&gt;"pvp",Inputs!$B$43&gt;0),((Skills!G8*((R1229-1)*IF(Skills!H8&gt;0,Skills!I8/Skills!H8,1)+IF(Skills!H8&gt;0,MIN(Skills!I8,MAX(0,MAX(0,Inputs!$B$43-B1261)-((R1229-1)*(IF(Inputs!$B$38="pvp",15,MAX(0.1,Skills!D8-IF(Skills!E8=TRUE,Inputs!$B$32,0)))*(1-IF(AND(ArtifactsInput!$M$27,Inputs!$B$4="Chapter Hunt"),CHOOSE(ArtifactsInput!$N$27+1,20,24,28,32,36,40),0)/100)))))/Skills!H8,1)))/Inputs!$B$43),G1229*Q1229)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1229*(1-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8*((R1229-1)*IF(Skills!H8&gt;0,Skills!I8/Skills!H8,1)+IF(Skills!H8&gt;0,MIN(Skills!I8,MAX(0,MAX(0,Inputs!$B$43-B1261)-((R1229-1)*(IF(Inputs!$B$38="pvp",15,MAX(0.1,Skills!D8-IF(Skills!E8=TRUE,Inputs!$B$32,0)))*(1-IF(AND(ArtifactsInput!$M$27,Inputs!$B$4="Chapter Hunt"),CHOOSE(ArtifactsInput!$N$27+1,20,24,28,32,36,40),0)/100)))))/Skills!H8,1)))/Inputs!$B$43),G1229*Q1229))*IF(Inputs!$B$38="pvp",1,(1+(Inputs!$B$21+Skills!Q8+(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Skills!A9</f>
        <v/>
      </c>
      <c r="B1230">
        <f>Skills!B9</f>
        <v/>
      </c>
      <c r="C1230">
        <f>Inputs!$B$3&gt;=63</f>
        <v/>
      </c>
      <c r="D1230">
        <f>IF(Skills!C9=1,60+Inputs!$B$25+Inputs!$B$29,IF(Skills!C9=2,90+Inputs!$B$26+Inputs!$B$29,IF(Skills!C9=3,120+Inputs!$B$27+Inputs!$B$29,MAX(0,(Inputs!$B$3-100)*3)+Inputs!$B$28+Inputs!$B$29)))</f>
        <v/>
      </c>
      <c r="E1230">
        <f>INDEX(FactorTable!$B$2:$Y$301, MATCH(ROUND(MIN(300,MAX(1,D1230)),0), FactorTable!$A$2:$A$301,0), Skills!M9+1)</f>
        <v/>
      </c>
      <c r="F1230">
        <f>IF(Skills!N9=TRUE,(Skills!L9/10)*(E1230/1000),Skills!L9/10)+Skills!O9</f>
        <v/>
      </c>
      <c r="G1230">
        <f>Skills!G9*IF(Skills!H9&gt;0,Skills!I9/Skills!H9,1)</f>
        <v/>
      </c>
      <c r="H1230">
        <f>1-(1-Skills!J9/100)^Skills!K9</f>
        <v/>
      </c>
      <c r="I1230" t="inlineStr">
        <is>
          <t>1</t>
        </is>
      </c>
      <c r="J1230">
        <f>((Inputs!$B$6*(1+Inputs!$B$7/100))+(((Inputs!$B$12*(1+Inputs!$B$13/100))-(Inputs!$B$12*(1+Inputs!$B$13/100)))+0.25*(Inputs!$B$14-Inputs!$B$14))*(1+Inputs!$B$7/100))*(F1230/100)</f>
        <v/>
      </c>
      <c r="K1230">
        <f>J1230*(1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9="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C1245=TRUE)*(F1245-Calc!F24)),(Inputs!$B$23+((C1250=TRUE)*(F1250-Calc!F29))+(IF(ArtifactsInput!$M$15,CHOOSE(ArtifactsInput!$N$15+1,25,30,35,40,45,50)/100*(Inputs!$B$11-Inputs!$B$11),0))))/100+(Inputs!$B$23+((C1250=TRUE)*(F1250-Calc!F29))+(IF(ArtifactsInput!$M$15,CHOOSE(ArtifactsInput!$N$15+1,25,30,35,40,45,50)/100*(Inputs!$B$11-Inputs!$B$11),0)))/100)/2</f>
        <v/>
      </c>
      <c r="M1230">
        <f>L1230*(1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(1-Summary!$B$11)*T1230+Summary!$B$11*V1230</f>
        <v/>
      </c>
      <c r="P1230">
        <f>IF(B1264=0,0,O1230/B1264)</f>
        <v/>
      </c>
      <c r="Q1230">
        <f>IFERROR(1/(IF(Inputs!$B$38="pvp",15,MAX(0.1,Skills!D9-IF(Skills!E9=TRUE,Inputs!$B$32,0)))*(1-IF(AND(ArtifactsInput!$M$27,Inputs!$B$4="Chapter Hunt"),CHOOSE(ArtifactsInput!$N$27+1,20,24,28,32,36,40),0)/100)),0)</f>
        <v/>
      </c>
      <c r="R1230">
        <f>IF(AND(Inputs!$B$38&lt;&gt;"pvp",Inputs!$B$43&gt;0),IF(MAX(0,Inputs!$B$43-B1261)&lt;=0,0,(INT(MAX(0,Inputs!$B$43-B1261)/(IF(Inputs!$B$38="pvp",15,MAX(0.1,Skills!D9-IF(Skills!E9=TRUE,Inputs!$B$32,0)))*(1-IF(AND(ArtifactsInput!$M$27,Inputs!$B$4="Chapter Hunt"),CHOOSE(ArtifactsInput!$N$27+1,20,24,28,32,36,40),0)/100)))+1)),0)</f>
        <v/>
      </c>
      <c r="S1230">
        <f>IFERROR(O1230/N1230,0)</f>
        <v/>
      </c>
      <c r="T1230">
        <f>IF(C1230,(H1230*N1230*IF(AND(Inputs!$B$38&lt;&gt;"pvp",Inputs!$B$43&gt;0),((Skills!G9*((R1230-1)*IF(Skills!H9&gt;0,Skills!I9/Skills!H9,1)+IF(Skills!H9&gt;0,MIN(Skills!I9,MAX(0,MAX(0,Inputs!$B$43-B1261)-((R1230-1)*(IF(Inputs!$B$38="pvp",15,MAX(0.1,Skills!D9-IF(Skills!E9=TRUE,Inputs!$B$32,0)))*(1-IF(AND(ArtifactsInput!$M$27,Inputs!$B$4="Chapter Hunt"),CHOOSE(ArtifactsInput!$N$27+1,20,24,28,32,36,40),0)/100)))))/Skills!H9,1)))/Inputs!$B$43),G1230*Q1230)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1230*(1-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0">
        <f>IF(C1230,(H1230*N1230*IF(AND(Inputs!$B$38&lt;&gt;"pvp",Inputs!$B$43&gt;0),((Skills!G9*((R1230-1)*IF(Skills!H9&gt;0,Skills!I9/Skills!H9,1)+IF(Skills!H9&gt;0,MIN(Skills!I9,MAX(0,MAX(0,Inputs!$B$43-B1261)-((R1230-1)*(IF(Inputs!$B$38="pvp",15,MAX(0.1,Skills!D9-IF(Skills!E9=TRUE,Inputs!$B$32,0)))*(1-IF(AND(ArtifactsInput!$M$27,Inputs!$B$4="Chapter Hunt"),CHOOSE(ArtifactsInput!$N$27+1,20,24,28,32,36,40),0)/100)))))/Skills!H9,1)))/Inputs!$B$43),G1230*Q1230))*IF(Inputs!$B$38="pvp",1,(1+(Inputs!$B$21+Skills!Q9+(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Skills!A10</f>
        <v/>
      </c>
      <c r="B1231">
        <f>Skills!B10</f>
        <v/>
      </c>
      <c r="C1231">
        <f>Inputs!$B$3&gt;=100</f>
        <v/>
      </c>
      <c r="D1231">
        <f>IF(Skills!C10=1,60+Inputs!$B$25+Inputs!$B$29,IF(Skills!C10=2,90+Inputs!$B$26+Inputs!$B$29,IF(Skills!C10=3,120+Inputs!$B$27+Inputs!$B$29,MAX(0,(Inputs!$B$3-100)*3)+Inputs!$B$28+Inputs!$B$29)))</f>
        <v/>
      </c>
      <c r="E1231">
        <f>INDEX(FactorTable!$B$2:$Y$301, MATCH(ROUND(MIN(300,MAX(1,D1231)),0), FactorTable!$A$2:$A$301,0), Skills!M10+1)</f>
        <v/>
      </c>
      <c r="F1231">
        <f>IF(Skills!N10=TRUE,(Skills!L10/10)*(E1231/1000),Skills!L10/10)+Skills!O10</f>
        <v/>
      </c>
      <c r="G1231" t="inlineStr"/>
      <c r="H1231" t="inlineStr"/>
      <c r="I1231" t="inlineStr">
        <is>
          <t>1</t>
        </is>
      </c>
      <c r="J1231" t="inlineStr"/>
      <c r="K1231" t="inlineStr"/>
      <c r="L1231" t="inlineStr"/>
      <c r="M1231" t="inlineStr"/>
      <c r="N1231" t="inlineStr"/>
      <c r="O1231" t="inlineStr"/>
      <c r="P1231" t="inlineStr"/>
      <c r="Q1231" t="inlineStr"/>
      <c r="R1231" t="inlineStr"/>
      <c r="S1231" t="inlineStr"/>
      <c r="T1231" t="inlineStr"/>
      <c r="V1231" t="inlineStr"/>
    </row>
    <row r="1232">
      <c r="A1232">
        <f>Skills!A11</f>
        <v/>
      </c>
      <c r="B1232">
        <f>Skills!B11</f>
        <v/>
      </c>
      <c r="C1232">
        <f>Inputs!$B$3&gt;=60</f>
        <v/>
      </c>
      <c r="D1232">
        <f>IF(Skills!C11=1,60+Inputs!$B$25+Inputs!$B$29,IF(Skills!C11=2,90+Inputs!$B$26+Inputs!$B$29,IF(Skills!C11=3,120+Inputs!$B$27+Inputs!$B$29,MAX(0,(Inputs!$B$3-100)*3)+Inputs!$B$28+Inputs!$B$29)))</f>
        <v/>
      </c>
      <c r="E1232">
        <f>INDEX(FactorTable!$B$2:$Y$301, MATCH(ROUND(MIN(300,MAX(1,D1232)),0), FactorTable!$A$2:$A$301,0), Skills!M11+1)</f>
        <v/>
      </c>
      <c r="F1232">
        <f>IF(Skills!N11=TRUE,(Skills!L11/10)*(E1232/1000),Skills!L11/10)+Skills!O11</f>
        <v/>
      </c>
      <c r="G1232">
        <f>Skills!G11*IF(Skills!H11&gt;0,Skills!I11/Skills!H11,1)</f>
        <v/>
      </c>
      <c r="H1232">
        <f>1-(1-Skills!J11/100)^Skills!K11</f>
        <v/>
      </c>
      <c r="I1232" t="inlineStr">
        <is>
          <t>1</t>
        </is>
      </c>
      <c r="J1232">
        <f>((Inputs!$B$6*(1+Inputs!$B$7/100))+(((Inputs!$B$12*(1+Inputs!$B$13/100))-(Inputs!$B$12*(1+Inputs!$B$13/100)))+0.25*(Inputs!$B$14-Inputs!$B$14))*(1+Inputs!$B$7/100))*(F1232/100)</f>
        <v/>
      </c>
      <c r="K1232">
        <f>J1232*(1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Skills!A11="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1245=TRUE)*(F1245-Calc!F24)),(Inputs!$B$23+((C1250=TRUE)*(F1250-Calc!F29))+(IF(ArtifactsInput!$M$15,CHOOSE(ArtifactsInput!$N$15+1,25,30,35,40,45,50)/100*(Inputs!$B$11-Inputs!$B$11),0))))/100+(Inputs!$B$23+((C1250=TRUE)*(F1250-Calc!F29))+(IF(ArtifactsInput!$M$15,CHOOSE(ArtifactsInput!$N$15+1,25,30,35,40,45,50)/100*(Inputs!$B$11-Inputs!$B$11),0)))/100)/2</f>
        <v/>
      </c>
      <c r="M1232">
        <f>L1232*(1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IF(B1264=0,0,O1232/B1264)</f>
        <v/>
      </c>
      <c r="Q1232">
        <f>IFERROR(1/(IF(Inputs!$B$38="pvp",15,MAX(0.1,Skills!D11-IF(Skills!E11=TRUE,Inputs!$B$32,0)))*(1-IF(AND(ArtifactsInput!$M$27,Inputs!$B$4="Chapter Hunt"),CHOOSE(ArtifactsInput!$N$27+1,20,24,28,32,36,40),0)/100)),0)</f>
        <v/>
      </c>
      <c r="R1232">
        <f>IF(AND(Inputs!$B$38&lt;&gt;"pvp",Inputs!$B$43&gt;0),IF(MAX(0,Inputs!$B$43-B1261)&lt;=0,0,(INT(MAX(0,Inputs!$B$43-B1261)/(IF(Inputs!$B$38="pvp",15,MAX(0.1,Skills!D11-IF(Skills!E11=TRUE,Inputs!$B$32,0)))*(1-IF(AND(ArtifactsInput!$M$27,Inputs!$B$4="Chapter Hunt"),CHOOSE(ArtifactsInput!$N$27+1,20,24,28,32,36,40),0)/100)))+1)),0)</f>
        <v/>
      </c>
      <c r="S1232">
        <f>IFERROR(O1232/N1232,0)</f>
        <v/>
      </c>
      <c r="T1232">
        <f>IF(C1232,(H1232*N1232*IF(AND(Inputs!$B$38&lt;&gt;"pvp",Inputs!$B$43&gt;0),((Skills!G11*((R1232-1)*IF(Skills!H11&gt;0,Skills!I11/Skills!H11,1)+IF(Skills!H11&gt;0,MIN(Skills!I11,MAX(0,MAX(0,Inputs!$B$43-B1261)-((R1232-1)*(IF(Inputs!$B$38="pvp",15,MAX(0.1,Skills!D11-IF(Skills!E11=TRUE,Inputs!$B$32,0)))*(1-IF(AND(ArtifactsInput!$M$27,Inputs!$B$4="Chapter Hunt"),CHOOSE(ArtifactsInput!$N$27+1,20,24,28,32,36,40),0)/100)))))/Skills!H11,1)))/Inputs!$B$43),G1232*Q1232)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1232*(1-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11*((R1232-1)*IF(Skills!H11&gt;0,Skills!I11/Skills!H11,1)+IF(Skills!H11&gt;0,MIN(Skills!I11,MAX(0,MAX(0,Inputs!$B$43-B1261)-((R1232-1)*(IF(Inputs!$B$38="pvp",15,MAX(0.1,Skills!D11-IF(Skills!E11=TRUE,Inputs!$B$32,0)))*(1-IF(AND(ArtifactsInput!$M$27,Inputs!$B$4="Chapter Hunt"),CHOOSE(ArtifactsInput!$N$27+1,20,24,28,32,36,40),0)/100)))))/Skills!H11,1)))/Inputs!$B$43),G1232*Q1232))*IF(Inputs!$B$38="pvp",1,(1+(Inputs!$B$21+Skills!Q11+(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Skills!A12</f>
        <v/>
      </c>
      <c r="B1233">
        <f>Skills!B12</f>
        <v/>
      </c>
      <c r="C1233">
        <f>Inputs!$B$3&gt;=110</f>
        <v/>
      </c>
      <c r="D1233">
        <f>IF(Skills!C12=1,60+Inputs!$B$25+Inputs!$B$29,IF(Skills!C12=2,90+Inputs!$B$26+Inputs!$B$29,IF(Skills!C12=3,120+Inputs!$B$27+Inputs!$B$29,MAX(0,(Inputs!$B$3-100)*3)+Inputs!$B$28+Inputs!$B$29)))</f>
        <v/>
      </c>
      <c r="E1233">
        <f>INDEX(FactorTable!$B$2:$Y$301, MATCH(ROUND(MIN(300,MAX(1,D1233)),0), FactorTable!$A$2:$A$301,0), Skills!M12+1)</f>
        <v/>
      </c>
      <c r="F1233">
        <f>IF(Skills!N12=TRUE,(Skills!L12/10)*(E1233/1000),Skills!L12/10)+Skills!O12</f>
        <v/>
      </c>
      <c r="G1233" t="inlineStr"/>
      <c r="H1233" t="inlineStr"/>
      <c r="I1233" t="inlineStr">
        <is>
          <t>1</t>
        </is>
      </c>
      <c r="J1233" t="inlineStr"/>
      <c r="K1233" t="inlineStr"/>
      <c r="L1233" t="inlineStr"/>
      <c r="M1233" t="inlineStr"/>
      <c r="N1233" t="inlineStr"/>
      <c r="O1233" t="inlineStr"/>
      <c r="P1233" t="inlineStr"/>
      <c r="Q1233" t="inlineStr"/>
      <c r="R1233" t="inlineStr"/>
      <c r="S1233" t="inlineStr"/>
      <c r="T1233" t="inlineStr"/>
      <c r="V1233" t="inlineStr"/>
    </row>
    <row r="1234">
      <c r="A1234">
        <f>Skills!A13</f>
        <v/>
      </c>
      <c r="B1234">
        <f>Skills!B13</f>
        <v/>
      </c>
      <c r="C1234">
        <f>Inputs!$B$3&gt;=74</f>
        <v/>
      </c>
      <c r="D1234">
        <f>IF(Skills!C13=1,60+Inputs!$B$25+Inputs!$B$29,IF(Skills!C13=2,90+Inputs!$B$26+Inputs!$B$29,IF(Skills!C13=3,120+Inputs!$B$27+Inputs!$B$29,MAX(0,(Inputs!$B$3-100)*3)+Inputs!$B$28+Inputs!$B$29)))</f>
        <v/>
      </c>
      <c r="E1234">
        <f>INDEX(FactorTable!$B$2:$Y$301, MATCH(ROUND(MIN(300,MAX(1,D1234)),0), FactorTable!$A$2:$A$301,0), Skills!M13+1)</f>
        <v/>
      </c>
      <c r="F1234">
        <f>IF(Skills!N13=TRUE,(Skills!L13/10)*(E1234/1000),Skills!L13/10)+Skills!O13</f>
        <v/>
      </c>
      <c r="G1234">
        <f>Skills!G13*IF(Skills!H13&gt;0,Skills!I13/Skills!H13,1)</f>
        <v/>
      </c>
      <c r="H1234">
        <f>1-(1-Skills!J13/100)^Skills!K13</f>
        <v/>
      </c>
      <c r="I1234" t="inlineStr">
        <is>
          <t>1</t>
        </is>
      </c>
      <c r="J1234" t="inlineStr"/>
      <c r="K1234" t="inlineStr"/>
      <c r="L1234" t="inlineStr"/>
      <c r="M1234" t="inlineStr"/>
      <c r="N1234" t="inlineStr"/>
      <c r="O1234">
        <f>(1-Summary!$B$11)*T1234+Summary!$B$11*V1234</f>
        <v/>
      </c>
      <c r="P1234">
        <f>IF(B1264=0,0,O1234/B1264)</f>
        <v/>
      </c>
      <c r="Q1234" t="n">
        <v>0</v>
      </c>
      <c r="R1234" t="n">
        <v>0</v>
      </c>
      <c r="S1234">
        <f>IFERROR(O1234/N1234,0)</f>
        <v/>
      </c>
      <c r="T1234" t="n">
        <v>0</v>
      </c>
      <c r="V1234" t="n">
        <v>0</v>
      </c>
    </row>
    <row r="1235">
      <c r="A1235">
        <f>Skills!A14</f>
        <v/>
      </c>
      <c r="B1235">
        <f>Skills!B14</f>
        <v/>
      </c>
      <c r="C1235">
        <f>Inputs!$B$3&gt;=74</f>
        <v/>
      </c>
      <c r="D1235">
        <f>IF(Skills!C14=1,60+Inputs!$B$25+Inputs!$B$29,IF(Skills!C14=2,90+Inputs!$B$26+Inputs!$B$29,IF(Skills!C14=3,120+Inputs!$B$27+Inputs!$B$29,MAX(0,(Inputs!$B$3-100)*3)+Inputs!$B$28+Inputs!$B$29)))</f>
        <v/>
      </c>
      <c r="E1235">
        <f>INDEX(FactorTable!$B$2:$Y$301, MATCH(ROUND(MIN(300,MAX(1,D1235)),0), FactorTable!$A$2:$A$301,0), Skills!M14+1)</f>
        <v/>
      </c>
      <c r="F1235">
        <f>IF(Skills!N14=TRUE,(Skills!L14/10)*(E1235/1000),Skills!L14/10)+Skills!O14</f>
        <v/>
      </c>
      <c r="G1235">
        <f>Skills!G14*IF(Skills!H14&gt;0,Skills!I14/Skills!H14,1)</f>
        <v/>
      </c>
      <c r="H1235">
        <f>1-(1-Skills!J14/100)^Skills!K14</f>
        <v/>
      </c>
      <c r="I1235" t="inlineStr">
        <is>
          <t>1</t>
        </is>
      </c>
      <c r="J1235" t="inlineStr"/>
      <c r="K1235" t="inlineStr"/>
      <c r="L1235" t="inlineStr"/>
      <c r="M1235" t="inlineStr"/>
      <c r="N1235" t="inlineStr"/>
      <c r="O1235">
        <f>(1-Summary!$B$11)*T1235+Summary!$B$11*V1235</f>
        <v/>
      </c>
      <c r="P1235">
        <f>IF(B1264=0,0,O1235/B1264)</f>
        <v/>
      </c>
      <c r="Q1235" t="n">
        <v>0</v>
      </c>
      <c r="R1235" t="n">
        <v>0</v>
      </c>
      <c r="S1235">
        <f>IFERROR(O1235/N1235,0)</f>
        <v/>
      </c>
      <c r="T1235" t="n">
        <v>0</v>
      </c>
      <c r="V1235" t="n">
        <v>0</v>
      </c>
    </row>
    <row r="1236">
      <c r="A1236">
        <f>Skills!A15</f>
        <v/>
      </c>
      <c r="B1236">
        <f>Skills!B15</f>
        <v/>
      </c>
      <c r="C1236">
        <f>Inputs!$B$3&gt;=117</f>
        <v/>
      </c>
      <c r="D1236">
        <f>IF(Skills!C15=1,60+Inputs!$B$25+Inputs!$B$29,IF(Skills!C15=2,90+Inputs!$B$26+Inputs!$B$29,IF(Skills!C15=3,120+Inputs!$B$27+Inputs!$B$29,MAX(0,(Inputs!$B$3-100)*3)+Inputs!$B$28+Inputs!$B$29)))</f>
        <v/>
      </c>
      <c r="E1236">
        <f>INDEX(FactorTable!$B$2:$Y$301, MATCH(ROUND(MIN(300,MAX(1,D1236)),0), FactorTable!$A$2:$A$301,0), Skills!M15+1)</f>
        <v/>
      </c>
      <c r="F1236">
        <f>IF(Skills!N15=TRUE,(Skills!L15/10)*(E1236/1000),Skills!L15/10)+Skills!O15</f>
        <v/>
      </c>
      <c r="G1236">
        <f>Skills!G15*IF(Skills!H15&gt;0,Skills!I15/Skills!H15,1)</f>
        <v/>
      </c>
      <c r="H1236">
        <f>1-(1-Skills!J15/100)^Skills!K15</f>
        <v/>
      </c>
      <c r="I1236" t="inlineStr">
        <is>
          <t>1</t>
        </is>
      </c>
      <c r="J1236" t="inlineStr"/>
      <c r="K1236" t="inlineStr"/>
      <c r="L1236" t="inlineStr"/>
      <c r="M1236" t="inlineStr"/>
      <c r="N1236" t="inlineStr"/>
      <c r="O1236">
        <f>(1-Summary!$B$11)*T1236+Summary!$B$11*V1236</f>
        <v/>
      </c>
      <c r="P1236">
        <f>IF(B1264=0,0,O1236/B1264)</f>
        <v/>
      </c>
      <c r="Q1236">
        <f>IFERROR(1/(IF(Inputs!$B$38="pvp",15,MAX(0.1,Skills!D15-IF(Skills!E15=TRUE,Inputs!$B$32,0)))*(1-IF(AND(ArtifactsInput!$M$27,Inputs!$B$4="Chapter Hunt"),CHOOSE(ArtifactsInput!$N$27+1,20,24,28,32,36,40),0)/100)),0)</f>
        <v/>
      </c>
      <c r="R1236">
        <f>IF(AND(Inputs!$B$38&lt;&gt;"pvp",Inputs!$B$43&gt;0),IF(Inputs!$B$43&lt;=0,0,(INT(Inputs!$B$43/(IF(Inputs!$B$38="pvp",15,MAX(0.1,Skills!D15-IF(Skills!E15=TRUE,Inputs!$B$32,0)))*(1-IF(AND(ArtifactsInput!$M$27,Inputs!$B$4="Chapter Hunt"),CHOOSE(ArtifactsInput!$N$27+1,20,24,28,32,36,40),0)/100)))+1)),0)</f>
        <v/>
      </c>
      <c r="S1236">
        <f>IFERROR(O1236/N1236,0)</f>
        <v/>
      </c>
      <c r="T1236" t="n">
        <v>0</v>
      </c>
      <c r="V1236" t="n">
        <v>0</v>
      </c>
    </row>
    <row r="1237">
      <c r="A1237">
        <f>Skills!A16</f>
        <v/>
      </c>
      <c r="B1237">
        <f>Skills!B16</f>
        <v/>
      </c>
      <c r="C1237">
        <f>Inputs!$B$3&gt;=115</f>
        <v/>
      </c>
      <c r="D1237">
        <f>IF(Skills!C16=1,60+Inputs!$B$25+Inputs!$B$29,IF(Skills!C16=2,90+Inputs!$B$26+Inputs!$B$29,IF(Skills!C16=3,120+Inputs!$B$27+Inputs!$B$29,MAX(0,(Inputs!$B$3-100)*3)+Inputs!$B$28+Inputs!$B$29)))</f>
        <v/>
      </c>
      <c r="E1237">
        <f>INDEX(FactorTable!$B$2:$Y$301, MATCH(ROUND(MIN(300,MAX(1,D1237)),0), FactorTable!$A$2:$A$301,0), Skills!M16+1)</f>
        <v/>
      </c>
      <c r="F1237">
        <f>IF(Skills!N16=TRUE,(Skills!L16/10)*(E1237/1000),Skills!L16/10)+Skills!O16</f>
        <v/>
      </c>
      <c r="G1237">
        <f>Skills!G16*IF(Skills!H16&gt;0,Skills!I16/Skills!H16,1)</f>
        <v/>
      </c>
      <c r="H1237">
        <f>1-(1-Skills!J16/100)^Skills!K16</f>
        <v/>
      </c>
      <c r="I1237" t="inlineStr">
        <is>
          <t>1</t>
        </is>
      </c>
      <c r="J1237" t="inlineStr"/>
      <c r="K1237" t="inlineStr"/>
      <c r="L1237" t="inlineStr"/>
      <c r="M1237" t="inlineStr"/>
      <c r="N1237" t="inlineStr"/>
      <c r="O1237">
        <f>(1-Summary!$B$11)*T1237+Summary!$B$11*V1237</f>
        <v/>
      </c>
      <c r="P1237">
        <f>IF(B1264=0,0,O1237/B1264)</f>
        <v/>
      </c>
      <c r="Q1237">
        <f>IFERROR(1/(IF(Inputs!$B$38="pvp",15,MAX(0.1,Skills!D16-IF(Skills!E16=TRUE,Inputs!$B$32,0)))*(1-IF(AND(ArtifactsInput!$M$27,Inputs!$B$4="Chapter Hunt"),CHOOSE(ArtifactsInput!$N$27+1,20,24,28,32,36,40),0)/100)),0)</f>
        <v/>
      </c>
      <c r="R1237">
        <f>IF(AND(Inputs!$B$38&lt;&gt;"pvp",Inputs!$B$43&gt;0),IF(Inputs!$B$43&lt;=0,0,(INT(Inputs!$B$43/(IF(Inputs!$B$38="pvp",15,MAX(0.1,Skills!D16-IF(Skills!E16=TRUE,Inputs!$B$32,0)))*(1-IF(AND(ArtifactsInput!$M$27,Inputs!$B$4="Chapter Hunt"),CHOOSE(ArtifactsInput!$N$27+1,20,24,28,32,36,40),0)/100)))+1)),0)</f>
        <v/>
      </c>
      <c r="S1237">
        <f>IFERROR(O1237/N1237,0)</f>
        <v/>
      </c>
      <c r="T1237" t="n">
        <v>0</v>
      </c>
      <c r="V1237" t="n">
        <v>0</v>
      </c>
    </row>
    <row r="1238">
      <c r="A1238">
        <f>Skills!A17</f>
        <v/>
      </c>
      <c r="B1238">
        <f>Skills!B17</f>
        <v/>
      </c>
      <c r="C1238">
        <f>Inputs!$B$3&gt;=66</f>
        <v/>
      </c>
      <c r="D1238">
        <f>IF(Skills!C17=1,60+Inputs!$B$25+Inputs!$B$29,IF(Skills!C17=2,90+Inputs!$B$26+Inputs!$B$29,IF(Skills!C17=3,120+Inputs!$B$27+Inputs!$B$29,MAX(0,(Inputs!$B$3-100)*3)+Inputs!$B$28+Inputs!$B$29)))</f>
        <v/>
      </c>
      <c r="E1238">
        <f>INDEX(FactorTable!$B$2:$Y$301, MATCH(ROUND(MIN(300,MAX(1,D1238)),0), FactorTable!$A$2:$A$301,0), Skills!M17+1)</f>
        <v/>
      </c>
      <c r="F1238">
        <f>IF(Skills!N17=TRUE,(Skills!L17/10)*(E1238/1000),Skills!L17/10)+Skills!O17</f>
        <v/>
      </c>
      <c r="G1238">
        <f>Skills!G17*IF(Skills!H17&gt;0,Skills!I17/Skills!H17,1)</f>
        <v/>
      </c>
      <c r="H1238">
        <f>1-(1-Skills!J17/100)^Skills!K17</f>
        <v/>
      </c>
      <c r="I1238" t="inlineStr">
        <is>
          <t>1</t>
        </is>
      </c>
      <c r="J1238" t="inlineStr"/>
      <c r="K1238" t="inlineStr"/>
      <c r="L1238" t="inlineStr"/>
      <c r="M1238" t="inlineStr"/>
      <c r="N1238" t="inlineStr"/>
      <c r="O1238">
        <f>(1-Summary!$B$11)*T1238+Summary!$B$11*V1238</f>
        <v/>
      </c>
      <c r="P1238">
        <f>IF(B1264=0,0,O1238/B1264)</f>
        <v/>
      </c>
      <c r="Q1238" t="n">
        <v>0</v>
      </c>
      <c r="R1238" t="n">
        <v>0</v>
      </c>
      <c r="S1238">
        <f>IFERROR(O1238/N1238,0)</f>
        <v/>
      </c>
      <c r="T1238" t="n">
        <v>0</v>
      </c>
      <c r="V1238" t="n">
        <v>0</v>
      </c>
    </row>
    <row r="1239">
      <c r="A1239">
        <f>Skills!A18</f>
        <v/>
      </c>
      <c r="B1239">
        <f>Skills!B18</f>
        <v/>
      </c>
      <c r="C1239">
        <f>Inputs!$B$3&gt;=72</f>
        <v/>
      </c>
      <c r="D1239">
        <f>IF(Skills!C18=1,60+Inputs!$B$25+Inputs!$B$29,IF(Skills!C18=2,90+Inputs!$B$26+Inputs!$B$29,IF(Skills!C18=3,120+Inputs!$B$27+Inputs!$B$29,MAX(0,(Inputs!$B$3-100)*3)+Inputs!$B$28+Inputs!$B$29)))</f>
        <v/>
      </c>
      <c r="E1239">
        <f>INDEX(FactorTable!$B$2:$Y$301, MATCH(ROUND(MIN(300,MAX(1,D1239)),0), FactorTable!$A$2:$A$301,0), Skills!M18+1)</f>
        <v/>
      </c>
      <c r="F1239">
        <f>IF(Skills!N18=TRUE,(Skills!L18/10)*(E1239/1000),Skills!L18/10)+Skills!O18</f>
        <v/>
      </c>
      <c r="G1239">
        <f>Skills!G18*IF(Skills!H18&gt;0,Skills!I18/Skills!H18,1)</f>
        <v/>
      </c>
      <c r="H1239">
        <f>1-(1-Skills!J18/100)^Skills!K18</f>
        <v/>
      </c>
      <c r="I1239" t="inlineStr">
        <is>
          <t>1</t>
        </is>
      </c>
      <c r="J1239" t="inlineStr"/>
      <c r="K1239" t="inlineStr"/>
      <c r="L1239" t="inlineStr"/>
      <c r="M1239" t="inlineStr"/>
      <c r="N1239" t="inlineStr"/>
      <c r="O1239">
        <f>(1-Summary!$B$11)*T1239+Summary!$B$11*V1239</f>
        <v/>
      </c>
      <c r="P1239">
        <f>IF(B1264=0,0,O1239/B1264)</f>
        <v/>
      </c>
      <c r="Q1239" t="n">
        <v>0</v>
      </c>
      <c r="R1239" t="n">
        <v>0</v>
      </c>
      <c r="S1239">
        <f>IFERROR(O1239/N1239,0)</f>
        <v/>
      </c>
      <c r="T1239" t="n">
        <v>0</v>
      </c>
      <c r="V1239" t="n">
        <v>0</v>
      </c>
    </row>
    <row r="1240">
      <c r="A1240">
        <f>Skills!A19</f>
        <v/>
      </c>
      <c r="B1240">
        <f>Skills!B19</f>
        <v/>
      </c>
      <c r="C1240">
        <f>TRUE</f>
        <v/>
      </c>
      <c r="D1240">
        <f>IF(Skills!C19=1,60+Inputs!$B$25+Inputs!$B$29,IF(Skills!C19=2,90+Inputs!$B$26+Inputs!$B$29,IF(Skills!C19=3,120+Inputs!$B$27+Inputs!$B$29,MAX(0,(Inputs!$B$3-100)*3)+Inputs!$B$28+Inputs!$B$29)))</f>
        <v/>
      </c>
      <c r="E1240">
        <f>INDEX(FactorTable!$B$2:$Y$301, MATCH(ROUND(MIN(300,MAX(1,D1240)),0), FactorTable!$A$2:$A$301,0), Skills!M19+1)</f>
        <v/>
      </c>
      <c r="F1240">
        <f>IF(Skills!N19=TRUE,(Skills!L19/10)*(E1240/1000),Skills!L19/10)+Skills!O19</f>
        <v/>
      </c>
      <c r="G1240">
        <f>Skills!G19*IF(Skills!H19&gt;0,Skills!I19/Skills!H19,1)</f>
        <v/>
      </c>
      <c r="H1240">
        <f>1-(1-Skills!J19/100)^Skills!K19</f>
        <v/>
      </c>
      <c r="I1240" t="inlineStr">
        <is>
          <t>1</t>
        </is>
      </c>
      <c r="J1240" t="inlineStr"/>
      <c r="K1240" t="inlineStr"/>
      <c r="L1240" t="inlineStr"/>
      <c r="M1240" t="inlineStr"/>
      <c r="N1240" t="inlineStr"/>
      <c r="O1240">
        <f>(1-Summary!$B$11)*T1240+Summary!$B$11*V1240</f>
        <v/>
      </c>
      <c r="P1240">
        <f>IF(B1264=0,0,O1240/B1264)</f>
        <v/>
      </c>
      <c r="Q1240">
        <f>IFERROR(1/(IF(Inputs!$B$38="pvp",15,MAX(0.1,Skills!D19-IF(Skills!E19=TRUE,Inputs!$B$32,0)))*(1-IF(AND(ArtifactsInput!$M$27,Inputs!$B$4="Chapter Hunt"),CHOOSE(ArtifactsInput!$N$27+1,20,24,28,32,36,40),0)/100)),0)</f>
        <v/>
      </c>
      <c r="R1240">
        <f>IF(AND(Inputs!$B$38&lt;&gt;"pvp",Inputs!$B$43&gt;0),IF(Inputs!$B$43&lt;=0,0,(INT(Inputs!$B$43/(IF(Inputs!$B$38="pvp",15,MAX(0.1,Skills!D19-IF(Skills!E19=TRUE,Inputs!$B$32,0)))*(1-IF(AND(ArtifactsInput!$M$27,Inputs!$B$4="Chapter Hunt"),CHOOSE(ArtifactsInput!$N$27+1,20,24,28,32,36,40),0)/100)))+1)),0)</f>
        <v/>
      </c>
      <c r="S1240">
        <f>IFERROR(O1240/N1240,0)</f>
        <v/>
      </c>
      <c r="T1240" t="n">
        <v>0</v>
      </c>
      <c r="V1240" t="n">
        <v>0</v>
      </c>
    </row>
    <row r="1241">
      <c r="A1241">
        <f>Skills!A20</f>
        <v/>
      </c>
      <c r="B1241">
        <f>Skills!B20</f>
        <v/>
      </c>
      <c r="C1241">
        <f>Inputs!$B$3&gt;=15</f>
        <v/>
      </c>
      <c r="D1241">
        <f>IF(Skills!C20=1,60+Inputs!$B$25+Inputs!$B$29,IF(Skills!C20=2,90+Inputs!$B$26+Inputs!$B$29,IF(Skills!C20=3,120+Inputs!$B$27+Inputs!$B$29,MAX(0,(Inputs!$B$3-100)*3)+Inputs!$B$28+Inputs!$B$29)))</f>
        <v/>
      </c>
      <c r="E1241">
        <f>INDEX(FactorTable!$B$2:$Y$301, MATCH(ROUND(MIN(300,MAX(1,D1241)),0), FactorTable!$A$2:$A$301,0), Skills!M20+1)</f>
        <v/>
      </c>
      <c r="F1241">
        <f>IF(Skills!N20=TRUE,(Skills!L20/10)*(E1241/1000),Skills!L20/10)+Skills!O20</f>
        <v/>
      </c>
      <c r="G1241">
        <f>Skills!G20*IF(Skills!H20&gt;0,Skills!I20/Skills!H20,1)</f>
        <v/>
      </c>
      <c r="H1241">
        <f>1-(1-Skills!J20/100)^Skills!K20</f>
        <v/>
      </c>
      <c r="I1241" t="inlineStr">
        <is>
          <t>1</t>
        </is>
      </c>
      <c r="J1241" t="inlineStr"/>
      <c r="K1241" t="inlineStr"/>
      <c r="L1241" t="inlineStr"/>
      <c r="M1241" t="inlineStr"/>
      <c r="N1241" t="inlineStr"/>
      <c r="O1241">
        <f>(1-Summary!$B$11)*T1241+Summary!$B$11*V1241</f>
        <v/>
      </c>
      <c r="P1241">
        <f>IF(B1264=0,0,O1241/B1264)</f>
        <v/>
      </c>
      <c r="Q1241" t="n">
        <v>0</v>
      </c>
      <c r="R1241" t="n">
        <v>0</v>
      </c>
      <c r="S1241">
        <f>IFERROR(O1241/N1241,0)</f>
        <v/>
      </c>
      <c r="T1241" t="n">
        <v>0</v>
      </c>
      <c r="V1241" t="n">
        <v>0</v>
      </c>
    </row>
    <row r="1242">
      <c r="A1242">
        <f>Skills!A21</f>
        <v/>
      </c>
      <c r="B1242">
        <f>Skills!B21</f>
        <v/>
      </c>
      <c r="C1242">
        <f>Inputs!$B$3&gt;=10</f>
        <v/>
      </c>
      <c r="D1242">
        <f>IF(Skills!C21=1,60+Inputs!$B$25+Inputs!$B$29,IF(Skills!C21=2,90+Inputs!$B$26+Inputs!$B$29,IF(Skills!C21=3,120+Inputs!$B$27+Inputs!$B$29,MAX(0,(Inputs!$B$3-100)*3)+Inputs!$B$28+Inputs!$B$29)))</f>
        <v/>
      </c>
      <c r="E1242">
        <f>INDEX(FactorTable!$B$2:$Y$301, MATCH(ROUND(MIN(300,MAX(1,D1242)),0), FactorTable!$A$2:$A$301,0), Skills!M21+1)</f>
        <v/>
      </c>
      <c r="F1242">
        <f>IF(Skills!N21=TRUE,(Skills!L21/10)*(E1242/1000),Skills!L21/10)+Skills!O21</f>
        <v/>
      </c>
      <c r="G1242">
        <f>Skills!G21*IF(Skills!H21&gt;0,Skills!I21/Skills!H21,1)</f>
        <v/>
      </c>
      <c r="H1242">
        <f>1-(1-Skills!J21/100)^Skills!K21</f>
        <v/>
      </c>
      <c r="I1242" t="inlineStr">
        <is>
          <t>1</t>
        </is>
      </c>
      <c r="J1242" t="inlineStr"/>
      <c r="K1242" t="inlineStr"/>
      <c r="L1242" t="inlineStr"/>
      <c r="M1242" t="inlineStr"/>
      <c r="N1242" t="inlineStr"/>
      <c r="O1242">
        <f>(1-Summary!$B$11)*T1242+Summary!$B$11*V1242</f>
        <v/>
      </c>
      <c r="P1242">
        <f>IF(B1264=0,0,O1242/B1264)</f>
        <v/>
      </c>
      <c r="Q1242" t="n">
        <v>0</v>
      </c>
      <c r="R1242" t="n">
        <v>0</v>
      </c>
      <c r="S1242">
        <f>IFERROR(O1242/N1242,0)</f>
        <v/>
      </c>
      <c r="T1242" t="n">
        <v>0</v>
      </c>
      <c r="V1242" t="n">
        <v>0</v>
      </c>
    </row>
    <row r="1243">
      <c r="A1243">
        <f>Skills!A22</f>
        <v/>
      </c>
      <c r="B1243">
        <f>Skills!B22</f>
        <v/>
      </c>
      <c r="C1243">
        <f>Inputs!$B$3&gt;=33</f>
        <v/>
      </c>
      <c r="D1243">
        <f>IF(Skills!C22=1,60+Inputs!$B$25+Inputs!$B$29,IF(Skills!C22=2,90+Inputs!$B$26+Inputs!$B$29,IF(Skills!C22=3,120+Inputs!$B$27+Inputs!$B$29,MAX(0,(Inputs!$B$3-100)*3)+Inputs!$B$28+Inputs!$B$29)))</f>
        <v/>
      </c>
      <c r="E1243">
        <f>INDEX(FactorTable!$B$2:$Y$301, MATCH(ROUND(MIN(300,MAX(1,D1243)),0), FactorTable!$A$2:$A$301,0), Skills!M22+1)</f>
        <v/>
      </c>
      <c r="F1243">
        <f>IF(Skills!N22=TRUE,(Skills!L22/10)*(E1243/1000),Skills!L22/10)+Skills!O22</f>
        <v/>
      </c>
      <c r="G1243">
        <f>Skills!G22*IF(Skills!H22&gt;0,Skills!I22/Skills!H22,1)</f>
        <v/>
      </c>
      <c r="H1243">
        <f>1-(1-Skills!J22/100)^Skills!K22</f>
        <v/>
      </c>
      <c r="I1243" t="inlineStr">
        <is>
          <t>1</t>
        </is>
      </c>
      <c r="J1243" t="inlineStr"/>
      <c r="K1243" t="inlineStr"/>
      <c r="L1243" t="inlineStr"/>
      <c r="M1243" t="inlineStr"/>
      <c r="N1243" t="inlineStr"/>
      <c r="O1243">
        <f>(1-Summary!$B$11)*T1243+Summary!$B$11*V1243</f>
        <v/>
      </c>
      <c r="P1243">
        <f>IF(B1264=0,0,O1243/B1264)</f>
        <v/>
      </c>
      <c r="Q1243" t="n">
        <v>0</v>
      </c>
      <c r="R1243" t="n">
        <v>0</v>
      </c>
      <c r="S1243">
        <f>IFERROR(O1243/N1243,0)</f>
        <v/>
      </c>
      <c r="T1243" t="n">
        <v>0</v>
      </c>
      <c r="V1243" t="n">
        <v>0</v>
      </c>
    </row>
    <row r="1244">
      <c r="A1244">
        <f>Skills!A23</f>
        <v/>
      </c>
      <c r="B1244">
        <f>Skills!B23</f>
        <v/>
      </c>
      <c r="C1244">
        <f>Inputs!$B$3&gt;=38</f>
        <v/>
      </c>
      <c r="D1244">
        <f>IF(Skills!C23=1,60+Inputs!$B$25+Inputs!$B$29,IF(Skills!C23=2,90+Inputs!$B$26+Inputs!$B$29,IF(Skills!C23=3,120+Inputs!$B$27+Inputs!$B$29,MAX(0,(Inputs!$B$3-100)*3)+Inputs!$B$28+Inputs!$B$29)))</f>
        <v/>
      </c>
      <c r="E1244">
        <f>INDEX(FactorTable!$B$2:$Y$301, MATCH(ROUND(MIN(300,MAX(1,D1244)),0), FactorTable!$A$2:$A$301,0), Skills!M23+1)</f>
        <v/>
      </c>
      <c r="F1244">
        <f>IF(Skills!N23=TRUE,(Skills!L23/10)*(E1244/1000),Skills!L23/10)+Skills!O23</f>
        <v/>
      </c>
      <c r="G1244">
        <f>Skills!G23*IF(Skills!H23&gt;0,Skills!I23/Skills!H23,1)</f>
        <v/>
      </c>
      <c r="H1244">
        <f>1-(1-Skills!J23/100)^Skills!K23</f>
        <v/>
      </c>
      <c r="I1244" t="inlineStr">
        <is>
          <t>1</t>
        </is>
      </c>
      <c r="J1244" t="inlineStr"/>
      <c r="K1244" t="inlineStr"/>
      <c r="L1244" t="inlineStr"/>
      <c r="M1244" t="inlineStr"/>
      <c r="N1244" t="inlineStr"/>
      <c r="O1244">
        <f>(1-Summary!$B$11)*T1244+Summary!$B$11*V1244</f>
        <v/>
      </c>
      <c r="P1244">
        <f>IF(B1264=0,0,O1244/B1264)</f>
        <v/>
      </c>
      <c r="Q1244" t="n">
        <v>0</v>
      </c>
      <c r="R1244" t="n">
        <v>0</v>
      </c>
      <c r="S1244">
        <f>IFERROR(O1244/N1244,0)</f>
        <v/>
      </c>
      <c r="T1244" t="n">
        <v>0</v>
      </c>
      <c r="V1244" t="n">
        <v>0</v>
      </c>
    </row>
    <row r="1245">
      <c r="A1245">
        <f>Skills!A24</f>
        <v/>
      </c>
      <c r="B1245">
        <f>Skills!B24</f>
        <v/>
      </c>
      <c r="C1245">
        <f>Inputs!$B$3&gt;=43</f>
        <v/>
      </c>
      <c r="D1245">
        <f>IF(Skills!C24=1,60+Inputs!$B$25+Inputs!$B$29,IF(Skills!C24=2,90+Inputs!$B$26+Inputs!$B$29,IF(Skills!C24=3,120+Inputs!$B$27+Inputs!$B$29,MAX(0,(Inputs!$B$3-100)*3)+Inputs!$B$28+Inputs!$B$29)))</f>
        <v/>
      </c>
      <c r="E1245">
        <f>INDEX(FactorTable!$B$2:$Y$301, MATCH(ROUND(MIN(300,MAX(1,D1245)),0), FactorTable!$A$2:$A$301,0), Skills!M24+1)</f>
        <v/>
      </c>
      <c r="F1245">
        <f>IF(Skills!N24=TRUE,(Skills!L24/10)*(E1245/1000),Skills!L24/10)+Skills!O24</f>
        <v/>
      </c>
      <c r="G1245">
        <f>Skills!G24*IF(Skills!H24&gt;0,Skills!I24/Skills!H24,1)</f>
        <v/>
      </c>
      <c r="H1245">
        <f>1-(1-Skills!J24/100)^Skills!K24</f>
        <v/>
      </c>
      <c r="I1245" t="inlineStr">
        <is>
          <t>1</t>
        </is>
      </c>
      <c r="J1245" t="inlineStr"/>
      <c r="K1245" t="inlineStr"/>
      <c r="L1245" t="inlineStr"/>
      <c r="M1245" t="inlineStr"/>
      <c r="N1245" t="inlineStr"/>
      <c r="O1245">
        <f>(1-Summary!$B$11)*T1245+Summary!$B$11*V1245</f>
        <v/>
      </c>
      <c r="P1245">
        <f>IF(B1264=0,0,O1245/B1264)</f>
        <v/>
      </c>
      <c r="Q1245" t="n">
        <v>0</v>
      </c>
      <c r="R1245" t="n">
        <v>0</v>
      </c>
      <c r="S1245">
        <f>IFERROR(O1245/N1245,0)</f>
        <v/>
      </c>
      <c r="T1245" t="n">
        <v>0</v>
      </c>
      <c r="V1245" t="n">
        <v>0</v>
      </c>
    </row>
    <row r="1246">
      <c r="A1246">
        <f>Skills!A25</f>
        <v/>
      </c>
      <c r="B1246">
        <f>Skills!B25</f>
        <v/>
      </c>
      <c r="C1246">
        <f>Inputs!$B$3&gt;=75</f>
        <v/>
      </c>
      <c r="D1246">
        <f>IF(Skills!C25=1,60+Inputs!$B$25+Inputs!$B$29,IF(Skills!C25=2,90+Inputs!$B$26+Inputs!$B$29,IF(Skills!C25=3,120+Inputs!$B$27+Inputs!$B$29,MAX(0,(Inputs!$B$3-100)*3)+Inputs!$B$28+Inputs!$B$29)))</f>
        <v/>
      </c>
      <c r="E1246">
        <f>INDEX(FactorTable!$B$2:$Y$301, MATCH(ROUND(MIN(300,MAX(1,D1246)),0), FactorTable!$A$2:$A$301,0), Skills!M25+1)</f>
        <v/>
      </c>
      <c r="F1246">
        <f>IF(Skills!N25=TRUE,(Skills!L25/10)*(E1246/1000),Skills!L25/10)+Skills!O25</f>
        <v/>
      </c>
      <c r="G1246">
        <f>Skills!G25*IF(Skills!H25&gt;0,Skills!I25/Skills!H25,1)</f>
        <v/>
      </c>
      <c r="H1246">
        <f>1-(1-Skills!J25/100)^Skills!K25</f>
        <v/>
      </c>
      <c r="I1246" t="inlineStr">
        <is>
          <t>1</t>
        </is>
      </c>
      <c r="J1246" t="inlineStr"/>
      <c r="K1246" t="inlineStr"/>
      <c r="L1246" t="inlineStr"/>
      <c r="M1246" t="inlineStr"/>
      <c r="N1246" t="inlineStr"/>
      <c r="O1246">
        <f>(1-Summary!$B$11)*T1246+Summary!$B$11*V1246</f>
        <v/>
      </c>
      <c r="P1246">
        <f>IF(B1264=0,0,O1246/B1264)</f>
        <v/>
      </c>
      <c r="Q1246" t="n">
        <v>0</v>
      </c>
      <c r="R1246" t="n">
        <v>0</v>
      </c>
      <c r="S1246">
        <f>IFERROR(O1246/N1246,0)</f>
        <v/>
      </c>
      <c r="T1246" t="n">
        <v>0</v>
      </c>
      <c r="V1246" t="n">
        <v>0</v>
      </c>
    </row>
    <row r="1247">
      <c r="A1247">
        <f>Skills!A26</f>
        <v/>
      </c>
      <c r="B1247">
        <f>Skills!B26</f>
        <v/>
      </c>
      <c r="C1247">
        <f>Inputs!$B$3&gt;=125</f>
        <v/>
      </c>
      <c r="D1247">
        <f>IF(Skills!C26=1,60+Inputs!$B$25+Inputs!$B$29,IF(Skills!C26=2,90+Inputs!$B$26+Inputs!$B$29,IF(Skills!C26=3,120+Inputs!$B$27+Inputs!$B$29,MAX(0,(Inputs!$B$3-100)*3)+Inputs!$B$28+Inputs!$B$29)))</f>
        <v/>
      </c>
      <c r="E1247">
        <f>INDEX(FactorTable!$B$2:$Y$301, MATCH(ROUND(MIN(300,MAX(1,D1247)),0), FactorTable!$A$2:$A$301,0), Skills!M26+1)</f>
        <v/>
      </c>
      <c r="F1247">
        <f>IF(Skills!N26=TRUE,(Skills!L26/10)*(E1247/1000),Skills!L26/10)+Skills!O26</f>
        <v/>
      </c>
      <c r="G1247">
        <f>Skills!G26*IF(Skills!H26&gt;0,Skills!I26/Skills!H26,1)</f>
        <v/>
      </c>
      <c r="H1247">
        <f>1-(1-Skills!J26/100)^Skills!K26</f>
        <v/>
      </c>
      <c r="I1247" t="inlineStr">
        <is>
          <t>1</t>
        </is>
      </c>
      <c r="J1247" t="inlineStr"/>
      <c r="K1247" t="inlineStr"/>
      <c r="L1247" t="inlineStr"/>
      <c r="M1247" t="inlineStr"/>
      <c r="N1247" t="inlineStr"/>
      <c r="O1247">
        <f>(1-Summary!$B$11)*T1247+Summary!$B$11*V1247</f>
        <v/>
      </c>
      <c r="P1247">
        <f>IF(B1264=0,0,O1247/B1264)</f>
        <v/>
      </c>
      <c r="Q1247" t="n">
        <v>0</v>
      </c>
      <c r="R1247" t="n">
        <v>0</v>
      </c>
      <c r="S1247">
        <f>IFERROR(O1247/N1247,0)</f>
        <v/>
      </c>
      <c r="T1247" t="n">
        <v>0</v>
      </c>
      <c r="V1247" t="n">
        <v>0</v>
      </c>
    </row>
    <row r="1248">
      <c r="A1248">
        <f>Skills!A27</f>
        <v/>
      </c>
      <c r="B1248">
        <f>Skills!B27</f>
        <v/>
      </c>
      <c r="C1248">
        <f>Inputs!$B$3&gt;=125</f>
        <v/>
      </c>
      <c r="D1248">
        <f>IF(Skills!C27=1,60+Inputs!$B$25+Inputs!$B$29,IF(Skills!C27=2,90+Inputs!$B$26+Inputs!$B$29,IF(Skills!C27=3,120+Inputs!$B$27+Inputs!$B$29,MAX(0,(Inputs!$B$3-100)*3)+Inputs!$B$28+Inputs!$B$29)))</f>
        <v/>
      </c>
      <c r="E1248">
        <f>INDEX(FactorTable!$B$2:$Y$301, MATCH(ROUND(MIN(300,MAX(1,D1248)),0), FactorTable!$A$2:$A$301,0), Skills!M27+1)</f>
        <v/>
      </c>
      <c r="F1248">
        <f>IF(Skills!N27=TRUE,(Skills!L27/10)*(E1248/1000),Skills!L27/10)+Skills!O27</f>
        <v/>
      </c>
      <c r="G1248">
        <f>Skills!G27*IF(Skills!H27&gt;0,Skills!I27/Skills!H27,1)</f>
        <v/>
      </c>
      <c r="H1248">
        <f>1-(1-Skills!J27/100)^Skills!K27</f>
        <v/>
      </c>
      <c r="I1248" t="inlineStr">
        <is>
          <t>1</t>
        </is>
      </c>
      <c r="J1248" t="inlineStr"/>
      <c r="K1248" t="inlineStr"/>
      <c r="L1248" t="inlineStr"/>
      <c r="M1248" t="inlineStr"/>
      <c r="N1248" t="inlineStr"/>
      <c r="O1248">
        <f>(1-Summary!$B$11)*T1248+Summary!$B$11*V1248</f>
        <v/>
      </c>
      <c r="P1248">
        <f>IF(B1264=0,0,O1248/B1264)</f>
        <v/>
      </c>
      <c r="Q1248" t="n">
        <v>0</v>
      </c>
      <c r="R1248" t="n">
        <v>0</v>
      </c>
      <c r="S1248">
        <f>IFERROR(O1248/N1248,0)</f>
        <v/>
      </c>
      <c r="T1248" t="n">
        <v>0</v>
      </c>
      <c r="V1248" t="n">
        <v>0</v>
      </c>
    </row>
    <row r="1249">
      <c r="A1249">
        <f>Skills!A28</f>
        <v/>
      </c>
      <c r="B1249">
        <f>Skills!B28</f>
        <v/>
      </c>
      <c r="C1249">
        <f>Inputs!$B$3&gt;=120</f>
        <v/>
      </c>
      <c r="D1249">
        <f>IF(Skills!C28=1,60+Inputs!$B$25+Inputs!$B$29,IF(Skills!C28=2,90+Inputs!$B$26+Inputs!$B$29,IF(Skills!C28=3,120+Inputs!$B$27+Inputs!$B$29,MAX(0,(Inputs!$B$3-100)*3)+Inputs!$B$28+Inputs!$B$29)))</f>
        <v/>
      </c>
      <c r="E1249">
        <f>INDEX(FactorTable!$B$2:$Y$301, MATCH(ROUND(MIN(300,MAX(1,D1249)),0), FactorTable!$A$2:$A$301,0), Skills!M28+1)</f>
        <v/>
      </c>
      <c r="F1249">
        <f>IF(Skills!N28=TRUE,(Skills!L28/10)*(E1249/1000),Skills!L28/10)+Skills!O28</f>
        <v/>
      </c>
      <c r="G1249">
        <f>Skills!G28*IF(Skills!H28&gt;0,Skills!I28/Skills!H28,1)</f>
        <v/>
      </c>
      <c r="H1249">
        <f>1-(1-Skills!J28/100)^Skills!K28</f>
        <v/>
      </c>
      <c r="I1249" t="inlineStr">
        <is>
          <t>1</t>
        </is>
      </c>
      <c r="J1249" t="inlineStr"/>
      <c r="K1249" t="inlineStr"/>
      <c r="L1249" t="inlineStr"/>
      <c r="M1249" t="inlineStr"/>
      <c r="N1249" t="inlineStr"/>
      <c r="O1249">
        <f>(1-Summary!$B$11)*T1249+Summary!$B$11*V1249</f>
        <v/>
      </c>
      <c r="P1249">
        <f>IF(B1264=0,0,O1249/B1264)</f>
        <v/>
      </c>
      <c r="Q1249" t="n">
        <v>0</v>
      </c>
      <c r="R1249" t="n">
        <v>0</v>
      </c>
      <c r="S1249">
        <f>IFERROR(O1249/N1249,0)</f>
        <v/>
      </c>
      <c r="T1249" t="n">
        <v>0</v>
      </c>
      <c r="V1249" t="n">
        <v>0</v>
      </c>
    </row>
    <row r="1250">
      <c r="A1250">
        <f>Skills!A29</f>
        <v/>
      </c>
      <c r="B1250">
        <f>Skills!B29</f>
        <v/>
      </c>
      <c r="C1250">
        <f>Inputs!$B$3&gt;=120</f>
        <v/>
      </c>
      <c r="D1250">
        <f>IF(Skills!C29=1,60+Inputs!$B$25+Inputs!$B$29,IF(Skills!C29=2,90+Inputs!$B$26+Inputs!$B$29,IF(Skills!C29=3,120+Inputs!$B$27+Inputs!$B$29,MAX(0,(Inputs!$B$3-100)*3)+Inputs!$B$28+Inputs!$B$29)))</f>
        <v/>
      </c>
      <c r="E1250">
        <f>INDEX(FactorTable!$B$2:$Y$301, MATCH(ROUND(MIN(300,MAX(1,D1250)),0), FactorTable!$A$2:$A$301,0), Skills!M29+1)</f>
        <v/>
      </c>
      <c r="F1250">
        <f>IF(Skills!N29=TRUE,(Skills!L29/10)*(E1250/1000),Skills!L29/10)+Skills!O29</f>
        <v/>
      </c>
      <c r="G1250">
        <f>Skills!G29*IF(Skills!H29&gt;0,Skills!I29/Skills!H29,1)</f>
        <v/>
      </c>
      <c r="H1250">
        <f>1-(1-Skills!J29/100)^Skills!K29</f>
        <v/>
      </c>
      <c r="I1250" t="inlineStr">
        <is>
          <t>1</t>
        </is>
      </c>
      <c r="J1250" t="inlineStr"/>
      <c r="K1250" t="inlineStr"/>
      <c r="L1250" t="inlineStr"/>
      <c r="M1250" t="inlineStr"/>
      <c r="N1250" t="inlineStr"/>
      <c r="O1250">
        <f>(1-Summary!$B$11)*T1250+Summary!$B$11*V1250</f>
        <v/>
      </c>
      <c r="P1250">
        <f>IF(B1264=0,0,O1250/B1264)</f>
        <v/>
      </c>
      <c r="Q1250" t="n">
        <v>0</v>
      </c>
      <c r="R1250" t="n">
        <v>0</v>
      </c>
      <c r="S1250">
        <f>IFERROR(O1250/N1250,0)</f>
        <v/>
      </c>
      <c r="T1250" t="n">
        <v>0</v>
      </c>
      <c r="V1250" t="n">
        <v>0</v>
      </c>
    </row>
    <row r="1251">
      <c r="A1251">
        <f>Skills!A30</f>
        <v/>
      </c>
      <c r="B1251">
        <f>Skills!B30</f>
        <v/>
      </c>
      <c r="C1251">
        <f>Inputs!$B$3&gt;=45</f>
        <v/>
      </c>
      <c r="D1251">
        <f>IF(Skills!C30=1,60+Inputs!$B$25+Inputs!$B$29,IF(Skills!C30=2,90+Inputs!$B$26+Inputs!$B$29,IF(Skills!C30=3,120+Inputs!$B$27+Inputs!$B$29,MAX(0,(Inputs!$B$3-100)*3)+Inputs!$B$28+Inputs!$B$29)))</f>
        <v/>
      </c>
      <c r="E1251">
        <f>INDEX(FactorTable!$B$2:$Y$301, MATCH(ROUND(MIN(300,MAX(1,D1251)),0), FactorTable!$A$2:$A$301,0), Skills!M30+1)</f>
        <v/>
      </c>
      <c r="F1251">
        <f>IF(Skills!N30=TRUE,(Skills!L30/10)*(E1251/1000),Skills!L30/10)+Skills!O30</f>
        <v/>
      </c>
      <c r="G1251">
        <f>Skills!G30*IF(Skills!H30&gt;0,Skills!I30/Skills!H30,1)</f>
        <v/>
      </c>
      <c r="H1251">
        <f>1-(1-Skills!J30/100)^Skills!K30</f>
        <v/>
      </c>
      <c r="I1251" t="inlineStr">
        <is>
          <t>1</t>
        </is>
      </c>
      <c r="J1251" t="inlineStr"/>
      <c r="K1251" t="inlineStr"/>
      <c r="L1251" t="inlineStr"/>
      <c r="M1251" t="inlineStr"/>
      <c r="N1251" t="inlineStr"/>
      <c r="O1251">
        <f>(1-Summary!$B$11)*T1251+Summary!$B$11*V1251</f>
        <v/>
      </c>
      <c r="P1251">
        <f>IF(B1264=0,0,O1251/B1264)</f>
        <v/>
      </c>
      <c r="Q1251" t="n">
        <v>0</v>
      </c>
      <c r="R1251" t="n">
        <v>0</v>
      </c>
      <c r="S1251">
        <f>IFERROR(O1251/N1251,0)</f>
        <v/>
      </c>
      <c r="T1251" t="n">
        <v>0</v>
      </c>
      <c r="V1251" t="n">
        <v>0</v>
      </c>
    </row>
    <row r="1253">
      <c r="A1253" t="inlineStr">
        <is>
          <t>Attack% Bucket Multiplier</t>
        </is>
      </c>
      <c r="B1253">
        <f>(1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4">
      <c r="A1254" t="inlineStr">
        <is>
          <t>Global Crit Rate Bonus %</t>
        </is>
      </c>
      <c r="B1254">
        <f>(C1237=TRUE)*20*IF(AND(Inputs!$B$38&lt;&gt;"pvp",Inputs!$B$43&gt;0),(((R1237-1)*(Skills!T16*(1+(Inputs!$B$34+1)/100))+MIN((Skills!T16*(1+(Inputs!$B$34+1)/100)),MAX(0,Inputs!$B$43-((R1237-1)*Skills!D16))))/Inputs!$B$43),IF(Inputs!$B$38="pvp",MIN((Skills!T16*(1+(Inputs!$B$34+1)/100)),15)/15,(Skills!T16*(1+(Inputs!$B$34+1)/100))/Skills!D16))</f>
        <v/>
      </c>
    </row>
    <row r="1255">
      <c r="A1255" t="inlineStr">
        <is>
          <t>Attack Speed Buff Bonus %</t>
        </is>
      </c>
      <c r="B1255">
        <f>((C1240=TRUE)*F1240*IF(AND(Inputs!$B$38&lt;&gt;"pvp",Inputs!$B$43&gt;0),(((R1240-1)*(Skills!T19*(1+(Inputs!$B$34+1)/100))+MIN((Skills!T19*(1+(Inputs!$B$34+1)/100)),MAX(0,Inputs!$B$43-((R1240-1)*Skills!D19))))/Inputs!$B$43),IF(Inputs!$B$38="pvp",MIN((Skills!T19*(1+(Inputs!$B$34+1)/100)),15)/15,(Skills!T19*(1+(Inputs!$B$34+1)/100))/Skills!D19)))</f>
        <v/>
      </c>
    </row>
    <row r="1256">
      <c r="A1256" t="inlineStr">
        <is>
          <t>Actions Per Second</t>
        </is>
      </c>
      <c r="B1256">
        <f>1+MIN(150,150*(1-(1-(Inputs!$B$11+((C1242=TRUE)*(F1242-Calc!F21))+((C1243=TRUE)*(F1243-Calc!F22)))/150)*(1-B1255/150)))/100</f>
        <v/>
      </c>
    </row>
    <row r="1257">
      <c r="A1257" t="inlineStr">
        <is>
          <t>Skill + Buff Cast Rate</t>
        </is>
      </c>
      <c r="B1257">
        <f>IF(AND(Inputs!$B$38&lt;&gt;"pvp",Inputs!$B$43&gt;0),SUMPRODUCT((Skills!E2:E30=TRUE)*(C1223:C1251=TRUE)*R1223:R1251*Skills!F2:F30)/Inputs!$B$43,SUMPRODUCT((Skills!E2:E30=TRUE)*(C1223:C1251=TRUE)*Q1223:Q1251*Skills!F2:F30))</f>
        <v/>
      </c>
    </row>
    <row r="1258">
      <c r="A1258" t="inlineStr">
        <is>
          <t>Arrow Stream Casts Per Second</t>
        </is>
      </c>
      <c r="B1258">
        <f>MAX(0,B1256-B1257)</f>
        <v/>
      </c>
    </row>
    <row r="1259">
      <c r="A1259" t="inlineStr">
        <is>
          <t>Global Critical Damage Bonus % (Sharp Eyes + Concentration)</t>
        </is>
      </c>
      <c r="B1259">
        <f>(C1237=TRUE)*F1237*IF(AND(Inputs!$B$38&lt;&gt;"pvp",Inputs!$B$43&gt;0),(((R1237-1)*(Skills!T16*(1+(Inputs!$B$34+1)/100))+MIN((Skills!T16*(1+(Inputs!$B$34+1)/100)),MAX(0,Inputs!$B$43-((R1237-1)*Skills!D16))))/Inputs!$B$43),IF(Inputs!$B$38="pvp",MIN((Skills!T16*(1+(Inputs!$B$34+1)/100)),15)/15,(Skills!T16*(1+(Inputs!$B$34+1)/100))/Skills!D16))+(C1238=TRUE)*30</f>
        <v/>
      </c>
    </row>
    <row r="1260">
      <c r="A1260" t="inlineStr">
        <is>
          <t>Global Final Damage Bonus % (Mortal Blow)</t>
        </is>
      </c>
      <c r="B1260">
        <f>(C1239=TRUE)*F1239</f>
        <v/>
      </c>
    </row>
    <row r="1261">
      <c r="A1261" t="inlineStr">
        <is>
          <t>Buff-Casting Startup Delay (s, fixed-duration only)</t>
        </is>
      </c>
      <c r="B1261">
        <f>IF(AND(Inputs!$B$38&lt;&gt;"pvp",Inputs!$B$43&gt;0),SUMPRODUCT((Skills!T2:T30&gt;0)*(Skills!E2:E30=TRUE)*(C1223:C1251=TRUE))/B1256,0)</f>
        <v/>
      </c>
    </row>
    <row r="1262">
      <c r="A1262" t="inlineStr">
        <is>
          <t>Boss-Only Total DPS (this block's swept value)</t>
        </is>
      </c>
      <c r="B1262">
        <f>SUM(T1223:T1251)</f>
        <v/>
      </c>
    </row>
    <row r="1263">
      <c r="A1263" t="inlineStr">
        <is>
          <t>Normal-Only Total DPS (this block's swept value)</t>
        </is>
      </c>
      <c r="B1263">
        <f>SUM(V1223:V1251)</f>
        <v/>
      </c>
    </row>
    <row r="1264">
      <c r="A1264" s="6" t="inlineStr">
        <is>
          <t>TOTAL DPS</t>
        </is>
      </c>
      <c r="B1264" s="6">
        <f>SUM(O1223:O1251)</f>
        <v/>
      </c>
    </row>
    <row r="1267">
      <c r="A1267" s="6" t="inlineStr">
        <is>
          <t>Stat: Charm of the Undead (Equip)</t>
        </is>
      </c>
    </row>
    <row r="1268">
      <c r="A1268" s="5" t="inlineStr">
        <is>
          <t>Key</t>
        </is>
      </c>
      <c r="B1268" s="5" t="inlineStr">
        <is>
          <t>Name</t>
        </is>
      </c>
      <c r="C1268" s="5" t="inlineStr">
        <is>
          <t>Unlocked</t>
        </is>
      </c>
      <c r="D1268" s="5" t="inlineStr">
        <is>
          <t>InputLevel</t>
        </is>
      </c>
      <c r="E1268" s="5" t="inlineStr">
        <is>
          <t>Factor</t>
        </is>
      </c>
      <c r="F1268" s="5" t="inlineStr">
        <is>
          <t>CoefficientPercent</t>
        </is>
      </c>
      <c r="G1268" s="5" t="inlineStr">
        <is>
          <t>EffectiveHits</t>
        </is>
      </c>
      <c r="H1268" s="5" t="inlineStr">
        <is>
          <t>ProcProbability</t>
        </is>
      </c>
      <c r="I1268" s="5" t="inlineStr">
        <is>
          <t>MapleHeroMultiplier</t>
        </is>
      </c>
      <c r="J1268" s="5" t="inlineStr">
        <is>
          <t>BaseDamage</t>
        </is>
      </c>
      <c r="K1268" s="5" t="inlineStr">
        <is>
          <t>BaseHitDamage</t>
        </is>
      </c>
      <c r="L1268" s="5" t="inlineStr">
        <is>
          <t>NonCritAvg</t>
        </is>
      </c>
      <c r="M1268" s="5" t="inlineStr">
        <is>
          <t>CritAvg</t>
        </is>
      </c>
      <c r="N1268" s="5" t="inlineStr">
        <is>
          <t>ExpectedDamage(perHit)</t>
        </is>
      </c>
      <c r="O1268" s="5" t="inlineStr">
        <is>
          <t>DPS</t>
        </is>
      </c>
      <c r="P1268" s="5" t="inlineStr">
        <is>
          <t>% of Total</t>
        </is>
      </c>
      <c r="Q1268" s="5" t="inlineStr">
        <is>
          <t>InvCooldown</t>
        </is>
      </c>
      <c r="R1268" s="5" t="inlineStr">
        <is>
          <t>CastsInFight</t>
        </is>
      </c>
      <c r="S1268" s="5" t="inlineStr">
        <is>
          <t>HitRate(perSec)</t>
        </is>
      </c>
      <c r="U1268" t="inlineStr">
        <is>
          <t>helpers</t>
        </is>
      </c>
    </row>
    <row r="1269">
      <c r="A1269">
        <f>Skills!A2</f>
        <v/>
      </c>
      <c r="B1269">
        <f>Skills!B2</f>
        <v/>
      </c>
      <c r="C1269">
        <f>Inputs!$B$3&gt;=100</f>
        <v/>
      </c>
      <c r="D1269" t="inlineStr"/>
      <c r="E1269" t="inlineStr"/>
      <c r="F1269">
        <f>U1271+Skills!O2</f>
        <v/>
      </c>
      <c r="G1269">
        <f>Skills!G2*IF(Skills!H2&gt;0,Skills!I2/Skills!H2,1)</f>
        <v/>
      </c>
      <c r="H1269">
        <f>1-(1-Skills!J2/100)^Skills!K2</f>
        <v/>
      </c>
      <c r="I1269" t="inlineStr">
        <is>
          <t>1</t>
        </is>
      </c>
      <c r="J1269">
        <f>((Inputs!$B$6*(1+Inputs!$B$7/100))+(((Inputs!$B$12*(1+Inputs!$B$13/100))-(Inputs!$B$12*(1+Inputs!$B$13/100)))+0.25*(Inputs!$B$14-Inputs!$B$14))*(1+Inputs!$B$7/100))*(F1269/100)</f>
        <v/>
      </c>
      <c r="K1269">
        <f>J1269*(1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1291=TRUE)*(F1291-Calc!F24)),(Inputs!$B$23+((C1296=TRUE)*(F1296-Calc!F29))+(IF(ArtifactsInput!$M$15,CHOOSE(ArtifactsInput!$N$15+1,25,30,35,40,45,50)/100*(Inputs!$B$11-Inputs!$B$11),0))))/100+(Inputs!$B$23+((C1296=TRUE)*(F1296-Calc!F29))+(IF(ArtifactsInput!$M$15,CHOOSE(ArtifactsInput!$N$15+1,25,30,35,40,45,50)/100*(Inputs!$B$11-Inputs!$B$11),0)))/100)/2</f>
        <v/>
      </c>
      <c r="M1269">
        <f>L1269*(1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IF(B1310=0,0,O1269/B1310)</f>
        <v/>
      </c>
      <c r="Q1269" t="n">
        <v>0</v>
      </c>
      <c r="R1269" t="n">
        <v>0</v>
      </c>
      <c r="S1269">
        <f>IFERROR(O1269/N1269,0)</f>
        <v/>
      </c>
      <c r="T1269">
        <f>IF(C1269,(Skills!G2*N1269*B1304)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1269*(1-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MAX(0,(Inputs!$B$3-100)*3)+Inputs!$B$28+Inputs!$B$29</f>
        <v/>
      </c>
      <c r="V1269">
        <f>IF(C1269,(Skills!G2*N1269*B1304)*IF(Inputs!$B$38="pvp",1,(1+(Inputs!$B$21+Skills!Q2+(IF(ArtifactsInput!$M$33,CHOOSE(ArtifactsInput!$N$33+1,30,36,42,48,54,60),0))+(IF(AND(ArtifactsInput!$M$35,Inputs!$B$4&lt;&gt;"Chapter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Skills!A3</f>
        <v/>
      </c>
      <c r="B1270">
        <f>Skills!B3</f>
        <v/>
      </c>
      <c r="C1270">
        <f>Inputs!$B$3&gt;=50</f>
        <v/>
      </c>
      <c r="D1270">
        <f>IF(Skills!C3=1,60+Inputs!$B$25+Inputs!$B$29,IF(Skills!C3=2,90+Inputs!$B$26+Inputs!$B$29,IF(Skills!C3=3,120+Inputs!$B$27+Inputs!$B$29,MAX(0,(Inputs!$B$3-100)*3)+Inputs!$B$28+Inputs!$B$29)))</f>
        <v/>
      </c>
      <c r="E1270">
        <f>INDEX(FactorTable!$B$2:$Y$301, MATCH(ROUND(MIN(300,MAX(1,D1270)),0), FactorTable!$A$2:$A$301,0), Skills!M3+1)</f>
        <v/>
      </c>
      <c r="F1270">
        <f>IF(Skills!N3=TRUE,(Skills!L3/10)*(E1270/1000),Skills!L3/10)+Skills!O3</f>
        <v/>
      </c>
      <c r="G1270" t="inlineStr"/>
      <c r="H1270" t="inlineStr"/>
      <c r="I1270" t="inlineStr">
        <is>
          <t>1</t>
        </is>
      </c>
      <c r="J1270" t="inlineStr"/>
      <c r="K1270" t="inlineStr"/>
      <c r="L1270" t="inlineStr"/>
      <c r="M1270" t="inlineStr"/>
      <c r="N1270" t="inlineStr"/>
      <c r="O1270" t="inlineStr"/>
      <c r="P1270" t="inlineStr"/>
      <c r="Q1270" t="inlineStr"/>
      <c r="R1270" t="inlineStr"/>
      <c r="S1270" t="inlineStr"/>
      <c r="T1270" t="inlineStr"/>
      <c r="U1270">
        <f>INDEX(FactorTable!$B$2:$Y$301, MATCH(ROUND(MIN(300,MAX(1,U1269)),0), FactorTable!$A$2:$A$301,0), 22)</f>
        <v/>
      </c>
      <c r="V1270" t="inlineStr"/>
    </row>
    <row r="1271">
      <c r="A1271">
        <f>Skills!A4</f>
        <v/>
      </c>
      <c r="B1271">
        <f>Skills!B4</f>
        <v/>
      </c>
      <c r="C1271">
        <f>Inputs!$B$3&gt;=105</f>
        <v/>
      </c>
      <c r="D1271">
        <f>IF(Skills!C4=1,60+Inputs!$B$25+Inputs!$B$29,IF(Skills!C4=2,90+Inputs!$B$26+Inputs!$B$29,IF(Skills!C4=3,120+Inputs!$B$27+Inputs!$B$29,MAX(0,(Inputs!$B$3-100)*3)+Inputs!$B$28+Inputs!$B$29)))</f>
        <v/>
      </c>
      <c r="E1271">
        <f>INDEX(FactorTable!$B$2:$Y$301, MATCH(ROUND(MIN(300,MAX(1,D1271)),0), FactorTable!$A$2:$A$301,0), Skills!M4+1)</f>
        <v/>
      </c>
      <c r="F1271">
        <f>IF(Skills!N4=TRUE,(Skills!L4/10)*(E1271/1000),Skills!L4/10)+Skills!O4</f>
        <v/>
      </c>
      <c r="G1271" t="inlineStr"/>
      <c r="H1271" t="inlineStr"/>
      <c r="I1271" t="inlineStr">
        <is>
          <t>1</t>
        </is>
      </c>
      <c r="J1271" t="inlineStr"/>
      <c r="K1271" t="inlineStr"/>
      <c r="L1271" t="inlineStr"/>
      <c r="M1271" t="inlineStr"/>
      <c r="N1271" t="inlineStr"/>
      <c r="O1271" t="inlineStr"/>
      <c r="P1271" t="inlineStr"/>
      <c r="Q1271" t="inlineStr"/>
      <c r="R1271" t="inlineStr"/>
      <c r="S1271" t="inlineStr"/>
      <c r="T1271" t="inlineStr"/>
      <c r="U1271">
        <f>290*U1270/1000</f>
        <v/>
      </c>
      <c r="V1271" t="inlineStr"/>
    </row>
    <row r="1272">
      <c r="A1272">
        <f>Skills!A5</f>
        <v/>
      </c>
      <c r="B1272">
        <f>Skills!B5</f>
        <v/>
      </c>
      <c r="C1272">
        <f>Inputs!$B$3&gt;=35</f>
        <v/>
      </c>
      <c r="D1272">
        <f>IF(Skills!C5=1,60+Inputs!$B$25+Inputs!$B$29,IF(Skills!C5=2,90+Inputs!$B$26+Inputs!$B$29,IF(Skills!C5=3,120+Inputs!$B$27+Inputs!$B$29,MAX(0,(Inputs!$B$3-100)*3)+Inputs!$B$28+Inputs!$B$29)))</f>
        <v/>
      </c>
      <c r="E1272">
        <f>INDEX(FactorTable!$B$2:$Y$301, MATCH(ROUND(MIN(300,MAX(1,D1272)),0), FactorTable!$A$2:$A$301,0), Skills!M5+1)</f>
        <v/>
      </c>
      <c r="F1272">
        <f>IF(Skills!N5=TRUE,(Skills!L5/10)*(E1272/1000),Skills!L5/10)+Skills!O5</f>
        <v/>
      </c>
      <c r="G1272">
        <f>Skills!G5*IF(Skills!H5&gt;0,Skills!I5/Skills!H5,1)</f>
        <v/>
      </c>
      <c r="H1272">
        <f>1-(1-Skills!J5/100)^Skills!K5</f>
        <v/>
      </c>
      <c r="I1272" t="inlineStr">
        <is>
          <t>1</t>
        </is>
      </c>
      <c r="J1272">
        <f>((Inputs!$B$6*(1+Inputs!$B$7/100))+(((Inputs!$B$12*(1+Inputs!$B$13/100))-(Inputs!$B$12*(1+Inputs!$B$13/100)))+0.25*(Inputs!$B$14-Inputs!$B$14))*(1+Inputs!$B$7/100))*(F1272/100)</f>
        <v/>
      </c>
      <c r="K1272">
        <f>J1272*(1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1277=TRUE,F1277,0)/100)*(1+(IF(Skills!A5="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1291=TRUE)*(F1291-Calc!F24)),(Inputs!$B$23+((C1296=TRUE)*(F1296-Calc!F29))+(IF(ArtifactsInput!$M$15,CHOOSE(ArtifactsInput!$N$15+1,25,30,35,40,45,50)/100*(Inputs!$B$11-Inputs!$B$11),0))))/100+(Inputs!$B$23+((C1296=TRUE)*(F1296-Calc!F29))+(IF(ArtifactsInput!$M$15,CHOOSE(ArtifactsInput!$N$15+1,25,30,35,40,45,50)/100*(Inputs!$B$11-Inputs!$B$11),0)))/100)/2</f>
        <v/>
      </c>
      <c r="M1272">
        <f>L1272*(1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IF(B1310=0,0,O1272/B1310)</f>
        <v/>
      </c>
      <c r="Q1272">
        <f>IFERROR(1/(IF(Inputs!$B$38="pvp",15,MAX(0.1,Skills!D5-IF(Skills!E5=TRUE,Inputs!$B$32,0)))*(1-IF(AND(ArtifactsInput!$M$27,Inputs!$B$4="Chapter Hunt"),CHOOSE(ArtifactsInput!$N$27+1,20,24,28,32,36,40),0)/100)),0)</f>
        <v/>
      </c>
      <c r="R1272">
        <f>IF(AND(Inputs!$B$38&lt;&gt;"pvp",Inputs!$B$43&gt;0),IF(MAX(0,Inputs!$B$43-B1307)&lt;=0,0,(INT(MAX(0,Inputs!$B$43-B1307)/(IF(Inputs!$B$38="pvp",15,MAX(0.1,Skills!D5-IF(Skills!E5=TRUE,Inputs!$B$32,0)))*(1-IF(AND(ArtifactsInput!$M$27,Inputs!$B$4="Chapter Hunt"),CHOOSE(ArtifactsInput!$N$27+1,20,24,28,32,36,40),0)/100)))+1)),0)</f>
        <v/>
      </c>
      <c r="S1272">
        <f>IFERROR(O1272/N1272,0)</f>
        <v/>
      </c>
      <c r="T1272">
        <f>IF(C1272,(H1272*N1272*IF(AND(Inputs!$B$38&lt;&gt;"pvp",Inputs!$B$43&gt;0),((Skills!G5*((R1272-1)*IF(Skills!H5&gt;0,Skills!I5/Skills!H5,1)+IF(Skills!H5&gt;0,MIN(Skills!I5,MAX(0,MAX(0,Inputs!$B$43-B1307)-((R1272-1)*(IF(Inputs!$B$38="pvp",15,MAX(0.1,Skills!D5-IF(Skills!E5=TRUE,Inputs!$B$32,0)))*(1-IF(AND(ArtifactsInput!$M$27,Inputs!$B$4="Chapter Hunt"),CHOOSE(ArtifactsInput!$N$27+1,20,24,28,32,36,40),0)/100)))))/Skills!H5,1)))/Inputs!$B$43),G1272*Q1272)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1272*(1-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5*((R1272-1)*IF(Skills!H5&gt;0,Skills!I5/Skills!H5,1)+IF(Skills!H5&gt;0,MIN(Skills!I5,MAX(0,MAX(0,Inputs!$B$43-B1307)-((R1272-1)*(IF(Inputs!$B$38="pvp",15,MAX(0.1,Skills!D5-IF(Skills!E5=TRUE,Inputs!$B$32,0)))*(1-IF(AND(ArtifactsInput!$M$27,Inputs!$B$4="Chapter Hunt"),CHOOSE(ArtifactsInput!$N$27+1,20,24,28,32,36,40),0)/100)))))/Skills!H5,1)))/Inputs!$B$43),G1272*Q1272))*IF(Inputs!$B$38="pvp",1,(1+(Inputs!$B$21+Skills!Q5+(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Skills!A6</f>
        <v/>
      </c>
      <c r="B1273">
        <f>Skills!B6</f>
        <v/>
      </c>
      <c r="C1273">
        <f>Inputs!$B$3&gt;=40</f>
        <v/>
      </c>
      <c r="D1273">
        <f>IF(Skills!C6=1,60+Inputs!$B$25+Inputs!$B$29,IF(Skills!C6=2,90+Inputs!$B$26+Inputs!$B$29,IF(Skills!C6=3,120+Inputs!$B$27+Inputs!$B$29,MAX(0,(Inputs!$B$3-100)*3)+Inputs!$B$28+Inputs!$B$29)))</f>
        <v/>
      </c>
      <c r="E1273">
        <f>INDEX(FactorTable!$B$2:$Y$301, MATCH(ROUND(MIN(300,MAX(1,D1273)),0), FactorTable!$A$2:$A$301,0), Skills!M6+1)</f>
        <v/>
      </c>
      <c r="F1273">
        <f>IF(Skills!N6=TRUE,(Skills!L6/10)*(E1273/1000),Skills!L6/10)+Skills!O6</f>
        <v/>
      </c>
      <c r="G1273">
        <f>Skills!G6*IF(Skills!H6&gt;0,Skills!I6/Skills!H6,1)</f>
        <v/>
      </c>
      <c r="H1273">
        <f>1-(1-Skills!J6/100)^Skills!K6</f>
        <v/>
      </c>
      <c r="I1273" t="inlineStr">
        <is>
          <t>1</t>
        </is>
      </c>
      <c r="J1273">
        <f>((Inputs!$B$6*(1+Inputs!$B$7/100))+(((Inputs!$B$12*(1+Inputs!$B$13/100))-(Inputs!$B$12*(1+Inputs!$B$13/100)))+0.25*(Inputs!$B$14-Inputs!$B$14))*(1+Inputs!$B$7/100))*(F1273/100)</f>
        <v/>
      </c>
      <c r="K1273">
        <f>J1273*(1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Skills!A6="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1291=TRUE)*(F1291-Calc!F24)),(Inputs!$B$23+((C1296=TRUE)*(F1296-Calc!F29))+(IF(ArtifactsInput!$M$15,CHOOSE(ArtifactsInput!$N$15+1,25,30,35,40,45,50)/100*(Inputs!$B$11-Inputs!$B$11),0))))/100+(Inputs!$B$23+((C1296=TRUE)*(F1296-Calc!F29))+(IF(ArtifactsInput!$M$15,CHOOSE(ArtifactsInput!$N$15+1,25,30,35,40,45,50)/100*(Inputs!$B$11-Inputs!$B$11),0)))/100)/2</f>
        <v/>
      </c>
      <c r="M1273">
        <f>L1273*(1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IF(B1310=0,0,O1273/B1310)</f>
        <v/>
      </c>
      <c r="Q1273">
        <f>IFERROR(1/(IF(Inputs!$B$38="pvp",15,MAX(0.1,Skills!D6-IF(Skills!E6=TRUE,Inputs!$B$32,0)))*(1-IF(AND(ArtifactsInput!$M$27,Inputs!$B$4="Chapter Hunt"),CHOOSE(ArtifactsInput!$N$27+1,20,24,28,32,36,40),0)/100)),0)</f>
        <v/>
      </c>
      <c r="R1273">
        <f>IF(AND(Inputs!$B$38&lt;&gt;"pvp",Inputs!$B$43&gt;0),IF(MAX(0,Inputs!$B$43-B1307)&lt;=0,0,(INT(MAX(0,Inputs!$B$43-B1307)/(IF(Inputs!$B$38="pvp",15,MAX(0.1,Skills!D6-IF(Skills!E6=TRUE,Inputs!$B$32,0)))*(1-IF(AND(ArtifactsInput!$M$27,Inputs!$B$4="Chapter Hunt"),CHOOSE(ArtifactsInput!$N$27+1,20,24,28,32,36,40),0)/100)))+1)),0)</f>
        <v/>
      </c>
      <c r="S1273">
        <f>IFERROR(O1273/N1273,0)</f>
        <v/>
      </c>
      <c r="T1273">
        <f>IF(C1273,(H1273*N1273*IF(AND(Inputs!$B$38&lt;&gt;"pvp",Inputs!$B$43&gt;0),((Skills!G6*((R1273-1)*IF(Skills!H6&gt;0,Skills!I6/Skills!H6,1)+IF(Skills!H6&gt;0,MIN(Skills!I6,MAX(0,MAX(0,Inputs!$B$43-B1307)-((R1273-1)*(IF(Inputs!$B$38="pvp",15,MAX(0.1,Skills!D6-IF(Skills!E6=TRUE,Inputs!$B$32,0)))*(1-IF(AND(ArtifactsInput!$M$27,Inputs!$B$4="Chapter Hunt"),CHOOSE(ArtifactsInput!$N$27+1,20,24,28,32,36,40),0)/100)))))/Skills!H6,1)))/Inputs!$B$43),G1273*Q1273)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1273*(1-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IF(AND(Inputs!$B$38&lt;&gt;"pvp",Inputs!$B$43&gt;0),((Skills!G6*((R1273-1)*IF(Skills!H6&gt;0,Skills!I6/Skills!H6,1)+IF(Skills!H6&gt;0,MIN(Skills!I6,MAX(0,MAX(0,Inputs!$B$43-B1307)-((R1273-1)*(IF(Inputs!$B$38="pvp",15,MAX(0.1,Skills!D6-IF(Skills!E6=TRUE,Inputs!$B$32,0)))*(1-IF(AND(ArtifactsInput!$M$27,Inputs!$B$4="Chapter Hunt"),CHOOSE(ArtifactsInput!$N$27+1,20,24,28,32,36,40),0)/100)))))/Skills!H6,1)))/Inputs!$B$43),G1273*Q1273))*IF(Inputs!$B$38="pvp",1,(1+(Inputs!$B$21+Skills!Q6+(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Skills!A7</f>
        <v/>
      </c>
      <c r="B1274">
        <f>Skills!B7</f>
        <v/>
      </c>
      <c r="C1274">
        <f>Inputs!$B$3&gt;=107</f>
        <v/>
      </c>
      <c r="D1274">
        <f>IF(Skills!C7=1,60+Inputs!$B$25+Inputs!$B$29,IF(Skills!C7=2,90+Inputs!$B$26+Inputs!$B$29,IF(Skills!C7=3,120+Inputs!$B$27+Inputs!$B$29,MAX(0,(Inputs!$B$3-100)*3)+Inputs!$B$28+Inputs!$B$29)))</f>
        <v/>
      </c>
      <c r="E1274">
        <f>INDEX(FactorTable!$B$2:$Y$301, MATCH(ROUND(MIN(300,MAX(1,D1274)),0), FactorTable!$A$2:$A$301,0), Skills!M7+1)</f>
        <v/>
      </c>
      <c r="F1274">
        <f>IF(Skills!N7=TRUE,(Skills!L7/10)*(E1274/1000),Skills!L7/10)+Skills!O7</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T1274" t="inlineStr"/>
      <c r="V1274" t="inlineStr"/>
    </row>
    <row r="1275">
      <c r="A1275">
        <f>Skills!A8</f>
        <v/>
      </c>
      <c r="B1275">
        <f>Skills!B8</f>
        <v/>
      </c>
      <c r="C1275">
        <f>Inputs!$B$3&gt;=69</f>
        <v/>
      </c>
      <c r="D1275">
        <f>IF(Skills!C8=1,60+Inputs!$B$25+Inputs!$B$29,IF(Skills!C8=2,90+Inputs!$B$26+Inputs!$B$29,IF(Skills!C8=3,120+Inputs!$B$27+Inputs!$B$29,MAX(0,(Inputs!$B$3-100)*3)+Inputs!$B$28+Inputs!$B$29)))</f>
        <v/>
      </c>
      <c r="E1275">
        <f>INDEX(FactorTable!$B$2:$Y$301, MATCH(ROUND(MIN(300,MAX(1,D1275)),0), FactorTable!$A$2:$A$301,0), Skills!M8+1)</f>
        <v/>
      </c>
      <c r="F1275">
        <f>IF(Skills!N8=TRUE,(Skills!L8/10)*(E1275/1000),Skills!L8/10)+Skills!O8</f>
        <v/>
      </c>
      <c r="G1275">
        <f>Skills!G8*IF(Skills!H8&gt;0,Skills!I8/Skills!H8,1)</f>
        <v/>
      </c>
      <c r="H1275">
        <f>1-(1-Skills!J8/100)^Skills!K8</f>
        <v/>
      </c>
      <c r="I1275" t="inlineStr">
        <is>
          <t>1</t>
        </is>
      </c>
      <c r="J1275">
        <f>((Inputs!$B$6*(1+Inputs!$B$7/100))+(((Inputs!$B$12*(1+Inputs!$B$13/100))-(Inputs!$B$12*(1+Inputs!$B$13/100)))+0.25*(Inputs!$B$14-Inputs!$B$14))*(1+Inputs!$B$7/100))*(F1275/100)</f>
        <v/>
      </c>
      <c r="K1275">
        <f>J1275*(1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1277=TRUE,F1277,0)/100)*(1+(IF(Skills!A8="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1291=TRUE)*(F1291-Calc!F24)),(Inputs!$B$23+((C1296=TRUE)*(F1296-Calc!F29))+(IF(ArtifactsInput!$M$15,CHOOSE(ArtifactsInput!$N$15+1,25,30,35,40,45,50)/100*(Inputs!$B$11-Inputs!$B$11),0))))/100+(Inputs!$B$23+((C1296=TRUE)*(F1296-Calc!F29))+(IF(ArtifactsInput!$M$15,CHOOSE(ArtifactsInput!$N$15+1,25,30,35,40,45,50)/100*(Inputs!$B$11-Inputs!$B$11),0)))/100)/2</f>
        <v/>
      </c>
      <c r="M1275">
        <f>L1275*(1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(1-Summary!$B$11)*T1275+Summary!$B$11*V1275</f>
        <v/>
      </c>
      <c r="P1275">
        <f>IF(B1310=0,0,O1275/B1310)</f>
        <v/>
      </c>
      <c r="Q1275">
        <f>IFERROR(1/(IF(Inputs!$B$38="pvp",15,MAX(0.1,Skills!D8-IF(Skills!E8=TRUE,Inputs!$B$32,0)))*(1-IF(AND(ArtifactsInput!$M$27,Inputs!$B$4="Chapter Hunt"),CHOOSE(ArtifactsInput!$N$27+1,20,24,28,32,36,40),0)/100)),0)</f>
        <v/>
      </c>
      <c r="R1275">
        <f>IF(AND(Inputs!$B$38&lt;&gt;"pvp",Inputs!$B$43&gt;0),IF(MAX(0,Inputs!$B$43-B1307)&lt;=0,0,(INT(MAX(0,Inputs!$B$43-B1307)/(IF(Inputs!$B$38="pvp",15,MAX(0.1,Skills!D8-IF(Skills!E8=TRUE,Inputs!$B$32,0)))*(1-IF(AND(ArtifactsInput!$M$27,Inputs!$B$4="Chapter Hunt"),CHOOSE(ArtifactsInput!$N$27+1,20,24,28,32,36,40),0)/100)))+1)),0)</f>
        <v/>
      </c>
      <c r="S1275">
        <f>IFERROR(O1275/N1275,0)</f>
        <v/>
      </c>
      <c r="T1275">
        <f>IF(C1275,(H1275*N1275*IF(AND(Inputs!$B$38&lt;&gt;"pvp",Inputs!$B$43&gt;0),((Skills!G8*((R1275-1)*IF(Skills!H8&gt;0,Skills!I8/Skills!H8,1)+IF(Skills!H8&gt;0,MIN(Skills!I8,MAX(0,MAX(0,Inputs!$B$43-B1307)-((R1275-1)*(IF(Inputs!$B$38="pvp",15,MAX(0.1,Skills!D8-IF(Skills!E8=TRUE,Inputs!$B$32,0)))*(1-IF(AND(ArtifactsInput!$M$27,Inputs!$B$4="Chapter Hunt"),CHOOSE(ArtifactsInput!$N$27+1,20,24,28,32,36,40),0)/100)))))/Skills!H8,1)))/Inputs!$B$43),G1275*Q1275)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1275*(1-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5">
        <f>IF(C1275,(H1275*N1275*IF(AND(Inputs!$B$38&lt;&gt;"pvp",Inputs!$B$43&gt;0),((Skills!G8*((R1275-1)*IF(Skills!H8&gt;0,Skills!I8/Skills!H8,1)+IF(Skills!H8&gt;0,MIN(Skills!I8,MAX(0,MAX(0,Inputs!$B$43-B1307)-((R1275-1)*(IF(Inputs!$B$38="pvp",15,MAX(0.1,Skills!D8-IF(Skills!E8=TRUE,Inputs!$B$32,0)))*(1-IF(AND(ArtifactsInput!$M$27,Inputs!$B$4="Chapter Hunt"),CHOOSE(ArtifactsInput!$N$27+1,20,24,28,32,36,40),0)/100)))))/Skills!H8,1)))/Inputs!$B$43),G1275*Q1275))*IF(Inputs!$B$38="pvp",1,(1+(Inputs!$B$21+Skills!Q8+(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Skills!A9</f>
        <v/>
      </c>
      <c r="B1276">
        <f>Skills!B9</f>
        <v/>
      </c>
      <c r="C1276">
        <f>Inputs!$B$3&gt;=63</f>
        <v/>
      </c>
      <c r="D1276">
        <f>IF(Skills!C9=1,60+Inputs!$B$25+Inputs!$B$29,IF(Skills!C9=2,90+Inputs!$B$26+Inputs!$B$29,IF(Skills!C9=3,120+Inputs!$B$27+Inputs!$B$29,MAX(0,(Inputs!$B$3-100)*3)+Inputs!$B$28+Inputs!$B$29)))</f>
        <v/>
      </c>
      <c r="E1276">
        <f>INDEX(FactorTable!$B$2:$Y$301, MATCH(ROUND(MIN(300,MAX(1,D1276)),0), FactorTable!$A$2:$A$301,0), Skills!M9+1)</f>
        <v/>
      </c>
      <c r="F1276">
        <f>IF(Skills!N9=TRUE,(Skills!L9/10)*(E1276/1000),Skills!L9/10)+Skills!O9</f>
        <v/>
      </c>
      <c r="G1276">
        <f>Skills!G9*IF(Skills!H9&gt;0,Skills!I9/Skills!H9,1)</f>
        <v/>
      </c>
      <c r="H1276">
        <f>1-(1-Skills!J9/100)^Skills!K9</f>
        <v/>
      </c>
      <c r="I1276" t="inlineStr">
        <is>
          <t>1</t>
        </is>
      </c>
      <c r="J1276">
        <f>((Inputs!$B$6*(1+Inputs!$B$7/100))+(((Inputs!$B$12*(1+Inputs!$B$13/100))-(Inputs!$B$12*(1+Inputs!$B$13/100)))+0.25*(Inputs!$B$14-Inputs!$B$14))*(1+Inputs!$B$7/100))*(F1276/100)</f>
        <v/>
      </c>
      <c r="K1276">
        <f>J1276*(1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1277=TRUE,F1277,0)/100)*(1+(IF(Skills!A9="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1291=TRUE)*(F1291-Calc!F24)),(Inputs!$B$23+((C1296=TRUE)*(F1296-Calc!F29))+(IF(ArtifactsInput!$M$15,CHOOSE(ArtifactsInput!$N$15+1,25,30,35,40,45,50)/100*(Inputs!$B$11-Inputs!$B$11),0))))/100+(Inputs!$B$23+((C1296=TRUE)*(F1296-Calc!F29))+(IF(ArtifactsInput!$M$15,CHOOSE(ArtifactsInput!$N$15+1,25,30,35,40,45,50)/100*(Inputs!$B$11-Inputs!$B$11),0)))/100)/2</f>
        <v/>
      </c>
      <c r="M1276">
        <f>L1276*(1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IF(B1310=0,0,O1276/B1310)</f>
        <v/>
      </c>
      <c r="Q1276">
        <f>IFERROR(1/(IF(Inputs!$B$38="pvp",15,MAX(0.1,Skills!D9-IF(Skills!E9=TRUE,Inputs!$B$32,0)))*(1-IF(AND(ArtifactsInput!$M$27,Inputs!$B$4="Chapter Hunt"),CHOOSE(ArtifactsInput!$N$27+1,20,24,28,32,36,40),0)/100)),0)</f>
        <v/>
      </c>
      <c r="R1276">
        <f>IF(AND(Inputs!$B$38&lt;&gt;"pvp",Inputs!$B$43&gt;0),IF(MAX(0,Inputs!$B$43-B1307)&lt;=0,0,(INT(MAX(0,Inputs!$B$43-B1307)/(IF(Inputs!$B$38="pvp",15,MAX(0.1,Skills!D9-IF(Skills!E9=TRUE,Inputs!$B$32,0)))*(1-IF(AND(ArtifactsInput!$M$27,Inputs!$B$4="Chapter Hunt"),CHOOSE(ArtifactsInput!$N$27+1,20,24,28,32,36,40),0)/100)))+1)),0)</f>
        <v/>
      </c>
      <c r="S1276">
        <f>IFERROR(O1276/N1276,0)</f>
        <v/>
      </c>
      <c r="T1276">
        <f>IF(C1276,(H1276*N1276*IF(AND(Inputs!$B$38&lt;&gt;"pvp",Inputs!$B$43&gt;0),((Skills!G9*((R1276-1)*IF(Skills!H9&gt;0,Skills!I9/Skills!H9,1)+IF(Skills!H9&gt;0,MIN(Skills!I9,MAX(0,MAX(0,Inputs!$B$43-B1307)-((R1276-1)*(IF(Inputs!$B$38="pvp",15,MAX(0.1,Skills!D9-IF(Skills!E9=TRUE,Inputs!$B$32,0)))*(1-IF(AND(ArtifactsInput!$M$27,Inputs!$B$4="Chapter Hunt"),CHOOSE(ArtifactsInput!$N$27+1,20,24,28,32,36,40),0)/100)))))/Skills!H9,1)))/Inputs!$B$43),G1276*Q1276)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1276*(1-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9*((R1276-1)*IF(Skills!H9&gt;0,Skills!I9/Skills!H9,1)+IF(Skills!H9&gt;0,MIN(Skills!I9,MAX(0,MAX(0,Inputs!$B$43-B1307)-((R1276-1)*(IF(Inputs!$B$38="pvp",15,MAX(0.1,Skills!D9-IF(Skills!E9=TRUE,Inputs!$B$32,0)))*(1-IF(AND(ArtifactsInput!$M$27,Inputs!$B$4="Chapter Hunt"),CHOOSE(ArtifactsInput!$N$27+1,20,24,28,32,36,40),0)/100)))))/Skills!H9,1)))/Inputs!$B$43),G1276*Q1276))*IF(Inputs!$B$38="pvp",1,(1+(Inputs!$B$21+Skills!Q9+(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Skills!A10</f>
        <v/>
      </c>
      <c r="B1277">
        <f>Skills!B10</f>
        <v/>
      </c>
      <c r="C1277">
        <f>Inputs!$B$3&gt;=100</f>
        <v/>
      </c>
      <c r="D1277">
        <f>IF(Skills!C10=1,60+Inputs!$B$25+Inputs!$B$29,IF(Skills!C10=2,90+Inputs!$B$26+Inputs!$B$29,IF(Skills!C10=3,120+Inputs!$B$27+Inputs!$B$29,MAX(0,(Inputs!$B$3-100)*3)+Inputs!$B$28+Inputs!$B$29)))</f>
        <v/>
      </c>
      <c r="E1277">
        <f>INDEX(FactorTable!$B$2:$Y$301, MATCH(ROUND(MIN(300,MAX(1,D1277)),0), FactorTable!$A$2:$A$301,0), Skills!M10+1)</f>
        <v/>
      </c>
      <c r="F1277">
        <f>IF(Skills!N10=TRUE,(Skills!L10/10)*(E1277/1000),Skills!L10/10)+Skills!O10</f>
        <v/>
      </c>
      <c r="G1277" t="inlineStr"/>
      <c r="H1277" t="inlineStr"/>
      <c r="I1277" t="inlineStr">
        <is>
          <t>1</t>
        </is>
      </c>
      <c r="J1277" t="inlineStr"/>
      <c r="K1277" t="inlineStr"/>
      <c r="L1277" t="inlineStr"/>
      <c r="M1277" t="inlineStr"/>
      <c r="N1277" t="inlineStr"/>
      <c r="O1277" t="inlineStr"/>
      <c r="P1277" t="inlineStr"/>
      <c r="Q1277" t="inlineStr"/>
      <c r="R1277" t="inlineStr"/>
      <c r="S1277" t="inlineStr"/>
      <c r="T1277" t="inlineStr"/>
      <c r="V1277" t="inlineStr"/>
    </row>
    <row r="1278">
      <c r="A1278">
        <f>Skills!A11</f>
        <v/>
      </c>
      <c r="B1278">
        <f>Skills!B11</f>
        <v/>
      </c>
      <c r="C1278">
        <f>Inputs!$B$3&gt;=60</f>
        <v/>
      </c>
      <c r="D1278">
        <f>IF(Skills!C11=1,60+Inputs!$B$25+Inputs!$B$29,IF(Skills!C11=2,90+Inputs!$B$26+Inputs!$B$29,IF(Skills!C11=3,120+Inputs!$B$27+Inputs!$B$29,MAX(0,(Inputs!$B$3-100)*3)+Inputs!$B$28+Inputs!$B$29)))</f>
        <v/>
      </c>
      <c r="E1278">
        <f>INDEX(FactorTable!$B$2:$Y$301, MATCH(ROUND(MIN(300,MAX(1,D1278)),0), FactorTable!$A$2:$A$301,0), Skills!M11+1)</f>
        <v/>
      </c>
      <c r="F1278">
        <f>IF(Skills!N11=TRUE,(Skills!L11/10)*(E1278/1000),Skills!L11/10)+Skills!O11</f>
        <v/>
      </c>
      <c r="G1278">
        <f>Skills!G11*IF(Skills!H11&gt;0,Skills!I11/Skills!H11,1)</f>
        <v/>
      </c>
      <c r="H1278">
        <f>1-(1-Skills!J11/100)^Skills!K11</f>
        <v/>
      </c>
      <c r="I1278" t="inlineStr">
        <is>
          <t>1</t>
        </is>
      </c>
      <c r="J1278">
        <f>((Inputs!$B$6*(1+Inputs!$B$7/100))+(((Inputs!$B$12*(1+Inputs!$B$13/100))-(Inputs!$B$12*(1+Inputs!$B$13/100)))+0.25*(Inputs!$B$14-Inputs!$B$14))*(1+Inputs!$B$7/100))*(F1278/100)</f>
        <v/>
      </c>
      <c r="K1278">
        <f>J1278*(1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1279=TRUE,F1279,0)/100)*(1+(IF(Skills!A11="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1291=TRUE)*(F1291-Calc!F24)),(Inputs!$B$23+((C1296=TRUE)*(F1296-Calc!F29))+(IF(ArtifactsInput!$M$15,CHOOSE(ArtifactsInput!$N$15+1,25,30,35,40,45,50)/100*(Inputs!$B$11-Inputs!$B$11),0))))/100+(Inputs!$B$23+((C1296=TRUE)*(F1296-Calc!F29))+(IF(ArtifactsInput!$M$15,CHOOSE(ArtifactsInput!$N$15+1,25,30,35,40,45,50)/100*(Inputs!$B$11-Inputs!$B$11),0)))/100)/2</f>
        <v/>
      </c>
      <c r="M1278">
        <f>L1278*(1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IF(B1310=0,0,O1278/B1310)</f>
        <v/>
      </c>
      <c r="Q1278">
        <f>IFERROR(1/(IF(Inputs!$B$38="pvp",15,MAX(0.1,Skills!D11-IF(Skills!E11=TRUE,Inputs!$B$32,0)))*(1-IF(AND(ArtifactsInput!$M$27,Inputs!$B$4="Chapter Hunt"),CHOOSE(ArtifactsInput!$N$27+1,20,24,28,32,36,40),0)/100)),0)</f>
        <v/>
      </c>
      <c r="R1278">
        <f>IF(AND(Inputs!$B$38&lt;&gt;"pvp",Inputs!$B$43&gt;0),IF(MAX(0,Inputs!$B$43-B1307)&lt;=0,0,(INT(MAX(0,Inputs!$B$43-B1307)/(IF(Inputs!$B$38="pvp",15,MAX(0.1,Skills!D11-IF(Skills!E11=TRUE,Inputs!$B$32,0)))*(1-IF(AND(ArtifactsInput!$M$27,Inputs!$B$4="Chapter Hunt"),CHOOSE(ArtifactsInput!$N$27+1,20,24,28,32,36,40),0)/100)))+1)),0)</f>
        <v/>
      </c>
      <c r="S1278">
        <f>IFERROR(O1278/N1278,0)</f>
        <v/>
      </c>
      <c r="T1278">
        <f>IF(C1278,(H1278*N1278*IF(AND(Inputs!$B$38&lt;&gt;"pvp",Inputs!$B$43&gt;0),((Skills!G11*((R1278-1)*IF(Skills!H11&gt;0,Skills!I11/Skills!H11,1)+IF(Skills!H11&gt;0,MIN(Skills!I11,MAX(0,MAX(0,Inputs!$B$43-B1307)-((R1278-1)*(IF(Inputs!$B$38="pvp",15,MAX(0.1,Skills!D11-IF(Skills!E11=TRUE,Inputs!$B$32,0)))*(1-IF(AND(ArtifactsInput!$M$27,Inputs!$B$4="Chapter Hunt"),CHOOSE(ArtifactsInput!$N$27+1,20,24,28,32,36,40),0)/100)))))/Skills!H11,1)))/Inputs!$B$43),G1278*Q1278)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1278*(1-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11*((R1278-1)*IF(Skills!H11&gt;0,Skills!I11/Skills!H11,1)+IF(Skills!H11&gt;0,MIN(Skills!I11,MAX(0,MAX(0,Inputs!$B$43-B1307)-((R1278-1)*(IF(Inputs!$B$38="pvp",15,MAX(0.1,Skills!D11-IF(Skills!E11=TRUE,Inputs!$B$32,0)))*(1-IF(AND(ArtifactsInput!$M$27,Inputs!$B$4="Chapter Hunt"),CHOOSE(ArtifactsInput!$N$27+1,20,24,28,32,36,40),0)/100)))))/Skills!H11,1)))/Inputs!$B$43),G1278*Q1278))*IF(Inputs!$B$38="pvp",1,(1+(Inputs!$B$21+Skills!Q11+(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Skills!A12</f>
        <v/>
      </c>
      <c r="B1279">
        <f>Skills!B12</f>
        <v/>
      </c>
      <c r="C1279">
        <f>Inputs!$B$3&gt;=110</f>
        <v/>
      </c>
      <c r="D1279">
        <f>IF(Skills!C12=1,60+Inputs!$B$25+Inputs!$B$29,IF(Skills!C12=2,90+Inputs!$B$26+Inputs!$B$29,IF(Skills!C12=3,120+Inputs!$B$27+Inputs!$B$29,MAX(0,(Inputs!$B$3-100)*3)+Inputs!$B$28+Inputs!$B$29)))</f>
        <v/>
      </c>
      <c r="E1279">
        <f>INDEX(FactorTable!$B$2:$Y$301, MATCH(ROUND(MIN(300,MAX(1,D1279)),0), FactorTable!$A$2:$A$301,0), Skills!M12+1)</f>
        <v/>
      </c>
      <c r="F1279">
        <f>IF(Skills!N12=TRUE,(Skills!L12/10)*(E1279/1000),Skills!L12/10)+Skills!O12</f>
        <v/>
      </c>
      <c r="G1279" t="inlineStr"/>
      <c r="H1279" t="inlineStr"/>
      <c r="I1279" t="inlineStr">
        <is>
          <t>1</t>
        </is>
      </c>
      <c r="J1279" t="inlineStr"/>
      <c r="K1279" t="inlineStr"/>
      <c r="L1279" t="inlineStr"/>
      <c r="M1279" t="inlineStr"/>
      <c r="N1279" t="inlineStr"/>
      <c r="O1279" t="inlineStr"/>
      <c r="P1279" t="inlineStr"/>
      <c r="Q1279" t="inlineStr"/>
      <c r="R1279" t="inlineStr"/>
      <c r="S1279" t="inlineStr"/>
      <c r="T1279" t="inlineStr"/>
      <c r="V1279" t="inlineStr"/>
    </row>
    <row r="1280">
      <c r="A1280">
        <f>Skills!A13</f>
        <v/>
      </c>
      <c r="B1280">
        <f>Skills!B13</f>
        <v/>
      </c>
      <c r="C1280">
        <f>Inputs!$B$3&gt;=74</f>
        <v/>
      </c>
      <c r="D1280">
        <f>IF(Skills!C13=1,60+Inputs!$B$25+Inputs!$B$29,IF(Skills!C13=2,90+Inputs!$B$26+Inputs!$B$29,IF(Skills!C13=3,120+Inputs!$B$27+Inputs!$B$29,MAX(0,(Inputs!$B$3-100)*3)+Inputs!$B$28+Inputs!$B$29)))</f>
        <v/>
      </c>
      <c r="E1280">
        <f>INDEX(FactorTable!$B$2:$Y$301, MATCH(ROUND(MIN(300,MAX(1,D1280)),0), FactorTable!$A$2:$A$301,0), Skills!M13+1)</f>
        <v/>
      </c>
      <c r="F1280">
        <f>IF(Skills!N13=TRUE,(Skills!L13/10)*(E1280/1000),Skills!L13/10)+Skills!O13</f>
        <v/>
      </c>
      <c r="G1280">
        <f>Skills!G13*IF(Skills!H13&gt;0,Skills!I13/Skills!H13,1)</f>
        <v/>
      </c>
      <c r="H1280">
        <f>1-(1-Skills!J13/100)^Skills!K13</f>
        <v/>
      </c>
      <c r="I1280" t="inlineStr">
        <is>
          <t>1</t>
        </is>
      </c>
      <c r="J1280" t="inlineStr"/>
      <c r="K1280" t="inlineStr"/>
      <c r="L1280" t="inlineStr"/>
      <c r="M1280" t="inlineStr"/>
      <c r="N1280" t="inlineStr"/>
      <c r="O1280">
        <f>(1-Summary!$B$11)*T1280+Summary!$B$11*V1280</f>
        <v/>
      </c>
      <c r="P1280">
        <f>IF(B1310=0,0,O1280/B1310)</f>
        <v/>
      </c>
      <c r="Q1280" t="n">
        <v>0</v>
      </c>
      <c r="R1280" t="n">
        <v>0</v>
      </c>
      <c r="S1280">
        <f>IFERROR(O1280/N1280,0)</f>
        <v/>
      </c>
      <c r="T1280" t="n">
        <v>0</v>
      </c>
      <c r="V1280" t="n">
        <v>0</v>
      </c>
    </row>
    <row r="1281">
      <c r="A1281">
        <f>Skills!A14</f>
        <v/>
      </c>
      <c r="B1281">
        <f>Skills!B14</f>
        <v/>
      </c>
      <c r="C1281">
        <f>Inputs!$B$3&gt;=74</f>
        <v/>
      </c>
      <c r="D1281">
        <f>IF(Skills!C14=1,60+Inputs!$B$25+Inputs!$B$29,IF(Skills!C14=2,90+Inputs!$B$26+Inputs!$B$29,IF(Skills!C14=3,120+Inputs!$B$27+Inputs!$B$29,MAX(0,(Inputs!$B$3-100)*3)+Inputs!$B$28+Inputs!$B$29)))</f>
        <v/>
      </c>
      <c r="E1281">
        <f>INDEX(FactorTable!$B$2:$Y$301, MATCH(ROUND(MIN(300,MAX(1,D1281)),0), FactorTable!$A$2:$A$301,0), Skills!M14+1)</f>
        <v/>
      </c>
      <c r="F1281">
        <f>IF(Skills!N14=TRUE,(Skills!L14/10)*(E1281/1000),Skills!L14/10)+Skills!O14</f>
        <v/>
      </c>
      <c r="G1281">
        <f>Skills!G14*IF(Skills!H14&gt;0,Skills!I14/Skills!H14,1)</f>
        <v/>
      </c>
      <c r="H1281">
        <f>1-(1-Skills!J14/100)^Skills!K14</f>
        <v/>
      </c>
      <c r="I1281" t="inlineStr">
        <is>
          <t>1</t>
        </is>
      </c>
      <c r="J1281" t="inlineStr"/>
      <c r="K1281" t="inlineStr"/>
      <c r="L1281" t="inlineStr"/>
      <c r="M1281" t="inlineStr"/>
      <c r="N1281" t="inlineStr"/>
      <c r="O1281">
        <f>(1-Summary!$B$11)*T1281+Summary!$B$11*V1281</f>
        <v/>
      </c>
      <c r="P1281">
        <f>IF(B1310=0,0,O1281/B1310)</f>
        <v/>
      </c>
      <c r="Q1281" t="n">
        <v>0</v>
      </c>
      <c r="R1281" t="n">
        <v>0</v>
      </c>
      <c r="S1281">
        <f>IFERROR(O1281/N1281,0)</f>
        <v/>
      </c>
      <c r="T1281" t="n">
        <v>0</v>
      </c>
      <c r="V1281" t="n">
        <v>0</v>
      </c>
    </row>
    <row r="1282">
      <c r="A1282">
        <f>Skills!A15</f>
        <v/>
      </c>
      <c r="B1282">
        <f>Skills!B15</f>
        <v/>
      </c>
      <c r="C1282">
        <f>Inputs!$B$3&gt;=117</f>
        <v/>
      </c>
      <c r="D1282">
        <f>IF(Skills!C15=1,60+Inputs!$B$25+Inputs!$B$29,IF(Skills!C15=2,90+Inputs!$B$26+Inputs!$B$29,IF(Skills!C15=3,120+Inputs!$B$27+Inputs!$B$29,MAX(0,(Inputs!$B$3-100)*3)+Inputs!$B$28+Inputs!$B$29)))</f>
        <v/>
      </c>
      <c r="E1282">
        <f>INDEX(FactorTable!$B$2:$Y$301, MATCH(ROUND(MIN(300,MAX(1,D1282)),0), FactorTable!$A$2:$A$301,0), Skills!M15+1)</f>
        <v/>
      </c>
      <c r="F1282">
        <f>IF(Skills!N15=TRUE,(Skills!L15/10)*(E1282/1000),Skills!L15/10)+Skills!O15</f>
        <v/>
      </c>
      <c r="G1282">
        <f>Skills!G15*IF(Skills!H15&gt;0,Skills!I15/Skills!H15,1)</f>
        <v/>
      </c>
      <c r="H1282">
        <f>1-(1-Skills!J15/100)^Skills!K15</f>
        <v/>
      </c>
      <c r="I1282" t="inlineStr">
        <is>
          <t>1</t>
        </is>
      </c>
      <c r="J1282" t="inlineStr"/>
      <c r="K1282" t="inlineStr"/>
      <c r="L1282" t="inlineStr"/>
      <c r="M1282" t="inlineStr"/>
      <c r="N1282" t="inlineStr"/>
      <c r="O1282">
        <f>(1-Summary!$B$11)*T1282+Summary!$B$11*V1282</f>
        <v/>
      </c>
      <c r="P1282">
        <f>IF(B1310=0,0,O1282/B1310)</f>
        <v/>
      </c>
      <c r="Q1282">
        <f>IFERROR(1/(IF(Inputs!$B$38="pvp",15,MAX(0.1,Skills!D15-IF(Skills!E15=TRUE,Inputs!$B$32,0)))*(1-IF(AND(ArtifactsInput!$M$27,Inputs!$B$4="Chapter Hunt"),CHOOSE(ArtifactsInput!$N$27+1,20,24,28,32,36,40),0)/100)),0)</f>
        <v/>
      </c>
      <c r="R1282">
        <f>IF(AND(Inputs!$B$38&lt;&gt;"pvp",Inputs!$B$43&gt;0),IF(Inputs!$B$43&lt;=0,0,(INT(Inputs!$B$43/(IF(Inputs!$B$38="pvp",15,MAX(0.1,Skills!D15-IF(Skills!E15=TRUE,Inputs!$B$32,0)))*(1-IF(AND(ArtifactsInput!$M$27,Inputs!$B$4="Chapter Hunt"),CHOOSE(ArtifactsInput!$N$27+1,20,24,28,32,36,40),0)/100)))+1)),0)</f>
        <v/>
      </c>
      <c r="S1282">
        <f>IFERROR(O1282/N1282,0)</f>
        <v/>
      </c>
      <c r="T1282" t="n">
        <v>0</v>
      </c>
      <c r="V1282" t="n">
        <v>0</v>
      </c>
    </row>
    <row r="1283">
      <c r="A1283">
        <f>Skills!A16</f>
        <v/>
      </c>
      <c r="B1283">
        <f>Skills!B16</f>
        <v/>
      </c>
      <c r="C1283">
        <f>Inputs!$B$3&gt;=115</f>
        <v/>
      </c>
      <c r="D1283">
        <f>IF(Skills!C16=1,60+Inputs!$B$25+Inputs!$B$29,IF(Skills!C16=2,90+Inputs!$B$26+Inputs!$B$29,IF(Skills!C16=3,120+Inputs!$B$27+Inputs!$B$29,MAX(0,(Inputs!$B$3-100)*3)+Inputs!$B$28+Inputs!$B$29)))</f>
        <v/>
      </c>
      <c r="E1283">
        <f>INDEX(FactorTable!$B$2:$Y$301, MATCH(ROUND(MIN(300,MAX(1,D1283)),0), FactorTable!$A$2:$A$301,0), Skills!M16+1)</f>
        <v/>
      </c>
      <c r="F1283">
        <f>IF(Skills!N16=TRUE,(Skills!L16/10)*(E1283/1000),Skills!L16/10)+Skills!O16</f>
        <v/>
      </c>
      <c r="G1283">
        <f>Skills!G16*IF(Skills!H16&gt;0,Skills!I16/Skills!H16,1)</f>
        <v/>
      </c>
      <c r="H1283">
        <f>1-(1-Skills!J16/100)^Skills!K16</f>
        <v/>
      </c>
      <c r="I1283" t="inlineStr">
        <is>
          <t>1</t>
        </is>
      </c>
      <c r="J1283" t="inlineStr"/>
      <c r="K1283" t="inlineStr"/>
      <c r="L1283" t="inlineStr"/>
      <c r="M1283" t="inlineStr"/>
      <c r="N1283" t="inlineStr"/>
      <c r="O1283">
        <f>(1-Summary!$B$11)*T1283+Summary!$B$11*V1283</f>
        <v/>
      </c>
      <c r="P1283">
        <f>IF(B1310=0,0,O1283/B1310)</f>
        <v/>
      </c>
      <c r="Q1283">
        <f>IFERROR(1/(IF(Inputs!$B$38="pvp",15,MAX(0.1,Skills!D16-IF(Skills!E16=TRUE,Inputs!$B$32,0)))*(1-IF(AND(ArtifactsInput!$M$27,Inputs!$B$4="Chapter Hunt"),CHOOSE(ArtifactsInput!$N$27+1,20,24,28,32,36,40),0)/100)),0)</f>
        <v/>
      </c>
      <c r="R1283">
        <f>IF(AND(Inputs!$B$38&lt;&gt;"pvp",Inputs!$B$43&gt;0),IF(Inputs!$B$43&lt;=0,0,(INT(Inputs!$B$43/(IF(Inputs!$B$38="pvp",15,MAX(0.1,Skills!D16-IF(Skills!E16=TRUE,Inputs!$B$32,0)))*(1-IF(AND(ArtifactsInput!$M$27,Inputs!$B$4="Chapter Hunt"),CHOOSE(ArtifactsInput!$N$27+1,20,24,28,32,36,40),0)/100)))+1)),0)</f>
        <v/>
      </c>
      <c r="S1283">
        <f>IFERROR(O1283/N1283,0)</f>
        <v/>
      </c>
      <c r="T1283" t="n">
        <v>0</v>
      </c>
      <c r="V1283" t="n">
        <v>0</v>
      </c>
    </row>
    <row r="1284">
      <c r="A1284">
        <f>Skills!A17</f>
        <v/>
      </c>
      <c r="B1284">
        <f>Skills!B17</f>
        <v/>
      </c>
      <c r="C1284">
        <f>Inputs!$B$3&gt;=66</f>
        <v/>
      </c>
      <c r="D1284">
        <f>IF(Skills!C17=1,60+Inputs!$B$25+Inputs!$B$29,IF(Skills!C17=2,90+Inputs!$B$26+Inputs!$B$29,IF(Skills!C17=3,120+Inputs!$B$27+Inputs!$B$29,MAX(0,(Inputs!$B$3-100)*3)+Inputs!$B$28+Inputs!$B$29)))</f>
        <v/>
      </c>
      <c r="E1284">
        <f>INDEX(FactorTable!$B$2:$Y$301, MATCH(ROUND(MIN(300,MAX(1,D1284)),0), FactorTable!$A$2:$A$301,0), Skills!M17+1)</f>
        <v/>
      </c>
      <c r="F1284">
        <f>IF(Skills!N17=TRUE,(Skills!L17/10)*(E1284/1000),Skills!L17/10)+Skills!O17</f>
        <v/>
      </c>
      <c r="G1284">
        <f>Skills!G17*IF(Skills!H17&gt;0,Skills!I17/Skills!H17,1)</f>
        <v/>
      </c>
      <c r="H1284">
        <f>1-(1-Skills!J17/100)^Skills!K17</f>
        <v/>
      </c>
      <c r="I1284" t="inlineStr">
        <is>
          <t>1</t>
        </is>
      </c>
      <c r="J1284" t="inlineStr"/>
      <c r="K1284" t="inlineStr"/>
      <c r="L1284" t="inlineStr"/>
      <c r="M1284" t="inlineStr"/>
      <c r="N1284" t="inlineStr"/>
      <c r="O1284">
        <f>(1-Summary!$B$11)*T1284+Summary!$B$11*V1284</f>
        <v/>
      </c>
      <c r="P1284">
        <f>IF(B1310=0,0,O1284/B1310)</f>
        <v/>
      </c>
      <c r="Q1284" t="n">
        <v>0</v>
      </c>
      <c r="R1284" t="n">
        <v>0</v>
      </c>
      <c r="S1284">
        <f>IFERROR(O1284/N1284,0)</f>
        <v/>
      </c>
      <c r="T1284" t="n">
        <v>0</v>
      </c>
      <c r="V1284" t="n">
        <v>0</v>
      </c>
    </row>
    <row r="1285">
      <c r="A1285">
        <f>Skills!A18</f>
        <v/>
      </c>
      <c r="B1285">
        <f>Skills!B18</f>
        <v/>
      </c>
      <c r="C1285">
        <f>Inputs!$B$3&gt;=72</f>
        <v/>
      </c>
      <c r="D1285">
        <f>IF(Skills!C18=1,60+Inputs!$B$25+Inputs!$B$29,IF(Skills!C18=2,90+Inputs!$B$26+Inputs!$B$29,IF(Skills!C18=3,120+Inputs!$B$27+Inputs!$B$29,MAX(0,(Inputs!$B$3-100)*3)+Inputs!$B$28+Inputs!$B$29)))</f>
        <v/>
      </c>
      <c r="E1285">
        <f>INDEX(FactorTable!$B$2:$Y$301, MATCH(ROUND(MIN(300,MAX(1,D1285)),0), FactorTable!$A$2:$A$301,0), Skills!M18+1)</f>
        <v/>
      </c>
      <c r="F1285">
        <f>IF(Skills!N18=TRUE,(Skills!L18/10)*(E1285/1000),Skills!L18/10)+Skills!O18</f>
        <v/>
      </c>
      <c r="G1285">
        <f>Skills!G18*IF(Skills!H18&gt;0,Skills!I18/Skills!H18,1)</f>
        <v/>
      </c>
      <c r="H1285">
        <f>1-(1-Skills!J18/100)^Skills!K18</f>
        <v/>
      </c>
      <c r="I1285" t="inlineStr">
        <is>
          <t>1</t>
        </is>
      </c>
      <c r="J1285" t="inlineStr"/>
      <c r="K1285" t="inlineStr"/>
      <c r="L1285" t="inlineStr"/>
      <c r="M1285" t="inlineStr"/>
      <c r="N1285" t="inlineStr"/>
      <c r="O1285">
        <f>(1-Summary!$B$11)*T1285+Summary!$B$11*V1285</f>
        <v/>
      </c>
      <c r="P1285">
        <f>IF(B1310=0,0,O1285/B1310)</f>
        <v/>
      </c>
      <c r="Q1285" t="n">
        <v>0</v>
      </c>
      <c r="R1285" t="n">
        <v>0</v>
      </c>
      <c r="S1285">
        <f>IFERROR(O1285/N1285,0)</f>
        <v/>
      </c>
      <c r="T1285" t="n">
        <v>0</v>
      </c>
      <c r="V1285" t="n">
        <v>0</v>
      </c>
    </row>
    <row r="1286">
      <c r="A1286">
        <f>Skills!A19</f>
        <v/>
      </c>
      <c r="B1286">
        <f>Skills!B19</f>
        <v/>
      </c>
      <c r="C1286">
        <f>TRUE</f>
        <v/>
      </c>
      <c r="D1286">
        <f>IF(Skills!C19=1,60+Inputs!$B$25+Inputs!$B$29,IF(Skills!C19=2,90+Inputs!$B$26+Inputs!$B$29,IF(Skills!C19=3,120+Inputs!$B$27+Inputs!$B$29,MAX(0,(Inputs!$B$3-100)*3)+Inputs!$B$28+Inputs!$B$29)))</f>
        <v/>
      </c>
      <c r="E1286">
        <f>INDEX(FactorTable!$B$2:$Y$301, MATCH(ROUND(MIN(300,MAX(1,D1286)),0), FactorTable!$A$2:$A$301,0), Skills!M19+1)</f>
        <v/>
      </c>
      <c r="F1286">
        <f>IF(Skills!N19=TRUE,(Skills!L19/10)*(E1286/1000),Skills!L19/10)+Skills!O19</f>
        <v/>
      </c>
      <c r="G1286">
        <f>Skills!G19*IF(Skills!H19&gt;0,Skills!I19/Skills!H19,1)</f>
        <v/>
      </c>
      <c r="H1286">
        <f>1-(1-Skills!J19/100)^Skills!K19</f>
        <v/>
      </c>
      <c r="I1286" t="inlineStr">
        <is>
          <t>1</t>
        </is>
      </c>
      <c r="J1286" t="inlineStr"/>
      <c r="K1286" t="inlineStr"/>
      <c r="L1286" t="inlineStr"/>
      <c r="M1286" t="inlineStr"/>
      <c r="N1286" t="inlineStr"/>
      <c r="O1286">
        <f>(1-Summary!$B$11)*T1286+Summary!$B$11*V1286</f>
        <v/>
      </c>
      <c r="P1286">
        <f>IF(B1310=0,0,O1286/B1310)</f>
        <v/>
      </c>
      <c r="Q1286">
        <f>IFERROR(1/(IF(Inputs!$B$38="pvp",15,MAX(0.1,Skills!D19-IF(Skills!E19=TRUE,Inputs!$B$32,0)))*(1-IF(AND(ArtifactsInput!$M$27,Inputs!$B$4="Chapter Hunt"),CHOOSE(ArtifactsInput!$N$27+1,20,24,28,32,36,40),0)/100)),0)</f>
        <v/>
      </c>
      <c r="R1286">
        <f>IF(AND(Inputs!$B$38&lt;&gt;"pvp",Inputs!$B$43&gt;0),IF(Inputs!$B$43&lt;=0,0,(INT(Inputs!$B$43/(IF(Inputs!$B$38="pvp",15,MAX(0.1,Skills!D19-IF(Skills!E19=TRUE,Inputs!$B$32,0)))*(1-IF(AND(ArtifactsInput!$M$27,Inputs!$B$4="Chapter Hunt"),CHOOSE(ArtifactsInput!$N$27+1,20,24,28,32,36,40),0)/100)))+1)),0)</f>
        <v/>
      </c>
      <c r="S1286">
        <f>IFERROR(O1286/N1286,0)</f>
        <v/>
      </c>
      <c r="T1286" t="n">
        <v>0</v>
      </c>
      <c r="V1286" t="n">
        <v>0</v>
      </c>
    </row>
    <row r="1287">
      <c r="A1287">
        <f>Skills!A20</f>
        <v/>
      </c>
      <c r="B1287">
        <f>Skills!B20</f>
        <v/>
      </c>
      <c r="C1287">
        <f>Inputs!$B$3&gt;=15</f>
        <v/>
      </c>
      <c r="D1287">
        <f>IF(Skills!C20=1,60+Inputs!$B$25+Inputs!$B$29,IF(Skills!C20=2,90+Inputs!$B$26+Inputs!$B$29,IF(Skills!C20=3,120+Inputs!$B$27+Inputs!$B$29,MAX(0,(Inputs!$B$3-100)*3)+Inputs!$B$28+Inputs!$B$29)))</f>
        <v/>
      </c>
      <c r="E1287">
        <f>INDEX(FactorTable!$B$2:$Y$301, MATCH(ROUND(MIN(300,MAX(1,D1287)),0), FactorTable!$A$2:$A$301,0), Skills!M20+1)</f>
        <v/>
      </c>
      <c r="F1287">
        <f>IF(Skills!N20=TRUE,(Skills!L20/10)*(E1287/1000),Skills!L20/10)+Skills!O20</f>
        <v/>
      </c>
      <c r="G1287">
        <f>Skills!G20*IF(Skills!H20&gt;0,Skills!I20/Skills!H20,1)</f>
        <v/>
      </c>
      <c r="H1287">
        <f>1-(1-Skills!J20/100)^Skills!K20</f>
        <v/>
      </c>
      <c r="I1287" t="inlineStr">
        <is>
          <t>1</t>
        </is>
      </c>
      <c r="J1287" t="inlineStr"/>
      <c r="K1287" t="inlineStr"/>
      <c r="L1287" t="inlineStr"/>
      <c r="M1287" t="inlineStr"/>
      <c r="N1287" t="inlineStr"/>
      <c r="O1287">
        <f>(1-Summary!$B$11)*T1287+Summary!$B$11*V1287</f>
        <v/>
      </c>
      <c r="P1287">
        <f>IF(B1310=0,0,O1287/B1310)</f>
        <v/>
      </c>
      <c r="Q1287" t="n">
        <v>0</v>
      </c>
      <c r="R1287" t="n">
        <v>0</v>
      </c>
      <c r="S1287">
        <f>IFERROR(O1287/N1287,0)</f>
        <v/>
      </c>
      <c r="T1287" t="n">
        <v>0</v>
      </c>
      <c r="V1287" t="n">
        <v>0</v>
      </c>
    </row>
    <row r="1288">
      <c r="A1288">
        <f>Skills!A21</f>
        <v/>
      </c>
      <c r="B1288">
        <f>Skills!B21</f>
        <v/>
      </c>
      <c r="C1288">
        <f>Inputs!$B$3&gt;=10</f>
        <v/>
      </c>
      <c r="D1288">
        <f>IF(Skills!C21=1,60+Inputs!$B$25+Inputs!$B$29,IF(Skills!C21=2,90+Inputs!$B$26+Inputs!$B$29,IF(Skills!C21=3,120+Inputs!$B$27+Inputs!$B$29,MAX(0,(Inputs!$B$3-100)*3)+Inputs!$B$28+Inputs!$B$29)))</f>
        <v/>
      </c>
      <c r="E1288">
        <f>INDEX(FactorTable!$B$2:$Y$301, MATCH(ROUND(MIN(300,MAX(1,D1288)),0), FactorTable!$A$2:$A$301,0), Skills!M21+1)</f>
        <v/>
      </c>
      <c r="F1288">
        <f>IF(Skills!N21=TRUE,(Skills!L21/10)*(E1288/1000),Skills!L21/10)+Skills!O21</f>
        <v/>
      </c>
      <c r="G1288">
        <f>Skills!G21*IF(Skills!H21&gt;0,Skills!I21/Skills!H21,1)</f>
        <v/>
      </c>
      <c r="H1288">
        <f>1-(1-Skills!J21/100)^Skills!K21</f>
        <v/>
      </c>
      <c r="I1288" t="inlineStr">
        <is>
          <t>1</t>
        </is>
      </c>
      <c r="J1288" t="inlineStr"/>
      <c r="K1288" t="inlineStr"/>
      <c r="L1288" t="inlineStr"/>
      <c r="M1288" t="inlineStr"/>
      <c r="N1288" t="inlineStr"/>
      <c r="O1288">
        <f>(1-Summary!$B$11)*T1288+Summary!$B$11*V1288</f>
        <v/>
      </c>
      <c r="P1288">
        <f>IF(B1310=0,0,O1288/B1310)</f>
        <v/>
      </c>
      <c r="Q1288" t="n">
        <v>0</v>
      </c>
      <c r="R1288" t="n">
        <v>0</v>
      </c>
      <c r="S1288">
        <f>IFERROR(O1288/N1288,0)</f>
        <v/>
      </c>
      <c r="T1288" t="n">
        <v>0</v>
      </c>
      <c r="V1288" t="n">
        <v>0</v>
      </c>
    </row>
    <row r="1289">
      <c r="A1289">
        <f>Skills!A22</f>
        <v/>
      </c>
      <c r="B1289">
        <f>Skills!B22</f>
        <v/>
      </c>
      <c r="C1289">
        <f>Inputs!$B$3&gt;=33</f>
        <v/>
      </c>
      <c r="D1289">
        <f>IF(Skills!C22=1,60+Inputs!$B$25+Inputs!$B$29,IF(Skills!C22=2,90+Inputs!$B$26+Inputs!$B$29,IF(Skills!C22=3,120+Inputs!$B$27+Inputs!$B$29,MAX(0,(Inputs!$B$3-100)*3)+Inputs!$B$28+Inputs!$B$29)))</f>
        <v/>
      </c>
      <c r="E1289">
        <f>INDEX(FactorTable!$B$2:$Y$301, MATCH(ROUND(MIN(300,MAX(1,D1289)),0), FactorTable!$A$2:$A$301,0), Skills!M22+1)</f>
        <v/>
      </c>
      <c r="F1289">
        <f>IF(Skills!N22=TRUE,(Skills!L22/10)*(E1289/1000),Skills!L22/10)+Skills!O22</f>
        <v/>
      </c>
      <c r="G1289">
        <f>Skills!G22*IF(Skills!H22&gt;0,Skills!I22/Skills!H22,1)</f>
        <v/>
      </c>
      <c r="H1289">
        <f>1-(1-Skills!J22/100)^Skills!K22</f>
        <v/>
      </c>
      <c r="I1289" t="inlineStr">
        <is>
          <t>1</t>
        </is>
      </c>
      <c r="J1289" t="inlineStr"/>
      <c r="K1289" t="inlineStr"/>
      <c r="L1289" t="inlineStr"/>
      <c r="M1289" t="inlineStr"/>
      <c r="N1289" t="inlineStr"/>
      <c r="O1289">
        <f>(1-Summary!$B$11)*T1289+Summary!$B$11*V1289</f>
        <v/>
      </c>
      <c r="P1289">
        <f>IF(B1310=0,0,O1289/B1310)</f>
        <v/>
      </c>
      <c r="Q1289" t="n">
        <v>0</v>
      </c>
      <c r="R1289" t="n">
        <v>0</v>
      </c>
      <c r="S1289">
        <f>IFERROR(O1289/N1289,0)</f>
        <v/>
      </c>
      <c r="T1289" t="n">
        <v>0</v>
      </c>
      <c r="V1289" t="n">
        <v>0</v>
      </c>
    </row>
    <row r="1290">
      <c r="A1290">
        <f>Skills!A23</f>
        <v/>
      </c>
      <c r="B1290">
        <f>Skills!B23</f>
        <v/>
      </c>
      <c r="C1290">
        <f>Inputs!$B$3&gt;=38</f>
        <v/>
      </c>
      <c r="D1290">
        <f>IF(Skills!C23=1,60+Inputs!$B$25+Inputs!$B$29,IF(Skills!C23=2,90+Inputs!$B$26+Inputs!$B$29,IF(Skills!C23=3,120+Inputs!$B$27+Inputs!$B$29,MAX(0,(Inputs!$B$3-100)*3)+Inputs!$B$28+Inputs!$B$29)))</f>
        <v/>
      </c>
      <c r="E1290">
        <f>INDEX(FactorTable!$B$2:$Y$301, MATCH(ROUND(MIN(300,MAX(1,D1290)),0), FactorTable!$A$2:$A$301,0), Skills!M23+1)</f>
        <v/>
      </c>
      <c r="F1290">
        <f>IF(Skills!N23=TRUE,(Skills!L23/10)*(E1290/1000),Skills!L23/10)+Skills!O23</f>
        <v/>
      </c>
      <c r="G1290">
        <f>Skills!G23*IF(Skills!H23&gt;0,Skills!I23/Skills!H23,1)</f>
        <v/>
      </c>
      <c r="H1290">
        <f>1-(1-Skills!J23/100)^Skills!K23</f>
        <v/>
      </c>
      <c r="I1290" t="inlineStr">
        <is>
          <t>1</t>
        </is>
      </c>
      <c r="J1290" t="inlineStr"/>
      <c r="K1290" t="inlineStr"/>
      <c r="L1290" t="inlineStr"/>
      <c r="M1290" t="inlineStr"/>
      <c r="N1290" t="inlineStr"/>
      <c r="O1290">
        <f>(1-Summary!$B$11)*T1290+Summary!$B$11*V1290</f>
        <v/>
      </c>
      <c r="P1290">
        <f>IF(B1310=0,0,O1290/B1310)</f>
        <v/>
      </c>
      <c r="Q1290" t="n">
        <v>0</v>
      </c>
      <c r="R1290" t="n">
        <v>0</v>
      </c>
      <c r="S1290">
        <f>IFERROR(O1290/N1290,0)</f>
        <v/>
      </c>
      <c r="T1290" t="n">
        <v>0</v>
      </c>
      <c r="V1290" t="n">
        <v>0</v>
      </c>
    </row>
    <row r="1291">
      <c r="A1291">
        <f>Skills!A24</f>
        <v/>
      </c>
      <c r="B1291">
        <f>Skills!B24</f>
        <v/>
      </c>
      <c r="C1291">
        <f>Inputs!$B$3&gt;=43</f>
        <v/>
      </c>
      <c r="D1291">
        <f>IF(Skills!C24=1,60+Inputs!$B$25+Inputs!$B$29,IF(Skills!C24=2,90+Inputs!$B$26+Inputs!$B$29,IF(Skills!C24=3,120+Inputs!$B$27+Inputs!$B$29,MAX(0,(Inputs!$B$3-100)*3)+Inputs!$B$28+Inputs!$B$29)))</f>
        <v/>
      </c>
      <c r="E1291">
        <f>INDEX(FactorTable!$B$2:$Y$301, MATCH(ROUND(MIN(300,MAX(1,D1291)),0), FactorTable!$A$2:$A$301,0), Skills!M24+1)</f>
        <v/>
      </c>
      <c r="F1291">
        <f>IF(Skills!N24=TRUE,(Skills!L24/10)*(E1291/1000),Skills!L24/10)+Skills!O24</f>
        <v/>
      </c>
      <c r="G1291">
        <f>Skills!G24*IF(Skills!H24&gt;0,Skills!I24/Skills!H24,1)</f>
        <v/>
      </c>
      <c r="H1291">
        <f>1-(1-Skills!J24/100)^Skills!K24</f>
        <v/>
      </c>
      <c r="I1291" t="inlineStr">
        <is>
          <t>1</t>
        </is>
      </c>
      <c r="J1291" t="inlineStr"/>
      <c r="K1291" t="inlineStr"/>
      <c r="L1291" t="inlineStr"/>
      <c r="M1291" t="inlineStr"/>
      <c r="N1291" t="inlineStr"/>
      <c r="O1291">
        <f>(1-Summary!$B$11)*T1291+Summary!$B$11*V1291</f>
        <v/>
      </c>
      <c r="P1291">
        <f>IF(B1310=0,0,O1291/B1310)</f>
        <v/>
      </c>
      <c r="Q1291" t="n">
        <v>0</v>
      </c>
      <c r="R1291" t="n">
        <v>0</v>
      </c>
      <c r="S1291">
        <f>IFERROR(O1291/N1291,0)</f>
        <v/>
      </c>
      <c r="T1291" t="n">
        <v>0</v>
      </c>
      <c r="V1291" t="n">
        <v>0</v>
      </c>
    </row>
    <row r="1292">
      <c r="A1292">
        <f>Skills!A25</f>
        <v/>
      </c>
      <c r="B1292">
        <f>Skills!B25</f>
        <v/>
      </c>
      <c r="C1292">
        <f>Inputs!$B$3&gt;=75</f>
        <v/>
      </c>
      <c r="D1292">
        <f>IF(Skills!C25=1,60+Inputs!$B$25+Inputs!$B$29,IF(Skills!C25=2,90+Inputs!$B$26+Inputs!$B$29,IF(Skills!C25=3,120+Inputs!$B$27+Inputs!$B$29,MAX(0,(Inputs!$B$3-100)*3)+Inputs!$B$28+Inputs!$B$29)))</f>
        <v/>
      </c>
      <c r="E1292">
        <f>INDEX(FactorTable!$B$2:$Y$301, MATCH(ROUND(MIN(300,MAX(1,D1292)),0), FactorTable!$A$2:$A$301,0), Skills!M25+1)</f>
        <v/>
      </c>
      <c r="F1292">
        <f>IF(Skills!N25=TRUE,(Skills!L25/10)*(E1292/1000),Skills!L25/10)+Skills!O25</f>
        <v/>
      </c>
      <c r="G1292">
        <f>Skills!G25*IF(Skills!H25&gt;0,Skills!I25/Skills!H25,1)</f>
        <v/>
      </c>
      <c r="H1292">
        <f>1-(1-Skills!J25/100)^Skills!K25</f>
        <v/>
      </c>
      <c r="I1292" t="inlineStr">
        <is>
          <t>1</t>
        </is>
      </c>
      <c r="J1292" t="inlineStr"/>
      <c r="K1292" t="inlineStr"/>
      <c r="L1292" t="inlineStr"/>
      <c r="M1292" t="inlineStr"/>
      <c r="N1292" t="inlineStr"/>
      <c r="O1292">
        <f>(1-Summary!$B$11)*T1292+Summary!$B$11*V1292</f>
        <v/>
      </c>
      <c r="P1292">
        <f>IF(B1310=0,0,O1292/B1310)</f>
        <v/>
      </c>
      <c r="Q1292" t="n">
        <v>0</v>
      </c>
      <c r="R1292" t="n">
        <v>0</v>
      </c>
      <c r="S1292">
        <f>IFERROR(O1292/N1292,0)</f>
        <v/>
      </c>
      <c r="T1292" t="n">
        <v>0</v>
      </c>
      <c r="V1292" t="n">
        <v>0</v>
      </c>
    </row>
    <row r="1293">
      <c r="A1293">
        <f>Skills!A26</f>
        <v/>
      </c>
      <c r="B1293">
        <f>Skills!B26</f>
        <v/>
      </c>
      <c r="C1293">
        <f>Inputs!$B$3&gt;=125</f>
        <v/>
      </c>
      <c r="D1293">
        <f>IF(Skills!C26=1,60+Inputs!$B$25+Inputs!$B$29,IF(Skills!C26=2,90+Inputs!$B$26+Inputs!$B$29,IF(Skills!C26=3,120+Inputs!$B$27+Inputs!$B$29,MAX(0,(Inputs!$B$3-100)*3)+Inputs!$B$28+Inputs!$B$29)))</f>
        <v/>
      </c>
      <c r="E1293">
        <f>INDEX(FactorTable!$B$2:$Y$301, MATCH(ROUND(MIN(300,MAX(1,D1293)),0), FactorTable!$A$2:$A$301,0), Skills!M26+1)</f>
        <v/>
      </c>
      <c r="F1293">
        <f>IF(Skills!N26=TRUE,(Skills!L26/10)*(E1293/1000),Skills!L26/10)+Skills!O26</f>
        <v/>
      </c>
      <c r="G1293">
        <f>Skills!G26*IF(Skills!H26&gt;0,Skills!I26/Skills!H26,1)</f>
        <v/>
      </c>
      <c r="H1293">
        <f>1-(1-Skills!J26/100)^Skills!K26</f>
        <v/>
      </c>
      <c r="I1293" t="inlineStr">
        <is>
          <t>1</t>
        </is>
      </c>
      <c r="J1293" t="inlineStr"/>
      <c r="K1293" t="inlineStr"/>
      <c r="L1293" t="inlineStr"/>
      <c r="M1293" t="inlineStr"/>
      <c r="N1293" t="inlineStr"/>
      <c r="O1293">
        <f>(1-Summary!$B$11)*T1293+Summary!$B$11*V1293</f>
        <v/>
      </c>
      <c r="P1293">
        <f>IF(B1310=0,0,O1293/B1310)</f>
        <v/>
      </c>
      <c r="Q1293" t="n">
        <v>0</v>
      </c>
      <c r="R1293" t="n">
        <v>0</v>
      </c>
      <c r="S1293">
        <f>IFERROR(O1293/N1293,0)</f>
        <v/>
      </c>
      <c r="T1293" t="n">
        <v>0</v>
      </c>
      <c r="V1293" t="n">
        <v>0</v>
      </c>
    </row>
    <row r="1294">
      <c r="A1294">
        <f>Skills!A27</f>
        <v/>
      </c>
      <c r="B1294">
        <f>Skills!B27</f>
        <v/>
      </c>
      <c r="C1294">
        <f>Inputs!$B$3&gt;=125</f>
        <v/>
      </c>
      <c r="D1294">
        <f>IF(Skills!C27=1,60+Inputs!$B$25+Inputs!$B$29,IF(Skills!C27=2,90+Inputs!$B$26+Inputs!$B$29,IF(Skills!C27=3,120+Inputs!$B$27+Inputs!$B$29,MAX(0,(Inputs!$B$3-100)*3)+Inputs!$B$28+Inputs!$B$29)))</f>
        <v/>
      </c>
      <c r="E1294">
        <f>INDEX(FactorTable!$B$2:$Y$301, MATCH(ROUND(MIN(300,MAX(1,D1294)),0), FactorTable!$A$2:$A$301,0), Skills!M27+1)</f>
        <v/>
      </c>
      <c r="F1294">
        <f>IF(Skills!N27=TRUE,(Skills!L27/10)*(E1294/1000),Skills!L27/10)+Skills!O27</f>
        <v/>
      </c>
      <c r="G1294">
        <f>Skills!G27*IF(Skills!H27&gt;0,Skills!I27/Skills!H27,1)</f>
        <v/>
      </c>
      <c r="H1294">
        <f>1-(1-Skills!J27/100)^Skills!K27</f>
        <v/>
      </c>
      <c r="I1294" t="inlineStr">
        <is>
          <t>1</t>
        </is>
      </c>
      <c r="J1294" t="inlineStr"/>
      <c r="K1294" t="inlineStr"/>
      <c r="L1294" t="inlineStr"/>
      <c r="M1294" t="inlineStr"/>
      <c r="N1294" t="inlineStr"/>
      <c r="O1294">
        <f>(1-Summary!$B$11)*T1294+Summary!$B$11*V1294</f>
        <v/>
      </c>
      <c r="P1294">
        <f>IF(B1310=0,0,O1294/B1310)</f>
        <v/>
      </c>
      <c r="Q1294" t="n">
        <v>0</v>
      </c>
      <c r="R1294" t="n">
        <v>0</v>
      </c>
      <c r="S1294">
        <f>IFERROR(O1294/N1294,0)</f>
        <v/>
      </c>
      <c r="T1294" t="n">
        <v>0</v>
      </c>
      <c r="V1294" t="n">
        <v>0</v>
      </c>
    </row>
    <row r="1295">
      <c r="A1295">
        <f>Skills!A28</f>
        <v/>
      </c>
      <c r="B1295">
        <f>Skills!B28</f>
        <v/>
      </c>
      <c r="C1295">
        <f>Inputs!$B$3&gt;=120</f>
        <v/>
      </c>
      <c r="D1295">
        <f>IF(Skills!C28=1,60+Inputs!$B$25+Inputs!$B$29,IF(Skills!C28=2,90+Inputs!$B$26+Inputs!$B$29,IF(Skills!C28=3,120+Inputs!$B$27+Inputs!$B$29,MAX(0,(Inputs!$B$3-100)*3)+Inputs!$B$28+Inputs!$B$29)))</f>
        <v/>
      </c>
      <c r="E1295">
        <f>INDEX(FactorTable!$B$2:$Y$301, MATCH(ROUND(MIN(300,MAX(1,D1295)),0), FactorTable!$A$2:$A$301,0), Skills!M28+1)</f>
        <v/>
      </c>
      <c r="F1295">
        <f>IF(Skills!N28=TRUE,(Skills!L28/10)*(E1295/1000),Skills!L28/10)+Skills!O28</f>
        <v/>
      </c>
      <c r="G1295">
        <f>Skills!G28*IF(Skills!H28&gt;0,Skills!I28/Skills!H28,1)</f>
        <v/>
      </c>
      <c r="H1295">
        <f>1-(1-Skills!J28/100)^Skills!K28</f>
        <v/>
      </c>
      <c r="I1295" t="inlineStr">
        <is>
          <t>1</t>
        </is>
      </c>
      <c r="J1295" t="inlineStr"/>
      <c r="K1295" t="inlineStr"/>
      <c r="L1295" t="inlineStr"/>
      <c r="M1295" t="inlineStr"/>
      <c r="N1295" t="inlineStr"/>
      <c r="O1295">
        <f>(1-Summary!$B$11)*T1295+Summary!$B$11*V1295</f>
        <v/>
      </c>
      <c r="P1295">
        <f>IF(B1310=0,0,O1295/B1310)</f>
        <v/>
      </c>
      <c r="Q1295" t="n">
        <v>0</v>
      </c>
      <c r="R1295" t="n">
        <v>0</v>
      </c>
      <c r="S1295">
        <f>IFERROR(O1295/N1295,0)</f>
        <v/>
      </c>
      <c r="T1295" t="n">
        <v>0</v>
      </c>
      <c r="V1295" t="n">
        <v>0</v>
      </c>
    </row>
    <row r="1296">
      <c r="A1296">
        <f>Skills!A29</f>
        <v/>
      </c>
      <c r="B1296">
        <f>Skills!B29</f>
        <v/>
      </c>
      <c r="C1296">
        <f>Inputs!$B$3&gt;=120</f>
        <v/>
      </c>
      <c r="D1296">
        <f>IF(Skills!C29=1,60+Inputs!$B$25+Inputs!$B$29,IF(Skills!C29=2,90+Inputs!$B$26+Inputs!$B$29,IF(Skills!C29=3,120+Inputs!$B$27+Inputs!$B$29,MAX(0,(Inputs!$B$3-100)*3)+Inputs!$B$28+Inputs!$B$29)))</f>
        <v/>
      </c>
      <c r="E1296">
        <f>INDEX(FactorTable!$B$2:$Y$301, MATCH(ROUND(MIN(300,MAX(1,D1296)),0), FactorTable!$A$2:$A$301,0), Skills!M29+1)</f>
        <v/>
      </c>
      <c r="F1296">
        <f>IF(Skills!N29=TRUE,(Skills!L29/10)*(E1296/1000),Skills!L29/10)+Skills!O29</f>
        <v/>
      </c>
      <c r="G1296">
        <f>Skills!G29*IF(Skills!H29&gt;0,Skills!I29/Skills!H29,1)</f>
        <v/>
      </c>
      <c r="H1296">
        <f>1-(1-Skills!J29/100)^Skills!K29</f>
        <v/>
      </c>
      <c r="I1296" t="inlineStr">
        <is>
          <t>1</t>
        </is>
      </c>
      <c r="J1296" t="inlineStr"/>
      <c r="K1296" t="inlineStr"/>
      <c r="L1296" t="inlineStr"/>
      <c r="M1296" t="inlineStr"/>
      <c r="N1296" t="inlineStr"/>
      <c r="O1296">
        <f>(1-Summary!$B$11)*T1296+Summary!$B$11*V1296</f>
        <v/>
      </c>
      <c r="P1296">
        <f>IF(B1310=0,0,O1296/B1310)</f>
        <v/>
      </c>
      <c r="Q1296" t="n">
        <v>0</v>
      </c>
      <c r="R1296" t="n">
        <v>0</v>
      </c>
      <c r="S1296">
        <f>IFERROR(O1296/N1296,0)</f>
        <v/>
      </c>
      <c r="T1296" t="n">
        <v>0</v>
      </c>
      <c r="V1296" t="n">
        <v>0</v>
      </c>
    </row>
    <row r="1297">
      <c r="A1297">
        <f>Skills!A30</f>
        <v/>
      </c>
      <c r="B1297">
        <f>Skills!B30</f>
        <v/>
      </c>
      <c r="C1297">
        <f>Inputs!$B$3&gt;=45</f>
        <v/>
      </c>
      <c r="D1297">
        <f>IF(Skills!C30=1,60+Inputs!$B$25+Inputs!$B$29,IF(Skills!C30=2,90+Inputs!$B$26+Inputs!$B$29,IF(Skills!C30=3,120+Inputs!$B$27+Inputs!$B$29,MAX(0,(Inputs!$B$3-100)*3)+Inputs!$B$28+Inputs!$B$29)))</f>
        <v/>
      </c>
      <c r="E1297">
        <f>INDEX(FactorTable!$B$2:$Y$301, MATCH(ROUND(MIN(300,MAX(1,D1297)),0), FactorTable!$A$2:$A$301,0), Skills!M30+1)</f>
        <v/>
      </c>
      <c r="F1297">
        <f>IF(Skills!N30=TRUE,(Skills!L30/10)*(E1297/1000),Skills!L30/10)+Skills!O30</f>
        <v/>
      </c>
      <c r="G1297">
        <f>Skills!G30*IF(Skills!H30&gt;0,Skills!I30/Skills!H30,1)</f>
        <v/>
      </c>
      <c r="H1297">
        <f>1-(1-Skills!J30/100)^Skills!K30</f>
        <v/>
      </c>
      <c r="I1297" t="inlineStr">
        <is>
          <t>1</t>
        </is>
      </c>
      <c r="J1297" t="inlineStr"/>
      <c r="K1297" t="inlineStr"/>
      <c r="L1297" t="inlineStr"/>
      <c r="M1297" t="inlineStr"/>
      <c r="N1297" t="inlineStr"/>
      <c r="O1297">
        <f>(1-Summary!$B$11)*T1297+Summary!$B$11*V1297</f>
        <v/>
      </c>
      <c r="P1297">
        <f>IF(B1310=0,0,O1297/B1310)</f>
        <v/>
      </c>
      <c r="Q1297" t="n">
        <v>0</v>
      </c>
      <c r="R1297" t="n">
        <v>0</v>
      </c>
      <c r="S1297">
        <f>IFERROR(O1297/N1297,0)</f>
        <v/>
      </c>
      <c r="T1297" t="n">
        <v>0</v>
      </c>
      <c r="V1297" t="n">
        <v>0</v>
      </c>
    </row>
    <row r="1299">
      <c r="A1299" t="inlineStr">
        <is>
          <t>Attack% Bucket Multiplier</t>
        </is>
      </c>
      <c r="B1299">
        <f>(1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00">
      <c r="A1300" t="inlineStr">
        <is>
          <t>Global Crit Rate Bonus %</t>
        </is>
      </c>
      <c r="B1300">
        <f>(C1283=TRUE)*20*IF(AND(Inputs!$B$38&lt;&gt;"pvp",Inputs!$B$43&gt;0),(((R1283-1)*(Skills!T16*(1+Inputs!$B$34/100))+MIN((Skills!T16*(1+Inputs!$B$34/100)),MAX(0,Inputs!$B$43-((R1283-1)*Skills!D16))))/Inputs!$B$43),IF(Inputs!$B$38="pvp",MIN((Skills!T16*(1+Inputs!$B$34/100)),15)/15,(Skills!T16*(1+Inputs!$B$34/100))/Skills!D16))</f>
        <v/>
      </c>
    </row>
    <row r="1301">
      <c r="A1301" t="inlineStr">
        <is>
          <t>Attack Speed Buff Bonus %</t>
        </is>
      </c>
      <c r="B1301">
        <f>((C1286=TRUE)*F1286*IF(AND(Inputs!$B$38&lt;&gt;"pvp",Inputs!$B$43&gt;0),(((R1286-1)*(Skills!T19*(1+Inputs!$B$34/100))+MIN((Skills!T19*(1+Inputs!$B$34/100)),MAX(0,Inputs!$B$43-((R1286-1)*Skills!D19))))/Inputs!$B$43),IF(Inputs!$B$38="pvp",MIN((Skills!T19*(1+Inputs!$B$34/100)),15)/15,(Skills!T19*(1+Inputs!$B$34/100))/Skills!D19)))</f>
        <v/>
      </c>
    </row>
    <row r="1302">
      <c r="A1302" t="inlineStr">
        <is>
          <t>Actions Per Second</t>
        </is>
      </c>
      <c r="B1302">
        <f>1+MIN(150,150*(1-(1-(Inputs!$B$11+((C1288=TRUE)*(F1288-Calc!F21))+((C1289=TRUE)*(F1289-Calc!F22)))/150)*(1-B1301/150)))/100</f>
        <v/>
      </c>
    </row>
    <row r="1303">
      <c r="A1303" t="inlineStr">
        <is>
          <t>Skill + Buff Cast Rate</t>
        </is>
      </c>
      <c r="B1303">
        <f>IF(AND(Inputs!$B$38&lt;&gt;"pvp",Inputs!$B$43&gt;0),SUMPRODUCT((Skills!E2:E30=TRUE)*(C1269:C1297=TRUE)*R1269:R1297*Skills!F2:F30)/Inputs!$B$43,SUMPRODUCT((Skills!E2:E30=TRUE)*(C1269:C1297=TRUE)*Q1269:Q1297*Skills!F2:F30))</f>
        <v/>
      </c>
    </row>
    <row r="1304">
      <c r="A1304" t="inlineStr">
        <is>
          <t>Arrow Stream Casts Per Second</t>
        </is>
      </c>
      <c r="B1304">
        <f>MAX(0,B1302-B1303)</f>
        <v/>
      </c>
    </row>
    <row r="1305">
      <c r="A1305" t="inlineStr">
        <is>
          <t>Global Critical Damage Bonus % (Sharp Eyes + Concentration)</t>
        </is>
      </c>
      <c r="B1305">
        <f>(C1283=TRUE)*F1283*IF(AND(Inputs!$B$38&lt;&gt;"pvp",Inputs!$B$43&gt;0),(((R1283-1)*(Skills!T16*(1+Inputs!$B$34/100))+MIN((Skills!T16*(1+Inputs!$B$34/100)),MAX(0,Inputs!$B$43-((R1283-1)*Skills!D16))))/Inputs!$B$43),IF(Inputs!$B$38="pvp",MIN((Skills!T16*(1+Inputs!$B$34/100)),15)/15,(Skills!T16*(1+Inputs!$B$34/100))/Skills!D16))+(C1284=TRUE)*30</f>
        <v/>
      </c>
    </row>
    <row r="1306">
      <c r="A1306" t="inlineStr">
        <is>
          <t>Global Final Damage Bonus % (Mortal Blow)</t>
        </is>
      </c>
      <c r="B1306">
        <f>(C1285=TRUE)*F1285</f>
        <v/>
      </c>
    </row>
    <row r="1307">
      <c r="A1307" t="inlineStr">
        <is>
          <t>Buff-Casting Startup Delay (s, fixed-duration only)</t>
        </is>
      </c>
      <c r="B1307">
        <f>IF(AND(Inputs!$B$38&lt;&gt;"pvp",Inputs!$B$43&gt;0),SUMPRODUCT((Skills!T2:T30&gt;0)*(Skills!E2:E30=TRUE)*(C1269:C1297=TRUE))/B1302,0)</f>
        <v/>
      </c>
    </row>
    <row r="1308">
      <c r="A1308" t="inlineStr">
        <is>
          <t>Boss-Only Total DPS (this block's swept value)</t>
        </is>
      </c>
      <c r="B1308">
        <f>SUM(T1269:T1297)</f>
        <v/>
      </c>
    </row>
    <row r="1309">
      <c r="A1309" t="inlineStr">
        <is>
          <t>Normal-Only Total DPS (this block's swept value)</t>
        </is>
      </c>
      <c r="B1309">
        <f>SUM(V1269:V1297)</f>
        <v/>
      </c>
    </row>
    <row r="1310">
      <c r="A1310" s="6" t="inlineStr">
        <is>
          <t>TOTAL DPS</t>
        </is>
      </c>
      <c r="B1310" s="6">
        <f>SUM(O1269:O1297)</f>
        <v/>
      </c>
    </row>
    <row r="1313">
      <c r="A1313" s="6" t="inlineStr">
        <is>
          <t>Stat: Pig's Ribbon (Equip)</t>
        </is>
      </c>
    </row>
    <row r="1314">
      <c r="A1314" s="5" t="inlineStr">
        <is>
          <t>Key</t>
        </is>
      </c>
      <c r="B1314" s="5" t="inlineStr">
        <is>
          <t>Name</t>
        </is>
      </c>
      <c r="C1314" s="5" t="inlineStr">
        <is>
          <t>Unlocked</t>
        </is>
      </c>
      <c r="D1314" s="5" t="inlineStr">
        <is>
          <t>InputLevel</t>
        </is>
      </c>
      <c r="E1314" s="5" t="inlineStr">
        <is>
          <t>Factor</t>
        </is>
      </c>
      <c r="F1314" s="5" t="inlineStr">
        <is>
          <t>CoefficientPercent</t>
        </is>
      </c>
      <c r="G1314" s="5" t="inlineStr">
        <is>
          <t>EffectiveHits</t>
        </is>
      </c>
      <c r="H1314" s="5" t="inlineStr">
        <is>
          <t>ProcProbability</t>
        </is>
      </c>
      <c r="I1314" s="5" t="inlineStr">
        <is>
          <t>MapleHeroMultiplier</t>
        </is>
      </c>
      <c r="J1314" s="5" t="inlineStr">
        <is>
          <t>BaseDamage</t>
        </is>
      </c>
      <c r="K1314" s="5" t="inlineStr">
        <is>
          <t>BaseHitDamage</t>
        </is>
      </c>
      <c r="L1314" s="5" t="inlineStr">
        <is>
          <t>NonCritAvg</t>
        </is>
      </c>
      <c r="M1314" s="5" t="inlineStr">
        <is>
          <t>CritAvg</t>
        </is>
      </c>
      <c r="N1314" s="5" t="inlineStr">
        <is>
          <t>ExpectedDamage(perHit)</t>
        </is>
      </c>
      <c r="O1314" s="5" t="inlineStr">
        <is>
          <t>DPS</t>
        </is>
      </c>
      <c r="P1314" s="5" t="inlineStr">
        <is>
          <t>% of Total</t>
        </is>
      </c>
      <c r="Q1314" s="5" t="inlineStr">
        <is>
          <t>InvCooldown</t>
        </is>
      </c>
      <c r="R1314" s="5" t="inlineStr">
        <is>
          <t>CastsInFight</t>
        </is>
      </c>
      <c r="S1314" s="5" t="inlineStr">
        <is>
          <t>HitRate(perSec)</t>
        </is>
      </c>
      <c r="U1314" t="inlineStr">
        <is>
          <t>helpers</t>
        </is>
      </c>
    </row>
    <row r="1315">
      <c r="A1315">
        <f>Skills!A2</f>
        <v/>
      </c>
      <c r="B1315">
        <f>Skills!B2</f>
        <v/>
      </c>
      <c r="C1315">
        <f>Inputs!$B$3&gt;=100</f>
        <v/>
      </c>
      <c r="D1315" t="inlineStr"/>
      <c r="E1315" t="inlineStr"/>
      <c r="F1315">
        <f>U1317+Skills!O2</f>
        <v/>
      </c>
      <c r="G1315">
        <f>Skills!G2*IF(Skills!H2&gt;0,Skills!I2/Skills!H2,1)</f>
        <v/>
      </c>
      <c r="H1315">
        <f>1-(1-Skills!J2/100)^Skills!K2</f>
        <v/>
      </c>
      <c r="I1315" t="inlineStr">
        <is>
          <t>1</t>
        </is>
      </c>
      <c r="J1315">
        <f>((Inputs!$B$6*(1+Inputs!$B$7/100))+(((Inputs!$B$12*(1+Inputs!$B$13/100))-(Inputs!$B$12*(1+Inputs!$B$13/100)))+0.25*(Inputs!$B$14-Inputs!$B$14))*(1+Inputs!$B$7/100))*(F1315/100)</f>
        <v/>
      </c>
      <c r="K1315">
        <f>J1315*(1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1337=TRUE)*(F1337-Calc!F24)),(Inputs!$B$23+((C1342=TRUE)*(F1342-Calc!F29))+(IF(ArtifactsInput!$M$15,CHOOSE(ArtifactsInput!$N$15+1,25,30,35,40,45,50)/100*(Inputs!$B$11-Inputs!$B$11),0))))/100+(Inputs!$B$23+((C1342=TRUE)*(F1342-Calc!F29))+(IF(ArtifactsInput!$M$15,CHOOSE(ArtifactsInput!$N$15+1,25,30,35,40,45,50)/100*(Inputs!$B$11-Inputs!$B$11),0)))/100)/2</f>
        <v/>
      </c>
      <c r="M1315">
        <f>L1315*(1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IF(B1356=0,0,O1315/B1356)</f>
        <v/>
      </c>
      <c r="Q1315" t="n">
        <v>0</v>
      </c>
      <c r="R1315" t="n">
        <v>0</v>
      </c>
      <c r="S1315">
        <f>IFERROR(O1315/N1315,0)</f>
        <v/>
      </c>
      <c r="T1315">
        <f>IF(C1315,(Skills!G2*N1315*B1350)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1315*(1-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MAX(0,(Inputs!$B$3-100)*3)+Inputs!$B$28+Inputs!$B$29</f>
        <v/>
      </c>
      <c r="V1315">
        <f>IF(C1315,(Skills!G2*N1315*B1350)*IF(Inputs!$B$38="pvp",1,(1+(Inputs!$B$21+Skills!Q2+(IF(ArtifactsInput!$M$33,CHOOSE(ArtifactsInput!$N$33+1,30,36,42,48,54,60),0))+(IF(AND(ArtifactsInput!$M$35,Inputs!$B$4&lt;&gt;"Chapter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Skills!A3</f>
        <v/>
      </c>
      <c r="B1316">
        <f>Skills!B3</f>
        <v/>
      </c>
      <c r="C1316">
        <f>Inputs!$B$3&gt;=50</f>
        <v/>
      </c>
      <c r="D1316">
        <f>IF(Skills!C3=1,60+Inputs!$B$25+Inputs!$B$29,IF(Skills!C3=2,90+Inputs!$B$26+Inputs!$B$29,IF(Skills!C3=3,120+Inputs!$B$27+Inputs!$B$29,MAX(0,(Inputs!$B$3-100)*3)+Inputs!$B$28+Inputs!$B$29)))</f>
        <v/>
      </c>
      <c r="E1316">
        <f>INDEX(FactorTable!$B$2:$Y$301, MATCH(ROUND(MIN(300,MAX(1,D1316)),0), FactorTable!$A$2:$A$301,0), Skills!M3+1)</f>
        <v/>
      </c>
      <c r="F1316">
        <f>IF(Skills!N3=TRUE,(Skills!L3/10)*(E1316/1000),Skills!L3/10)+Skills!O3</f>
        <v/>
      </c>
      <c r="G1316" t="inlineStr"/>
      <c r="H1316" t="inlineStr"/>
      <c r="I1316" t="inlineStr">
        <is>
          <t>1</t>
        </is>
      </c>
      <c r="J1316" t="inlineStr"/>
      <c r="K1316" t="inlineStr"/>
      <c r="L1316" t="inlineStr"/>
      <c r="M1316" t="inlineStr"/>
      <c r="N1316" t="inlineStr"/>
      <c r="O1316" t="inlineStr"/>
      <c r="P1316" t="inlineStr"/>
      <c r="Q1316" t="inlineStr"/>
      <c r="R1316" t="inlineStr"/>
      <c r="S1316" t="inlineStr"/>
      <c r="T1316" t="inlineStr"/>
      <c r="U1316">
        <f>INDEX(FactorTable!$B$2:$Y$301, MATCH(ROUND(MIN(300,MAX(1,U1315)),0), FactorTable!$A$2:$A$301,0), 22)</f>
        <v/>
      </c>
      <c r="V1316" t="inlineStr"/>
    </row>
    <row r="1317">
      <c r="A1317">
        <f>Skills!A4</f>
        <v/>
      </c>
      <c r="B1317">
        <f>Skills!B4</f>
        <v/>
      </c>
      <c r="C1317">
        <f>Inputs!$B$3&gt;=105</f>
        <v/>
      </c>
      <c r="D1317">
        <f>IF(Skills!C4=1,60+Inputs!$B$25+Inputs!$B$29,IF(Skills!C4=2,90+Inputs!$B$26+Inputs!$B$29,IF(Skills!C4=3,120+Inputs!$B$27+Inputs!$B$29,MAX(0,(Inputs!$B$3-100)*3)+Inputs!$B$28+Inputs!$B$29)))</f>
        <v/>
      </c>
      <c r="E1317">
        <f>INDEX(FactorTable!$B$2:$Y$301, MATCH(ROUND(MIN(300,MAX(1,D1317)),0), FactorTable!$A$2:$A$301,0), Skills!M4+1)</f>
        <v/>
      </c>
      <c r="F1317">
        <f>IF(Skills!N4=TRUE,(Skills!L4/10)*(E1317/1000),Skills!L4/10)+Skills!O4</f>
        <v/>
      </c>
      <c r="G1317" t="inlineStr"/>
      <c r="H1317" t="inlineStr"/>
      <c r="I1317" t="inlineStr">
        <is>
          <t>1</t>
        </is>
      </c>
      <c r="J1317" t="inlineStr"/>
      <c r="K1317" t="inlineStr"/>
      <c r="L1317" t="inlineStr"/>
      <c r="M1317" t="inlineStr"/>
      <c r="N1317" t="inlineStr"/>
      <c r="O1317" t="inlineStr"/>
      <c r="P1317" t="inlineStr"/>
      <c r="Q1317" t="inlineStr"/>
      <c r="R1317" t="inlineStr"/>
      <c r="S1317" t="inlineStr"/>
      <c r="T1317" t="inlineStr"/>
      <c r="U1317">
        <f>290*U1316/1000</f>
        <v/>
      </c>
      <c r="V1317" t="inlineStr"/>
    </row>
    <row r="1318">
      <c r="A1318">
        <f>Skills!A5</f>
        <v/>
      </c>
      <c r="B1318">
        <f>Skills!B5</f>
        <v/>
      </c>
      <c r="C1318">
        <f>Inputs!$B$3&gt;=35</f>
        <v/>
      </c>
      <c r="D1318">
        <f>IF(Skills!C5=1,60+Inputs!$B$25+Inputs!$B$29,IF(Skills!C5=2,90+Inputs!$B$26+Inputs!$B$29,IF(Skills!C5=3,120+Inputs!$B$27+Inputs!$B$29,MAX(0,(Inputs!$B$3-100)*3)+Inputs!$B$28+Inputs!$B$29)))</f>
        <v/>
      </c>
      <c r="E1318">
        <f>INDEX(FactorTable!$B$2:$Y$301, MATCH(ROUND(MIN(300,MAX(1,D1318)),0), FactorTable!$A$2:$A$301,0), Skills!M5+1)</f>
        <v/>
      </c>
      <c r="F1318">
        <f>IF(Skills!N5=TRUE,(Skills!L5/10)*(E1318/1000),Skills!L5/10)+Skills!O5</f>
        <v/>
      </c>
      <c r="G1318">
        <f>Skills!G5*IF(Skills!H5&gt;0,Skills!I5/Skills!H5,1)</f>
        <v/>
      </c>
      <c r="H1318">
        <f>1-(1-Skills!J5/100)^Skills!K5</f>
        <v/>
      </c>
      <c r="I1318" t="inlineStr">
        <is>
          <t>1</t>
        </is>
      </c>
      <c r="J1318">
        <f>((Inputs!$B$6*(1+Inputs!$B$7/100))+(((Inputs!$B$12*(1+Inputs!$B$13/100))-(Inputs!$B$12*(1+Inputs!$B$13/100)))+0.25*(Inputs!$B$14-Inputs!$B$14))*(1+Inputs!$B$7/100))*(F1318/100)</f>
        <v/>
      </c>
      <c r="K1318">
        <f>J1318*(1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5="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1337=TRUE)*(F1337-Calc!F24)),(Inputs!$B$23+((C1342=TRUE)*(F1342-Calc!F29))+(IF(ArtifactsInput!$M$15,CHOOSE(ArtifactsInput!$N$15+1,25,30,35,40,45,50)/100*(Inputs!$B$11-Inputs!$B$11),0))))/100+(Inputs!$B$23+((C1342=TRUE)*(F1342-Calc!F29))+(IF(ArtifactsInput!$M$15,CHOOSE(ArtifactsInput!$N$15+1,25,30,35,40,45,50)/100*(Inputs!$B$11-Inputs!$B$11),0)))/100)/2</f>
        <v/>
      </c>
      <c r="M1318">
        <f>L1318*(1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IF(B1356=0,0,O1318/B1356)</f>
        <v/>
      </c>
      <c r="Q1318">
        <f>IFERROR(1/(IF(Inputs!$B$38="pvp",15,MAX(0.1,Skills!D5-IF(Skills!E5=TRUE,Inputs!$B$32,0)))*(1-IF(AND(ArtifactsInput!$M$27,Inputs!$B$4="Chapter Hunt"),CHOOSE(ArtifactsInput!$N$27+1,20,24,28,32,36,40),0)/100)),0)</f>
        <v/>
      </c>
      <c r="R1318">
        <f>IF(AND(Inputs!$B$38&lt;&gt;"pvp",Inputs!$B$43&gt;0),IF(MAX(0,Inputs!$B$43-B1353)&lt;=0,0,(INT(MAX(0,Inputs!$B$43-B1353)/(IF(Inputs!$B$38="pvp",15,MAX(0.1,Skills!D5-IF(Skills!E5=TRUE,Inputs!$B$32,0)))*(1-IF(AND(ArtifactsInput!$M$27,Inputs!$B$4="Chapter Hunt"),CHOOSE(ArtifactsInput!$N$27+1,20,24,28,32,36,40),0)/100)))+1)),0)</f>
        <v/>
      </c>
      <c r="S1318">
        <f>IFERROR(O1318/N1318,0)</f>
        <v/>
      </c>
      <c r="T1318">
        <f>IF(C1318,(H1318*N1318*IF(AND(Inputs!$B$38&lt;&gt;"pvp",Inputs!$B$43&gt;0),((Skills!G5*((R1318-1)*IF(Skills!H5&gt;0,Skills!I5/Skills!H5,1)+IF(Skills!H5&gt;0,MIN(Skills!I5,MAX(0,MAX(0,Inputs!$B$43-B1353)-((R1318-1)*(IF(Inputs!$B$38="pvp",15,MAX(0.1,Skills!D5-IF(Skills!E5=TRUE,Inputs!$B$32,0)))*(1-IF(AND(ArtifactsInput!$M$27,Inputs!$B$4="Chapter Hunt"),CHOOSE(ArtifactsInput!$N$27+1,20,24,28,32,36,40),0)/100)))))/Skills!H5,1)))/Inputs!$B$43),G1318*Q1318)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1318*(1-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5*((R1318-1)*IF(Skills!H5&gt;0,Skills!I5/Skills!H5,1)+IF(Skills!H5&gt;0,MIN(Skills!I5,MAX(0,MAX(0,Inputs!$B$43-B1353)-((R1318-1)*(IF(Inputs!$B$38="pvp",15,MAX(0.1,Skills!D5-IF(Skills!E5=TRUE,Inputs!$B$32,0)))*(1-IF(AND(ArtifactsInput!$M$27,Inputs!$B$4="Chapter Hunt"),CHOOSE(ArtifactsInput!$N$27+1,20,24,28,32,36,40),0)/100)))))/Skills!H5,1)))/Inputs!$B$43),G1318*Q1318))*IF(Inputs!$B$38="pvp",1,(1+(Inputs!$B$21+Skills!Q5+(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Skills!A6</f>
        <v/>
      </c>
      <c r="B1319">
        <f>Skills!B6</f>
        <v/>
      </c>
      <c r="C1319">
        <f>Inputs!$B$3&gt;=40</f>
        <v/>
      </c>
      <c r="D1319">
        <f>IF(Skills!C6=1,60+Inputs!$B$25+Inputs!$B$29,IF(Skills!C6=2,90+Inputs!$B$26+Inputs!$B$29,IF(Skills!C6=3,120+Inputs!$B$27+Inputs!$B$29,MAX(0,(Inputs!$B$3-100)*3)+Inputs!$B$28+Inputs!$B$29)))</f>
        <v/>
      </c>
      <c r="E1319">
        <f>INDEX(FactorTable!$B$2:$Y$301, MATCH(ROUND(MIN(300,MAX(1,D1319)),0), FactorTable!$A$2:$A$301,0), Skills!M6+1)</f>
        <v/>
      </c>
      <c r="F1319">
        <f>IF(Skills!N6=TRUE,(Skills!L6/10)*(E1319/1000),Skills!L6/10)+Skills!O6</f>
        <v/>
      </c>
      <c r="G1319">
        <f>Skills!G6*IF(Skills!H6&gt;0,Skills!I6/Skills!H6,1)</f>
        <v/>
      </c>
      <c r="H1319">
        <f>1-(1-Skills!J6/100)^Skills!K6</f>
        <v/>
      </c>
      <c r="I1319" t="inlineStr">
        <is>
          <t>1</t>
        </is>
      </c>
      <c r="J1319">
        <f>((Inputs!$B$6*(1+Inputs!$B$7/100))+(((Inputs!$B$12*(1+Inputs!$B$13/100))-(Inputs!$B$12*(1+Inputs!$B$13/100)))+0.25*(Inputs!$B$14-Inputs!$B$14))*(1+Inputs!$B$7/100))*(F1319/100)</f>
        <v/>
      </c>
      <c r="K1319">
        <f>J1319*(1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1320=TRUE,F1320,0)/100)*(1+(IF(Skills!A6="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1337=TRUE)*(F1337-Calc!F24)),(Inputs!$B$23+((C1342=TRUE)*(F1342-Calc!F29))+(IF(ArtifactsInput!$M$15,CHOOSE(ArtifactsInput!$N$15+1,25,30,35,40,45,50)/100*(Inputs!$B$11-Inputs!$B$11),0))))/100+(Inputs!$B$23+((C1342=TRUE)*(F1342-Calc!F29))+(IF(ArtifactsInput!$M$15,CHOOSE(ArtifactsInput!$N$15+1,25,30,35,40,45,50)/100*(Inputs!$B$11-Inputs!$B$11),0)))/100)/2</f>
        <v/>
      </c>
      <c r="M1319">
        <f>L1319*(1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IF(B1356=0,0,O1319/B1356)</f>
        <v/>
      </c>
      <c r="Q1319">
        <f>IFERROR(1/(IF(Inputs!$B$38="pvp",15,MAX(0.1,Skills!D6-IF(Skills!E6=TRUE,Inputs!$B$32,0)))*(1-IF(AND(ArtifactsInput!$M$27,Inputs!$B$4="Chapter Hunt"),CHOOSE(ArtifactsInput!$N$27+1,20,24,28,32,36,40),0)/100)),0)</f>
        <v/>
      </c>
      <c r="R1319">
        <f>IF(AND(Inputs!$B$38&lt;&gt;"pvp",Inputs!$B$43&gt;0),IF(MAX(0,Inputs!$B$43-B1353)&lt;=0,0,(INT(MAX(0,Inputs!$B$43-B1353)/(IF(Inputs!$B$38="pvp",15,MAX(0.1,Skills!D6-IF(Skills!E6=TRUE,Inputs!$B$32,0)))*(1-IF(AND(ArtifactsInput!$M$27,Inputs!$B$4="Chapter Hunt"),CHOOSE(ArtifactsInput!$N$27+1,20,24,28,32,36,40),0)/100)))+1)),0)</f>
        <v/>
      </c>
      <c r="S1319">
        <f>IFERROR(O1319/N1319,0)</f>
        <v/>
      </c>
      <c r="T1319">
        <f>IF(C1319,(H1319*N1319*IF(AND(Inputs!$B$38&lt;&gt;"pvp",Inputs!$B$43&gt;0),((Skills!G6*((R1319-1)*IF(Skills!H6&gt;0,Skills!I6/Skills!H6,1)+IF(Skills!H6&gt;0,MIN(Skills!I6,MAX(0,MAX(0,Inputs!$B$43-B1353)-((R1319-1)*(IF(Inputs!$B$38="pvp",15,MAX(0.1,Skills!D6-IF(Skills!E6=TRUE,Inputs!$B$32,0)))*(1-IF(AND(ArtifactsInput!$M$27,Inputs!$B$4="Chapter Hunt"),CHOOSE(ArtifactsInput!$N$27+1,20,24,28,32,36,40),0)/100)))))/Skills!H6,1)))/Inputs!$B$43),G1319*Q1319)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1319*(1-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6*((R1319-1)*IF(Skills!H6&gt;0,Skills!I6/Skills!H6,1)+IF(Skills!H6&gt;0,MIN(Skills!I6,MAX(0,MAX(0,Inputs!$B$43-B1353)-((R1319-1)*(IF(Inputs!$B$38="pvp",15,MAX(0.1,Skills!D6-IF(Skills!E6=TRUE,Inputs!$B$32,0)))*(1-IF(AND(ArtifactsInput!$M$27,Inputs!$B$4="Chapter Hunt"),CHOOSE(ArtifactsInput!$N$27+1,20,24,28,32,36,40),0)/100)))))/Skills!H6,1)))/Inputs!$B$43),G1319*Q1319))*IF(Inputs!$B$38="pvp",1,(1+(Inputs!$B$21+Skills!Q6+(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Skills!A7</f>
        <v/>
      </c>
      <c r="B1320">
        <f>Skills!B7</f>
        <v/>
      </c>
      <c r="C1320">
        <f>Inputs!$B$3&gt;=107</f>
        <v/>
      </c>
      <c r="D1320">
        <f>IF(Skills!C7=1,60+Inputs!$B$25+Inputs!$B$29,IF(Skills!C7=2,90+Inputs!$B$26+Inputs!$B$29,IF(Skills!C7=3,120+Inputs!$B$27+Inputs!$B$29,MAX(0,(Inputs!$B$3-100)*3)+Inputs!$B$28+Inputs!$B$29)))</f>
        <v/>
      </c>
      <c r="E1320">
        <f>INDEX(FactorTable!$B$2:$Y$301, MATCH(ROUND(MIN(300,MAX(1,D1320)),0), FactorTable!$A$2:$A$301,0), Skills!M7+1)</f>
        <v/>
      </c>
      <c r="F1320">
        <f>IF(Skills!N7=TRUE,(Skills!L7/10)*(E1320/1000),Skills!L7/10)+Skills!O7</f>
        <v/>
      </c>
      <c r="G1320" t="inlineStr"/>
      <c r="H1320" t="inlineStr"/>
      <c r="I1320" t="inlineStr">
        <is>
          <t>1</t>
        </is>
      </c>
      <c r="J1320" t="inlineStr"/>
      <c r="K1320" t="inlineStr"/>
      <c r="L1320" t="inlineStr"/>
      <c r="M1320" t="inlineStr"/>
      <c r="N1320" t="inlineStr"/>
      <c r="O1320" t="inlineStr"/>
      <c r="P1320" t="inlineStr"/>
      <c r="Q1320" t="inlineStr"/>
      <c r="R1320" t="inlineStr"/>
      <c r="S1320" t="inlineStr"/>
      <c r="T1320" t="inlineStr"/>
      <c r="V1320" t="inlineStr"/>
    </row>
    <row r="1321">
      <c r="A1321">
        <f>Skills!A8</f>
        <v/>
      </c>
      <c r="B1321">
        <f>Skills!B8</f>
        <v/>
      </c>
      <c r="C1321">
        <f>Inputs!$B$3&gt;=69</f>
        <v/>
      </c>
      <c r="D1321">
        <f>IF(Skills!C8=1,60+Inputs!$B$25+Inputs!$B$29,IF(Skills!C8=2,90+Inputs!$B$26+Inputs!$B$29,IF(Skills!C8=3,120+Inputs!$B$27+Inputs!$B$29,MAX(0,(Inputs!$B$3-100)*3)+Inputs!$B$28+Inputs!$B$29)))</f>
        <v/>
      </c>
      <c r="E1321">
        <f>INDEX(FactorTable!$B$2:$Y$301, MATCH(ROUND(MIN(300,MAX(1,D1321)),0), FactorTable!$A$2:$A$301,0), Skills!M8+1)</f>
        <v/>
      </c>
      <c r="F1321">
        <f>IF(Skills!N8=TRUE,(Skills!L8/10)*(E1321/1000),Skills!L8/10)+Skills!O8</f>
        <v/>
      </c>
      <c r="G1321">
        <f>Skills!G8*IF(Skills!H8&gt;0,Skills!I8/Skills!H8,1)</f>
        <v/>
      </c>
      <c r="H1321">
        <f>1-(1-Skills!J8/100)^Skills!K8</f>
        <v/>
      </c>
      <c r="I1321" t="inlineStr">
        <is>
          <t>1</t>
        </is>
      </c>
      <c r="J1321">
        <f>((Inputs!$B$6*(1+Inputs!$B$7/100))+(((Inputs!$B$12*(1+Inputs!$B$13/100))-(Inputs!$B$12*(1+Inputs!$B$13/100)))+0.25*(Inputs!$B$14-Inputs!$B$14))*(1+Inputs!$B$7/100))*(F1321/100)</f>
        <v/>
      </c>
      <c r="K1321">
        <f>J1321*(1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1323=TRUE,F1323,0)/100)*(1+(IF(Skills!A8="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1337=TRUE)*(F1337-Calc!F24)),(Inputs!$B$23+((C1342=TRUE)*(F1342-Calc!F29))+(IF(ArtifactsInput!$M$15,CHOOSE(ArtifactsInput!$N$15+1,25,30,35,40,45,50)/100*(Inputs!$B$11-Inputs!$B$11),0))))/100+(Inputs!$B$23+((C1342=TRUE)*(F1342-Calc!F29))+(IF(ArtifactsInput!$M$15,CHOOSE(ArtifactsInput!$N$15+1,25,30,35,40,45,50)/100*(Inputs!$B$11-Inputs!$B$11),0)))/100)/2</f>
        <v/>
      </c>
      <c r="M1321">
        <f>L1321*(1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IF(B1356=0,0,O1321/B1356)</f>
        <v/>
      </c>
      <c r="Q1321">
        <f>IFERROR(1/(IF(Inputs!$B$38="pvp",15,MAX(0.1,Skills!D8-IF(Skills!E8=TRUE,Inputs!$B$32,0)))*(1-IF(AND(ArtifactsInput!$M$27,Inputs!$B$4="Chapter Hunt"),CHOOSE(ArtifactsInput!$N$27+1,20,24,28,32,36,40),0)/100)),0)</f>
        <v/>
      </c>
      <c r="R1321">
        <f>IF(AND(Inputs!$B$38&lt;&gt;"pvp",Inputs!$B$43&gt;0),IF(MAX(0,Inputs!$B$43-B1353)&lt;=0,0,(INT(MAX(0,Inputs!$B$43-B1353)/(IF(Inputs!$B$38="pvp",15,MAX(0.1,Skills!D8-IF(Skills!E8=TRUE,Inputs!$B$32,0)))*(1-IF(AND(ArtifactsInput!$M$27,Inputs!$B$4="Chapter Hunt"),CHOOSE(ArtifactsInput!$N$27+1,20,24,28,32,36,40),0)/100)))+1)),0)</f>
        <v/>
      </c>
      <c r="S1321">
        <f>IFERROR(O1321/N1321,0)</f>
        <v/>
      </c>
      <c r="T1321">
        <f>IF(C1321,(H1321*N1321*IF(AND(Inputs!$B$38&lt;&gt;"pvp",Inputs!$B$43&gt;0),((Skills!G8*((R1321-1)*IF(Skills!H8&gt;0,Skills!I8/Skills!H8,1)+IF(Skills!H8&gt;0,MIN(Skills!I8,MAX(0,MAX(0,Inputs!$B$43-B1353)-((R1321-1)*(IF(Inputs!$B$38="pvp",15,MAX(0.1,Skills!D8-IF(Skills!E8=TRUE,Inputs!$B$32,0)))*(1-IF(AND(ArtifactsInput!$M$27,Inputs!$B$4="Chapter Hunt"),CHOOSE(ArtifactsInput!$N$27+1,20,24,28,32,36,40),0)/100)))))/Skills!H8,1)))/Inputs!$B$43),G1321*Q1321)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1321*(1-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8*((R1321-1)*IF(Skills!H8&gt;0,Skills!I8/Skills!H8,1)+IF(Skills!H8&gt;0,MIN(Skills!I8,MAX(0,MAX(0,Inputs!$B$43-B1353)-((R1321-1)*(IF(Inputs!$B$38="pvp",15,MAX(0.1,Skills!D8-IF(Skills!E8=TRUE,Inputs!$B$32,0)))*(1-IF(AND(ArtifactsInput!$M$27,Inputs!$B$4="Chapter Hunt"),CHOOSE(ArtifactsInput!$N$27+1,20,24,28,32,36,40),0)/100)))))/Skills!H8,1)))/Inputs!$B$43),G1321*Q1321))*IF(Inputs!$B$38="pvp",1,(1+(Inputs!$B$21+Skills!Q8+(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Skills!A9</f>
        <v/>
      </c>
      <c r="B1322">
        <f>Skills!B9</f>
        <v/>
      </c>
      <c r="C1322">
        <f>Inputs!$B$3&gt;=63</f>
        <v/>
      </c>
      <c r="D1322">
        <f>IF(Skills!C9=1,60+Inputs!$B$25+Inputs!$B$29,IF(Skills!C9=2,90+Inputs!$B$26+Inputs!$B$29,IF(Skills!C9=3,120+Inputs!$B$27+Inputs!$B$29,MAX(0,(Inputs!$B$3-100)*3)+Inputs!$B$28+Inputs!$B$29)))</f>
        <v/>
      </c>
      <c r="E1322">
        <f>INDEX(FactorTable!$B$2:$Y$301, MATCH(ROUND(MIN(300,MAX(1,D1322)),0), FactorTable!$A$2:$A$301,0), Skills!M9+1)</f>
        <v/>
      </c>
      <c r="F1322">
        <f>IF(Skills!N9=TRUE,(Skills!L9/10)*(E1322/1000),Skills!L9/10)+Skills!O9</f>
        <v/>
      </c>
      <c r="G1322">
        <f>Skills!G9*IF(Skills!H9&gt;0,Skills!I9/Skills!H9,1)</f>
        <v/>
      </c>
      <c r="H1322">
        <f>1-(1-Skills!J9/100)^Skills!K9</f>
        <v/>
      </c>
      <c r="I1322" t="inlineStr">
        <is>
          <t>1</t>
        </is>
      </c>
      <c r="J1322">
        <f>((Inputs!$B$6*(1+Inputs!$B$7/100))+(((Inputs!$B$12*(1+Inputs!$B$13/100))-(Inputs!$B$12*(1+Inputs!$B$13/100)))+0.25*(Inputs!$B$14-Inputs!$B$14))*(1+Inputs!$B$7/100))*(F1322/100)</f>
        <v/>
      </c>
      <c r="K1322">
        <f>J1322*(1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9="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1337=TRUE)*(F1337-Calc!F24)),(Inputs!$B$23+((C1342=TRUE)*(F1342-Calc!F29))+(IF(ArtifactsInput!$M$15,CHOOSE(ArtifactsInput!$N$15+1,25,30,35,40,45,50)/100*(Inputs!$B$11-Inputs!$B$11),0))))/100+(Inputs!$B$23+((C1342=TRUE)*(F1342-Calc!F29))+(IF(ArtifactsInput!$M$15,CHOOSE(ArtifactsInput!$N$15+1,25,30,35,40,45,50)/100*(Inputs!$B$11-Inputs!$B$11),0)))/100)/2</f>
        <v/>
      </c>
      <c r="M1322">
        <f>L1322*(1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IF(B1356=0,0,O1322/B1356)</f>
        <v/>
      </c>
      <c r="Q1322">
        <f>IFERROR(1/(IF(Inputs!$B$38="pvp",15,MAX(0.1,Skills!D9-IF(Skills!E9=TRUE,Inputs!$B$32,0)))*(1-IF(AND(ArtifactsInput!$M$27,Inputs!$B$4="Chapter Hunt"),CHOOSE(ArtifactsInput!$N$27+1,20,24,28,32,36,40),0)/100)),0)</f>
        <v/>
      </c>
      <c r="R1322">
        <f>IF(AND(Inputs!$B$38&lt;&gt;"pvp",Inputs!$B$43&gt;0),IF(MAX(0,Inputs!$B$43-B1353)&lt;=0,0,(INT(MAX(0,Inputs!$B$43-B1353)/(IF(Inputs!$B$38="pvp",15,MAX(0.1,Skills!D9-IF(Skills!E9=TRUE,Inputs!$B$32,0)))*(1-IF(AND(ArtifactsInput!$M$27,Inputs!$B$4="Chapter Hunt"),CHOOSE(ArtifactsInput!$N$27+1,20,24,28,32,36,40),0)/100)))+1)),0)</f>
        <v/>
      </c>
      <c r="S1322">
        <f>IFERROR(O1322/N1322,0)</f>
        <v/>
      </c>
      <c r="T1322">
        <f>IF(C1322,(H1322*N1322*IF(AND(Inputs!$B$38&lt;&gt;"pvp",Inputs!$B$43&gt;0),((Skills!G9*((R1322-1)*IF(Skills!H9&gt;0,Skills!I9/Skills!H9,1)+IF(Skills!H9&gt;0,MIN(Skills!I9,MAX(0,MAX(0,Inputs!$B$43-B1353)-((R1322-1)*(IF(Inputs!$B$38="pvp",15,MAX(0.1,Skills!D9-IF(Skills!E9=TRUE,Inputs!$B$32,0)))*(1-IF(AND(ArtifactsInput!$M$27,Inputs!$B$4="Chapter Hunt"),CHOOSE(ArtifactsInput!$N$27+1,20,24,28,32,36,40),0)/100)))))/Skills!H9,1)))/Inputs!$B$43),G1322*Q1322)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9*((R1322-1)*IF(Skills!H9&gt;0,Skills!I9/Skills!H9,1)+IF(Skills!H9&gt;0,MIN(Skills!I9,MAX(0,MAX(0,Inputs!$B$43-B1353)-((R1322-1)*(IF(Inputs!$B$38="pvp",15,MAX(0.1,Skills!D9-IF(Skills!E9=TRUE,Inputs!$B$32,0)))*(1-IF(AND(ArtifactsInput!$M$27,Inputs!$B$4="Chapter Hunt"),CHOOSE(ArtifactsInput!$N$27+1,20,24,28,32,36,40),0)/100)))))/Skills!H9,1)))/Inputs!$B$43),G1322*Q1322))*IF(Inputs!$B$38="pvp",1,(1+(Inputs!$B$21+Skills!Q9+(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Skills!A10</f>
        <v/>
      </c>
      <c r="B1323">
        <f>Skills!B10</f>
        <v/>
      </c>
      <c r="C1323">
        <f>Inputs!$B$3&gt;=100</f>
        <v/>
      </c>
      <c r="D1323">
        <f>IF(Skills!C10=1,60+Inputs!$B$25+Inputs!$B$29,IF(Skills!C10=2,90+Inputs!$B$26+Inputs!$B$29,IF(Skills!C10=3,120+Inputs!$B$27+Inputs!$B$29,MAX(0,(Inputs!$B$3-100)*3)+Inputs!$B$28+Inputs!$B$29)))</f>
        <v/>
      </c>
      <c r="E1323">
        <f>INDEX(FactorTable!$B$2:$Y$301, MATCH(ROUND(MIN(300,MAX(1,D1323)),0), FactorTable!$A$2:$A$301,0), Skills!M10+1)</f>
        <v/>
      </c>
      <c r="F1323">
        <f>IF(Skills!N10=TRUE,(Skills!L10/10)*(E1323/1000),Skills!L10/10)+Skills!O10</f>
        <v/>
      </c>
      <c r="G1323" t="inlineStr"/>
      <c r="H1323" t="inlineStr"/>
      <c r="I1323" t="inlineStr">
        <is>
          <t>1</t>
        </is>
      </c>
      <c r="J1323" t="inlineStr"/>
      <c r="K1323" t="inlineStr"/>
      <c r="L1323" t="inlineStr"/>
      <c r="M1323" t="inlineStr"/>
      <c r="N1323" t="inlineStr"/>
      <c r="O1323" t="inlineStr"/>
      <c r="P1323" t="inlineStr"/>
      <c r="Q1323" t="inlineStr"/>
      <c r="R1323" t="inlineStr"/>
      <c r="S1323" t="inlineStr"/>
      <c r="T1323" t="inlineStr"/>
      <c r="V1323" t="inlineStr"/>
    </row>
    <row r="1324">
      <c r="A1324">
        <f>Skills!A11</f>
        <v/>
      </c>
      <c r="B1324">
        <f>Skills!B11</f>
        <v/>
      </c>
      <c r="C1324">
        <f>Inputs!$B$3&gt;=60</f>
        <v/>
      </c>
      <c r="D1324">
        <f>IF(Skills!C11=1,60+Inputs!$B$25+Inputs!$B$29,IF(Skills!C11=2,90+Inputs!$B$26+Inputs!$B$29,IF(Skills!C11=3,120+Inputs!$B$27+Inputs!$B$29,MAX(0,(Inputs!$B$3-100)*3)+Inputs!$B$28+Inputs!$B$29)))</f>
        <v/>
      </c>
      <c r="E1324">
        <f>INDEX(FactorTable!$B$2:$Y$301, MATCH(ROUND(MIN(300,MAX(1,D1324)),0), FactorTable!$A$2:$A$301,0), Skills!M11+1)</f>
        <v/>
      </c>
      <c r="F1324">
        <f>IF(Skills!N11=TRUE,(Skills!L11/10)*(E1324/1000),Skills!L11/10)+Skills!O11</f>
        <v/>
      </c>
      <c r="G1324">
        <f>Skills!G11*IF(Skills!H11&gt;0,Skills!I11/Skills!H11,1)</f>
        <v/>
      </c>
      <c r="H1324">
        <f>1-(1-Skills!J11/100)^Skills!K11</f>
        <v/>
      </c>
      <c r="I1324" t="inlineStr">
        <is>
          <t>1</t>
        </is>
      </c>
      <c r="J1324">
        <f>((Inputs!$B$6*(1+Inputs!$B$7/100))+(((Inputs!$B$12*(1+Inputs!$B$13/100))-(Inputs!$B$12*(1+Inputs!$B$13/100)))+0.25*(Inputs!$B$14-Inputs!$B$14))*(1+Inputs!$B$7/100))*(F1324/100)</f>
        <v/>
      </c>
      <c r="K1324">
        <f>J1324*(1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Skills!A11="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1337=TRUE)*(F1337-Calc!F24)),(Inputs!$B$23+((C1342=TRUE)*(F1342-Calc!F29))+(IF(ArtifactsInput!$M$15,CHOOSE(ArtifactsInput!$N$15+1,25,30,35,40,45,50)/100*(Inputs!$B$11-Inputs!$B$11),0))))/100+(Inputs!$B$23+((C1342=TRUE)*(F1342-Calc!F29))+(IF(ArtifactsInput!$M$15,CHOOSE(ArtifactsInput!$N$15+1,25,30,35,40,45,50)/100*(Inputs!$B$11-Inputs!$B$11),0)))/100)/2</f>
        <v/>
      </c>
      <c r="M1324">
        <f>L1324*(1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IF(B1356=0,0,O1324/B1356)</f>
        <v/>
      </c>
      <c r="Q1324">
        <f>IFERROR(1/(IF(Inputs!$B$38="pvp",15,MAX(0.1,Skills!D11-IF(Skills!E11=TRUE,Inputs!$B$32,0)))*(1-IF(AND(ArtifactsInput!$M$27,Inputs!$B$4="Chapter Hunt"),CHOOSE(ArtifactsInput!$N$27+1,20,24,28,32,36,40),0)/100)),0)</f>
        <v/>
      </c>
      <c r="R1324">
        <f>IF(AND(Inputs!$B$38&lt;&gt;"pvp",Inputs!$B$43&gt;0),IF(MAX(0,Inputs!$B$43-B1353)&lt;=0,0,(INT(MAX(0,Inputs!$B$43-B1353)/(IF(Inputs!$B$38="pvp",15,MAX(0.1,Skills!D11-IF(Skills!E11=TRUE,Inputs!$B$32,0)))*(1-IF(AND(ArtifactsInput!$M$27,Inputs!$B$4="Chapter Hunt"),CHOOSE(ArtifactsInput!$N$27+1,20,24,28,32,36,40),0)/100)))+1)),0)</f>
        <v/>
      </c>
      <c r="S1324">
        <f>IFERROR(O1324/N1324,0)</f>
        <v/>
      </c>
      <c r="T1324">
        <f>IF(C1324,(H1324*N1324*IF(AND(Inputs!$B$38&lt;&gt;"pvp",Inputs!$B$43&gt;0),((Skills!G11*((R1324-1)*IF(Skills!H11&gt;0,Skills!I11/Skills!H11,1)+IF(Skills!H11&gt;0,MIN(Skills!I11,MAX(0,MAX(0,Inputs!$B$43-B1353)-((R1324-1)*(IF(Inputs!$B$38="pvp",15,MAX(0.1,Skills!D11-IF(Skills!E11=TRUE,Inputs!$B$32,0)))*(1-IF(AND(ArtifactsInput!$M$27,Inputs!$B$4="Chapter Hunt"),CHOOSE(ArtifactsInput!$N$27+1,20,24,28,32,36,40),0)/100)))))/Skills!H11,1)))/Inputs!$B$43),G1324*Q1324)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1324*(1-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11*((R1324-1)*IF(Skills!H11&gt;0,Skills!I11/Skills!H11,1)+IF(Skills!H11&gt;0,MIN(Skills!I11,MAX(0,MAX(0,Inputs!$B$43-B1353)-((R1324-1)*(IF(Inputs!$B$38="pvp",15,MAX(0.1,Skills!D11-IF(Skills!E11=TRUE,Inputs!$B$32,0)))*(1-IF(AND(ArtifactsInput!$M$27,Inputs!$B$4="Chapter Hunt"),CHOOSE(ArtifactsInput!$N$27+1,20,24,28,32,36,40),0)/100)))))/Skills!H11,1)))/Inputs!$B$43),G1324*Q1324))*IF(Inputs!$B$38="pvp",1,(1+(Inputs!$B$21+Skills!Q11+(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Skills!A12</f>
        <v/>
      </c>
      <c r="B1325">
        <f>Skills!B12</f>
        <v/>
      </c>
      <c r="C1325">
        <f>Inputs!$B$3&gt;=110</f>
        <v/>
      </c>
      <c r="D1325">
        <f>IF(Skills!C12=1,60+Inputs!$B$25+Inputs!$B$29,IF(Skills!C12=2,90+Inputs!$B$26+Inputs!$B$29,IF(Skills!C12=3,120+Inputs!$B$27+Inputs!$B$29,MAX(0,(Inputs!$B$3-100)*3)+Inputs!$B$28+Inputs!$B$29)))</f>
        <v/>
      </c>
      <c r="E1325">
        <f>INDEX(FactorTable!$B$2:$Y$301, MATCH(ROUND(MIN(300,MAX(1,D1325)),0), FactorTable!$A$2:$A$301,0), Skills!M12+1)</f>
        <v/>
      </c>
      <c r="F1325">
        <f>IF(Skills!N12=TRUE,(Skills!L12/10)*(E1325/1000),Skills!L12/10)+Skills!O12</f>
        <v/>
      </c>
      <c r="G1325" t="inlineStr"/>
      <c r="H1325" t="inlineStr"/>
      <c r="I1325" t="inlineStr">
        <is>
          <t>1</t>
        </is>
      </c>
      <c r="J1325" t="inlineStr"/>
      <c r="K1325" t="inlineStr"/>
      <c r="L1325" t="inlineStr"/>
      <c r="M1325" t="inlineStr"/>
      <c r="N1325" t="inlineStr"/>
      <c r="O1325" t="inlineStr"/>
      <c r="P1325" t="inlineStr"/>
      <c r="Q1325" t="inlineStr"/>
      <c r="R1325" t="inlineStr"/>
      <c r="S1325" t="inlineStr"/>
      <c r="T1325" t="inlineStr"/>
      <c r="V1325" t="inlineStr"/>
    </row>
    <row r="1326">
      <c r="A1326">
        <f>Skills!A13</f>
        <v/>
      </c>
      <c r="B1326">
        <f>Skills!B13</f>
        <v/>
      </c>
      <c r="C1326">
        <f>Inputs!$B$3&gt;=74</f>
        <v/>
      </c>
      <c r="D1326">
        <f>IF(Skills!C13=1,60+Inputs!$B$25+Inputs!$B$29,IF(Skills!C13=2,90+Inputs!$B$26+Inputs!$B$29,IF(Skills!C13=3,120+Inputs!$B$27+Inputs!$B$29,MAX(0,(Inputs!$B$3-100)*3)+Inputs!$B$28+Inputs!$B$29)))</f>
        <v/>
      </c>
      <c r="E1326">
        <f>INDEX(FactorTable!$B$2:$Y$301, MATCH(ROUND(MIN(300,MAX(1,D1326)),0), FactorTable!$A$2:$A$301,0), Skills!M13+1)</f>
        <v/>
      </c>
      <c r="F1326">
        <f>IF(Skills!N13=TRUE,(Skills!L13/10)*(E1326/1000),Skills!L13/10)+Skills!O13</f>
        <v/>
      </c>
      <c r="G1326">
        <f>Skills!G13*IF(Skills!H13&gt;0,Skills!I13/Skills!H13,1)</f>
        <v/>
      </c>
      <c r="H1326">
        <f>1-(1-Skills!J13/100)^Skills!K13</f>
        <v/>
      </c>
      <c r="I1326" t="inlineStr">
        <is>
          <t>1</t>
        </is>
      </c>
      <c r="J1326" t="inlineStr"/>
      <c r="K1326" t="inlineStr"/>
      <c r="L1326" t="inlineStr"/>
      <c r="M1326" t="inlineStr"/>
      <c r="N1326" t="inlineStr"/>
      <c r="O1326">
        <f>(1-Summary!$B$11)*T1326+Summary!$B$11*V1326</f>
        <v/>
      </c>
      <c r="P1326">
        <f>IF(B1356=0,0,O1326/B1356)</f>
        <v/>
      </c>
      <c r="Q1326" t="n">
        <v>0</v>
      </c>
      <c r="R1326" t="n">
        <v>0</v>
      </c>
      <c r="S1326">
        <f>IFERROR(O1326/N1326,0)</f>
        <v/>
      </c>
      <c r="T1326" t="n">
        <v>0</v>
      </c>
      <c r="V1326" t="n">
        <v>0</v>
      </c>
    </row>
    <row r="1327">
      <c r="A1327">
        <f>Skills!A14</f>
        <v/>
      </c>
      <c r="B1327">
        <f>Skills!B14</f>
        <v/>
      </c>
      <c r="C1327">
        <f>Inputs!$B$3&gt;=74</f>
        <v/>
      </c>
      <c r="D1327">
        <f>IF(Skills!C14=1,60+Inputs!$B$25+Inputs!$B$29,IF(Skills!C14=2,90+Inputs!$B$26+Inputs!$B$29,IF(Skills!C14=3,120+Inputs!$B$27+Inputs!$B$29,MAX(0,(Inputs!$B$3-100)*3)+Inputs!$B$28+Inputs!$B$29)))</f>
        <v/>
      </c>
      <c r="E1327">
        <f>INDEX(FactorTable!$B$2:$Y$301, MATCH(ROUND(MIN(300,MAX(1,D1327)),0), FactorTable!$A$2:$A$301,0), Skills!M14+1)</f>
        <v/>
      </c>
      <c r="F1327">
        <f>IF(Skills!N14=TRUE,(Skills!L14/10)*(E1327/1000),Skills!L14/10)+Skills!O14</f>
        <v/>
      </c>
      <c r="G1327">
        <f>Skills!G14*IF(Skills!H14&gt;0,Skills!I14/Skills!H14,1)</f>
        <v/>
      </c>
      <c r="H1327">
        <f>1-(1-Skills!J14/100)^Skills!K14</f>
        <v/>
      </c>
      <c r="I1327" t="inlineStr">
        <is>
          <t>1</t>
        </is>
      </c>
      <c r="J1327" t="inlineStr"/>
      <c r="K1327" t="inlineStr"/>
      <c r="L1327" t="inlineStr"/>
      <c r="M1327" t="inlineStr"/>
      <c r="N1327" t="inlineStr"/>
      <c r="O1327">
        <f>(1-Summary!$B$11)*T1327+Summary!$B$11*V1327</f>
        <v/>
      </c>
      <c r="P1327">
        <f>IF(B1356=0,0,O1327/B1356)</f>
        <v/>
      </c>
      <c r="Q1327" t="n">
        <v>0</v>
      </c>
      <c r="R1327" t="n">
        <v>0</v>
      </c>
      <c r="S1327">
        <f>IFERROR(O1327/N1327,0)</f>
        <v/>
      </c>
      <c r="T1327" t="n">
        <v>0</v>
      </c>
      <c r="V1327" t="n">
        <v>0</v>
      </c>
    </row>
    <row r="1328">
      <c r="A1328">
        <f>Skills!A15</f>
        <v/>
      </c>
      <c r="B1328">
        <f>Skills!B15</f>
        <v/>
      </c>
      <c r="C1328">
        <f>Inputs!$B$3&gt;=117</f>
        <v/>
      </c>
      <c r="D1328">
        <f>IF(Skills!C15=1,60+Inputs!$B$25+Inputs!$B$29,IF(Skills!C15=2,90+Inputs!$B$26+Inputs!$B$29,IF(Skills!C15=3,120+Inputs!$B$27+Inputs!$B$29,MAX(0,(Inputs!$B$3-100)*3)+Inputs!$B$28+Inputs!$B$29)))</f>
        <v/>
      </c>
      <c r="E1328">
        <f>INDEX(FactorTable!$B$2:$Y$301, MATCH(ROUND(MIN(300,MAX(1,D1328)),0), FactorTable!$A$2:$A$301,0), Skills!M15+1)</f>
        <v/>
      </c>
      <c r="F1328">
        <f>IF(Skills!N15=TRUE,(Skills!L15/10)*(E1328/1000),Skills!L15/10)+Skills!O15</f>
        <v/>
      </c>
      <c r="G1328">
        <f>Skills!G15*IF(Skills!H15&gt;0,Skills!I15/Skills!H15,1)</f>
        <v/>
      </c>
      <c r="H1328">
        <f>1-(1-Skills!J15/100)^Skills!K15</f>
        <v/>
      </c>
      <c r="I1328" t="inlineStr">
        <is>
          <t>1</t>
        </is>
      </c>
      <c r="J1328" t="inlineStr"/>
      <c r="K1328" t="inlineStr"/>
      <c r="L1328" t="inlineStr"/>
      <c r="M1328" t="inlineStr"/>
      <c r="N1328" t="inlineStr"/>
      <c r="O1328">
        <f>(1-Summary!$B$11)*T1328+Summary!$B$11*V1328</f>
        <v/>
      </c>
      <c r="P1328">
        <f>IF(B1356=0,0,O1328/B1356)</f>
        <v/>
      </c>
      <c r="Q1328">
        <f>IFERROR(1/(IF(Inputs!$B$38="pvp",15,MAX(0.1,Skills!D15-IF(Skills!E15=TRUE,Inputs!$B$32,0)))*(1-IF(AND(ArtifactsInput!$M$27,Inputs!$B$4="Chapter Hunt"),CHOOSE(ArtifactsInput!$N$27+1,20,24,28,32,36,40),0)/100)),0)</f>
        <v/>
      </c>
      <c r="R1328">
        <f>IF(AND(Inputs!$B$38&lt;&gt;"pvp",Inputs!$B$43&gt;0),IF(Inputs!$B$43&lt;=0,0,(INT(Inputs!$B$43/(IF(Inputs!$B$38="pvp",15,MAX(0.1,Skills!D15-IF(Skills!E15=TRUE,Inputs!$B$32,0)))*(1-IF(AND(ArtifactsInput!$M$27,Inputs!$B$4="Chapter Hunt"),CHOOSE(ArtifactsInput!$N$27+1,20,24,28,32,36,40),0)/100)))+1)),0)</f>
        <v/>
      </c>
      <c r="S1328">
        <f>IFERROR(O1328/N1328,0)</f>
        <v/>
      </c>
      <c r="T1328" t="n">
        <v>0</v>
      </c>
      <c r="V1328" t="n">
        <v>0</v>
      </c>
    </row>
    <row r="1329">
      <c r="A1329">
        <f>Skills!A16</f>
        <v/>
      </c>
      <c r="B1329">
        <f>Skills!B16</f>
        <v/>
      </c>
      <c r="C1329">
        <f>Inputs!$B$3&gt;=115</f>
        <v/>
      </c>
      <c r="D1329">
        <f>IF(Skills!C16=1,60+Inputs!$B$25+Inputs!$B$29,IF(Skills!C16=2,90+Inputs!$B$26+Inputs!$B$29,IF(Skills!C16=3,120+Inputs!$B$27+Inputs!$B$29,MAX(0,(Inputs!$B$3-100)*3)+Inputs!$B$28+Inputs!$B$29)))</f>
        <v/>
      </c>
      <c r="E1329">
        <f>INDEX(FactorTable!$B$2:$Y$301, MATCH(ROUND(MIN(300,MAX(1,D1329)),0), FactorTable!$A$2:$A$301,0), Skills!M16+1)</f>
        <v/>
      </c>
      <c r="F1329">
        <f>IF(Skills!N16=TRUE,(Skills!L16/10)*(E1329/1000),Skills!L16/10)+Skills!O16</f>
        <v/>
      </c>
      <c r="G1329">
        <f>Skills!G16*IF(Skills!H16&gt;0,Skills!I16/Skills!H16,1)</f>
        <v/>
      </c>
      <c r="H1329">
        <f>1-(1-Skills!J16/100)^Skills!K16</f>
        <v/>
      </c>
      <c r="I1329" t="inlineStr">
        <is>
          <t>1</t>
        </is>
      </c>
      <c r="J1329" t="inlineStr"/>
      <c r="K1329" t="inlineStr"/>
      <c r="L1329" t="inlineStr"/>
      <c r="M1329" t="inlineStr"/>
      <c r="N1329" t="inlineStr"/>
      <c r="O1329">
        <f>(1-Summary!$B$11)*T1329+Summary!$B$11*V1329</f>
        <v/>
      </c>
      <c r="P1329">
        <f>IF(B1356=0,0,O1329/B1356)</f>
        <v/>
      </c>
      <c r="Q1329">
        <f>IFERROR(1/(IF(Inputs!$B$38="pvp",15,MAX(0.1,Skills!D16-IF(Skills!E16=TRUE,Inputs!$B$32,0)))*(1-IF(AND(ArtifactsInput!$M$27,Inputs!$B$4="Chapter Hunt"),CHOOSE(ArtifactsInput!$N$27+1,20,24,28,32,36,40),0)/100)),0)</f>
        <v/>
      </c>
      <c r="R1329">
        <f>IF(AND(Inputs!$B$38&lt;&gt;"pvp",Inputs!$B$43&gt;0),IF(Inputs!$B$43&lt;=0,0,(INT(Inputs!$B$43/(IF(Inputs!$B$38="pvp",15,MAX(0.1,Skills!D16-IF(Skills!E16=TRUE,Inputs!$B$32,0)))*(1-IF(AND(ArtifactsInput!$M$27,Inputs!$B$4="Chapter Hunt"),CHOOSE(ArtifactsInput!$N$27+1,20,24,28,32,36,40),0)/100)))+1)),0)</f>
        <v/>
      </c>
      <c r="S1329">
        <f>IFERROR(O1329/N1329,0)</f>
        <v/>
      </c>
      <c r="T1329" t="n">
        <v>0</v>
      </c>
      <c r="V1329" t="n">
        <v>0</v>
      </c>
    </row>
    <row r="1330">
      <c r="A1330">
        <f>Skills!A17</f>
        <v/>
      </c>
      <c r="B1330">
        <f>Skills!B17</f>
        <v/>
      </c>
      <c r="C1330">
        <f>Inputs!$B$3&gt;=66</f>
        <v/>
      </c>
      <c r="D1330">
        <f>IF(Skills!C17=1,60+Inputs!$B$25+Inputs!$B$29,IF(Skills!C17=2,90+Inputs!$B$26+Inputs!$B$29,IF(Skills!C17=3,120+Inputs!$B$27+Inputs!$B$29,MAX(0,(Inputs!$B$3-100)*3)+Inputs!$B$28+Inputs!$B$29)))</f>
        <v/>
      </c>
      <c r="E1330">
        <f>INDEX(FactorTable!$B$2:$Y$301, MATCH(ROUND(MIN(300,MAX(1,D1330)),0), FactorTable!$A$2:$A$301,0), Skills!M17+1)</f>
        <v/>
      </c>
      <c r="F1330">
        <f>IF(Skills!N17=TRUE,(Skills!L17/10)*(E1330/1000),Skills!L17/10)+Skills!O17</f>
        <v/>
      </c>
      <c r="G1330">
        <f>Skills!G17*IF(Skills!H17&gt;0,Skills!I17/Skills!H17,1)</f>
        <v/>
      </c>
      <c r="H1330">
        <f>1-(1-Skills!J17/100)^Skills!K17</f>
        <v/>
      </c>
      <c r="I1330" t="inlineStr">
        <is>
          <t>1</t>
        </is>
      </c>
      <c r="J1330" t="inlineStr"/>
      <c r="K1330" t="inlineStr"/>
      <c r="L1330" t="inlineStr"/>
      <c r="M1330" t="inlineStr"/>
      <c r="N1330" t="inlineStr"/>
      <c r="O1330">
        <f>(1-Summary!$B$11)*T1330+Summary!$B$11*V1330</f>
        <v/>
      </c>
      <c r="P1330">
        <f>IF(B1356=0,0,O1330/B1356)</f>
        <v/>
      </c>
      <c r="Q1330" t="n">
        <v>0</v>
      </c>
      <c r="R1330" t="n">
        <v>0</v>
      </c>
      <c r="S1330">
        <f>IFERROR(O1330/N1330,0)</f>
        <v/>
      </c>
      <c r="T1330" t="n">
        <v>0</v>
      </c>
      <c r="V1330" t="n">
        <v>0</v>
      </c>
    </row>
    <row r="1331">
      <c r="A1331">
        <f>Skills!A18</f>
        <v/>
      </c>
      <c r="B1331">
        <f>Skills!B18</f>
        <v/>
      </c>
      <c r="C1331">
        <f>Inputs!$B$3&gt;=72</f>
        <v/>
      </c>
      <c r="D1331">
        <f>IF(Skills!C18=1,60+Inputs!$B$25+Inputs!$B$29,IF(Skills!C18=2,90+Inputs!$B$26+Inputs!$B$29,IF(Skills!C18=3,120+Inputs!$B$27+Inputs!$B$29,MAX(0,(Inputs!$B$3-100)*3)+Inputs!$B$28+Inputs!$B$29)))</f>
        <v/>
      </c>
      <c r="E1331">
        <f>INDEX(FactorTable!$B$2:$Y$301, MATCH(ROUND(MIN(300,MAX(1,D1331)),0), FactorTable!$A$2:$A$301,0), Skills!M18+1)</f>
        <v/>
      </c>
      <c r="F1331">
        <f>IF(Skills!N18=TRUE,(Skills!L18/10)*(E1331/1000),Skills!L18/10)+Skills!O18</f>
        <v/>
      </c>
      <c r="G1331">
        <f>Skills!G18*IF(Skills!H18&gt;0,Skills!I18/Skills!H18,1)</f>
        <v/>
      </c>
      <c r="H1331">
        <f>1-(1-Skills!J18/100)^Skills!K18</f>
        <v/>
      </c>
      <c r="I1331" t="inlineStr">
        <is>
          <t>1</t>
        </is>
      </c>
      <c r="J1331" t="inlineStr"/>
      <c r="K1331" t="inlineStr"/>
      <c r="L1331" t="inlineStr"/>
      <c r="M1331" t="inlineStr"/>
      <c r="N1331" t="inlineStr"/>
      <c r="O1331">
        <f>(1-Summary!$B$11)*T1331+Summary!$B$11*V1331</f>
        <v/>
      </c>
      <c r="P1331">
        <f>IF(B1356=0,0,O1331/B1356)</f>
        <v/>
      </c>
      <c r="Q1331" t="n">
        <v>0</v>
      </c>
      <c r="R1331" t="n">
        <v>0</v>
      </c>
      <c r="S1331">
        <f>IFERROR(O1331/N1331,0)</f>
        <v/>
      </c>
      <c r="T1331" t="n">
        <v>0</v>
      </c>
      <c r="V1331" t="n">
        <v>0</v>
      </c>
    </row>
    <row r="1332">
      <c r="A1332">
        <f>Skills!A19</f>
        <v/>
      </c>
      <c r="B1332">
        <f>Skills!B19</f>
        <v/>
      </c>
      <c r="C1332">
        <f>TRUE</f>
        <v/>
      </c>
      <c r="D1332">
        <f>IF(Skills!C19=1,60+Inputs!$B$25+Inputs!$B$29,IF(Skills!C19=2,90+Inputs!$B$26+Inputs!$B$29,IF(Skills!C19=3,120+Inputs!$B$27+Inputs!$B$29,MAX(0,(Inputs!$B$3-100)*3)+Inputs!$B$28+Inputs!$B$29)))</f>
        <v/>
      </c>
      <c r="E1332">
        <f>INDEX(FactorTable!$B$2:$Y$301, MATCH(ROUND(MIN(300,MAX(1,D1332)),0), FactorTable!$A$2:$A$301,0), Skills!M19+1)</f>
        <v/>
      </c>
      <c r="F1332">
        <f>IF(Skills!N19=TRUE,(Skills!L19/10)*(E1332/1000),Skills!L19/10)+Skills!O19</f>
        <v/>
      </c>
      <c r="G1332">
        <f>Skills!G19*IF(Skills!H19&gt;0,Skills!I19/Skills!H19,1)</f>
        <v/>
      </c>
      <c r="H1332">
        <f>1-(1-Skills!J19/100)^Skills!K19</f>
        <v/>
      </c>
      <c r="I1332" t="inlineStr">
        <is>
          <t>1</t>
        </is>
      </c>
      <c r="J1332" t="inlineStr"/>
      <c r="K1332" t="inlineStr"/>
      <c r="L1332" t="inlineStr"/>
      <c r="M1332" t="inlineStr"/>
      <c r="N1332" t="inlineStr"/>
      <c r="O1332">
        <f>(1-Summary!$B$11)*T1332+Summary!$B$11*V1332</f>
        <v/>
      </c>
      <c r="P1332">
        <f>IF(B1356=0,0,O1332/B1356)</f>
        <v/>
      </c>
      <c r="Q1332">
        <f>IFERROR(1/(IF(Inputs!$B$38="pvp",15,MAX(0.1,Skills!D19-IF(Skills!E19=TRUE,Inputs!$B$32,0)))*(1-IF(AND(ArtifactsInput!$M$27,Inputs!$B$4="Chapter Hunt"),CHOOSE(ArtifactsInput!$N$27+1,20,24,28,32,36,40),0)/100)),0)</f>
        <v/>
      </c>
      <c r="R1332">
        <f>IF(AND(Inputs!$B$38&lt;&gt;"pvp",Inputs!$B$43&gt;0),IF(Inputs!$B$43&lt;=0,0,(INT(Inputs!$B$43/(IF(Inputs!$B$38="pvp",15,MAX(0.1,Skills!D19-IF(Skills!E19=TRUE,Inputs!$B$32,0)))*(1-IF(AND(ArtifactsInput!$M$27,Inputs!$B$4="Chapter Hunt"),CHOOSE(ArtifactsInput!$N$27+1,20,24,28,32,36,40),0)/100)))+1)),0)</f>
        <v/>
      </c>
      <c r="S1332">
        <f>IFERROR(O1332/N1332,0)</f>
        <v/>
      </c>
      <c r="T1332" t="n">
        <v>0</v>
      </c>
      <c r="V1332" t="n">
        <v>0</v>
      </c>
    </row>
    <row r="1333">
      <c r="A1333">
        <f>Skills!A20</f>
        <v/>
      </c>
      <c r="B1333">
        <f>Skills!B20</f>
        <v/>
      </c>
      <c r="C1333">
        <f>Inputs!$B$3&gt;=15</f>
        <v/>
      </c>
      <c r="D1333">
        <f>IF(Skills!C20=1,60+Inputs!$B$25+Inputs!$B$29,IF(Skills!C20=2,90+Inputs!$B$26+Inputs!$B$29,IF(Skills!C20=3,120+Inputs!$B$27+Inputs!$B$29,MAX(0,(Inputs!$B$3-100)*3)+Inputs!$B$28+Inputs!$B$29)))</f>
        <v/>
      </c>
      <c r="E1333">
        <f>INDEX(FactorTable!$B$2:$Y$301, MATCH(ROUND(MIN(300,MAX(1,D1333)),0), FactorTable!$A$2:$A$301,0), Skills!M20+1)</f>
        <v/>
      </c>
      <c r="F1333">
        <f>IF(Skills!N20=TRUE,(Skills!L20/10)*(E1333/1000),Skills!L20/10)+Skills!O20</f>
        <v/>
      </c>
      <c r="G1333">
        <f>Skills!G20*IF(Skills!H20&gt;0,Skills!I20/Skills!H20,1)</f>
        <v/>
      </c>
      <c r="H1333">
        <f>1-(1-Skills!J20/100)^Skills!K20</f>
        <v/>
      </c>
      <c r="I1333" t="inlineStr">
        <is>
          <t>1</t>
        </is>
      </c>
      <c r="J1333" t="inlineStr"/>
      <c r="K1333" t="inlineStr"/>
      <c r="L1333" t="inlineStr"/>
      <c r="M1333" t="inlineStr"/>
      <c r="N1333" t="inlineStr"/>
      <c r="O1333">
        <f>(1-Summary!$B$11)*T1333+Summary!$B$11*V1333</f>
        <v/>
      </c>
      <c r="P1333">
        <f>IF(B1356=0,0,O1333/B1356)</f>
        <v/>
      </c>
      <c r="Q1333" t="n">
        <v>0</v>
      </c>
      <c r="R1333" t="n">
        <v>0</v>
      </c>
      <c r="S1333">
        <f>IFERROR(O1333/N1333,0)</f>
        <v/>
      </c>
      <c r="T1333" t="n">
        <v>0</v>
      </c>
      <c r="V1333" t="n">
        <v>0</v>
      </c>
    </row>
    <row r="1334">
      <c r="A1334">
        <f>Skills!A21</f>
        <v/>
      </c>
      <c r="B1334">
        <f>Skills!B21</f>
        <v/>
      </c>
      <c r="C1334">
        <f>Inputs!$B$3&gt;=10</f>
        <v/>
      </c>
      <c r="D1334">
        <f>IF(Skills!C21=1,60+Inputs!$B$25+Inputs!$B$29,IF(Skills!C21=2,90+Inputs!$B$26+Inputs!$B$29,IF(Skills!C21=3,120+Inputs!$B$27+Inputs!$B$29,MAX(0,(Inputs!$B$3-100)*3)+Inputs!$B$28+Inputs!$B$29)))</f>
        <v/>
      </c>
      <c r="E1334">
        <f>INDEX(FactorTable!$B$2:$Y$301, MATCH(ROUND(MIN(300,MAX(1,D1334)),0), FactorTable!$A$2:$A$301,0), Skills!M21+1)</f>
        <v/>
      </c>
      <c r="F1334">
        <f>IF(Skills!N21=TRUE,(Skills!L21/10)*(E1334/1000),Skills!L21/10)+Skills!O21</f>
        <v/>
      </c>
      <c r="G1334">
        <f>Skills!G21*IF(Skills!H21&gt;0,Skills!I21/Skills!H21,1)</f>
        <v/>
      </c>
      <c r="H1334">
        <f>1-(1-Skills!J21/100)^Skills!K21</f>
        <v/>
      </c>
      <c r="I1334" t="inlineStr">
        <is>
          <t>1</t>
        </is>
      </c>
      <c r="J1334" t="inlineStr"/>
      <c r="K1334" t="inlineStr"/>
      <c r="L1334" t="inlineStr"/>
      <c r="M1334" t="inlineStr"/>
      <c r="N1334" t="inlineStr"/>
      <c r="O1334">
        <f>(1-Summary!$B$11)*T1334+Summary!$B$11*V1334</f>
        <v/>
      </c>
      <c r="P1334">
        <f>IF(B1356=0,0,O1334/B1356)</f>
        <v/>
      </c>
      <c r="Q1334" t="n">
        <v>0</v>
      </c>
      <c r="R1334" t="n">
        <v>0</v>
      </c>
      <c r="S1334">
        <f>IFERROR(O1334/N1334,0)</f>
        <v/>
      </c>
      <c r="T1334" t="n">
        <v>0</v>
      </c>
      <c r="V1334" t="n">
        <v>0</v>
      </c>
    </row>
    <row r="1335">
      <c r="A1335">
        <f>Skills!A22</f>
        <v/>
      </c>
      <c r="B1335">
        <f>Skills!B22</f>
        <v/>
      </c>
      <c r="C1335">
        <f>Inputs!$B$3&gt;=33</f>
        <v/>
      </c>
      <c r="D1335">
        <f>IF(Skills!C22=1,60+Inputs!$B$25+Inputs!$B$29,IF(Skills!C22=2,90+Inputs!$B$26+Inputs!$B$29,IF(Skills!C22=3,120+Inputs!$B$27+Inputs!$B$29,MAX(0,(Inputs!$B$3-100)*3)+Inputs!$B$28+Inputs!$B$29)))</f>
        <v/>
      </c>
      <c r="E1335">
        <f>INDEX(FactorTable!$B$2:$Y$301, MATCH(ROUND(MIN(300,MAX(1,D1335)),0), FactorTable!$A$2:$A$301,0), Skills!M22+1)</f>
        <v/>
      </c>
      <c r="F1335">
        <f>IF(Skills!N22=TRUE,(Skills!L22/10)*(E1335/1000),Skills!L22/10)+Skills!O22</f>
        <v/>
      </c>
      <c r="G1335">
        <f>Skills!G22*IF(Skills!H22&gt;0,Skills!I22/Skills!H22,1)</f>
        <v/>
      </c>
      <c r="H1335">
        <f>1-(1-Skills!J22/100)^Skills!K22</f>
        <v/>
      </c>
      <c r="I1335" t="inlineStr">
        <is>
          <t>1</t>
        </is>
      </c>
      <c r="J1335" t="inlineStr"/>
      <c r="K1335" t="inlineStr"/>
      <c r="L1335" t="inlineStr"/>
      <c r="M1335" t="inlineStr"/>
      <c r="N1335" t="inlineStr"/>
      <c r="O1335">
        <f>(1-Summary!$B$11)*T1335+Summary!$B$11*V1335</f>
        <v/>
      </c>
      <c r="P1335">
        <f>IF(B1356=0,0,O1335/B1356)</f>
        <v/>
      </c>
      <c r="Q1335" t="n">
        <v>0</v>
      </c>
      <c r="R1335" t="n">
        <v>0</v>
      </c>
      <c r="S1335">
        <f>IFERROR(O1335/N1335,0)</f>
        <v/>
      </c>
      <c r="T1335" t="n">
        <v>0</v>
      </c>
      <c r="V1335" t="n">
        <v>0</v>
      </c>
    </row>
    <row r="1336">
      <c r="A1336">
        <f>Skills!A23</f>
        <v/>
      </c>
      <c r="B1336">
        <f>Skills!B23</f>
        <v/>
      </c>
      <c r="C1336">
        <f>Inputs!$B$3&gt;=38</f>
        <v/>
      </c>
      <c r="D1336">
        <f>IF(Skills!C23=1,60+Inputs!$B$25+Inputs!$B$29,IF(Skills!C23=2,90+Inputs!$B$26+Inputs!$B$29,IF(Skills!C23=3,120+Inputs!$B$27+Inputs!$B$29,MAX(0,(Inputs!$B$3-100)*3)+Inputs!$B$28+Inputs!$B$29)))</f>
        <v/>
      </c>
      <c r="E1336">
        <f>INDEX(FactorTable!$B$2:$Y$301, MATCH(ROUND(MIN(300,MAX(1,D1336)),0), FactorTable!$A$2:$A$301,0), Skills!M23+1)</f>
        <v/>
      </c>
      <c r="F1336">
        <f>IF(Skills!N23=TRUE,(Skills!L23/10)*(E1336/1000),Skills!L23/10)+Skills!O23</f>
        <v/>
      </c>
      <c r="G1336">
        <f>Skills!G23*IF(Skills!H23&gt;0,Skills!I23/Skills!H23,1)</f>
        <v/>
      </c>
      <c r="H1336">
        <f>1-(1-Skills!J23/100)^Skills!K23</f>
        <v/>
      </c>
      <c r="I1336" t="inlineStr">
        <is>
          <t>1</t>
        </is>
      </c>
      <c r="J1336" t="inlineStr"/>
      <c r="K1336" t="inlineStr"/>
      <c r="L1336" t="inlineStr"/>
      <c r="M1336" t="inlineStr"/>
      <c r="N1336" t="inlineStr"/>
      <c r="O1336">
        <f>(1-Summary!$B$11)*T1336+Summary!$B$11*V1336</f>
        <v/>
      </c>
      <c r="P1336">
        <f>IF(B1356=0,0,O1336/B1356)</f>
        <v/>
      </c>
      <c r="Q1336" t="n">
        <v>0</v>
      </c>
      <c r="R1336" t="n">
        <v>0</v>
      </c>
      <c r="S1336">
        <f>IFERROR(O1336/N1336,0)</f>
        <v/>
      </c>
      <c r="T1336" t="n">
        <v>0</v>
      </c>
      <c r="V1336" t="n">
        <v>0</v>
      </c>
    </row>
    <row r="1337">
      <c r="A1337">
        <f>Skills!A24</f>
        <v/>
      </c>
      <c r="B1337">
        <f>Skills!B24</f>
        <v/>
      </c>
      <c r="C1337">
        <f>Inputs!$B$3&gt;=43</f>
        <v/>
      </c>
      <c r="D1337">
        <f>IF(Skills!C24=1,60+Inputs!$B$25+Inputs!$B$29,IF(Skills!C24=2,90+Inputs!$B$26+Inputs!$B$29,IF(Skills!C24=3,120+Inputs!$B$27+Inputs!$B$29,MAX(0,(Inputs!$B$3-100)*3)+Inputs!$B$28+Inputs!$B$29)))</f>
        <v/>
      </c>
      <c r="E1337">
        <f>INDEX(FactorTable!$B$2:$Y$301, MATCH(ROUND(MIN(300,MAX(1,D1337)),0), FactorTable!$A$2:$A$301,0), Skills!M24+1)</f>
        <v/>
      </c>
      <c r="F1337">
        <f>IF(Skills!N24=TRUE,(Skills!L24/10)*(E1337/1000),Skills!L24/10)+Skills!O24</f>
        <v/>
      </c>
      <c r="G1337">
        <f>Skills!G24*IF(Skills!H24&gt;0,Skills!I24/Skills!H24,1)</f>
        <v/>
      </c>
      <c r="H1337">
        <f>1-(1-Skills!J24/100)^Skills!K24</f>
        <v/>
      </c>
      <c r="I1337" t="inlineStr">
        <is>
          <t>1</t>
        </is>
      </c>
      <c r="J1337" t="inlineStr"/>
      <c r="K1337" t="inlineStr"/>
      <c r="L1337" t="inlineStr"/>
      <c r="M1337" t="inlineStr"/>
      <c r="N1337" t="inlineStr"/>
      <c r="O1337">
        <f>(1-Summary!$B$11)*T1337+Summary!$B$11*V1337</f>
        <v/>
      </c>
      <c r="P1337">
        <f>IF(B1356=0,0,O1337/B1356)</f>
        <v/>
      </c>
      <c r="Q1337" t="n">
        <v>0</v>
      </c>
      <c r="R1337" t="n">
        <v>0</v>
      </c>
      <c r="S1337">
        <f>IFERROR(O1337/N1337,0)</f>
        <v/>
      </c>
      <c r="T1337" t="n">
        <v>0</v>
      </c>
      <c r="V1337" t="n">
        <v>0</v>
      </c>
    </row>
    <row r="1338">
      <c r="A1338">
        <f>Skills!A25</f>
        <v/>
      </c>
      <c r="B1338">
        <f>Skills!B25</f>
        <v/>
      </c>
      <c r="C1338">
        <f>Inputs!$B$3&gt;=75</f>
        <v/>
      </c>
      <c r="D1338">
        <f>IF(Skills!C25=1,60+Inputs!$B$25+Inputs!$B$29,IF(Skills!C25=2,90+Inputs!$B$26+Inputs!$B$29,IF(Skills!C25=3,120+Inputs!$B$27+Inputs!$B$29,MAX(0,(Inputs!$B$3-100)*3)+Inputs!$B$28+Inputs!$B$29)))</f>
        <v/>
      </c>
      <c r="E1338">
        <f>INDEX(FactorTable!$B$2:$Y$301, MATCH(ROUND(MIN(300,MAX(1,D1338)),0), FactorTable!$A$2:$A$301,0), Skills!M25+1)</f>
        <v/>
      </c>
      <c r="F1338">
        <f>IF(Skills!N25=TRUE,(Skills!L25/10)*(E1338/1000),Skills!L25/10)+Skills!O25</f>
        <v/>
      </c>
      <c r="G1338">
        <f>Skills!G25*IF(Skills!H25&gt;0,Skills!I25/Skills!H25,1)</f>
        <v/>
      </c>
      <c r="H1338">
        <f>1-(1-Skills!J25/100)^Skills!K25</f>
        <v/>
      </c>
      <c r="I1338" t="inlineStr">
        <is>
          <t>1</t>
        </is>
      </c>
      <c r="J1338" t="inlineStr"/>
      <c r="K1338" t="inlineStr"/>
      <c r="L1338" t="inlineStr"/>
      <c r="M1338" t="inlineStr"/>
      <c r="N1338" t="inlineStr"/>
      <c r="O1338">
        <f>(1-Summary!$B$11)*T1338+Summary!$B$11*V1338</f>
        <v/>
      </c>
      <c r="P1338">
        <f>IF(B1356=0,0,O1338/B1356)</f>
        <v/>
      </c>
      <c r="Q1338" t="n">
        <v>0</v>
      </c>
      <c r="R1338" t="n">
        <v>0</v>
      </c>
      <c r="S1338">
        <f>IFERROR(O1338/N1338,0)</f>
        <v/>
      </c>
      <c r="T1338" t="n">
        <v>0</v>
      </c>
      <c r="V1338" t="n">
        <v>0</v>
      </c>
    </row>
    <row r="1339">
      <c r="A1339">
        <f>Skills!A26</f>
        <v/>
      </c>
      <c r="B1339">
        <f>Skills!B26</f>
        <v/>
      </c>
      <c r="C1339">
        <f>Inputs!$B$3&gt;=125</f>
        <v/>
      </c>
      <c r="D1339">
        <f>IF(Skills!C26=1,60+Inputs!$B$25+Inputs!$B$29,IF(Skills!C26=2,90+Inputs!$B$26+Inputs!$B$29,IF(Skills!C26=3,120+Inputs!$B$27+Inputs!$B$29,MAX(0,(Inputs!$B$3-100)*3)+Inputs!$B$28+Inputs!$B$29)))</f>
        <v/>
      </c>
      <c r="E1339">
        <f>INDEX(FactorTable!$B$2:$Y$301, MATCH(ROUND(MIN(300,MAX(1,D1339)),0), FactorTable!$A$2:$A$301,0), Skills!M26+1)</f>
        <v/>
      </c>
      <c r="F1339">
        <f>IF(Skills!N26=TRUE,(Skills!L26/10)*(E1339/1000),Skills!L26/10)+Skills!O26</f>
        <v/>
      </c>
      <c r="G1339">
        <f>Skills!G26*IF(Skills!H26&gt;0,Skills!I26/Skills!H26,1)</f>
        <v/>
      </c>
      <c r="H1339">
        <f>1-(1-Skills!J26/100)^Skills!K26</f>
        <v/>
      </c>
      <c r="I1339" t="inlineStr">
        <is>
          <t>1</t>
        </is>
      </c>
      <c r="J1339" t="inlineStr"/>
      <c r="K1339" t="inlineStr"/>
      <c r="L1339" t="inlineStr"/>
      <c r="M1339" t="inlineStr"/>
      <c r="N1339" t="inlineStr"/>
      <c r="O1339">
        <f>(1-Summary!$B$11)*T1339+Summary!$B$11*V1339</f>
        <v/>
      </c>
      <c r="P1339">
        <f>IF(B1356=0,0,O1339/B1356)</f>
        <v/>
      </c>
      <c r="Q1339" t="n">
        <v>0</v>
      </c>
      <c r="R1339" t="n">
        <v>0</v>
      </c>
      <c r="S1339">
        <f>IFERROR(O1339/N1339,0)</f>
        <v/>
      </c>
      <c r="T1339" t="n">
        <v>0</v>
      </c>
      <c r="V1339" t="n">
        <v>0</v>
      </c>
    </row>
    <row r="1340">
      <c r="A1340">
        <f>Skills!A27</f>
        <v/>
      </c>
      <c r="B1340">
        <f>Skills!B27</f>
        <v/>
      </c>
      <c r="C1340">
        <f>Inputs!$B$3&gt;=125</f>
        <v/>
      </c>
      <c r="D1340">
        <f>IF(Skills!C27=1,60+Inputs!$B$25+Inputs!$B$29,IF(Skills!C27=2,90+Inputs!$B$26+Inputs!$B$29,IF(Skills!C27=3,120+Inputs!$B$27+Inputs!$B$29,MAX(0,(Inputs!$B$3-100)*3)+Inputs!$B$28+Inputs!$B$29)))</f>
        <v/>
      </c>
      <c r="E1340">
        <f>INDEX(FactorTable!$B$2:$Y$301, MATCH(ROUND(MIN(300,MAX(1,D1340)),0), FactorTable!$A$2:$A$301,0), Skills!M27+1)</f>
        <v/>
      </c>
      <c r="F1340">
        <f>IF(Skills!N27=TRUE,(Skills!L27/10)*(E1340/1000),Skills!L27/10)+Skills!O27</f>
        <v/>
      </c>
      <c r="G1340">
        <f>Skills!G27*IF(Skills!H27&gt;0,Skills!I27/Skills!H27,1)</f>
        <v/>
      </c>
      <c r="H1340">
        <f>1-(1-Skills!J27/100)^Skills!K27</f>
        <v/>
      </c>
      <c r="I1340" t="inlineStr">
        <is>
          <t>1</t>
        </is>
      </c>
      <c r="J1340" t="inlineStr"/>
      <c r="K1340" t="inlineStr"/>
      <c r="L1340" t="inlineStr"/>
      <c r="M1340" t="inlineStr"/>
      <c r="N1340" t="inlineStr"/>
      <c r="O1340">
        <f>(1-Summary!$B$11)*T1340+Summary!$B$11*V1340</f>
        <v/>
      </c>
      <c r="P1340">
        <f>IF(B1356=0,0,O1340/B1356)</f>
        <v/>
      </c>
      <c r="Q1340" t="n">
        <v>0</v>
      </c>
      <c r="R1340" t="n">
        <v>0</v>
      </c>
      <c r="S1340">
        <f>IFERROR(O1340/N1340,0)</f>
        <v/>
      </c>
      <c r="T1340" t="n">
        <v>0</v>
      </c>
      <c r="V1340" t="n">
        <v>0</v>
      </c>
    </row>
    <row r="1341">
      <c r="A1341">
        <f>Skills!A28</f>
        <v/>
      </c>
      <c r="B1341">
        <f>Skills!B28</f>
        <v/>
      </c>
      <c r="C1341">
        <f>Inputs!$B$3&gt;=120</f>
        <v/>
      </c>
      <c r="D1341">
        <f>IF(Skills!C28=1,60+Inputs!$B$25+Inputs!$B$29,IF(Skills!C28=2,90+Inputs!$B$26+Inputs!$B$29,IF(Skills!C28=3,120+Inputs!$B$27+Inputs!$B$29,MAX(0,(Inputs!$B$3-100)*3)+Inputs!$B$28+Inputs!$B$29)))</f>
        <v/>
      </c>
      <c r="E1341">
        <f>INDEX(FactorTable!$B$2:$Y$301, MATCH(ROUND(MIN(300,MAX(1,D1341)),0), FactorTable!$A$2:$A$301,0), Skills!M28+1)</f>
        <v/>
      </c>
      <c r="F1341">
        <f>IF(Skills!N28=TRUE,(Skills!L28/10)*(E1341/1000),Skills!L28/10)+Skills!O28</f>
        <v/>
      </c>
      <c r="G1341">
        <f>Skills!G28*IF(Skills!H28&gt;0,Skills!I28/Skills!H28,1)</f>
        <v/>
      </c>
      <c r="H1341">
        <f>1-(1-Skills!J28/100)^Skills!K28</f>
        <v/>
      </c>
      <c r="I1341" t="inlineStr">
        <is>
          <t>1</t>
        </is>
      </c>
      <c r="J1341" t="inlineStr"/>
      <c r="K1341" t="inlineStr"/>
      <c r="L1341" t="inlineStr"/>
      <c r="M1341" t="inlineStr"/>
      <c r="N1341" t="inlineStr"/>
      <c r="O1341">
        <f>(1-Summary!$B$11)*T1341+Summary!$B$11*V1341</f>
        <v/>
      </c>
      <c r="P1341">
        <f>IF(B1356=0,0,O1341/B1356)</f>
        <v/>
      </c>
      <c r="Q1341" t="n">
        <v>0</v>
      </c>
      <c r="R1341" t="n">
        <v>0</v>
      </c>
      <c r="S1341">
        <f>IFERROR(O1341/N1341,0)</f>
        <v/>
      </c>
      <c r="T1341" t="n">
        <v>0</v>
      </c>
      <c r="V1341" t="n">
        <v>0</v>
      </c>
    </row>
    <row r="1342">
      <c r="A1342">
        <f>Skills!A29</f>
        <v/>
      </c>
      <c r="B1342">
        <f>Skills!B29</f>
        <v/>
      </c>
      <c r="C1342">
        <f>Inputs!$B$3&gt;=120</f>
        <v/>
      </c>
      <c r="D1342">
        <f>IF(Skills!C29=1,60+Inputs!$B$25+Inputs!$B$29,IF(Skills!C29=2,90+Inputs!$B$26+Inputs!$B$29,IF(Skills!C29=3,120+Inputs!$B$27+Inputs!$B$29,MAX(0,(Inputs!$B$3-100)*3)+Inputs!$B$28+Inputs!$B$29)))</f>
        <v/>
      </c>
      <c r="E1342">
        <f>INDEX(FactorTable!$B$2:$Y$301, MATCH(ROUND(MIN(300,MAX(1,D1342)),0), FactorTable!$A$2:$A$301,0), Skills!M29+1)</f>
        <v/>
      </c>
      <c r="F1342">
        <f>IF(Skills!N29=TRUE,(Skills!L29/10)*(E1342/1000),Skills!L29/10)+Skills!O29</f>
        <v/>
      </c>
      <c r="G1342">
        <f>Skills!G29*IF(Skills!H29&gt;0,Skills!I29/Skills!H29,1)</f>
        <v/>
      </c>
      <c r="H1342">
        <f>1-(1-Skills!J29/100)^Skills!K29</f>
        <v/>
      </c>
      <c r="I1342" t="inlineStr">
        <is>
          <t>1</t>
        </is>
      </c>
      <c r="J1342" t="inlineStr"/>
      <c r="K1342" t="inlineStr"/>
      <c r="L1342" t="inlineStr"/>
      <c r="M1342" t="inlineStr"/>
      <c r="N1342" t="inlineStr"/>
      <c r="O1342">
        <f>(1-Summary!$B$11)*T1342+Summary!$B$11*V1342</f>
        <v/>
      </c>
      <c r="P1342">
        <f>IF(B1356=0,0,O1342/B1356)</f>
        <v/>
      </c>
      <c r="Q1342" t="n">
        <v>0</v>
      </c>
      <c r="R1342" t="n">
        <v>0</v>
      </c>
      <c r="S1342">
        <f>IFERROR(O1342/N1342,0)</f>
        <v/>
      </c>
      <c r="T1342" t="n">
        <v>0</v>
      </c>
      <c r="V1342" t="n">
        <v>0</v>
      </c>
    </row>
    <row r="1343">
      <c r="A1343">
        <f>Skills!A30</f>
        <v/>
      </c>
      <c r="B1343">
        <f>Skills!B30</f>
        <v/>
      </c>
      <c r="C1343">
        <f>Inputs!$B$3&gt;=45</f>
        <v/>
      </c>
      <c r="D1343">
        <f>IF(Skills!C30=1,60+Inputs!$B$25+Inputs!$B$29,IF(Skills!C30=2,90+Inputs!$B$26+Inputs!$B$29,IF(Skills!C30=3,120+Inputs!$B$27+Inputs!$B$29,MAX(0,(Inputs!$B$3-100)*3)+Inputs!$B$28+Inputs!$B$29)))</f>
        <v/>
      </c>
      <c r="E1343">
        <f>INDEX(FactorTable!$B$2:$Y$301, MATCH(ROUND(MIN(300,MAX(1,D1343)),0), FactorTable!$A$2:$A$301,0), Skills!M30+1)</f>
        <v/>
      </c>
      <c r="F1343">
        <f>IF(Skills!N30=TRUE,(Skills!L30/10)*(E1343/1000),Skills!L30/10)+Skills!O30</f>
        <v/>
      </c>
      <c r="G1343">
        <f>Skills!G30*IF(Skills!H30&gt;0,Skills!I30/Skills!H30,1)</f>
        <v/>
      </c>
      <c r="H1343">
        <f>1-(1-Skills!J30/100)^Skills!K30</f>
        <v/>
      </c>
      <c r="I1343" t="inlineStr">
        <is>
          <t>1</t>
        </is>
      </c>
      <c r="J1343" t="inlineStr"/>
      <c r="K1343" t="inlineStr"/>
      <c r="L1343" t="inlineStr"/>
      <c r="M1343" t="inlineStr"/>
      <c r="N1343" t="inlineStr"/>
      <c r="O1343">
        <f>(1-Summary!$B$11)*T1343+Summary!$B$11*V1343</f>
        <v/>
      </c>
      <c r="P1343">
        <f>IF(B1356=0,0,O1343/B1356)</f>
        <v/>
      </c>
      <c r="Q1343" t="n">
        <v>0</v>
      </c>
      <c r="R1343" t="n">
        <v>0</v>
      </c>
      <c r="S1343">
        <f>IFERROR(O1343/N1343,0)</f>
        <v/>
      </c>
      <c r="T1343" t="n">
        <v>0</v>
      </c>
      <c r="V1343" t="n">
        <v>0</v>
      </c>
    </row>
    <row r="1345">
      <c r="A1345" t="inlineStr">
        <is>
          <t>Attack% Bucket Multiplier</t>
        </is>
      </c>
      <c r="B1345">
        <f>(1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6">
      <c r="A1346" t="inlineStr">
        <is>
          <t>Global Crit Rate Bonus %</t>
        </is>
      </c>
      <c r="B1346">
        <f>(C1329=TRUE)*20*IF(AND(Inputs!$B$38&lt;&gt;"pvp",Inputs!$B$43&gt;0),(((R1329-1)*(Skills!T16*(1+Inputs!$B$34/100))+MIN((Skills!T16*(1+Inputs!$B$34/100)),MAX(0,Inputs!$B$43-((R1329-1)*Skills!D16))))/Inputs!$B$43),IF(Inputs!$B$38="pvp",MIN((Skills!T16*(1+Inputs!$B$34/100)),15)/15,(Skills!T16*(1+Inputs!$B$34/100))/Skills!D16))</f>
        <v/>
      </c>
    </row>
    <row r="1347">
      <c r="A1347" t="inlineStr">
        <is>
          <t>Attack Speed Buff Bonus %</t>
        </is>
      </c>
      <c r="B1347">
        <f>((C1332=TRUE)*F1332*IF(AND(Inputs!$B$38&lt;&gt;"pvp",Inputs!$B$43&gt;0),(((R1332-1)*(Skills!T19*(1+Inputs!$B$34/100))+MIN((Skills!T19*(1+Inputs!$B$34/100)),MAX(0,Inputs!$B$43-((R1332-1)*Skills!D19))))/Inputs!$B$43),IF(Inputs!$B$38="pvp",MIN((Skills!T19*(1+Inputs!$B$34/100)),15)/15,(Skills!T19*(1+Inputs!$B$34/100))/Skills!D19)))</f>
        <v/>
      </c>
    </row>
    <row r="1348">
      <c r="A1348" t="inlineStr">
        <is>
          <t>Actions Per Second</t>
        </is>
      </c>
      <c r="B1348">
        <f>1+MIN(150,150*(1-(1-(Inputs!$B$11+((C1334=TRUE)*(F1334-Calc!F21))+((C1335=TRUE)*(F1335-Calc!F22)))/150)*(1-B1347/150)))/100</f>
        <v/>
      </c>
    </row>
    <row r="1349">
      <c r="A1349" t="inlineStr">
        <is>
          <t>Skill + Buff Cast Rate</t>
        </is>
      </c>
      <c r="B1349">
        <f>IF(AND(Inputs!$B$38&lt;&gt;"pvp",Inputs!$B$43&gt;0),SUMPRODUCT((Skills!E2:E30=TRUE)*(C1315:C1343=TRUE)*R1315:R1343*Skills!F2:F30)/Inputs!$B$43,SUMPRODUCT((Skills!E2:E30=TRUE)*(C1315:C1343=TRUE)*Q1315:Q1343*Skills!F2:F30))</f>
        <v/>
      </c>
    </row>
    <row r="1350">
      <c r="A1350" t="inlineStr">
        <is>
          <t>Arrow Stream Casts Per Second</t>
        </is>
      </c>
      <c r="B1350">
        <f>MAX(0,B1348-B1349)</f>
        <v/>
      </c>
    </row>
    <row r="1351">
      <c r="A1351" t="inlineStr">
        <is>
          <t>Global Critical Damage Bonus % (Sharp Eyes + Concentration)</t>
        </is>
      </c>
      <c r="B1351">
        <f>(C1329=TRUE)*F1329*IF(AND(Inputs!$B$38&lt;&gt;"pvp",Inputs!$B$43&gt;0),(((R1329-1)*(Skills!T16*(1+Inputs!$B$34/100))+MIN((Skills!T16*(1+Inputs!$B$34/100)),MAX(0,Inputs!$B$43-((R1329-1)*Skills!D16))))/Inputs!$B$43),IF(Inputs!$B$38="pvp",MIN((Skills!T16*(1+Inputs!$B$34/100)),15)/15,(Skills!T16*(1+Inputs!$B$34/100))/Skills!D16))+(C1330=TRUE)*30</f>
        <v/>
      </c>
    </row>
    <row r="1352">
      <c r="A1352" t="inlineStr">
        <is>
          <t>Global Final Damage Bonus % (Mortal Blow)</t>
        </is>
      </c>
      <c r="B1352">
        <f>(C1331=TRUE)*F1331</f>
        <v/>
      </c>
    </row>
    <row r="1353">
      <c r="A1353" t="inlineStr">
        <is>
          <t>Buff-Casting Startup Delay (s, fixed-duration only)</t>
        </is>
      </c>
      <c r="B1353">
        <f>IF(AND(Inputs!$B$38&lt;&gt;"pvp",Inputs!$B$43&gt;0),SUMPRODUCT((Skills!T2:T30&gt;0)*(Skills!E2:E30=TRUE)*(C1315:C1343=TRUE))/B1348,0)</f>
        <v/>
      </c>
    </row>
    <row r="1354">
      <c r="A1354" t="inlineStr">
        <is>
          <t>Boss-Only Total DPS (this block's swept value)</t>
        </is>
      </c>
      <c r="B1354">
        <f>SUM(T1315:T1343)</f>
        <v/>
      </c>
    </row>
    <row r="1355">
      <c r="A1355" t="inlineStr">
        <is>
          <t>Normal-Only Total DPS (this block's swept value)</t>
        </is>
      </c>
      <c r="B1355">
        <f>SUM(V1315:V1343)</f>
        <v/>
      </c>
    </row>
    <row r="1356">
      <c r="A1356" s="6" t="inlineStr">
        <is>
          <t>TOTAL DPS</t>
        </is>
      </c>
      <c r="B1356" s="6">
        <f>SUM(O1315:O1343)</f>
        <v/>
      </c>
    </row>
    <row r="1359">
      <c r="A1359" s="6" t="inlineStr">
        <is>
          <t>Stat: Shamaness Marble (Equip)</t>
        </is>
      </c>
    </row>
    <row r="1360">
      <c r="A1360" s="5" t="inlineStr">
        <is>
          <t>Key</t>
        </is>
      </c>
      <c r="B1360" s="5" t="inlineStr">
        <is>
          <t>Name</t>
        </is>
      </c>
      <c r="C1360" s="5" t="inlineStr">
        <is>
          <t>Unlocked</t>
        </is>
      </c>
      <c r="D1360" s="5" t="inlineStr">
        <is>
          <t>InputLevel</t>
        </is>
      </c>
      <c r="E1360" s="5" t="inlineStr">
        <is>
          <t>Factor</t>
        </is>
      </c>
      <c r="F1360" s="5" t="inlineStr">
        <is>
          <t>CoefficientPercent</t>
        </is>
      </c>
      <c r="G1360" s="5" t="inlineStr">
        <is>
          <t>EffectiveHits</t>
        </is>
      </c>
      <c r="H1360" s="5" t="inlineStr">
        <is>
          <t>ProcProbability</t>
        </is>
      </c>
      <c r="I1360" s="5" t="inlineStr">
        <is>
          <t>MapleHeroMultiplier</t>
        </is>
      </c>
      <c r="J1360" s="5" t="inlineStr">
        <is>
          <t>BaseDamage</t>
        </is>
      </c>
      <c r="K1360" s="5" t="inlineStr">
        <is>
          <t>BaseHitDamage</t>
        </is>
      </c>
      <c r="L1360" s="5" t="inlineStr">
        <is>
          <t>NonCritAvg</t>
        </is>
      </c>
      <c r="M1360" s="5" t="inlineStr">
        <is>
          <t>CritAvg</t>
        </is>
      </c>
      <c r="N1360" s="5" t="inlineStr">
        <is>
          <t>ExpectedDamage(perHit)</t>
        </is>
      </c>
      <c r="O1360" s="5" t="inlineStr">
        <is>
          <t>DPS</t>
        </is>
      </c>
      <c r="P1360" s="5" t="inlineStr">
        <is>
          <t>% of Total</t>
        </is>
      </c>
      <c r="Q1360" s="5" t="inlineStr">
        <is>
          <t>InvCooldown</t>
        </is>
      </c>
      <c r="R1360" s="5" t="inlineStr">
        <is>
          <t>CastsInFight</t>
        </is>
      </c>
      <c r="S1360" s="5" t="inlineStr">
        <is>
          <t>HitRate(perSec)</t>
        </is>
      </c>
      <c r="U1360" t="inlineStr">
        <is>
          <t>helpers</t>
        </is>
      </c>
    </row>
    <row r="1361">
      <c r="A1361">
        <f>Skills!A2</f>
        <v/>
      </c>
      <c r="B1361">
        <f>Skills!B2</f>
        <v/>
      </c>
      <c r="C1361">
        <f>Inputs!$B$3&gt;=100</f>
        <v/>
      </c>
      <c r="D1361" t="inlineStr"/>
      <c r="E1361" t="inlineStr"/>
      <c r="F1361">
        <f>U1363+Skills!O2</f>
        <v/>
      </c>
      <c r="G1361">
        <f>Skills!G2*IF(Skills!H2&gt;0,Skills!I2/Skills!H2,1)</f>
        <v/>
      </c>
      <c r="H1361">
        <f>1-(1-Skills!J2/100)^Skills!K2</f>
        <v/>
      </c>
      <c r="I1361" t="inlineStr">
        <is>
          <t>1</t>
        </is>
      </c>
      <c r="J1361">
        <f>((Inputs!$B$6*(1+Inputs!$B$7/100))+(((Inputs!$B$12*(1+Inputs!$B$13/100))-(Inputs!$B$12*(1+Inputs!$B$13/100)))+0.25*(Inputs!$B$14-Inputs!$B$14))*(1+Inputs!$B$7/100))*(F1361/100)</f>
        <v/>
      </c>
      <c r="K1361">
        <f>J1361*(1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1383=TRUE)*(F1383-Calc!F24)),(Inputs!$B$23+((C1388=TRUE)*(F1388-Calc!F29))+(IF(ArtifactsInput!$M$15,CHOOSE(ArtifactsInput!$N$15+1,25,30,35,40,45,50)/100*(Inputs!$B$11-Inputs!$B$11),0))))/100+(Inputs!$B$23+((C1388=TRUE)*(F1388-Calc!F29))+(IF(ArtifactsInput!$M$15,CHOOSE(ArtifactsInput!$N$15+1,25,30,35,40,45,50)/100*(Inputs!$B$11-Inputs!$B$11),0)))/100)/2</f>
        <v/>
      </c>
      <c r="M1361">
        <f>L1361*(1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IF(B1402=0,0,O1361/B1402)</f>
        <v/>
      </c>
      <c r="Q1361" t="n">
        <v>0</v>
      </c>
      <c r="R1361" t="n">
        <v>0</v>
      </c>
      <c r="S1361">
        <f>IFERROR(O1361/N1361,0)</f>
        <v/>
      </c>
      <c r="T1361">
        <f>IF(C1361,(Skills!G2*N1361*B1396)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1361*(1-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MAX(0,(Inputs!$B$3-100)*3)+Inputs!$B$28+Inputs!$B$29</f>
        <v/>
      </c>
      <c r="V1361">
        <f>IF(C1361,(Skills!G2*N1361*B1396)*IF(Inputs!$B$38="pvp",1,(1+(Inputs!$B$21+Skills!Q2+(IF(ArtifactsInput!$M$33,CHOOSE(ArtifactsInput!$N$33+1,30,36,42,48,54,60),0))+(IF(AND(ArtifactsInput!$M$35,Inputs!$B$4&lt;&gt;"Chapter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Skills!A3</f>
        <v/>
      </c>
      <c r="B1362">
        <f>Skills!B3</f>
        <v/>
      </c>
      <c r="C1362">
        <f>Inputs!$B$3&gt;=50</f>
        <v/>
      </c>
      <c r="D1362">
        <f>IF(Skills!C3=1,60+Inputs!$B$25+Inputs!$B$29,IF(Skills!C3=2,90+Inputs!$B$26+Inputs!$B$29,IF(Skills!C3=3,120+Inputs!$B$27+Inputs!$B$29,MAX(0,(Inputs!$B$3-100)*3)+Inputs!$B$28+Inputs!$B$29)))</f>
        <v/>
      </c>
      <c r="E1362">
        <f>INDEX(FactorTable!$B$2:$Y$301, MATCH(ROUND(MIN(300,MAX(1,D1362)),0), FactorTable!$A$2:$A$301,0), Skills!M3+1)</f>
        <v/>
      </c>
      <c r="F1362">
        <f>IF(Skills!N3=TRUE,(Skills!L3/10)*(E1362/1000),Skills!L3/10)+Skills!O3</f>
        <v/>
      </c>
      <c r="G1362" t="inlineStr"/>
      <c r="H1362" t="inlineStr"/>
      <c r="I1362" t="inlineStr">
        <is>
          <t>1</t>
        </is>
      </c>
      <c r="J1362" t="inlineStr"/>
      <c r="K1362" t="inlineStr"/>
      <c r="L1362" t="inlineStr"/>
      <c r="M1362" t="inlineStr"/>
      <c r="N1362" t="inlineStr"/>
      <c r="O1362" t="inlineStr"/>
      <c r="P1362" t="inlineStr"/>
      <c r="Q1362" t="inlineStr"/>
      <c r="R1362" t="inlineStr"/>
      <c r="S1362" t="inlineStr"/>
      <c r="T1362" t="inlineStr"/>
      <c r="U1362">
        <f>INDEX(FactorTable!$B$2:$Y$301, MATCH(ROUND(MIN(300,MAX(1,U1361)),0), FactorTable!$A$2:$A$301,0), 22)</f>
        <v/>
      </c>
      <c r="V1362" t="inlineStr"/>
    </row>
    <row r="1363">
      <c r="A1363">
        <f>Skills!A4</f>
        <v/>
      </c>
      <c r="B1363">
        <f>Skills!B4</f>
        <v/>
      </c>
      <c r="C1363">
        <f>Inputs!$B$3&gt;=105</f>
        <v/>
      </c>
      <c r="D1363">
        <f>IF(Skills!C4=1,60+Inputs!$B$25+Inputs!$B$29,IF(Skills!C4=2,90+Inputs!$B$26+Inputs!$B$29,IF(Skills!C4=3,120+Inputs!$B$27+Inputs!$B$29,MAX(0,(Inputs!$B$3-100)*3)+Inputs!$B$28+Inputs!$B$29)))</f>
        <v/>
      </c>
      <c r="E1363">
        <f>INDEX(FactorTable!$B$2:$Y$301, MATCH(ROUND(MIN(300,MAX(1,D1363)),0), FactorTable!$A$2:$A$301,0), Skills!M4+1)</f>
        <v/>
      </c>
      <c r="F1363">
        <f>IF(Skills!N4=TRUE,(Skills!L4/10)*(E1363/1000),Skills!L4/10)+Skills!O4</f>
        <v/>
      </c>
      <c r="G1363" t="inlineStr"/>
      <c r="H1363" t="inlineStr"/>
      <c r="I1363" t="inlineStr">
        <is>
          <t>1</t>
        </is>
      </c>
      <c r="J1363" t="inlineStr"/>
      <c r="K1363" t="inlineStr"/>
      <c r="L1363" t="inlineStr"/>
      <c r="M1363" t="inlineStr"/>
      <c r="N1363" t="inlineStr"/>
      <c r="O1363" t="inlineStr"/>
      <c r="P1363" t="inlineStr"/>
      <c r="Q1363" t="inlineStr"/>
      <c r="R1363" t="inlineStr"/>
      <c r="S1363" t="inlineStr"/>
      <c r="T1363" t="inlineStr"/>
      <c r="U1363">
        <f>290*U1362/1000</f>
        <v/>
      </c>
      <c r="V1363" t="inlineStr"/>
    </row>
    <row r="1364">
      <c r="A1364">
        <f>Skills!A5</f>
        <v/>
      </c>
      <c r="B1364">
        <f>Skills!B5</f>
        <v/>
      </c>
      <c r="C1364">
        <f>Inputs!$B$3&gt;=35</f>
        <v/>
      </c>
      <c r="D1364">
        <f>IF(Skills!C5=1,60+Inputs!$B$25+Inputs!$B$29,IF(Skills!C5=2,90+Inputs!$B$26+Inputs!$B$29,IF(Skills!C5=3,120+Inputs!$B$27+Inputs!$B$29,MAX(0,(Inputs!$B$3-100)*3)+Inputs!$B$28+Inputs!$B$29)))</f>
        <v/>
      </c>
      <c r="E1364">
        <f>INDEX(FactorTable!$B$2:$Y$301, MATCH(ROUND(MIN(300,MAX(1,D1364)),0), FactorTable!$A$2:$A$301,0), Skills!M5+1)</f>
        <v/>
      </c>
      <c r="F1364">
        <f>IF(Skills!N5=TRUE,(Skills!L5/10)*(E1364/1000),Skills!L5/10)+Skills!O5</f>
        <v/>
      </c>
      <c r="G1364">
        <f>Skills!G5*IF(Skills!H5&gt;0,Skills!I5/Skills!H5,1)</f>
        <v/>
      </c>
      <c r="H1364">
        <f>1-(1-Skills!J5/100)^Skills!K5</f>
        <v/>
      </c>
      <c r="I1364" t="inlineStr">
        <is>
          <t>1</t>
        </is>
      </c>
      <c r="J1364">
        <f>((Inputs!$B$6*(1+Inputs!$B$7/100))+(((Inputs!$B$12*(1+Inputs!$B$13/100))-(Inputs!$B$12*(1+Inputs!$B$13/100)))+0.25*(Inputs!$B$14-Inputs!$B$14))*(1+Inputs!$B$7/100))*(F1364/100)</f>
        <v/>
      </c>
      <c r="K1364">
        <f>J1364*(1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1369=TRUE,F1369,0)/100)*(1+(IF(Skills!A5="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1383=TRUE)*(F1383-Calc!F24)),(Inputs!$B$23+((C1388=TRUE)*(F1388-Calc!F29))+(IF(ArtifactsInput!$M$15,CHOOSE(ArtifactsInput!$N$15+1,25,30,35,40,45,50)/100*(Inputs!$B$11-Inputs!$B$11),0))))/100+(Inputs!$B$23+((C1388=TRUE)*(F1388-Calc!F29))+(IF(ArtifactsInput!$M$15,CHOOSE(ArtifactsInput!$N$15+1,25,30,35,40,45,50)/100*(Inputs!$B$11-Inputs!$B$11),0)))/100)/2</f>
        <v/>
      </c>
      <c r="M1364">
        <f>L1364*(1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IF(B1402=0,0,O1364/B1402)</f>
        <v/>
      </c>
      <c r="Q1364">
        <f>IFERROR(1/(IF(Inputs!$B$38="pvp",15,MAX(0.1,Skills!D5-IF(Skills!E5=TRUE,Inputs!$B$32,0)))*(1-IF(AND(ArtifactsInput!$M$27,Inputs!$B$4="Chapter Hunt"),CHOOSE(ArtifactsInput!$N$27+1,20,24,28,32,36,40),0)/100)),0)</f>
        <v/>
      </c>
      <c r="R1364">
        <f>IF(AND(Inputs!$B$38&lt;&gt;"pvp",Inputs!$B$43&gt;0),IF(MAX(0,Inputs!$B$43-B1399)&lt;=0,0,(INT(MAX(0,Inputs!$B$43-B1399)/(IF(Inputs!$B$38="pvp",15,MAX(0.1,Skills!D5-IF(Skills!E5=TRUE,Inputs!$B$32,0)))*(1-IF(AND(ArtifactsInput!$M$27,Inputs!$B$4="Chapter Hunt"),CHOOSE(ArtifactsInput!$N$27+1,20,24,28,32,36,40),0)/100)))+1)),0)</f>
        <v/>
      </c>
      <c r="S1364">
        <f>IFERROR(O1364/N1364,0)</f>
        <v/>
      </c>
      <c r="T1364">
        <f>IF(C1364,(H1364*N1364*IF(AND(Inputs!$B$38&lt;&gt;"pvp",Inputs!$B$43&gt;0),((Skills!G5*((R1364-1)*IF(Skills!H5&gt;0,Skills!I5/Skills!H5,1)+IF(Skills!H5&gt;0,MIN(Skills!I5,MAX(0,MAX(0,Inputs!$B$43-B1399)-((R1364-1)*(IF(Inputs!$B$38="pvp",15,MAX(0.1,Skills!D5-IF(Skills!E5=TRUE,Inputs!$B$32,0)))*(1-IF(AND(ArtifactsInput!$M$27,Inputs!$B$4="Chapter Hunt"),CHOOSE(ArtifactsInput!$N$27+1,20,24,28,32,36,40),0)/100)))))/Skills!H5,1)))/Inputs!$B$43),G1364*Q1364)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1364*(1-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5*((R1364-1)*IF(Skills!H5&gt;0,Skills!I5/Skills!H5,1)+IF(Skills!H5&gt;0,MIN(Skills!I5,MAX(0,MAX(0,Inputs!$B$43-B1399)-((R1364-1)*(IF(Inputs!$B$38="pvp",15,MAX(0.1,Skills!D5-IF(Skills!E5=TRUE,Inputs!$B$32,0)))*(1-IF(AND(ArtifactsInput!$M$27,Inputs!$B$4="Chapter Hunt"),CHOOSE(ArtifactsInput!$N$27+1,20,24,28,32,36,40),0)/100)))))/Skills!H5,1)))/Inputs!$B$43),G1364*Q1364))*IF(Inputs!$B$38="pvp",1,(1+(Inputs!$B$21+Skills!Q5+(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Skills!A6</f>
        <v/>
      </c>
      <c r="B1365">
        <f>Skills!B6</f>
        <v/>
      </c>
      <c r="C1365">
        <f>Inputs!$B$3&gt;=40</f>
        <v/>
      </c>
      <c r="D1365">
        <f>IF(Skills!C6=1,60+Inputs!$B$25+Inputs!$B$29,IF(Skills!C6=2,90+Inputs!$B$26+Inputs!$B$29,IF(Skills!C6=3,120+Inputs!$B$27+Inputs!$B$29,MAX(0,(Inputs!$B$3-100)*3)+Inputs!$B$28+Inputs!$B$29)))</f>
        <v/>
      </c>
      <c r="E1365">
        <f>INDEX(FactorTable!$B$2:$Y$301, MATCH(ROUND(MIN(300,MAX(1,D1365)),0), FactorTable!$A$2:$A$301,0), Skills!M6+1)</f>
        <v/>
      </c>
      <c r="F1365">
        <f>IF(Skills!N6=TRUE,(Skills!L6/10)*(E1365/1000),Skills!L6/10)+Skills!O6</f>
        <v/>
      </c>
      <c r="G1365">
        <f>Skills!G6*IF(Skills!H6&gt;0,Skills!I6/Skills!H6,1)</f>
        <v/>
      </c>
      <c r="H1365">
        <f>1-(1-Skills!J6/100)^Skills!K6</f>
        <v/>
      </c>
      <c r="I1365" t="inlineStr">
        <is>
          <t>1</t>
        </is>
      </c>
      <c r="J1365">
        <f>((Inputs!$B$6*(1+Inputs!$B$7/100))+(((Inputs!$B$12*(1+Inputs!$B$13/100))-(Inputs!$B$12*(1+Inputs!$B$13/100)))+0.25*(Inputs!$B$14-Inputs!$B$14))*(1+Inputs!$B$7/100))*(F1365/100)</f>
        <v/>
      </c>
      <c r="K1365">
        <f>J1365*(1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1366=TRUE,F1366,0)/100)*(1+(IF(Skills!A6="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24)),(Inputs!$B$23+((C1388=TRUE)*(F1388-Calc!F29))+(IF(ArtifactsInput!$M$15,CHOOSE(ArtifactsInput!$N$15+1,25,30,35,40,45,50)/100*(Inputs!$B$11-Inputs!$B$11),0))))/100+(Inputs!$B$23+((C1388=TRUE)*(F1388-Calc!F29))+(IF(ArtifactsInput!$M$15,CHOOSE(ArtifactsInput!$N$15+1,25,30,35,40,45,50)/100*(Inputs!$B$11-Inputs!$B$11),0)))/100)/2</f>
        <v/>
      </c>
      <c r="M1365">
        <f>L1365*(1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IF(B1402=0,0,O1365/B1402)</f>
        <v/>
      </c>
      <c r="Q1365">
        <f>IFERROR(1/(IF(Inputs!$B$38="pvp",15,MAX(0.1,Skills!D6-IF(Skills!E6=TRUE,Inputs!$B$32,0)))*(1-IF(AND(ArtifactsInput!$M$27,Inputs!$B$4="Chapter Hunt"),CHOOSE(ArtifactsInput!$N$27+1,20,24,28,32,36,40),0)/100)),0)</f>
        <v/>
      </c>
      <c r="R1365">
        <f>IF(AND(Inputs!$B$38&lt;&gt;"pvp",Inputs!$B$43&gt;0),IF(MAX(0,Inputs!$B$43-B1399)&lt;=0,0,(INT(MAX(0,Inputs!$B$43-B1399)/(IF(Inputs!$B$38="pvp",15,MAX(0.1,Skills!D6-IF(Skills!E6=TRUE,Inputs!$B$32,0)))*(1-IF(AND(ArtifactsInput!$M$27,Inputs!$B$4="Chapter Hunt"),CHOOSE(ArtifactsInput!$N$27+1,20,24,28,32,36,40),0)/100)))+1)),0)</f>
        <v/>
      </c>
      <c r="S1365">
        <f>IFERROR(O1365/N1365,0)</f>
        <v/>
      </c>
      <c r="T1365">
        <f>IF(C1365,(H1365*N1365*IF(AND(Inputs!$B$38&lt;&gt;"pvp",Inputs!$B$43&gt;0),((Skills!G6*((R1365-1)*IF(Skills!H6&gt;0,Skills!I6/Skills!H6,1)+IF(Skills!H6&gt;0,MIN(Skills!I6,MAX(0,MAX(0,Inputs!$B$43-B1399)-((R1365-1)*(IF(Inputs!$B$38="pvp",15,MAX(0.1,Skills!D6-IF(Skills!E6=TRUE,Inputs!$B$32,0)))*(1-IF(AND(ArtifactsInput!$M$27,Inputs!$B$4="Chapter Hunt"),CHOOSE(ArtifactsInput!$N$27+1,20,24,28,32,36,40),0)/100)))))/Skills!H6,1)))/Inputs!$B$43),G1365*Q1365)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1365*(1-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6*((R1365-1)*IF(Skills!H6&gt;0,Skills!I6/Skills!H6,1)+IF(Skills!H6&gt;0,MIN(Skills!I6,MAX(0,MAX(0,Inputs!$B$43-B1399)-((R1365-1)*(IF(Inputs!$B$38="pvp",15,MAX(0.1,Skills!D6-IF(Skills!E6=TRUE,Inputs!$B$32,0)))*(1-IF(AND(ArtifactsInput!$M$27,Inputs!$B$4="Chapter Hunt"),CHOOSE(ArtifactsInput!$N$27+1,20,24,28,32,36,40),0)/100)))))/Skills!H6,1)))/Inputs!$B$43),G1365*Q1365))*IF(Inputs!$B$38="pvp",1,(1+(Inputs!$B$21+Skills!Q6+(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Skills!A7</f>
        <v/>
      </c>
      <c r="B1366">
        <f>Skills!B7</f>
        <v/>
      </c>
      <c r="C1366">
        <f>Inputs!$B$3&gt;=107</f>
        <v/>
      </c>
      <c r="D1366">
        <f>IF(Skills!C7=1,60+Inputs!$B$25+Inputs!$B$29,IF(Skills!C7=2,90+Inputs!$B$26+Inputs!$B$29,IF(Skills!C7=3,120+Inputs!$B$27+Inputs!$B$29,MAX(0,(Inputs!$B$3-100)*3)+Inputs!$B$28+Inputs!$B$29)))</f>
        <v/>
      </c>
      <c r="E1366">
        <f>INDEX(FactorTable!$B$2:$Y$301, MATCH(ROUND(MIN(300,MAX(1,D1366)),0), FactorTable!$A$2:$A$301,0), Skills!M7+1)</f>
        <v/>
      </c>
      <c r="F1366">
        <f>IF(Skills!N7=TRUE,(Skills!L7/10)*(E1366/1000),Skills!L7/10)+Skills!O7</f>
        <v/>
      </c>
      <c r="G1366" t="inlineStr"/>
      <c r="H1366" t="inlineStr"/>
      <c r="I1366" t="inlineStr">
        <is>
          <t>1</t>
        </is>
      </c>
      <c r="J1366" t="inlineStr"/>
      <c r="K1366" t="inlineStr"/>
      <c r="L1366" t="inlineStr"/>
      <c r="M1366" t="inlineStr"/>
      <c r="N1366" t="inlineStr"/>
      <c r="O1366" t="inlineStr"/>
      <c r="P1366" t="inlineStr"/>
      <c r="Q1366" t="inlineStr"/>
      <c r="R1366" t="inlineStr"/>
      <c r="S1366" t="inlineStr"/>
      <c r="T1366" t="inlineStr"/>
      <c r="V1366" t="inlineStr"/>
    </row>
    <row r="1367">
      <c r="A1367">
        <f>Skills!A8</f>
        <v/>
      </c>
      <c r="B1367">
        <f>Skills!B8</f>
        <v/>
      </c>
      <c r="C1367">
        <f>Inputs!$B$3&gt;=69</f>
        <v/>
      </c>
      <c r="D1367">
        <f>IF(Skills!C8=1,60+Inputs!$B$25+Inputs!$B$29,IF(Skills!C8=2,90+Inputs!$B$26+Inputs!$B$29,IF(Skills!C8=3,120+Inputs!$B$27+Inputs!$B$29,MAX(0,(Inputs!$B$3-100)*3)+Inputs!$B$28+Inputs!$B$29)))</f>
        <v/>
      </c>
      <c r="E1367">
        <f>INDEX(FactorTable!$B$2:$Y$301, MATCH(ROUND(MIN(300,MAX(1,D1367)),0), FactorTable!$A$2:$A$301,0), Skills!M8+1)</f>
        <v/>
      </c>
      <c r="F1367">
        <f>IF(Skills!N8=TRUE,(Skills!L8/10)*(E1367/1000),Skills!L8/10)+Skills!O8</f>
        <v/>
      </c>
      <c r="G1367">
        <f>Skills!G8*IF(Skills!H8&gt;0,Skills!I8/Skills!H8,1)</f>
        <v/>
      </c>
      <c r="H1367">
        <f>1-(1-Skills!J8/100)^Skills!K8</f>
        <v/>
      </c>
      <c r="I1367" t="inlineStr">
        <is>
          <t>1</t>
        </is>
      </c>
      <c r="J1367">
        <f>((Inputs!$B$6*(1+Inputs!$B$7/100))+(((Inputs!$B$12*(1+Inputs!$B$13/100))-(Inputs!$B$12*(1+Inputs!$B$13/100)))+0.25*(Inputs!$B$14-Inputs!$B$14))*(1+Inputs!$B$7/100))*(F1367/100)</f>
        <v/>
      </c>
      <c r="K1367">
        <f>J1367*(1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1369=TRUE,F1369,0)/100)*(1+(IF(Skills!A8="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24)),(Inputs!$B$23+((C1388=TRUE)*(F1388-Calc!F29))+(IF(ArtifactsInput!$M$15,CHOOSE(ArtifactsInput!$N$15+1,25,30,35,40,45,50)/100*(Inputs!$B$11-Inputs!$B$11),0))))/100+(Inputs!$B$23+((C1388=TRUE)*(F1388-Calc!F29))+(IF(ArtifactsInput!$M$15,CHOOSE(ArtifactsInput!$N$15+1,25,30,35,40,45,50)/100*(Inputs!$B$11-Inputs!$B$11),0)))/100)/2</f>
        <v/>
      </c>
      <c r="M1367">
        <f>L1367*(1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IF(B1402=0,0,O1367/B1402)</f>
        <v/>
      </c>
      <c r="Q1367">
        <f>IFERROR(1/(IF(Inputs!$B$38="pvp",15,MAX(0.1,Skills!D8-IF(Skills!E8=TRUE,Inputs!$B$32,0)))*(1-IF(AND(ArtifactsInput!$M$27,Inputs!$B$4="Chapter Hunt"),CHOOSE(ArtifactsInput!$N$27+1,20,24,28,32,36,40),0)/100)),0)</f>
        <v/>
      </c>
      <c r="R1367">
        <f>IF(AND(Inputs!$B$38&lt;&gt;"pvp",Inputs!$B$43&gt;0),IF(MAX(0,Inputs!$B$43-B1399)&lt;=0,0,(INT(MAX(0,Inputs!$B$43-B1399)/(IF(Inputs!$B$38="pvp",15,MAX(0.1,Skills!D8-IF(Skills!E8=TRUE,Inputs!$B$32,0)))*(1-IF(AND(ArtifactsInput!$M$27,Inputs!$B$4="Chapter Hunt"),CHOOSE(ArtifactsInput!$N$27+1,20,24,28,32,36,40),0)/100)))+1)),0)</f>
        <v/>
      </c>
      <c r="S1367">
        <f>IFERROR(O1367/N1367,0)</f>
        <v/>
      </c>
      <c r="T1367">
        <f>IF(C1367,(H1367*N1367*IF(AND(Inputs!$B$38&lt;&gt;"pvp",Inputs!$B$43&gt;0),((Skills!G8*((R1367-1)*IF(Skills!H8&gt;0,Skills!I8/Skills!H8,1)+IF(Skills!H8&gt;0,MIN(Skills!I8,MAX(0,MAX(0,Inputs!$B$43-B1399)-((R1367-1)*(IF(Inputs!$B$38="pvp",15,MAX(0.1,Skills!D8-IF(Skills!E8=TRUE,Inputs!$B$32,0)))*(1-IF(AND(ArtifactsInput!$M$27,Inputs!$B$4="Chapter Hunt"),CHOOSE(ArtifactsInput!$N$27+1,20,24,28,32,36,40),0)/100)))))/Skills!H8,1)))/Inputs!$B$43),G1367*Q1367)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1367*(1-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8*((R1367-1)*IF(Skills!H8&gt;0,Skills!I8/Skills!H8,1)+IF(Skills!H8&gt;0,MIN(Skills!I8,MAX(0,MAX(0,Inputs!$B$43-B1399)-((R1367-1)*(IF(Inputs!$B$38="pvp",15,MAX(0.1,Skills!D8-IF(Skills!E8=TRUE,Inputs!$B$32,0)))*(1-IF(AND(ArtifactsInput!$M$27,Inputs!$B$4="Chapter Hunt"),CHOOSE(ArtifactsInput!$N$27+1,20,24,28,32,36,40),0)/100)))))/Skills!H8,1)))/Inputs!$B$43),G1367*Q1367))*IF(Inputs!$B$38="pvp",1,(1+(Inputs!$B$21+Skills!Q8+(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Skills!A9</f>
        <v/>
      </c>
      <c r="B1368">
        <f>Skills!B9</f>
        <v/>
      </c>
      <c r="C1368">
        <f>Inputs!$B$3&gt;=63</f>
        <v/>
      </c>
      <c r="D1368">
        <f>IF(Skills!C9=1,60+Inputs!$B$25+Inputs!$B$29,IF(Skills!C9=2,90+Inputs!$B$26+Inputs!$B$29,IF(Skills!C9=3,120+Inputs!$B$27+Inputs!$B$29,MAX(0,(Inputs!$B$3-100)*3)+Inputs!$B$28+Inputs!$B$29)))</f>
        <v/>
      </c>
      <c r="E1368">
        <f>INDEX(FactorTable!$B$2:$Y$301, MATCH(ROUND(MIN(300,MAX(1,D1368)),0), FactorTable!$A$2:$A$301,0), Skills!M9+1)</f>
        <v/>
      </c>
      <c r="F1368">
        <f>IF(Skills!N9=TRUE,(Skills!L9/10)*(E1368/1000),Skills!L9/10)+Skills!O9</f>
        <v/>
      </c>
      <c r="G1368">
        <f>Skills!G9*IF(Skills!H9&gt;0,Skills!I9/Skills!H9,1)</f>
        <v/>
      </c>
      <c r="H1368">
        <f>1-(1-Skills!J9/100)^Skills!K9</f>
        <v/>
      </c>
      <c r="I1368" t="inlineStr">
        <is>
          <t>1</t>
        </is>
      </c>
      <c r="J1368">
        <f>((Inputs!$B$6*(1+Inputs!$B$7/100))+(((Inputs!$B$12*(1+Inputs!$B$13/100))-(Inputs!$B$12*(1+Inputs!$B$13/100)))+0.25*(Inputs!$B$14-Inputs!$B$14))*(1+Inputs!$B$7/100))*(F1368/100)</f>
        <v/>
      </c>
      <c r="K1368">
        <f>J1368*(1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1369=TRUE,F1369,0)/100)*(1+(IF(Skills!A9="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1383=TRUE)*(F1383-Calc!F24)),(Inputs!$B$23+((C1388=TRUE)*(F1388-Calc!F29))+(IF(ArtifactsInput!$M$15,CHOOSE(ArtifactsInput!$N$15+1,25,30,35,40,45,50)/100*(Inputs!$B$11-Inputs!$B$11),0))))/100+(Inputs!$B$23+((C1388=TRUE)*(F1388-Calc!F29))+(IF(ArtifactsInput!$M$15,CHOOSE(ArtifactsInput!$N$15+1,25,30,35,40,45,50)/100*(Inputs!$B$11-Inputs!$B$11),0)))/100)/2</f>
        <v/>
      </c>
      <c r="M1368">
        <f>L1368*(1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IF(B1402=0,0,O1368/B1402)</f>
        <v/>
      </c>
      <c r="Q1368">
        <f>IFERROR(1/(IF(Inputs!$B$38="pvp",15,MAX(0.1,Skills!D9-IF(Skills!E9=TRUE,Inputs!$B$32,0)))*(1-IF(AND(ArtifactsInput!$M$27,Inputs!$B$4="Chapter Hunt"),CHOOSE(ArtifactsInput!$N$27+1,20,24,28,32,36,40),0)/100)),0)</f>
        <v/>
      </c>
      <c r="R1368">
        <f>IF(AND(Inputs!$B$38&lt;&gt;"pvp",Inputs!$B$43&gt;0),IF(MAX(0,Inputs!$B$43-B1399)&lt;=0,0,(INT(MAX(0,Inputs!$B$43-B1399)/(IF(Inputs!$B$38="pvp",15,MAX(0.1,Skills!D9-IF(Skills!E9=TRUE,Inputs!$B$32,0)))*(1-IF(AND(ArtifactsInput!$M$27,Inputs!$B$4="Chapter Hunt"),CHOOSE(ArtifactsInput!$N$27+1,20,24,28,32,36,40),0)/100)))+1)),0)</f>
        <v/>
      </c>
      <c r="S1368">
        <f>IFERROR(O1368/N1368,0)</f>
        <v/>
      </c>
      <c r="T1368">
        <f>IF(C1368,(H1368*N1368*IF(AND(Inputs!$B$38&lt;&gt;"pvp",Inputs!$B$43&gt;0),((Skills!G9*((R1368-1)*IF(Skills!H9&gt;0,Skills!I9/Skills!H9,1)+IF(Skills!H9&gt;0,MIN(Skills!I9,MAX(0,MAX(0,Inputs!$B$43-B1399)-((R1368-1)*(IF(Inputs!$B$38="pvp",15,MAX(0.1,Skills!D9-IF(Skills!E9=TRUE,Inputs!$B$32,0)))*(1-IF(AND(ArtifactsInput!$M$27,Inputs!$B$4="Chapter Hunt"),CHOOSE(ArtifactsInput!$N$27+1,20,24,28,32,36,40),0)/100)))))/Skills!H9,1)))/Inputs!$B$43),G1368*Q1368)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1368*(1-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9*((R1368-1)*IF(Skills!H9&gt;0,Skills!I9/Skills!H9,1)+IF(Skills!H9&gt;0,MIN(Skills!I9,MAX(0,MAX(0,Inputs!$B$43-B1399)-((R1368-1)*(IF(Inputs!$B$38="pvp",15,MAX(0.1,Skills!D9-IF(Skills!E9=TRUE,Inputs!$B$32,0)))*(1-IF(AND(ArtifactsInput!$M$27,Inputs!$B$4="Chapter Hunt"),CHOOSE(ArtifactsInput!$N$27+1,20,24,28,32,36,40),0)/100)))))/Skills!H9,1)))/Inputs!$B$43),G1368*Q1368))*IF(Inputs!$B$38="pvp",1,(1+(Inputs!$B$21+Skills!Q9+(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Skills!A10</f>
        <v/>
      </c>
      <c r="B1369">
        <f>Skills!B10</f>
        <v/>
      </c>
      <c r="C1369">
        <f>Inputs!$B$3&gt;=100</f>
        <v/>
      </c>
      <c r="D1369">
        <f>IF(Skills!C10=1,60+Inputs!$B$25+Inputs!$B$29,IF(Skills!C10=2,90+Inputs!$B$26+Inputs!$B$29,IF(Skills!C10=3,120+Inputs!$B$27+Inputs!$B$29,MAX(0,(Inputs!$B$3-100)*3)+Inputs!$B$28+Inputs!$B$29)))</f>
        <v/>
      </c>
      <c r="E1369">
        <f>INDEX(FactorTable!$B$2:$Y$301, MATCH(ROUND(MIN(300,MAX(1,D1369)),0), FactorTable!$A$2:$A$301,0), Skills!M10+1)</f>
        <v/>
      </c>
      <c r="F1369">
        <f>IF(Skills!N10=TRUE,(Skills!L10/10)*(E1369/1000),Skills!L10/10)+Skills!O10</f>
        <v/>
      </c>
      <c r="G1369" t="inlineStr"/>
      <c r="H1369" t="inlineStr"/>
      <c r="I1369" t="inlineStr">
        <is>
          <t>1</t>
        </is>
      </c>
      <c r="J1369" t="inlineStr"/>
      <c r="K1369" t="inlineStr"/>
      <c r="L1369" t="inlineStr"/>
      <c r="M1369" t="inlineStr"/>
      <c r="N1369" t="inlineStr"/>
      <c r="O1369" t="inlineStr"/>
      <c r="P1369" t="inlineStr"/>
      <c r="Q1369" t="inlineStr"/>
      <c r="R1369" t="inlineStr"/>
      <c r="S1369" t="inlineStr"/>
      <c r="T1369" t="inlineStr"/>
      <c r="V1369" t="inlineStr"/>
    </row>
    <row r="1370">
      <c r="A1370">
        <f>Skills!A11</f>
        <v/>
      </c>
      <c r="B1370">
        <f>Skills!B11</f>
        <v/>
      </c>
      <c r="C1370">
        <f>Inputs!$B$3&gt;=60</f>
        <v/>
      </c>
      <c r="D1370">
        <f>IF(Skills!C11=1,60+Inputs!$B$25+Inputs!$B$29,IF(Skills!C11=2,90+Inputs!$B$26+Inputs!$B$29,IF(Skills!C11=3,120+Inputs!$B$27+Inputs!$B$29,MAX(0,(Inputs!$B$3-100)*3)+Inputs!$B$28+Inputs!$B$29)))</f>
        <v/>
      </c>
      <c r="E1370">
        <f>INDEX(FactorTable!$B$2:$Y$301, MATCH(ROUND(MIN(300,MAX(1,D1370)),0), FactorTable!$A$2:$A$301,0), Skills!M11+1)</f>
        <v/>
      </c>
      <c r="F1370">
        <f>IF(Skills!N11=TRUE,(Skills!L11/10)*(E1370/1000),Skills!L11/10)+Skills!O11</f>
        <v/>
      </c>
      <c r="G1370">
        <f>Skills!G11*IF(Skills!H11&gt;0,Skills!I11/Skills!H11,1)</f>
        <v/>
      </c>
      <c r="H1370">
        <f>1-(1-Skills!J11/100)^Skills!K11</f>
        <v/>
      </c>
      <c r="I1370" t="inlineStr">
        <is>
          <t>1</t>
        </is>
      </c>
      <c r="J1370">
        <f>((Inputs!$B$6*(1+Inputs!$B$7/100))+(((Inputs!$B$12*(1+Inputs!$B$13/100))-(Inputs!$B$12*(1+Inputs!$B$13/100)))+0.25*(Inputs!$B$14-Inputs!$B$14))*(1+Inputs!$B$7/100))*(F1370/100)</f>
        <v/>
      </c>
      <c r="K1370">
        <f>J1370*(1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1371=TRUE,F1371,0)/100)*(1+(IF(Skills!A11="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24)),(Inputs!$B$23+((C1388=TRUE)*(F1388-Calc!F29))+(IF(ArtifactsInput!$M$15,CHOOSE(ArtifactsInput!$N$15+1,25,30,35,40,45,50)/100*(Inputs!$B$11-Inputs!$B$11),0))))/100+(Inputs!$B$23+((C1388=TRUE)*(F1388-Calc!F29))+(IF(ArtifactsInput!$M$15,CHOOSE(ArtifactsInput!$N$15+1,25,30,35,40,45,50)/100*(Inputs!$B$11-Inputs!$B$11),0)))/100)/2</f>
        <v/>
      </c>
      <c r="M1370">
        <f>L1370*(1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IF(B1402=0,0,O1370/B1402)</f>
        <v/>
      </c>
      <c r="Q1370">
        <f>IFERROR(1/(IF(Inputs!$B$38="pvp",15,MAX(0.1,Skills!D11-IF(Skills!E11=TRUE,Inputs!$B$32,0)))*(1-IF(AND(ArtifactsInput!$M$27,Inputs!$B$4="Chapter Hunt"),CHOOSE(ArtifactsInput!$N$27+1,20,24,28,32,36,40),0)/100)),0)</f>
        <v/>
      </c>
      <c r="R1370">
        <f>IF(AND(Inputs!$B$38&lt;&gt;"pvp",Inputs!$B$43&gt;0),IF(MAX(0,Inputs!$B$43-B1399)&lt;=0,0,(INT(MAX(0,Inputs!$B$43-B1399)/(IF(Inputs!$B$38="pvp",15,MAX(0.1,Skills!D11-IF(Skills!E11=TRUE,Inputs!$B$32,0)))*(1-IF(AND(ArtifactsInput!$M$27,Inputs!$B$4="Chapter Hunt"),CHOOSE(ArtifactsInput!$N$27+1,20,24,28,32,36,40),0)/100)))+1)),0)</f>
        <v/>
      </c>
      <c r="S1370">
        <f>IFERROR(O1370/N1370,0)</f>
        <v/>
      </c>
      <c r="T1370">
        <f>IF(C1370,(H1370*N1370*IF(AND(Inputs!$B$38&lt;&gt;"pvp",Inputs!$B$43&gt;0),((Skills!G11*((R1370-1)*IF(Skills!H11&gt;0,Skills!I11/Skills!H11,1)+IF(Skills!H11&gt;0,MIN(Skills!I11,MAX(0,MAX(0,Inputs!$B$43-B1399)-((R1370-1)*(IF(Inputs!$B$38="pvp",15,MAX(0.1,Skills!D11-IF(Skills!E11=TRUE,Inputs!$B$32,0)))*(1-IF(AND(ArtifactsInput!$M$27,Inputs!$B$4="Chapter Hunt"),CHOOSE(ArtifactsInput!$N$27+1,20,24,28,32,36,40),0)/100)))))/Skills!H11,1)))/Inputs!$B$43),G1370*Q1370)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1370*(1-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11*((R1370-1)*IF(Skills!H11&gt;0,Skills!I11/Skills!H11,1)+IF(Skills!H11&gt;0,MIN(Skills!I11,MAX(0,MAX(0,Inputs!$B$43-B1399)-((R1370-1)*(IF(Inputs!$B$38="pvp",15,MAX(0.1,Skills!D11-IF(Skills!E11=TRUE,Inputs!$B$32,0)))*(1-IF(AND(ArtifactsInput!$M$27,Inputs!$B$4="Chapter Hunt"),CHOOSE(ArtifactsInput!$N$27+1,20,24,28,32,36,40),0)/100)))))/Skills!H11,1)))/Inputs!$B$43),G1370*Q1370))*IF(Inputs!$B$38="pvp",1,(1+(Inputs!$B$21+Skills!Q11+(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Skills!A12</f>
        <v/>
      </c>
      <c r="B1371">
        <f>Skills!B12</f>
        <v/>
      </c>
      <c r="C1371">
        <f>Inputs!$B$3&gt;=110</f>
        <v/>
      </c>
      <c r="D1371">
        <f>IF(Skills!C12=1,60+Inputs!$B$25+Inputs!$B$29,IF(Skills!C12=2,90+Inputs!$B$26+Inputs!$B$29,IF(Skills!C12=3,120+Inputs!$B$27+Inputs!$B$29,MAX(0,(Inputs!$B$3-100)*3)+Inputs!$B$28+Inputs!$B$29)))</f>
        <v/>
      </c>
      <c r="E1371">
        <f>INDEX(FactorTable!$B$2:$Y$301, MATCH(ROUND(MIN(300,MAX(1,D1371)),0), FactorTable!$A$2:$A$301,0), Skills!M12+1)</f>
        <v/>
      </c>
      <c r="F1371">
        <f>IF(Skills!N12=TRUE,(Skills!L12/10)*(E1371/1000),Skills!L12/10)+Skills!O12</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T1371" t="inlineStr"/>
      <c r="V1371" t="inlineStr"/>
    </row>
    <row r="1372">
      <c r="A1372">
        <f>Skills!A13</f>
        <v/>
      </c>
      <c r="B1372">
        <f>Skills!B13</f>
        <v/>
      </c>
      <c r="C1372">
        <f>Inputs!$B$3&gt;=74</f>
        <v/>
      </c>
      <c r="D1372">
        <f>IF(Skills!C13=1,60+Inputs!$B$25+Inputs!$B$29,IF(Skills!C13=2,90+Inputs!$B$26+Inputs!$B$29,IF(Skills!C13=3,120+Inputs!$B$27+Inputs!$B$29,MAX(0,(Inputs!$B$3-100)*3)+Inputs!$B$28+Inputs!$B$29)))</f>
        <v/>
      </c>
      <c r="E1372">
        <f>INDEX(FactorTable!$B$2:$Y$301, MATCH(ROUND(MIN(300,MAX(1,D1372)),0), FactorTable!$A$2:$A$301,0), Skills!M13+1)</f>
        <v/>
      </c>
      <c r="F1372">
        <f>IF(Skills!N13=TRUE,(Skills!L13/10)*(E1372/1000),Skills!L13/10)+Skills!O13</f>
        <v/>
      </c>
      <c r="G1372">
        <f>Skills!G13*IF(Skills!H13&gt;0,Skills!I13/Skills!H13,1)</f>
        <v/>
      </c>
      <c r="H1372">
        <f>1-(1-Skills!J13/100)^Skills!K13</f>
        <v/>
      </c>
      <c r="I1372" t="inlineStr">
        <is>
          <t>1</t>
        </is>
      </c>
      <c r="J1372" t="inlineStr"/>
      <c r="K1372" t="inlineStr"/>
      <c r="L1372" t="inlineStr"/>
      <c r="M1372" t="inlineStr"/>
      <c r="N1372" t="inlineStr"/>
      <c r="O1372">
        <f>(1-Summary!$B$11)*T1372+Summary!$B$11*V1372</f>
        <v/>
      </c>
      <c r="P1372">
        <f>IF(B1402=0,0,O1372/B1402)</f>
        <v/>
      </c>
      <c r="Q1372" t="n">
        <v>0</v>
      </c>
      <c r="R1372" t="n">
        <v>0</v>
      </c>
      <c r="S1372">
        <f>IFERROR(O1372/N1372,0)</f>
        <v/>
      </c>
      <c r="T1372" t="n">
        <v>0</v>
      </c>
      <c r="V1372" t="n">
        <v>0</v>
      </c>
    </row>
    <row r="1373">
      <c r="A1373">
        <f>Skills!A14</f>
        <v/>
      </c>
      <c r="B1373">
        <f>Skills!B14</f>
        <v/>
      </c>
      <c r="C1373">
        <f>Inputs!$B$3&gt;=74</f>
        <v/>
      </c>
      <c r="D1373">
        <f>IF(Skills!C14=1,60+Inputs!$B$25+Inputs!$B$29,IF(Skills!C14=2,90+Inputs!$B$26+Inputs!$B$29,IF(Skills!C14=3,120+Inputs!$B$27+Inputs!$B$29,MAX(0,(Inputs!$B$3-100)*3)+Inputs!$B$28+Inputs!$B$29)))</f>
        <v/>
      </c>
      <c r="E1373">
        <f>INDEX(FactorTable!$B$2:$Y$301, MATCH(ROUND(MIN(300,MAX(1,D1373)),0), FactorTable!$A$2:$A$301,0), Skills!M14+1)</f>
        <v/>
      </c>
      <c r="F1373">
        <f>IF(Skills!N14=TRUE,(Skills!L14/10)*(E1373/1000),Skills!L14/10)+Skills!O14</f>
        <v/>
      </c>
      <c r="G1373">
        <f>Skills!G14*IF(Skills!H14&gt;0,Skills!I14/Skills!H14,1)</f>
        <v/>
      </c>
      <c r="H1373">
        <f>1-(1-Skills!J14/100)^Skills!K14</f>
        <v/>
      </c>
      <c r="I1373" t="inlineStr">
        <is>
          <t>1</t>
        </is>
      </c>
      <c r="J1373" t="inlineStr"/>
      <c r="K1373" t="inlineStr"/>
      <c r="L1373" t="inlineStr"/>
      <c r="M1373" t="inlineStr"/>
      <c r="N1373" t="inlineStr"/>
      <c r="O1373">
        <f>(1-Summary!$B$11)*T1373+Summary!$B$11*V1373</f>
        <v/>
      </c>
      <c r="P1373">
        <f>IF(B1402=0,0,O1373/B1402)</f>
        <v/>
      </c>
      <c r="Q1373" t="n">
        <v>0</v>
      </c>
      <c r="R1373" t="n">
        <v>0</v>
      </c>
      <c r="S1373">
        <f>IFERROR(O1373/N1373,0)</f>
        <v/>
      </c>
      <c r="T1373" t="n">
        <v>0</v>
      </c>
      <c r="V1373" t="n">
        <v>0</v>
      </c>
    </row>
    <row r="1374">
      <c r="A1374">
        <f>Skills!A15</f>
        <v/>
      </c>
      <c r="B1374">
        <f>Skills!B15</f>
        <v/>
      </c>
      <c r="C1374">
        <f>Inputs!$B$3&gt;=117</f>
        <v/>
      </c>
      <c r="D1374">
        <f>IF(Skills!C15=1,60+Inputs!$B$25+Inputs!$B$29,IF(Skills!C15=2,90+Inputs!$B$26+Inputs!$B$29,IF(Skills!C15=3,120+Inputs!$B$27+Inputs!$B$29,MAX(0,(Inputs!$B$3-100)*3)+Inputs!$B$28+Inputs!$B$29)))</f>
        <v/>
      </c>
      <c r="E1374">
        <f>INDEX(FactorTable!$B$2:$Y$301, MATCH(ROUND(MIN(300,MAX(1,D1374)),0), FactorTable!$A$2:$A$301,0), Skills!M15+1)</f>
        <v/>
      </c>
      <c r="F1374">
        <f>IF(Skills!N15=TRUE,(Skills!L15/10)*(E1374/1000),Skills!L15/10)+Skills!O15</f>
        <v/>
      </c>
      <c r="G1374">
        <f>Skills!G15*IF(Skills!H15&gt;0,Skills!I15/Skills!H15,1)</f>
        <v/>
      </c>
      <c r="H1374">
        <f>1-(1-Skills!J15/100)^Skills!K15</f>
        <v/>
      </c>
      <c r="I1374" t="inlineStr">
        <is>
          <t>1</t>
        </is>
      </c>
      <c r="J1374" t="inlineStr"/>
      <c r="K1374" t="inlineStr"/>
      <c r="L1374" t="inlineStr"/>
      <c r="M1374" t="inlineStr"/>
      <c r="N1374" t="inlineStr"/>
      <c r="O1374">
        <f>(1-Summary!$B$11)*T1374+Summary!$B$11*V1374</f>
        <v/>
      </c>
      <c r="P1374">
        <f>IF(B1402=0,0,O1374/B1402)</f>
        <v/>
      </c>
      <c r="Q1374">
        <f>IFERROR(1/(IF(Inputs!$B$38="pvp",15,MAX(0.1,Skills!D15-IF(Skills!E15=TRUE,Inputs!$B$32,0)))*(1-IF(AND(ArtifactsInput!$M$27,Inputs!$B$4="Chapter Hunt"),CHOOSE(ArtifactsInput!$N$27+1,20,24,28,32,36,40),0)/100)),0)</f>
        <v/>
      </c>
      <c r="R1374">
        <f>IF(AND(Inputs!$B$38&lt;&gt;"pvp",Inputs!$B$43&gt;0),IF(Inputs!$B$43&lt;=0,0,(INT(Inputs!$B$43/(IF(Inputs!$B$38="pvp",15,MAX(0.1,Skills!D15-IF(Skills!E15=TRUE,Inputs!$B$32,0)))*(1-IF(AND(ArtifactsInput!$M$27,Inputs!$B$4="Chapter Hunt"),CHOOSE(ArtifactsInput!$N$27+1,20,24,28,32,36,40),0)/100)))+1)),0)</f>
        <v/>
      </c>
      <c r="S1374">
        <f>IFERROR(O1374/N1374,0)</f>
        <v/>
      </c>
      <c r="T1374" t="n">
        <v>0</v>
      </c>
      <c r="V1374" t="n">
        <v>0</v>
      </c>
    </row>
    <row r="1375">
      <c r="A1375">
        <f>Skills!A16</f>
        <v/>
      </c>
      <c r="B1375">
        <f>Skills!B16</f>
        <v/>
      </c>
      <c r="C1375">
        <f>Inputs!$B$3&gt;=115</f>
        <v/>
      </c>
      <c r="D1375">
        <f>IF(Skills!C16=1,60+Inputs!$B$25+Inputs!$B$29,IF(Skills!C16=2,90+Inputs!$B$26+Inputs!$B$29,IF(Skills!C16=3,120+Inputs!$B$27+Inputs!$B$29,MAX(0,(Inputs!$B$3-100)*3)+Inputs!$B$28+Inputs!$B$29)))</f>
        <v/>
      </c>
      <c r="E1375">
        <f>INDEX(FactorTable!$B$2:$Y$301, MATCH(ROUND(MIN(300,MAX(1,D1375)),0), FactorTable!$A$2:$A$301,0), Skills!M16+1)</f>
        <v/>
      </c>
      <c r="F1375">
        <f>IF(Skills!N16=TRUE,(Skills!L16/10)*(E1375/1000),Skills!L16/10)+Skills!O16</f>
        <v/>
      </c>
      <c r="G1375">
        <f>Skills!G16*IF(Skills!H16&gt;0,Skills!I16/Skills!H16,1)</f>
        <v/>
      </c>
      <c r="H1375">
        <f>1-(1-Skills!J16/100)^Skills!K16</f>
        <v/>
      </c>
      <c r="I1375" t="inlineStr">
        <is>
          <t>1</t>
        </is>
      </c>
      <c r="J1375" t="inlineStr"/>
      <c r="K1375" t="inlineStr"/>
      <c r="L1375" t="inlineStr"/>
      <c r="M1375" t="inlineStr"/>
      <c r="N1375" t="inlineStr"/>
      <c r="O1375">
        <f>(1-Summary!$B$11)*T1375+Summary!$B$11*V1375</f>
        <v/>
      </c>
      <c r="P1375">
        <f>IF(B1402=0,0,O1375/B1402)</f>
        <v/>
      </c>
      <c r="Q1375">
        <f>IFERROR(1/(IF(Inputs!$B$38="pvp",15,MAX(0.1,Skills!D16-IF(Skills!E16=TRUE,Inputs!$B$32,0)))*(1-IF(AND(ArtifactsInput!$M$27,Inputs!$B$4="Chapter Hunt"),CHOOSE(ArtifactsInput!$N$27+1,20,24,28,32,36,40),0)/100)),0)</f>
        <v/>
      </c>
      <c r="R1375">
        <f>IF(AND(Inputs!$B$38&lt;&gt;"pvp",Inputs!$B$43&gt;0),IF(Inputs!$B$43&lt;=0,0,(INT(Inputs!$B$43/(IF(Inputs!$B$38="pvp",15,MAX(0.1,Skills!D16-IF(Skills!E16=TRUE,Inputs!$B$32,0)))*(1-IF(AND(ArtifactsInput!$M$27,Inputs!$B$4="Chapter Hunt"),CHOOSE(ArtifactsInput!$N$27+1,20,24,28,32,36,40),0)/100)))+1)),0)</f>
        <v/>
      </c>
      <c r="S1375">
        <f>IFERROR(O1375/N1375,0)</f>
        <v/>
      </c>
      <c r="T1375" t="n">
        <v>0</v>
      </c>
      <c r="V1375" t="n">
        <v>0</v>
      </c>
    </row>
    <row r="1376">
      <c r="A1376">
        <f>Skills!A17</f>
        <v/>
      </c>
      <c r="B1376">
        <f>Skills!B17</f>
        <v/>
      </c>
      <c r="C1376">
        <f>Inputs!$B$3&gt;=66</f>
        <v/>
      </c>
      <c r="D1376">
        <f>IF(Skills!C17=1,60+Inputs!$B$25+Inputs!$B$29,IF(Skills!C17=2,90+Inputs!$B$26+Inputs!$B$29,IF(Skills!C17=3,120+Inputs!$B$27+Inputs!$B$29,MAX(0,(Inputs!$B$3-100)*3)+Inputs!$B$28+Inputs!$B$29)))</f>
        <v/>
      </c>
      <c r="E1376">
        <f>INDEX(FactorTable!$B$2:$Y$301, MATCH(ROUND(MIN(300,MAX(1,D1376)),0), FactorTable!$A$2:$A$301,0), Skills!M17+1)</f>
        <v/>
      </c>
      <c r="F1376">
        <f>IF(Skills!N17=TRUE,(Skills!L17/10)*(E1376/1000),Skills!L17/10)+Skills!O17</f>
        <v/>
      </c>
      <c r="G1376">
        <f>Skills!G17*IF(Skills!H17&gt;0,Skills!I17/Skills!H17,1)</f>
        <v/>
      </c>
      <c r="H1376">
        <f>1-(1-Skills!J17/100)^Skills!K17</f>
        <v/>
      </c>
      <c r="I1376" t="inlineStr">
        <is>
          <t>1</t>
        </is>
      </c>
      <c r="J1376" t="inlineStr"/>
      <c r="K1376" t="inlineStr"/>
      <c r="L1376" t="inlineStr"/>
      <c r="M1376" t="inlineStr"/>
      <c r="N1376" t="inlineStr"/>
      <c r="O1376">
        <f>(1-Summary!$B$11)*T1376+Summary!$B$11*V1376</f>
        <v/>
      </c>
      <c r="P1376">
        <f>IF(B1402=0,0,O1376/B1402)</f>
        <v/>
      </c>
      <c r="Q1376" t="n">
        <v>0</v>
      </c>
      <c r="R1376" t="n">
        <v>0</v>
      </c>
      <c r="S1376">
        <f>IFERROR(O1376/N1376,0)</f>
        <v/>
      </c>
      <c r="T1376" t="n">
        <v>0</v>
      </c>
      <c r="V1376" t="n">
        <v>0</v>
      </c>
    </row>
    <row r="1377">
      <c r="A1377">
        <f>Skills!A18</f>
        <v/>
      </c>
      <c r="B1377">
        <f>Skills!B18</f>
        <v/>
      </c>
      <c r="C1377">
        <f>Inputs!$B$3&gt;=72</f>
        <v/>
      </c>
      <c r="D1377">
        <f>IF(Skills!C18=1,60+Inputs!$B$25+Inputs!$B$29,IF(Skills!C18=2,90+Inputs!$B$26+Inputs!$B$29,IF(Skills!C18=3,120+Inputs!$B$27+Inputs!$B$29,MAX(0,(Inputs!$B$3-100)*3)+Inputs!$B$28+Inputs!$B$29)))</f>
        <v/>
      </c>
      <c r="E1377">
        <f>INDEX(FactorTable!$B$2:$Y$301, MATCH(ROUND(MIN(300,MAX(1,D1377)),0), FactorTable!$A$2:$A$301,0), Skills!M18+1)</f>
        <v/>
      </c>
      <c r="F1377">
        <f>IF(Skills!N18=TRUE,(Skills!L18/10)*(E1377/1000),Skills!L18/10)+Skills!O18</f>
        <v/>
      </c>
      <c r="G1377">
        <f>Skills!G18*IF(Skills!H18&gt;0,Skills!I18/Skills!H18,1)</f>
        <v/>
      </c>
      <c r="H1377">
        <f>1-(1-Skills!J18/100)^Skills!K18</f>
        <v/>
      </c>
      <c r="I1377" t="inlineStr">
        <is>
          <t>1</t>
        </is>
      </c>
      <c r="J1377" t="inlineStr"/>
      <c r="K1377" t="inlineStr"/>
      <c r="L1377" t="inlineStr"/>
      <c r="M1377" t="inlineStr"/>
      <c r="N1377" t="inlineStr"/>
      <c r="O1377">
        <f>(1-Summary!$B$11)*T1377+Summary!$B$11*V1377</f>
        <v/>
      </c>
      <c r="P1377">
        <f>IF(B1402=0,0,O1377/B1402)</f>
        <v/>
      </c>
      <c r="Q1377" t="n">
        <v>0</v>
      </c>
      <c r="R1377" t="n">
        <v>0</v>
      </c>
      <c r="S1377">
        <f>IFERROR(O1377/N1377,0)</f>
        <v/>
      </c>
      <c r="T1377" t="n">
        <v>0</v>
      </c>
      <c r="V1377" t="n">
        <v>0</v>
      </c>
    </row>
    <row r="1378">
      <c r="A1378">
        <f>Skills!A19</f>
        <v/>
      </c>
      <c r="B1378">
        <f>Skills!B19</f>
        <v/>
      </c>
      <c r="C1378">
        <f>TRUE</f>
        <v/>
      </c>
      <c r="D1378">
        <f>IF(Skills!C19=1,60+Inputs!$B$25+Inputs!$B$29,IF(Skills!C19=2,90+Inputs!$B$26+Inputs!$B$29,IF(Skills!C19=3,120+Inputs!$B$27+Inputs!$B$29,MAX(0,(Inputs!$B$3-100)*3)+Inputs!$B$28+Inputs!$B$29)))</f>
        <v/>
      </c>
      <c r="E1378">
        <f>INDEX(FactorTable!$B$2:$Y$301, MATCH(ROUND(MIN(300,MAX(1,D1378)),0), FactorTable!$A$2:$A$301,0), Skills!M19+1)</f>
        <v/>
      </c>
      <c r="F1378">
        <f>IF(Skills!N19=TRUE,(Skills!L19/10)*(E1378/1000),Skills!L19/10)+Skills!O19</f>
        <v/>
      </c>
      <c r="G1378">
        <f>Skills!G19*IF(Skills!H19&gt;0,Skills!I19/Skills!H19,1)</f>
        <v/>
      </c>
      <c r="H1378">
        <f>1-(1-Skills!J19/100)^Skills!K19</f>
        <v/>
      </c>
      <c r="I1378" t="inlineStr">
        <is>
          <t>1</t>
        </is>
      </c>
      <c r="J1378" t="inlineStr"/>
      <c r="K1378" t="inlineStr"/>
      <c r="L1378" t="inlineStr"/>
      <c r="M1378" t="inlineStr"/>
      <c r="N1378" t="inlineStr"/>
      <c r="O1378">
        <f>(1-Summary!$B$11)*T1378+Summary!$B$11*V1378</f>
        <v/>
      </c>
      <c r="P1378">
        <f>IF(B1402=0,0,O1378/B1402)</f>
        <v/>
      </c>
      <c r="Q1378">
        <f>IFERROR(1/(IF(Inputs!$B$38="pvp",15,MAX(0.1,Skills!D19-IF(Skills!E19=TRUE,Inputs!$B$32,0)))*(1-IF(AND(ArtifactsInput!$M$27,Inputs!$B$4="Chapter Hunt"),CHOOSE(ArtifactsInput!$N$27+1,20,24,28,32,36,40),0)/100)),0)</f>
        <v/>
      </c>
      <c r="R1378">
        <f>IF(AND(Inputs!$B$38&lt;&gt;"pvp",Inputs!$B$43&gt;0),IF(Inputs!$B$43&lt;=0,0,(INT(Inputs!$B$43/(IF(Inputs!$B$38="pvp",15,MAX(0.1,Skills!D19-IF(Skills!E19=TRUE,Inputs!$B$32,0)))*(1-IF(AND(ArtifactsInput!$M$27,Inputs!$B$4="Chapter Hunt"),CHOOSE(ArtifactsInput!$N$27+1,20,24,28,32,36,40),0)/100)))+1)),0)</f>
        <v/>
      </c>
      <c r="S1378">
        <f>IFERROR(O1378/N1378,0)</f>
        <v/>
      </c>
      <c r="T1378" t="n">
        <v>0</v>
      </c>
      <c r="V1378" t="n">
        <v>0</v>
      </c>
    </row>
    <row r="1379">
      <c r="A1379">
        <f>Skills!A20</f>
        <v/>
      </c>
      <c r="B1379">
        <f>Skills!B20</f>
        <v/>
      </c>
      <c r="C1379">
        <f>Inputs!$B$3&gt;=15</f>
        <v/>
      </c>
      <c r="D1379">
        <f>IF(Skills!C20=1,60+Inputs!$B$25+Inputs!$B$29,IF(Skills!C20=2,90+Inputs!$B$26+Inputs!$B$29,IF(Skills!C20=3,120+Inputs!$B$27+Inputs!$B$29,MAX(0,(Inputs!$B$3-100)*3)+Inputs!$B$28+Inputs!$B$29)))</f>
        <v/>
      </c>
      <c r="E1379">
        <f>INDEX(FactorTable!$B$2:$Y$301, MATCH(ROUND(MIN(300,MAX(1,D1379)),0), FactorTable!$A$2:$A$301,0), Skills!M20+1)</f>
        <v/>
      </c>
      <c r="F1379">
        <f>IF(Skills!N20=TRUE,(Skills!L20/10)*(E1379/1000),Skills!L20/10)+Skills!O20</f>
        <v/>
      </c>
      <c r="G1379">
        <f>Skills!G20*IF(Skills!H20&gt;0,Skills!I20/Skills!H20,1)</f>
        <v/>
      </c>
      <c r="H1379">
        <f>1-(1-Skills!J20/100)^Skills!K20</f>
        <v/>
      </c>
      <c r="I1379" t="inlineStr">
        <is>
          <t>1</t>
        </is>
      </c>
      <c r="J1379" t="inlineStr"/>
      <c r="K1379" t="inlineStr"/>
      <c r="L1379" t="inlineStr"/>
      <c r="M1379" t="inlineStr"/>
      <c r="N1379" t="inlineStr"/>
      <c r="O1379">
        <f>(1-Summary!$B$11)*T1379+Summary!$B$11*V1379</f>
        <v/>
      </c>
      <c r="P1379">
        <f>IF(B1402=0,0,O1379/B1402)</f>
        <v/>
      </c>
      <c r="Q1379" t="n">
        <v>0</v>
      </c>
      <c r="R1379" t="n">
        <v>0</v>
      </c>
      <c r="S1379">
        <f>IFERROR(O1379/N1379,0)</f>
        <v/>
      </c>
      <c r="T1379" t="n">
        <v>0</v>
      </c>
      <c r="V1379" t="n">
        <v>0</v>
      </c>
    </row>
    <row r="1380">
      <c r="A1380">
        <f>Skills!A21</f>
        <v/>
      </c>
      <c r="B1380">
        <f>Skills!B21</f>
        <v/>
      </c>
      <c r="C1380">
        <f>Inputs!$B$3&gt;=10</f>
        <v/>
      </c>
      <c r="D1380">
        <f>IF(Skills!C21=1,60+Inputs!$B$25+Inputs!$B$29,IF(Skills!C21=2,90+Inputs!$B$26+Inputs!$B$29,IF(Skills!C21=3,120+Inputs!$B$27+Inputs!$B$29,MAX(0,(Inputs!$B$3-100)*3)+Inputs!$B$28+Inputs!$B$29)))</f>
        <v/>
      </c>
      <c r="E1380">
        <f>INDEX(FactorTable!$B$2:$Y$301, MATCH(ROUND(MIN(300,MAX(1,D1380)),0), FactorTable!$A$2:$A$301,0), Skills!M21+1)</f>
        <v/>
      </c>
      <c r="F1380">
        <f>IF(Skills!N21=TRUE,(Skills!L21/10)*(E1380/1000),Skills!L21/10)+Skills!O21</f>
        <v/>
      </c>
      <c r="G1380">
        <f>Skills!G21*IF(Skills!H21&gt;0,Skills!I21/Skills!H21,1)</f>
        <v/>
      </c>
      <c r="H1380">
        <f>1-(1-Skills!J21/100)^Skills!K21</f>
        <v/>
      </c>
      <c r="I1380" t="inlineStr">
        <is>
          <t>1</t>
        </is>
      </c>
      <c r="J1380" t="inlineStr"/>
      <c r="K1380" t="inlineStr"/>
      <c r="L1380" t="inlineStr"/>
      <c r="M1380" t="inlineStr"/>
      <c r="N1380" t="inlineStr"/>
      <c r="O1380">
        <f>(1-Summary!$B$11)*T1380+Summary!$B$11*V1380</f>
        <v/>
      </c>
      <c r="P1380">
        <f>IF(B1402=0,0,O1380/B1402)</f>
        <v/>
      </c>
      <c r="Q1380" t="n">
        <v>0</v>
      </c>
      <c r="R1380" t="n">
        <v>0</v>
      </c>
      <c r="S1380">
        <f>IFERROR(O1380/N1380,0)</f>
        <v/>
      </c>
      <c r="T1380" t="n">
        <v>0</v>
      </c>
      <c r="V1380" t="n">
        <v>0</v>
      </c>
    </row>
    <row r="1381">
      <c r="A1381">
        <f>Skills!A22</f>
        <v/>
      </c>
      <c r="B1381">
        <f>Skills!B22</f>
        <v/>
      </c>
      <c r="C1381">
        <f>Inputs!$B$3&gt;=33</f>
        <v/>
      </c>
      <c r="D1381">
        <f>IF(Skills!C22=1,60+Inputs!$B$25+Inputs!$B$29,IF(Skills!C22=2,90+Inputs!$B$26+Inputs!$B$29,IF(Skills!C22=3,120+Inputs!$B$27+Inputs!$B$29,MAX(0,(Inputs!$B$3-100)*3)+Inputs!$B$28+Inputs!$B$29)))</f>
        <v/>
      </c>
      <c r="E1381">
        <f>INDEX(FactorTable!$B$2:$Y$301, MATCH(ROUND(MIN(300,MAX(1,D1381)),0), FactorTable!$A$2:$A$301,0), Skills!M22+1)</f>
        <v/>
      </c>
      <c r="F1381">
        <f>IF(Skills!N22=TRUE,(Skills!L22/10)*(E1381/1000),Skills!L22/10)+Skills!O22</f>
        <v/>
      </c>
      <c r="G1381">
        <f>Skills!G22*IF(Skills!H22&gt;0,Skills!I22/Skills!H22,1)</f>
        <v/>
      </c>
      <c r="H1381">
        <f>1-(1-Skills!J22/100)^Skills!K22</f>
        <v/>
      </c>
      <c r="I1381" t="inlineStr">
        <is>
          <t>1</t>
        </is>
      </c>
      <c r="J1381" t="inlineStr"/>
      <c r="K1381" t="inlineStr"/>
      <c r="L1381" t="inlineStr"/>
      <c r="M1381" t="inlineStr"/>
      <c r="N1381" t="inlineStr"/>
      <c r="O1381">
        <f>(1-Summary!$B$11)*T1381+Summary!$B$11*V1381</f>
        <v/>
      </c>
      <c r="P1381">
        <f>IF(B1402=0,0,O1381/B1402)</f>
        <v/>
      </c>
      <c r="Q1381" t="n">
        <v>0</v>
      </c>
      <c r="R1381" t="n">
        <v>0</v>
      </c>
      <c r="S1381">
        <f>IFERROR(O1381/N1381,0)</f>
        <v/>
      </c>
      <c r="T1381" t="n">
        <v>0</v>
      </c>
      <c r="V1381" t="n">
        <v>0</v>
      </c>
    </row>
    <row r="1382">
      <c r="A1382">
        <f>Skills!A23</f>
        <v/>
      </c>
      <c r="B1382">
        <f>Skills!B23</f>
        <v/>
      </c>
      <c r="C1382">
        <f>Inputs!$B$3&gt;=38</f>
        <v/>
      </c>
      <c r="D1382">
        <f>IF(Skills!C23=1,60+Inputs!$B$25+Inputs!$B$29,IF(Skills!C23=2,90+Inputs!$B$26+Inputs!$B$29,IF(Skills!C23=3,120+Inputs!$B$27+Inputs!$B$29,MAX(0,(Inputs!$B$3-100)*3)+Inputs!$B$28+Inputs!$B$29)))</f>
        <v/>
      </c>
      <c r="E1382">
        <f>INDEX(FactorTable!$B$2:$Y$301, MATCH(ROUND(MIN(300,MAX(1,D1382)),0), FactorTable!$A$2:$A$301,0), Skills!M23+1)</f>
        <v/>
      </c>
      <c r="F1382">
        <f>IF(Skills!N23=TRUE,(Skills!L23/10)*(E1382/1000),Skills!L23/10)+Skills!O23</f>
        <v/>
      </c>
      <c r="G1382">
        <f>Skills!G23*IF(Skills!H23&gt;0,Skills!I23/Skills!H23,1)</f>
        <v/>
      </c>
      <c r="H1382">
        <f>1-(1-Skills!J23/100)^Skills!K23</f>
        <v/>
      </c>
      <c r="I1382" t="inlineStr">
        <is>
          <t>1</t>
        </is>
      </c>
      <c r="J1382" t="inlineStr"/>
      <c r="K1382" t="inlineStr"/>
      <c r="L1382" t="inlineStr"/>
      <c r="M1382" t="inlineStr"/>
      <c r="N1382" t="inlineStr"/>
      <c r="O1382">
        <f>(1-Summary!$B$11)*T1382+Summary!$B$11*V1382</f>
        <v/>
      </c>
      <c r="P1382">
        <f>IF(B1402=0,0,O1382/B1402)</f>
        <v/>
      </c>
      <c r="Q1382" t="n">
        <v>0</v>
      </c>
      <c r="R1382" t="n">
        <v>0</v>
      </c>
      <c r="S1382">
        <f>IFERROR(O1382/N1382,0)</f>
        <v/>
      </c>
      <c r="T1382" t="n">
        <v>0</v>
      </c>
      <c r="V1382" t="n">
        <v>0</v>
      </c>
    </row>
    <row r="1383">
      <c r="A1383">
        <f>Skills!A24</f>
        <v/>
      </c>
      <c r="B1383">
        <f>Skills!B24</f>
        <v/>
      </c>
      <c r="C1383">
        <f>Inputs!$B$3&gt;=43</f>
        <v/>
      </c>
      <c r="D1383">
        <f>IF(Skills!C24=1,60+Inputs!$B$25+Inputs!$B$29,IF(Skills!C24=2,90+Inputs!$B$26+Inputs!$B$29,IF(Skills!C24=3,120+Inputs!$B$27+Inputs!$B$29,MAX(0,(Inputs!$B$3-100)*3)+Inputs!$B$28+Inputs!$B$29)))</f>
        <v/>
      </c>
      <c r="E1383">
        <f>INDEX(FactorTable!$B$2:$Y$301, MATCH(ROUND(MIN(300,MAX(1,D1383)),0), FactorTable!$A$2:$A$301,0), Skills!M24+1)</f>
        <v/>
      </c>
      <c r="F1383">
        <f>IF(Skills!N24=TRUE,(Skills!L24/10)*(E1383/1000),Skills!L24/10)+Skills!O24</f>
        <v/>
      </c>
      <c r="G1383">
        <f>Skills!G24*IF(Skills!H24&gt;0,Skills!I24/Skills!H24,1)</f>
        <v/>
      </c>
      <c r="H1383">
        <f>1-(1-Skills!J24/100)^Skills!K24</f>
        <v/>
      </c>
      <c r="I1383" t="inlineStr">
        <is>
          <t>1</t>
        </is>
      </c>
      <c r="J1383" t="inlineStr"/>
      <c r="K1383" t="inlineStr"/>
      <c r="L1383" t="inlineStr"/>
      <c r="M1383" t="inlineStr"/>
      <c r="N1383" t="inlineStr"/>
      <c r="O1383">
        <f>(1-Summary!$B$11)*T1383+Summary!$B$11*V1383</f>
        <v/>
      </c>
      <c r="P1383">
        <f>IF(B1402=0,0,O1383/B1402)</f>
        <v/>
      </c>
      <c r="Q1383" t="n">
        <v>0</v>
      </c>
      <c r="R1383" t="n">
        <v>0</v>
      </c>
      <c r="S1383">
        <f>IFERROR(O1383/N1383,0)</f>
        <v/>
      </c>
      <c r="T1383" t="n">
        <v>0</v>
      </c>
      <c r="V1383" t="n">
        <v>0</v>
      </c>
    </row>
    <row r="1384">
      <c r="A1384">
        <f>Skills!A25</f>
        <v/>
      </c>
      <c r="B1384">
        <f>Skills!B25</f>
        <v/>
      </c>
      <c r="C1384">
        <f>Inputs!$B$3&gt;=75</f>
        <v/>
      </c>
      <c r="D1384">
        <f>IF(Skills!C25=1,60+Inputs!$B$25+Inputs!$B$29,IF(Skills!C25=2,90+Inputs!$B$26+Inputs!$B$29,IF(Skills!C25=3,120+Inputs!$B$27+Inputs!$B$29,MAX(0,(Inputs!$B$3-100)*3)+Inputs!$B$28+Inputs!$B$29)))</f>
        <v/>
      </c>
      <c r="E1384">
        <f>INDEX(FactorTable!$B$2:$Y$301, MATCH(ROUND(MIN(300,MAX(1,D1384)),0), FactorTable!$A$2:$A$301,0), Skills!M25+1)</f>
        <v/>
      </c>
      <c r="F1384">
        <f>IF(Skills!N25=TRUE,(Skills!L25/10)*(E1384/1000),Skills!L25/10)+Skills!O25</f>
        <v/>
      </c>
      <c r="G1384">
        <f>Skills!G25*IF(Skills!H25&gt;0,Skills!I25/Skills!H25,1)</f>
        <v/>
      </c>
      <c r="H1384">
        <f>1-(1-Skills!J25/100)^Skills!K25</f>
        <v/>
      </c>
      <c r="I1384" t="inlineStr">
        <is>
          <t>1</t>
        </is>
      </c>
      <c r="J1384" t="inlineStr"/>
      <c r="K1384" t="inlineStr"/>
      <c r="L1384" t="inlineStr"/>
      <c r="M1384" t="inlineStr"/>
      <c r="N1384" t="inlineStr"/>
      <c r="O1384">
        <f>(1-Summary!$B$11)*T1384+Summary!$B$11*V1384</f>
        <v/>
      </c>
      <c r="P1384">
        <f>IF(B1402=0,0,O1384/B1402)</f>
        <v/>
      </c>
      <c r="Q1384" t="n">
        <v>0</v>
      </c>
      <c r="R1384" t="n">
        <v>0</v>
      </c>
      <c r="S1384">
        <f>IFERROR(O1384/N1384,0)</f>
        <v/>
      </c>
      <c r="T1384" t="n">
        <v>0</v>
      </c>
      <c r="V1384" t="n">
        <v>0</v>
      </c>
    </row>
    <row r="1385">
      <c r="A1385">
        <f>Skills!A26</f>
        <v/>
      </c>
      <c r="B1385">
        <f>Skills!B26</f>
        <v/>
      </c>
      <c r="C1385">
        <f>Inputs!$B$3&gt;=125</f>
        <v/>
      </c>
      <c r="D1385">
        <f>IF(Skills!C26=1,60+Inputs!$B$25+Inputs!$B$29,IF(Skills!C26=2,90+Inputs!$B$26+Inputs!$B$29,IF(Skills!C26=3,120+Inputs!$B$27+Inputs!$B$29,MAX(0,(Inputs!$B$3-100)*3)+Inputs!$B$28+Inputs!$B$29)))</f>
        <v/>
      </c>
      <c r="E1385">
        <f>INDEX(FactorTable!$B$2:$Y$301, MATCH(ROUND(MIN(300,MAX(1,D1385)),0), FactorTable!$A$2:$A$301,0), Skills!M26+1)</f>
        <v/>
      </c>
      <c r="F1385">
        <f>IF(Skills!N26=TRUE,(Skills!L26/10)*(E1385/1000),Skills!L26/10)+Skills!O26</f>
        <v/>
      </c>
      <c r="G1385">
        <f>Skills!G26*IF(Skills!H26&gt;0,Skills!I26/Skills!H26,1)</f>
        <v/>
      </c>
      <c r="H1385">
        <f>1-(1-Skills!J26/100)^Skills!K26</f>
        <v/>
      </c>
      <c r="I1385" t="inlineStr">
        <is>
          <t>1</t>
        </is>
      </c>
      <c r="J1385" t="inlineStr"/>
      <c r="K1385" t="inlineStr"/>
      <c r="L1385" t="inlineStr"/>
      <c r="M1385" t="inlineStr"/>
      <c r="N1385" t="inlineStr"/>
      <c r="O1385">
        <f>(1-Summary!$B$11)*T1385+Summary!$B$11*V1385</f>
        <v/>
      </c>
      <c r="P1385">
        <f>IF(B1402=0,0,O1385/B1402)</f>
        <v/>
      </c>
      <c r="Q1385" t="n">
        <v>0</v>
      </c>
      <c r="R1385" t="n">
        <v>0</v>
      </c>
      <c r="S1385">
        <f>IFERROR(O1385/N1385,0)</f>
        <v/>
      </c>
      <c r="T1385" t="n">
        <v>0</v>
      </c>
      <c r="V1385" t="n">
        <v>0</v>
      </c>
    </row>
    <row r="1386">
      <c r="A1386">
        <f>Skills!A27</f>
        <v/>
      </c>
      <c r="B1386">
        <f>Skills!B27</f>
        <v/>
      </c>
      <c r="C1386">
        <f>Inputs!$B$3&gt;=125</f>
        <v/>
      </c>
      <c r="D1386">
        <f>IF(Skills!C27=1,60+Inputs!$B$25+Inputs!$B$29,IF(Skills!C27=2,90+Inputs!$B$26+Inputs!$B$29,IF(Skills!C27=3,120+Inputs!$B$27+Inputs!$B$29,MAX(0,(Inputs!$B$3-100)*3)+Inputs!$B$28+Inputs!$B$29)))</f>
        <v/>
      </c>
      <c r="E1386">
        <f>INDEX(FactorTable!$B$2:$Y$301, MATCH(ROUND(MIN(300,MAX(1,D1386)),0), FactorTable!$A$2:$A$301,0), Skills!M27+1)</f>
        <v/>
      </c>
      <c r="F1386">
        <f>IF(Skills!N27=TRUE,(Skills!L27/10)*(E1386/1000),Skills!L27/10)+Skills!O27</f>
        <v/>
      </c>
      <c r="G1386">
        <f>Skills!G27*IF(Skills!H27&gt;0,Skills!I27/Skills!H27,1)</f>
        <v/>
      </c>
      <c r="H1386">
        <f>1-(1-Skills!J27/100)^Skills!K27</f>
        <v/>
      </c>
      <c r="I1386" t="inlineStr">
        <is>
          <t>1</t>
        </is>
      </c>
      <c r="J1386" t="inlineStr"/>
      <c r="K1386" t="inlineStr"/>
      <c r="L1386" t="inlineStr"/>
      <c r="M1386" t="inlineStr"/>
      <c r="N1386" t="inlineStr"/>
      <c r="O1386">
        <f>(1-Summary!$B$11)*T1386+Summary!$B$11*V1386</f>
        <v/>
      </c>
      <c r="P1386">
        <f>IF(B1402=0,0,O1386/B1402)</f>
        <v/>
      </c>
      <c r="Q1386" t="n">
        <v>0</v>
      </c>
      <c r="R1386" t="n">
        <v>0</v>
      </c>
      <c r="S1386">
        <f>IFERROR(O1386/N1386,0)</f>
        <v/>
      </c>
      <c r="T1386" t="n">
        <v>0</v>
      </c>
      <c r="V1386" t="n">
        <v>0</v>
      </c>
    </row>
    <row r="1387">
      <c r="A1387">
        <f>Skills!A28</f>
        <v/>
      </c>
      <c r="B1387">
        <f>Skills!B28</f>
        <v/>
      </c>
      <c r="C1387">
        <f>Inputs!$B$3&gt;=120</f>
        <v/>
      </c>
      <c r="D1387">
        <f>IF(Skills!C28=1,60+Inputs!$B$25+Inputs!$B$29,IF(Skills!C28=2,90+Inputs!$B$26+Inputs!$B$29,IF(Skills!C28=3,120+Inputs!$B$27+Inputs!$B$29,MAX(0,(Inputs!$B$3-100)*3)+Inputs!$B$28+Inputs!$B$29)))</f>
        <v/>
      </c>
      <c r="E1387">
        <f>INDEX(FactorTable!$B$2:$Y$301, MATCH(ROUND(MIN(300,MAX(1,D1387)),0), FactorTable!$A$2:$A$301,0), Skills!M28+1)</f>
        <v/>
      </c>
      <c r="F1387">
        <f>IF(Skills!N28=TRUE,(Skills!L28/10)*(E1387/1000),Skills!L28/10)+Skills!O28</f>
        <v/>
      </c>
      <c r="G1387">
        <f>Skills!G28*IF(Skills!H28&gt;0,Skills!I28/Skills!H28,1)</f>
        <v/>
      </c>
      <c r="H1387">
        <f>1-(1-Skills!J28/100)^Skills!K28</f>
        <v/>
      </c>
      <c r="I1387" t="inlineStr">
        <is>
          <t>1</t>
        </is>
      </c>
      <c r="J1387" t="inlineStr"/>
      <c r="K1387" t="inlineStr"/>
      <c r="L1387" t="inlineStr"/>
      <c r="M1387" t="inlineStr"/>
      <c r="N1387" t="inlineStr"/>
      <c r="O1387">
        <f>(1-Summary!$B$11)*T1387+Summary!$B$11*V1387</f>
        <v/>
      </c>
      <c r="P1387">
        <f>IF(B1402=0,0,O1387/B1402)</f>
        <v/>
      </c>
      <c r="Q1387" t="n">
        <v>0</v>
      </c>
      <c r="R1387" t="n">
        <v>0</v>
      </c>
      <c r="S1387">
        <f>IFERROR(O1387/N1387,0)</f>
        <v/>
      </c>
      <c r="T1387" t="n">
        <v>0</v>
      </c>
      <c r="V1387" t="n">
        <v>0</v>
      </c>
    </row>
    <row r="1388">
      <c r="A1388">
        <f>Skills!A29</f>
        <v/>
      </c>
      <c r="B1388">
        <f>Skills!B29</f>
        <v/>
      </c>
      <c r="C1388">
        <f>Inputs!$B$3&gt;=120</f>
        <v/>
      </c>
      <c r="D1388">
        <f>IF(Skills!C29=1,60+Inputs!$B$25+Inputs!$B$29,IF(Skills!C29=2,90+Inputs!$B$26+Inputs!$B$29,IF(Skills!C29=3,120+Inputs!$B$27+Inputs!$B$29,MAX(0,(Inputs!$B$3-100)*3)+Inputs!$B$28+Inputs!$B$29)))</f>
        <v/>
      </c>
      <c r="E1388">
        <f>INDEX(FactorTable!$B$2:$Y$301, MATCH(ROUND(MIN(300,MAX(1,D1388)),0), FactorTable!$A$2:$A$301,0), Skills!M29+1)</f>
        <v/>
      </c>
      <c r="F1388">
        <f>IF(Skills!N29=TRUE,(Skills!L29/10)*(E1388/1000),Skills!L29/10)+Skills!O29</f>
        <v/>
      </c>
      <c r="G1388">
        <f>Skills!G29*IF(Skills!H29&gt;0,Skills!I29/Skills!H29,1)</f>
        <v/>
      </c>
      <c r="H1388">
        <f>1-(1-Skills!J29/100)^Skills!K29</f>
        <v/>
      </c>
      <c r="I1388" t="inlineStr">
        <is>
          <t>1</t>
        </is>
      </c>
      <c r="J1388" t="inlineStr"/>
      <c r="K1388" t="inlineStr"/>
      <c r="L1388" t="inlineStr"/>
      <c r="M1388" t="inlineStr"/>
      <c r="N1388" t="inlineStr"/>
      <c r="O1388">
        <f>(1-Summary!$B$11)*T1388+Summary!$B$11*V1388</f>
        <v/>
      </c>
      <c r="P1388">
        <f>IF(B1402=0,0,O1388/B1402)</f>
        <v/>
      </c>
      <c r="Q1388" t="n">
        <v>0</v>
      </c>
      <c r="R1388" t="n">
        <v>0</v>
      </c>
      <c r="S1388">
        <f>IFERROR(O1388/N1388,0)</f>
        <v/>
      </c>
      <c r="T1388" t="n">
        <v>0</v>
      </c>
      <c r="V1388" t="n">
        <v>0</v>
      </c>
    </row>
    <row r="1389">
      <c r="A1389">
        <f>Skills!A30</f>
        <v/>
      </c>
      <c r="B1389">
        <f>Skills!B30</f>
        <v/>
      </c>
      <c r="C1389">
        <f>Inputs!$B$3&gt;=45</f>
        <v/>
      </c>
      <c r="D1389">
        <f>IF(Skills!C30=1,60+Inputs!$B$25+Inputs!$B$29,IF(Skills!C30=2,90+Inputs!$B$26+Inputs!$B$29,IF(Skills!C30=3,120+Inputs!$B$27+Inputs!$B$29,MAX(0,(Inputs!$B$3-100)*3)+Inputs!$B$28+Inputs!$B$29)))</f>
        <v/>
      </c>
      <c r="E1389">
        <f>INDEX(FactorTable!$B$2:$Y$301, MATCH(ROUND(MIN(300,MAX(1,D1389)),0), FactorTable!$A$2:$A$301,0), Skills!M30+1)</f>
        <v/>
      </c>
      <c r="F1389">
        <f>IF(Skills!N30=TRUE,(Skills!L30/10)*(E1389/1000),Skills!L30/10)+Skills!O30</f>
        <v/>
      </c>
      <c r="G1389">
        <f>Skills!G30*IF(Skills!H30&gt;0,Skills!I30/Skills!H30,1)</f>
        <v/>
      </c>
      <c r="H1389">
        <f>1-(1-Skills!J30/100)^Skills!K30</f>
        <v/>
      </c>
      <c r="I1389" t="inlineStr">
        <is>
          <t>1</t>
        </is>
      </c>
      <c r="J1389" t="inlineStr"/>
      <c r="K1389" t="inlineStr"/>
      <c r="L1389" t="inlineStr"/>
      <c r="M1389" t="inlineStr"/>
      <c r="N1389" t="inlineStr"/>
      <c r="O1389">
        <f>(1-Summary!$B$11)*T1389+Summary!$B$11*V1389</f>
        <v/>
      </c>
      <c r="P1389">
        <f>IF(B1402=0,0,O1389/B1402)</f>
        <v/>
      </c>
      <c r="Q1389" t="n">
        <v>0</v>
      </c>
      <c r="R1389" t="n">
        <v>0</v>
      </c>
      <c r="S1389">
        <f>IFERROR(O1389/N1389,0)</f>
        <v/>
      </c>
      <c r="T1389" t="n">
        <v>0</v>
      </c>
      <c r="V1389" t="n">
        <v>0</v>
      </c>
    </row>
    <row r="1391">
      <c r="A1391" t="inlineStr">
        <is>
          <t>Attack% Bucket Multiplier</t>
        </is>
      </c>
      <c r="B1391">
        <f>(1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2">
      <c r="A1392" t="inlineStr">
        <is>
          <t>Global Crit Rate Bonus %</t>
        </is>
      </c>
      <c r="B1392">
        <f>(C1375=TRUE)*20*IF(AND(Inputs!$B$38&lt;&gt;"pvp",Inputs!$B$43&gt;0),(((R1375-1)*(Skills!T16*(1+Inputs!$B$34/100))+MIN((Skills!T16*(1+Inputs!$B$34/100)),MAX(0,Inputs!$B$43-((R1375-1)*Skills!D16))))/Inputs!$B$43),IF(Inputs!$B$38="pvp",MIN((Skills!T16*(1+Inputs!$B$34/100)),15)/15,(Skills!T16*(1+Inputs!$B$34/100))/Skills!D16))</f>
        <v/>
      </c>
    </row>
    <row r="1393">
      <c r="A1393" t="inlineStr">
        <is>
          <t>Attack Speed Buff Bonus %</t>
        </is>
      </c>
      <c r="B1393">
        <f>((C1378=TRUE)*F1378*IF(AND(Inputs!$B$38&lt;&gt;"pvp",Inputs!$B$43&gt;0),(((R1378-1)*(Skills!T19*(1+Inputs!$B$34/100))+MIN((Skills!T19*(1+Inputs!$B$34/100)),MAX(0,Inputs!$B$43-((R1378-1)*Skills!D19))))/Inputs!$B$43),IF(Inputs!$B$38="pvp",MIN((Skills!T19*(1+Inputs!$B$34/100)),15)/15,(Skills!T19*(1+Inputs!$B$34/100))/Skills!D19)))</f>
        <v/>
      </c>
    </row>
    <row r="1394">
      <c r="A1394" t="inlineStr">
        <is>
          <t>Actions Per Second</t>
        </is>
      </c>
      <c r="B1394">
        <f>1+MIN(150,150*(1-(1-(Inputs!$B$11+((C1380=TRUE)*(F1380-Calc!F21))+((C1381=TRUE)*(F1381-Calc!F22)))/150)*(1-B1393/150)))/100</f>
        <v/>
      </c>
    </row>
    <row r="1395">
      <c r="A1395" t="inlineStr">
        <is>
          <t>Skill + Buff Cast Rate</t>
        </is>
      </c>
      <c r="B1395">
        <f>IF(AND(Inputs!$B$38&lt;&gt;"pvp",Inputs!$B$43&gt;0),SUMPRODUCT((Skills!E2:E30=TRUE)*(C1361:C1389=TRUE)*R1361:R1389*Skills!F2:F30)/Inputs!$B$43,SUMPRODUCT((Skills!E2:E30=TRUE)*(C1361:C1389=TRUE)*Q1361:Q1389*Skills!F2:F30))</f>
        <v/>
      </c>
    </row>
    <row r="1396">
      <c r="A1396" t="inlineStr">
        <is>
          <t>Arrow Stream Casts Per Second</t>
        </is>
      </c>
      <c r="B1396">
        <f>MAX(0,B1394-B1395)</f>
        <v/>
      </c>
    </row>
    <row r="1397">
      <c r="A1397" t="inlineStr">
        <is>
          <t>Global Critical Damage Bonus % (Sharp Eyes + Concentration)</t>
        </is>
      </c>
      <c r="B1397">
        <f>(C1375=TRUE)*F1375*IF(AND(Inputs!$B$38&lt;&gt;"pvp",Inputs!$B$43&gt;0),(((R1375-1)*(Skills!T16*(1+Inputs!$B$34/100))+MIN((Skills!T16*(1+Inputs!$B$34/100)),MAX(0,Inputs!$B$43-((R1375-1)*Skills!D16))))/Inputs!$B$43),IF(Inputs!$B$38="pvp",MIN((Skills!T16*(1+Inputs!$B$34/100)),15)/15,(Skills!T16*(1+Inputs!$B$34/100))/Skills!D16))+(C1376=TRUE)*30</f>
        <v/>
      </c>
    </row>
    <row r="1398">
      <c r="A1398" t="inlineStr">
        <is>
          <t>Global Final Damage Bonus % (Mortal Blow)</t>
        </is>
      </c>
      <c r="B1398">
        <f>(C1377=TRUE)*F1377</f>
        <v/>
      </c>
    </row>
    <row r="1399">
      <c r="A1399" t="inlineStr">
        <is>
          <t>Buff-Casting Startup Delay (s, fixed-duration only)</t>
        </is>
      </c>
      <c r="B1399">
        <f>IF(AND(Inputs!$B$38&lt;&gt;"pvp",Inputs!$B$43&gt;0),SUMPRODUCT((Skills!T2:T30&gt;0)*(Skills!E2:E30=TRUE)*(C1361:C1389=TRUE))/B1394,0)</f>
        <v/>
      </c>
    </row>
    <row r="1400">
      <c r="A1400" t="inlineStr">
        <is>
          <t>Boss-Only Total DPS (this block's swept value)</t>
        </is>
      </c>
      <c r="B1400">
        <f>SUM(T1361:T1389)</f>
        <v/>
      </c>
    </row>
    <row r="1401">
      <c r="A1401" t="inlineStr">
        <is>
          <t>Normal-Only Total DPS (this block's swept value)</t>
        </is>
      </c>
      <c r="B1401">
        <f>SUM(V1361:V1389)</f>
        <v/>
      </c>
    </row>
    <row r="1402">
      <c r="A1402" s="6" t="inlineStr">
        <is>
          <t>TOTAL DPS</t>
        </is>
      </c>
      <c r="B1402" s="6">
        <f>SUM(O1361:O1389)</f>
        <v/>
      </c>
    </row>
    <row r="1405">
      <c r="A1405" s="6" t="inlineStr">
        <is>
          <t>Stat: The Contract of Darkness (Equip)</t>
        </is>
      </c>
    </row>
    <row r="1406">
      <c r="A1406" s="5" t="inlineStr">
        <is>
          <t>Key</t>
        </is>
      </c>
      <c r="B1406" s="5" t="inlineStr">
        <is>
          <t>Name</t>
        </is>
      </c>
      <c r="C1406" s="5" t="inlineStr">
        <is>
          <t>Unlocked</t>
        </is>
      </c>
      <c r="D1406" s="5" t="inlineStr">
        <is>
          <t>InputLevel</t>
        </is>
      </c>
      <c r="E1406" s="5" t="inlineStr">
        <is>
          <t>Factor</t>
        </is>
      </c>
      <c r="F1406" s="5" t="inlineStr">
        <is>
          <t>CoefficientPercent</t>
        </is>
      </c>
      <c r="G1406" s="5" t="inlineStr">
        <is>
          <t>EffectiveHits</t>
        </is>
      </c>
      <c r="H1406" s="5" t="inlineStr">
        <is>
          <t>ProcProbability</t>
        </is>
      </c>
      <c r="I1406" s="5" t="inlineStr">
        <is>
          <t>MapleHeroMultiplier</t>
        </is>
      </c>
      <c r="J1406" s="5" t="inlineStr">
        <is>
          <t>BaseDamage</t>
        </is>
      </c>
      <c r="K1406" s="5" t="inlineStr">
        <is>
          <t>BaseHitDamage</t>
        </is>
      </c>
      <c r="L1406" s="5" t="inlineStr">
        <is>
          <t>NonCritAvg</t>
        </is>
      </c>
      <c r="M1406" s="5" t="inlineStr">
        <is>
          <t>CritAvg</t>
        </is>
      </c>
      <c r="N1406" s="5" t="inlineStr">
        <is>
          <t>ExpectedDamage(perHit)</t>
        </is>
      </c>
      <c r="O1406" s="5" t="inlineStr">
        <is>
          <t>DPS</t>
        </is>
      </c>
      <c r="P1406" s="5" t="inlineStr">
        <is>
          <t>% of Total</t>
        </is>
      </c>
      <c r="Q1406" s="5" t="inlineStr">
        <is>
          <t>InvCooldown</t>
        </is>
      </c>
      <c r="R1406" s="5" t="inlineStr">
        <is>
          <t>CastsInFight</t>
        </is>
      </c>
      <c r="S1406" s="5" t="inlineStr">
        <is>
          <t>HitRate(perSec)</t>
        </is>
      </c>
      <c r="U1406" t="inlineStr">
        <is>
          <t>helpers</t>
        </is>
      </c>
    </row>
    <row r="1407">
      <c r="A1407">
        <f>Skills!A2</f>
        <v/>
      </c>
      <c r="B1407">
        <f>Skills!B2</f>
        <v/>
      </c>
      <c r="C1407">
        <f>Inputs!$B$3&gt;=100</f>
        <v/>
      </c>
      <c r="D1407" t="inlineStr"/>
      <c r="E1407" t="inlineStr"/>
      <c r="F1407">
        <f>U1409+Skills!O2</f>
        <v/>
      </c>
      <c r="G1407">
        <f>Skills!G2*IF(Skills!H2&gt;0,Skills!I2/Skills!H2,1)</f>
        <v/>
      </c>
      <c r="H1407">
        <f>1-(1-Skills!J2/100)^Skills!K2</f>
        <v/>
      </c>
      <c r="I1407" t="inlineStr">
        <is>
          <t>1</t>
        </is>
      </c>
      <c r="J1407">
        <f>((Inputs!$B$6*(1+Inputs!$B$7/100))+(((Inputs!$B$12*(1+Inputs!$B$13/100))-(Inputs!$B$12*(1+Inputs!$B$13/100)))+0.25*(Inputs!$B$14-Inputs!$B$14))*(1+Inputs!$B$7/100))*(F1407/100)</f>
        <v/>
      </c>
      <c r="K1407">
        <f>J1407*(1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1429=TRUE)*(F1429-Calc!F24)),(Inputs!$B$23+((C1434=TRUE)*(F1434-Calc!F29))+(IF(ArtifactsInput!$M$15,CHOOSE(ArtifactsInput!$N$15+1,25,30,35,40,45,50)/100*(Inputs!$B$11-Inputs!$B$11),0))))/100+(Inputs!$B$23+((C1434=TRUE)*(F1434-Calc!F29))+(IF(ArtifactsInput!$M$15,CHOOSE(ArtifactsInput!$N$15+1,25,30,35,40,45,50)/100*(Inputs!$B$11-Inputs!$B$11),0)))/100)/2</f>
        <v/>
      </c>
      <c r="M1407">
        <f>L1407*(1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IF(B1448=0,0,O1407/B1448)</f>
        <v/>
      </c>
      <c r="Q1407" t="n">
        <v>0</v>
      </c>
      <c r="R1407" t="n">
        <v>0</v>
      </c>
      <c r="S1407">
        <f>IFERROR(O1407/N1407,0)</f>
        <v/>
      </c>
      <c r="T1407">
        <f>IF(C1407,(Skills!G2*N1407*B1442)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1407*(1-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1407*(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1407*(1-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MAX(0,(Inputs!$B$3-100)*3)+Inputs!$B$28+Inputs!$B$29</f>
        <v/>
      </c>
      <c r="V1407">
        <f>IF(C1407,(Skills!G2*N1407*B1442)*IF(Inputs!$B$38="pvp",1,(1+(Inputs!$B$21+Skills!Q2+(IF(ArtifactsInput!$M$33,CHOOSE(ArtifactsInput!$N$33+1,30,36,42,48,54,60),0))+(IF(AND(ArtifactsInput!$M$35,Inputs!$B$4&lt;&gt;"Chapter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Skills!A3</f>
        <v/>
      </c>
      <c r="B1408">
        <f>Skills!B3</f>
        <v/>
      </c>
      <c r="C1408">
        <f>Inputs!$B$3&gt;=50</f>
        <v/>
      </c>
      <c r="D1408">
        <f>IF(Skills!C3=1,60+Inputs!$B$25+Inputs!$B$29,IF(Skills!C3=2,90+Inputs!$B$26+Inputs!$B$29,IF(Skills!C3=3,120+Inputs!$B$27+Inputs!$B$29,MAX(0,(Inputs!$B$3-100)*3)+Inputs!$B$28+Inputs!$B$29)))</f>
        <v/>
      </c>
      <c r="E1408">
        <f>INDEX(FactorTable!$B$2:$Y$301, MATCH(ROUND(MIN(300,MAX(1,D1408)),0), FactorTable!$A$2:$A$301,0), Skills!M3+1)</f>
        <v/>
      </c>
      <c r="F1408">
        <f>IF(Skills!N3=TRUE,(Skills!L3/10)*(E1408/1000),Skills!L3/10)+Skills!O3</f>
        <v/>
      </c>
      <c r="G1408" t="inlineStr"/>
      <c r="H1408" t="inlineStr"/>
      <c r="I1408" t="inlineStr">
        <is>
          <t>1</t>
        </is>
      </c>
      <c r="J1408" t="inlineStr"/>
      <c r="K1408" t="inlineStr"/>
      <c r="L1408" t="inlineStr"/>
      <c r="M1408" t="inlineStr"/>
      <c r="N1408" t="inlineStr"/>
      <c r="O1408" t="inlineStr"/>
      <c r="P1408" t="inlineStr"/>
      <c r="Q1408" t="inlineStr"/>
      <c r="R1408" t="inlineStr"/>
      <c r="S1408" t="inlineStr"/>
      <c r="T1408" t="inlineStr"/>
      <c r="U1408">
        <f>INDEX(FactorTable!$B$2:$Y$301, MATCH(ROUND(MIN(300,MAX(1,U1407)),0), FactorTable!$A$2:$A$301,0), 22)</f>
        <v/>
      </c>
      <c r="V1408" t="inlineStr"/>
    </row>
    <row r="1409">
      <c r="A1409">
        <f>Skills!A4</f>
        <v/>
      </c>
      <c r="B1409">
        <f>Skills!B4</f>
        <v/>
      </c>
      <c r="C1409">
        <f>Inputs!$B$3&gt;=105</f>
        <v/>
      </c>
      <c r="D1409">
        <f>IF(Skills!C4=1,60+Inputs!$B$25+Inputs!$B$29,IF(Skills!C4=2,90+Inputs!$B$26+Inputs!$B$29,IF(Skills!C4=3,120+Inputs!$B$27+Inputs!$B$29,MAX(0,(Inputs!$B$3-100)*3)+Inputs!$B$28+Inputs!$B$29)))</f>
        <v/>
      </c>
      <c r="E1409">
        <f>INDEX(FactorTable!$B$2:$Y$301, MATCH(ROUND(MIN(300,MAX(1,D1409)),0), FactorTable!$A$2:$A$301,0), Skills!M4+1)</f>
        <v/>
      </c>
      <c r="F1409">
        <f>IF(Skills!N4=TRUE,(Skills!L4/10)*(E1409/1000),Skills!L4/10)+Skills!O4</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U1409">
        <f>290*U1408/1000</f>
        <v/>
      </c>
      <c r="V1409" t="inlineStr"/>
    </row>
    <row r="1410">
      <c r="A1410">
        <f>Skills!A5</f>
        <v/>
      </c>
      <c r="B1410">
        <f>Skills!B5</f>
        <v/>
      </c>
      <c r="C1410">
        <f>Inputs!$B$3&gt;=35</f>
        <v/>
      </c>
      <c r="D1410">
        <f>IF(Skills!C5=1,60+Inputs!$B$25+Inputs!$B$29,IF(Skills!C5=2,90+Inputs!$B$26+Inputs!$B$29,IF(Skills!C5=3,120+Inputs!$B$27+Inputs!$B$29,MAX(0,(Inputs!$B$3-100)*3)+Inputs!$B$28+Inputs!$B$29)))</f>
        <v/>
      </c>
      <c r="E1410">
        <f>INDEX(FactorTable!$B$2:$Y$301, MATCH(ROUND(MIN(300,MAX(1,D1410)),0), FactorTable!$A$2:$A$301,0), Skills!M5+1)</f>
        <v/>
      </c>
      <c r="F1410">
        <f>IF(Skills!N5=TRUE,(Skills!L5/10)*(E1410/1000),Skills!L5/10)+Skills!O5</f>
        <v/>
      </c>
      <c r="G1410">
        <f>Skills!G5*IF(Skills!H5&gt;0,Skills!I5/Skills!H5,1)</f>
        <v/>
      </c>
      <c r="H1410">
        <f>1-(1-Skills!J5/100)^Skills!K5</f>
        <v/>
      </c>
      <c r="I1410" t="inlineStr">
        <is>
          <t>1</t>
        </is>
      </c>
      <c r="J1410">
        <f>((Inputs!$B$6*(1+Inputs!$B$7/100))+(((Inputs!$B$12*(1+Inputs!$B$13/100))-(Inputs!$B$12*(1+Inputs!$B$13/100)))+0.25*(Inputs!$B$14-Inputs!$B$14))*(1+Inputs!$B$7/100))*(F1410/100)</f>
        <v/>
      </c>
      <c r="K1410">
        <f>J1410*(1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1415=TRUE,F1415,0)/100)*(1+(IF(Skills!A5="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1429=TRUE)*(F1429-Calc!F24)),(Inputs!$B$23+((C1434=TRUE)*(F1434-Calc!F29))+(IF(ArtifactsInput!$M$15,CHOOSE(ArtifactsInput!$N$15+1,25,30,35,40,45,50)/100*(Inputs!$B$11-Inputs!$B$11),0))))/100+(Inputs!$B$23+((C1434=TRUE)*(F1434-Calc!F29))+(IF(ArtifactsInput!$M$15,CHOOSE(ArtifactsInput!$N$15+1,25,30,35,40,45,50)/100*(Inputs!$B$11-Inputs!$B$11),0)))/100)/2</f>
        <v/>
      </c>
      <c r="M1410">
        <f>L1410*(1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IF(B1448=0,0,O1410/B1448)</f>
        <v/>
      </c>
      <c r="Q1410">
        <f>IFERROR(1/(IF(Inputs!$B$38="pvp",15,MAX(0.1,Skills!D5-IF(Skills!E5=TRUE,Inputs!$B$32,0)))*(1-IF(AND(ArtifactsInput!$M$27,Inputs!$B$4="Chapter Hunt"),CHOOSE(ArtifactsInput!$N$27+1,20,24,28,32,36,40),0)/100)),0)</f>
        <v/>
      </c>
      <c r="R1410">
        <f>IF(AND(Inputs!$B$38&lt;&gt;"pvp",Inputs!$B$43&gt;0),IF(MAX(0,Inputs!$B$43-B1445)&lt;=0,0,(INT(MAX(0,Inputs!$B$43-B1445)/(IF(Inputs!$B$38="pvp",15,MAX(0.1,Skills!D5-IF(Skills!E5=TRUE,Inputs!$B$32,0)))*(1-IF(AND(ArtifactsInput!$M$27,Inputs!$B$4="Chapter Hunt"),CHOOSE(ArtifactsInput!$N$27+1,20,24,28,32,36,40),0)/100)))+1)),0)</f>
        <v/>
      </c>
      <c r="S1410">
        <f>IFERROR(O1410/N1410,0)</f>
        <v/>
      </c>
      <c r="T1410">
        <f>IF(C1410,(H1410*N1410*IF(AND(Inputs!$B$38&lt;&gt;"pvp",Inputs!$B$43&gt;0),((Skills!G5*((R1410-1)*IF(Skills!H5&gt;0,Skills!I5/Skills!H5,1)+IF(Skills!H5&gt;0,MIN(Skills!I5,MAX(0,MAX(0,Inputs!$B$43-B1445)-((R1410-1)*(IF(Inputs!$B$38="pvp",15,MAX(0.1,Skills!D5-IF(Skills!E5=TRUE,Inputs!$B$32,0)))*(1-IF(AND(ArtifactsInput!$M$27,Inputs!$B$4="Chapter Hunt"),CHOOSE(ArtifactsInput!$N$27+1,20,24,28,32,36,40),0)/100)))))/Skills!H5,1)))/Inputs!$B$43),G1410*Q1410)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1410*(1-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1410*(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1410*(1-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5*((R1410-1)*IF(Skills!H5&gt;0,Skills!I5/Skills!H5,1)+IF(Skills!H5&gt;0,MIN(Skills!I5,MAX(0,MAX(0,Inputs!$B$43-B1445)-((R1410-1)*(IF(Inputs!$B$38="pvp",15,MAX(0.1,Skills!D5-IF(Skills!E5=TRUE,Inputs!$B$32,0)))*(1-IF(AND(ArtifactsInput!$M$27,Inputs!$B$4="Chapter Hunt"),CHOOSE(ArtifactsInput!$N$27+1,20,24,28,32,36,40),0)/100)))))/Skills!H5,1)))/Inputs!$B$43),G1410*Q1410))*IF(Inputs!$B$38="pvp",1,(1+(Inputs!$B$21+Skills!Q5+(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Skills!A6</f>
        <v/>
      </c>
      <c r="B1411">
        <f>Skills!B6</f>
        <v/>
      </c>
      <c r="C1411">
        <f>Inputs!$B$3&gt;=40</f>
        <v/>
      </c>
      <c r="D1411">
        <f>IF(Skills!C6=1,60+Inputs!$B$25+Inputs!$B$29,IF(Skills!C6=2,90+Inputs!$B$26+Inputs!$B$29,IF(Skills!C6=3,120+Inputs!$B$27+Inputs!$B$29,MAX(0,(Inputs!$B$3-100)*3)+Inputs!$B$28+Inputs!$B$29)))</f>
        <v/>
      </c>
      <c r="E1411">
        <f>INDEX(FactorTable!$B$2:$Y$301, MATCH(ROUND(MIN(300,MAX(1,D1411)),0), FactorTable!$A$2:$A$301,0), Skills!M6+1)</f>
        <v/>
      </c>
      <c r="F1411">
        <f>IF(Skills!N6=TRUE,(Skills!L6/10)*(E1411/1000),Skills!L6/10)+Skills!O6</f>
        <v/>
      </c>
      <c r="G1411">
        <f>Skills!G6*IF(Skills!H6&gt;0,Skills!I6/Skills!H6,1)</f>
        <v/>
      </c>
      <c r="H1411">
        <f>1-(1-Skills!J6/100)^Skills!K6</f>
        <v/>
      </c>
      <c r="I1411" t="inlineStr">
        <is>
          <t>1</t>
        </is>
      </c>
      <c r="J1411">
        <f>((Inputs!$B$6*(1+Inputs!$B$7/100))+(((Inputs!$B$12*(1+Inputs!$B$13/100))-(Inputs!$B$12*(1+Inputs!$B$13/100)))+0.25*(Inputs!$B$14-Inputs!$B$14))*(1+Inputs!$B$7/100))*(F1411/100)</f>
        <v/>
      </c>
      <c r="K1411">
        <f>J1411*(1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1412=TRUE,F1412,0)/100)*(1+(IF(Skills!A6="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1429=TRUE)*(F1429-Calc!F24)),(Inputs!$B$23+((C1434=TRUE)*(F1434-Calc!F29))+(IF(ArtifactsInput!$M$15,CHOOSE(ArtifactsInput!$N$15+1,25,30,35,40,45,50)/100*(Inputs!$B$11-Inputs!$B$11),0))))/100+(Inputs!$B$23+((C1434=TRUE)*(F1434-Calc!F29))+(IF(ArtifactsInput!$M$15,CHOOSE(ArtifactsInput!$N$15+1,25,30,35,40,45,50)/100*(Inputs!$B$11-Inputs!$B$11),0)))/100)/2</f>
        <v/>
      </c>
      <c r="M1411">
        <f>L1411*(1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IF(B1448=0,0,O1411/B1448)</f>
        <v/>
      </c>
      <c r="Q1411">
        <f>IFERROR(1/(IF(Inputs!$B$38="pvp",15,MAX(0.1,Skills!D6-IF(Skills!E6=TRUE,Inputs!$B$32,0)))*(1-IF(AND(ArtifactsInput!$M$27,Inputs!$B$4="Chapter Hunt"),CHOOSE(ArtifactsInput!$N$27+1,20,24,28,32,36,40),0)/100)),0)</f>
        <v/>
      </c>
      <c r="R1411">
        <f>IF(AND(Inputs!$B$38&lt;&gt;"pvp",Inputs!$B$43&gt;0),IF(MAX(0,Inputs!$B$43-B1445)&lt;=0,0,(INT(MAX(0,Inputs!$B$43-B1445)/(IF(Inputs!$B$38="pvp",15,MAX(0.1,Skills!D6-IF(Skills!E6=TRUE,Inputs!$B$32,0)))*(1-IF(AND(ArtifactsInput!$M$27,Inputs!$B$4="Chapter Hunt"),CHOOSE(ArtifactsInput!$N$27+1,20,24,28,32,36,40),0)/100)))+1)),0)</f>
        <v/>
      </c>
      <c r="S1411">
        <f>IFERROR(O1411/N1411,0)</f>
        <v/>
      </c>
      <c r="T1411">
        <f>IF(C1411,(H1411*N1411*IF(AND(Inputs!$B$38&lt;&gt;"pvp",Inputs!$B$43&gt;0),((Skills!G6*((R1411-1)*IF(Skills!H6&gt;0,Skills!I6/Skills!H6,1)+IF(Skills!H6&gt;0,MIN(Skills!I6,MAX(0,MAX(0,Inputs!$B$43-B1445)-((R1411-1)*(IF(Inputs!$B$38="pvp",15,MAX(0.1,Skills!D6-IF(Skills!E6=TRUE,Inputs!$B$32,0)))*(1-IF(AND(ArtifactsInput!$M$27,Inputs!$B$4="Chapter Hunt"),CHOOSE(ArtifactsInput!$N$27+1,20,24,28,32,36,40),0)/100)))))/Skills!H6,1)))/Inputs!$B$43),G1411*Q1411)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6*((R1411-1)*IF(Skills!H6&gt;0,Skills!I6/Skills!H6,1)+IF(Skills!H6&gt;0,MIN(Skills!I6,MAX(0,MAX(0,Inputs!$B$43-B1445)-((R1411-1)*(IF(Inputs!$B$38="pvp",15,MAX(0.1,Skills!D6-IF(Skills!E6=TRUE,Inputs!$B$32,0)))*(1-IF(AND(ArtifactsInput!$M$27,Inputs!$B$4="Chapter Hunt"),CHOOSE(ArtifactsInput!$N$27+1,20,24,28,32,36,40),0)/100)))))/Skills!H6,1)))/Inputs!$B$43),G1411*Q1411))*IF(Inputs!$B$38="pvp",1,(1+(Inputs!$B$21+Skills!Q6+(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Skills!A7</f>
        <v/>
      </c>
      <c r="B1412">
        <f>Skills!B7</f>
        <v/>
      </c>
      <c r="C1412">
        <f>Inputs!$B$3&gt;=107</f>
        <v/>
      </c>
      <c r="D1412">
        <f>IF(Skills!C7=1,60+Inputs!$B$25+Inputs!$B$29,IF(Skills!C7=2,90+Inputs!$B$26+Inputs!$B$29,IF(Skills!C7=3,120+Inputs!$B$27+Inputs!$B$29,MAX(0,(Inputs!$B$3-100)*3)+Inputs!$B$28+Inputs!$B$29)))</f>
        <v/>
      </c>
      <c r="E1412">
        <f>INDEX(FactorTable!$B$2:$Y$301, MATCH(ROUND(MIN(300,MAX(1,D1412)),0), FactorTable!$A$2:$A$301,0), Skills!M7+1)</f>
        <v/>
      </c>
      <c r="F1412">
        <f>IF(Skills!N7=TRUE,(Skills!L7/10)*(E1412/1000),Skills!L7/10)+Skills!O7</f>
        <v/>
      </c>
      <c r="G1412" t="inlineStr"/>
      <c r="H1412" t="inlineStr"/>
      <c r="I1412" t="inlineStr">
        <is>
          <t>1</t>
        </is>
      </c>
      <c r="J1412" t="inlineStr"/>
      <c r="K1412" t="inlineStr"/>
      <c r="L1412" t="inlineStr"/>
      <c r="M1412" t="inlineStr"/>
      <c r="N1412" t="inlineStr"/>
      <c r="O1412" t="inlineStr"/>
      <c r="P1412" t="inlineStr"/>
      <c r="Q1412" t="inlineStr"/>
      <c r="R1412" t="inlineStr"/>
      <c r="S1412" t="inlineStr"/>
      <c r="T1412" t="inlineStr"/>
      <c r="V1412" t="inlineStr"/>
    </row>
    <row r="1413">
      <c r="A1413">
        <f>Skills!A8</f>
        <v/>
      </c>
      <c r="B1413">
        <f>Skills!B8</f>
        <v/>
      </c>
      <c r="C1413">
        <f>Inputs!$B$3&gt;=69</f>
        <v/>
      </c>
      <c r="D1413">
        <f>IF(Skills!C8=1,60+Inputs!$B$25+Inputs!$B$29,IF(Skills!C8=2,90+Inputs!$B$26+Inputs!$B$29,IF(Skills!C8=3,120+Inputs!$B$27+Inputs!$B$29,MAX(0,(Inputs!$B$3-100)*3)+Inputs!$B$28+Inputs!$B$29)))</f>
        <v/>
      </c>
      <c r="E1413">
        <f>INDEX(FactorTable!$B$2:$Y$301, MATCH(ROUND(MIN(300,MAX(1,D1413)),0), FactorTable!$A$2:$A$301,0), Skills!M8+1)</f>
        <v/>
      </c>
      <c r="F1413">
        <f>IF(Skills!N8=TRUE,(Skills!L8/10)*(E1413/1000),Skills!L8/10)+Skills!O8</f>
        <v/>
      </c>
      <c r="G1413">
        <f>Skills!G8*IF(Skills!H8&gt;0,Skills!I8/Skills!H8,1)</f>
        <v/>
      </c>
      <c r="H1413">
        <f>1-(1-Skills!J8/100)^Skills!K8</f>
        <v/>
      </c>
      <c r="I1413" t="inlineStr">
        <is>
          <t>1</t>
        </is>
      </c>
      <c r="J1413">
        <f>((Inputs!$B$6*(1+Inputs!$B$7/100))+(((Inputs!$B$12*(1+Inputs!$B$13/100))-(Inputs!$B$12*(1+Inputs!$B$13/100)))+0.25*(Inputs!$B$14-Inputs!$B$14))*(1+Inputs!$B$7/100))*(F1413/100)</f>
        <v/>
      </c>
      <c r="K1413">
        <f>J1413*(1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1415=TRUE,F1415,0)/100)*(1+(IF(Skills!A8="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1429=TRUE)*(F1429-Calc!F24)),(Inputs!$B$23+((C1434=TRUE)*(F1434-Calc!F29))+(IF(ArtifactsInput!$M$15,CHOOSE(ArtifactsInput!$N$15+1,25,30,35,40,45,50)/100*(Inputs!$B$11-Inputs!$B$11),0))))/100+(Inputs!$B$23+((C1434=TRUE)*(F1434-Calc!F29))+(IF(ArtifactsInput!$M$15,CHOOSE(ArtifactsInput!$N$15+1,25,30,35,40,45,50)/100*(Inputs!$B$11-Inputs!$B$11),0)))/100)/2</f>
        <v/>
      </c>
      <c r="M1413">
        <f>L1413*(1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IF(B1448=0,0,O1413/B1448)</f>
        <v/>
      </c>
      <c r="Q1413">
        <f>IFERROR(1/(IF(Inputs!$B$38="pvp",15,MAX(0.1,Skills!D8-IF(Skills!E8=TRUE,Inputs!$B$32,0)))*(1-IF(AND(ArtifactsInput!$M$27,Inputs!$B$4="Chapter Hunt"),CHOOSE(ArtifactsInput!$N$27+1,20,24,28,32,36,40),0)/100)),0)</f>
        <v/>
      </c>
      <c r="R1413">
        <f>IF(AND(Inputs!$B$38&lt;&gt;"pvp",Inputs!$B$43&gt;0),IF(MAX(0,Inputs!$B$43-B1445)&lt;=0,0,(INT(MAX(0,Inputs!$B$43-B1445)/(IF(Inputs!$B$38="pvp",15,MAX(0.1,Skills!D8-IF(Skills!E8=TRUE,Inputs!$B$32,0)))*(1-IF(AND(ArtifactsInput!$M$27,Inputs!$B$4="Chapter Hunt"),CHOOSE(ArtifactsInput!$N$27+1,20,24,28,32,36,40),0)/100)))+1)),0)</f>
        <v/>
      </c>
      <c r="S1413">
        <f>IFERROR(O1413/N1413,0)</f>
        <v/>
      </c>
      <c r="T1413">
        <f>IF(C1413,(H1413*N1413*IF(AND(Inputs!$B$38&lt;&gt;"pvp",Inputs!$B$43&gt;0),((Skills!G8*((R1413-1)*IF(Skills!H8&gt;0,Skills!I8/Skills!H8,1)+IF(Skills!H8&gt;0,MIN(Skills!I8,MAX(0,MAX(0,Inputs!$B$43-B1445)-((R1413-1)*(IF(Inputs!$B$38="pvp",15,MAX(0.1,Skills!D8-IF(Skills!E8=TRUE,Inputs!$B$32,0)))*(1-IF(AND(ArtifactsInput!$M$27,Inputs!$B$4="Chapter Hunt"),CHOOSE(ArtifactsInput!$N$27+1,20,24,28,32,36,40),0)/100)))))/Skills!H8,1)))/Inputs!$B$43),G1413*Q1413)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1413*(1-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1413*(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1413*(1-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8*((R1413-1)*IF(Skills!H8&gt;0,Skills!I8/Skills!H8,1)+IF(Skills!H8&gt;0,MIN(Skills!I8,MAX(0,MAX(0,Inputs!$B$43-B1445)-((R1413-1)*(IF(Inputs!$B$38="pvp",15,MAX(0.1,Skills!D8-IF(Skills!E8=TRUE,Inputs!$B$32,0)))*(1-IF(AND(ArtifactsInput!$M$27,Inputs!$B$4="Chapter Hunt"),CHOOSE(ArtifactsInput!$N$27+1,20,24,28,32,36,40),0)/100)))))/Skills!H8,1)))/Inputs!$B$43),G1413*Q1413))*IF(Inputs!$B$38="pvp",1,(1+(Inputs!$B$21+Skills!Q8+(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Skills!A9</f>
        <v/>
      </c>
      <c r="B1414">
        <f>Skills!B9</f>
        <v/>
      </c>
      <c r="C1414">
        <f>Inputs!$B$3&gt;=63</f>
        <v/>
      </c>
      <c r="D1414">
        <f>IF(Skills!C9=1,60+Inputs!$B$25+Inputs!$B$29,IF(Skills!C9=2,90+Inputs!$B$26+Inputs!$B$29,IF(Skills!C9=3,120+Inputs!$B$27+Inputs!$B$29,MAX(0,(Inputs!$B$3-100)*3)+Inputs!$B$28+Inputs!$B$29)))</f>
        <v/>
      </c>
      <c r="E1414">
        <f>INDEX(FactorTable!$B$2:$Y$301, MATCH(ROUND(MIN(300,MAX(1,D1414)),0), FactorTable!$A$2:$A$301,0), Skills!M9+1)</f>
        <v/>
      </c>
      <c r="F1414">
        <f>IF(Skills!N9=TRUE,(Skills!L9/10)*(E1414/1000),Skills!L9/10)+Skills!O9</f>
        <v/>
      </c>
      <c r="G1414">
        <f>Skills!G9*IF(Skills!H9&gt;0,Skills!I9/Skills!H9,1)</f>
        <v/>
      </c>
      <c r="H1414">
        <f>1-(1-Skills!J9/100)^Skills!K9</f>
        <v/>
      </c>
      <c r="I1414" t="inlineStr">
        <is>
          <t>1</t>
        </is>
      </c>
      <c r="J1414">
        <f>((Inputs!$B$6*(1+Inputs!$B$7/100))+(((Inputs!$B$12*(1+Inputs!$B$13/100))-(Inputs!$B$12*(1+Inputs!$B$13/100)))+0.25*(Inputs!$B$14-Inputs!$B$14))*(1+Inputs!$B$7/100))*(F1414/100)</f>
        <v/>
      </c>
      <c r="K1414">
        <f>J1414*(1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1415=TRUE,F1415,0)/100)*(1+(IF(Skills!A9="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1429=TRUE)*(F1429-Calc!F24)),(Inputs!$B$23+((C1434=TRUE)*(F1434-Calc!F29))+(IF(ArtifactsInput!$M$15,CHOOSE(ArtifactsInput!$N$15+1,25,30,35,40,45,50)/100*(Inputs!$B$11-Inputs!$B$11),0))))/100+(Inputs!$B$23+((C1434=TRUE)*(F1434-Calc!F29))+(IF(ArtifactsInput!$M$15,CHOOSE(ArtifactsInput!$N$15+1,25,30,35,40,45,50)/100*(Inputs!$B$11-Inputs!$B$11),0)))/100)/2</f>
        <v/>
      </c>
      <c r="M1414">
        <f>L1414*(1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IF(B1448=0,0,O1414/B1448)</f>
        <v/>
      </c>
      <c r="Q1414">
        <f>IFERROR(1/(IF(Inputs!$B$38="pvp",15,MAX(0.1,Skills!D9-IF(Skills!E9=TRUE,Inputs!$B$32,0)))*(1-IF(AND(ArtifactsInput!$M$27,Inputs!$B$4="Chapter Hunt"),CHOOSE(ArtifactsInput!$N$27+1,20,24,28,32,36,40),0)/100)),0)</f>
        <v/>
      </c>
      <c r="R1414">
        <f>IF(AND(Inputs!$B$38&lt;&gt;"pvp",Inputs!$B$43&gt;0),IF(MAX(0,Inputs!$B$43-B1445)&lt;=0,0,(INT(MAX(0,Inputs!$B$43-B1445)/(IF(Inputs!$B$38="pvp",15,MAX(0.1,Skills!D9-IF(Skills!E9=TRUE,Inputs!$B$32,0)))*(1-IF(AND(ArtifactsInput!$M$27,Inputs!$B$4="Chapter Hunt"),CHOOSE(ArtifactsInput!$N$27+1,20,24,28,32,36,40),0)/100)))+1)),0)</f>
        <v/>
      </c>
      <c r="S1414">
        <f>IFERROR(O1414/N1414,0)</f>
        <v/>
      </c>
      <c r="T1414">
        <f>IF(C1414,(H1414*N1414*IF(AND(Inputs!$B$38&lt;&gt;"pvp",Inputs!$B$43&gt;0),((Skills!G9*((R1414-1)*IF(Skills!H9&gt;0,Skills!I9/Skills!H9,1)+IF(Skills!H9&gt;0,MIN(Skills!I9,MAX(0,MAX(0,Inputs!$B$43-B1445)-((R1414-1)*(IF(Inputs!$B$38="pvp",15,MAX(0.1,Skills!D9-IF(Skills!E9=TRUE,Inputs!$B$32,0)))*(1-IF(AND(ArtifactsInput!$M$27,Inputs!$B$4="Chapter Hunt"),CHOOSE(ArtifactsInput!$N$27+1,20,24,28,32,36,40),0)/100)))))/Skills!H9,1)))/Inputs!$B$43),G1414*Q1414)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1414*(1-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1414*(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1414*(1-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9*((R1414-1)*IF(Skills!H9&gt;0,Skills!I9/Skills!H9,1)+IF(Skills!H9&gt;0,MIN(Skills!I9,MAX(0,MAX(0,Inputs!$B$43-B1445)-((R1414-1)*(IF(Inputs!$B$38="pvp",15,MAX(0.1,Skills!D9-IF(Skills!E9=TRUE,Inputs!$B$32,0)))*(1-IF(AND(ArtifactsInput!$M$27,Inputs!$B$4="Chapter Hunt"),CHOOSE(ArtifactsInput!$N$27+1,20,24,28,32,36,40),0)/100)))))/Skills!H9,1)))/Inputs!$B$43),G1414*Q1414))*IF(Inputs!$B$38="pvp",1,(1+(Inputs!$B$21+Skills!Q9+(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Skills!A10</f>
        <v/>
      </c>
      <c r="B1415">
        <f>Skills!B10</f>
        <v/>
      </c>
      <c r="C1415">
        <f>Inputs!$B$3&gt;=100</f>
        <v/>
      </c>
      <c r="D1415">
        <f>IF(Skills!C10=1,60+Inputs!$B$25+Inputs!$B$29,IF(Skills!C10=2,90+Inputs!$B$26+Inputs!$B$29,IF(Skills!C10=3,120+Inputs!$B$27+Inputs!$B$29,MAX(0,(Inputs!$B$3-100)*3)+Inputs!$B$28+Inputs!$B$29)))</f>
        <v/>
      </c>
      <c r="E1415">
        <f>INDEX(FactorTable!$B$2:$Y$301, MATCH(ROUND(MIN(300,MAX(1,D1415)),0), FactorTable!$A$2:$A$301,0), Skills!M10+1)</f>
        <v/>
      </c>
      <c r="F1415">
        <f>IF(Skills!N10=TRUE,(Skills!L10/10)*(E1415/1000),Skills!L10/10)+Skills!O10</f>
        <v/>
      </c>
      <c r="G1415" t="inlineStr"/>
      <c r="H1415" t="inlineStr"/>
      <c r="I1415" t="inlineStr">
        <is>
          <t>1</t>
        </is>
      </c>
      <c r="J1415" t="inlineStr"/>
      <c r="K1415" t="inlineStr"/>
      <c r="L1415" t="inlineStr"/>
      <c r="M1415" t="inlineStr"/>
      <c r="N1415" t="inlineStr"/>
      <c r="O1415" t="inlineStr"/>
      <c r="P1415" t="inlineStr"/>
      <c r="Q1415" t="inlineStr"/>
      <c r="R1415" t="inlineStr"/>
      <c r="S1415" t="inlineStr"/>
      <c r="T1415" t="inlineStr"/>
      <c r="V1415" t="inlineStr"/>
    </row>
    <row r="1416">
      <c r="A1416">
        <f>Skills!A11</f>
        <v/>
      </c>
      <c r="B1416">
        <f>Skills!B11</f>
        <v/>
      </c>
      <c r="C1416">
        <f>Inputs!$B$3&gt;=60</f>
        <v/>
      </c>
      <c r="D1416">
        <f>IF(Skills!C11=1,60+Inputs!$B$25+Inputs!$B$29,IF(Skills!C11=2,90+Inputs!$B$26+Inputs!$B$29,IF(Skills!C11=3,120+Inputs!$B$27+Inputs!$B$29,MAX(0,(Inputs!$B$3-100)*3)+Inputs!$B$28+Inputs!$B$29)))</f>
        <v/>
      </c>
      <c r="E1416">
        <f>INDEX(FactorTable!$B$2:$Y$301, MATCH(ROUND(MIN(300,MAX(1,D1416)),0), FactorTable!$A$2:$A$301,0), Skills!M11+1)</f>
        <v/>
      </c>
      <c r="F1416">
        <f>IF(Skills!N11=TRUE,(Skills!L11/10)*(E1416/1000),Skills!L11/10)+Skills!O11</f>
        <v/>
      </c>
      <c r="G1416">
        <f>Skills!G11*IF(Skills!H11&gt;0,Skills!I11/Skills!H11,1)</f>
        <v/>
      </c>
      <c r="H1416">
        <f>1-(1-Skills!J11/100)^Skills!K11</f>
        <v/>
      </c>
      <c r="I1416" t="inlineStr">
        <is>
          <t>1</t>
        </is>
      </c>
      <c r="J1416">
        <f>((Inputs!$B$6*(1+Inputs!$B$7/100))+(((Inputs!$B$12*(1+Inputs!$B$13/100))-(Inputs!$B$12*(1+Inputs!$B$13/100)))+0.25*(Inputs!$B$14-Inputs!$B$14))*(1+Inputs!$B$7/100))*(F1416/100)</f>
        <v/>
      </c>
      <c r="K1416">
        <f>J1416*(1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1417=TRUE,F1417,0)/100)*(1+(IF(Skills!A11="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1429=TRUE)*(F1429-Calc!F24)),(Inputs!$B$23+((C1434=TRUE)*(F1434-Calc!F29))+(IF(ArtifactsInput!$M$15,CHOOSE(ArtifactsInput!$N$15+1,25,30,35,40,45,50)/100*(Inputs!$B$11-Inputs!$B$11),0))))/100+(Inputs!$B$23+((C1434=TRUE)*(F1434-Calc!F29))+(IF(ArtifactsInput!$M$15,CHOOSE(ArtifactsInput!$N$15+1,25,30,35,40,45,50)/100*(Inputs!$B$11-Inputs!$B$11),0)))/100)/2</f>
        <v/>
      </c>
      <c r="M1416">
        <f>L1416*(1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IF(B1448=0,0,O1416/B1448)</f>
        <v/>
      </c>
      <c r="Q1416">
        <f>IFERROR(1/(IF(Inputs!$B$38="pvp",15,MAX(0.1,Skills!D11-IF(Skills!E11=TRUE,Inputs!$B$32,0)))*(1-IF(AND(ArtifactsInput!$M$27,Inputs!$B$4="Chapter Hunt"),CHOOSE(ArtifactsInput!$N$27+1,20,24,28,32,36,40),0)/100)),0)</f>
        <v/>
      </c>
      <c r="R1416">
        <f>IF(AND(Inputs!$B$38&lt;&gt;"pvp",Inputs!$B$43&gt;0),IF(MAX(0,Inputs!$B$43-B1445)&lt;=0,0,(INT(MAX(0,Inputs!$B$43-B1445)/(IF(Inputs!$B$38="pvp",15,MAX(0.1,Skills!D11-IF(Skills!E11=TRUE,Inputs!$B$32,0)))*(1-IF(AND(ArtifactsInput!$M$27,Inputs!$B$4="Chapter Hunt"),CHOOSE(ArtifactsInput!$N$27+1,20,24,28,32,36,40),0)/100)))+1)),0)</f>
        <v/>
      </c>
      <c r="S1416">
        <f>IFERROR(O1416/N1416,0)</f>
        <v/>
      </c>
      <c r="T1416">
        <f>IF(C1416,(H1416*N1416*IF(AND(Inputs!$B$38&lt;&gt;"pvp",Inputs!$B$43&gt;0),((Skills!G11*((R1416-1)*IF(Skills!H11&gt;0,Skills!I11/Skills!H11,1)+IF(Skills!H11&gt;0,MIN(Skills!I11,MAX(0,MAX(0,Inputs!$B$43-B1445)-((R1416-1)*(IF(Inputs!$B$38="pvp",15,MAX(0.1,Skills!D11-IF(Skills!E11=TRUE,Inputs!$B$32,0)))*(1-IF(AND(ArtifactsInput!$M$27,Inputs!$B$4="Chapter Hunt"),CHOOSE(ArtifactsInput!$N$27+1,20,24,28,32,36,40),0)/100)))))/Skills!H11,1)))/Inputs!$B$43),G1416*Q1416)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1416*(1-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1416*(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1416*(1-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11*((R1416-1)*IF(Skills!H11&gt;0,Skills!I11/Skills!H11,1)+IF(Skills!H11&gt;0,MIN(Skills!I11,MAX(0,MAX(0,Inputs!$B$43-B1445)-((R1416-1)*(IF(Inputs!$B$38="pvp",15,MAX(0.1,Skills!D11-IF(Skills!E11=TRUE,Inputs!$B$32,0)))*(1-IF(AND(ArtifactsInput!$M$27,Inputs!$B$4="Chapter Hunt"),CHOOSE(ArtifactsInput!$N$27+1,20,24,28,32,36,40),0)/100)))))/Skills!H11,1)))/Inputs!$B$43),G1416*Q1416))*IF(Inputs!$B$38="pvp",1,(1+(Inputs!$B$21+Skills!Q11+(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Skills!A12</f>
        <v/>
      </c>
      <c r="B1417">
        <f>Skills!B12</f>
        <v/>
      </c>
      <c r="C1417">
        <f>Inputs!$B$3&gt;=110</f>
        <v/>
      </c>
      <c r="D1417">
        <f>IF(Skills!C12=1,60+Inputs!$B$25+Inputs!$B$29,IF(Skills!C12=2,90+Inputs!$B$26+Inputs!$B$29,IF(Skills!C12=3,120+Inputs!$B$27+Inputs!$B$29,MAX(0,(Inputs!$B$3-100)*3)+Inputs!$B$28+Inputs!$B$29)))</f>
        <v/>
      </c>
      <c r="E1417">
        <f>INDEX(FactorTable!$B$2:$Y$301, MATCH(ROUND(MIN(300,MAX(1,D1417)),0), FactorTable!$A$2:$A$301,0), Skills!M12+1)</f>
        <v/>
      </c>
      <c r="F1417">
        <f>IF(Skills!N12=TRUE,(Skills!L12/10)*(E1417/1000),Skills!L12/10)+Skills!O12</f>
        <v/>
      </c>
      <c r="G1417" t="inlineStr"/>
      <c r="H1417" t="inlineStr"/>
      <c r="I1417" t="inlineStr">
        <is>
          <t>1</t>
        </is>
      </c>
      <c r="J1417" t="inlineStr"/>
      <c r="K1417" t="inlineStr"/>
      <c r="L1417" t="inlineStr"/>
      <c r="M1417" t="inlineStr"/>
      <c r="N1417" t="inlineStr"/>
      <c r="O1417" t="inlineStr"/>
      <c r="P1417" t="inlineStr"/>
      <c r="Q1417" t="inlineStr"/>
      <c r="R1417" t="inlineStr"/>
      <c r="S1417" t="inlineStr"/>
      <c r="T1417" t="inlineStr"/>
      <c r="V1417" t="inlineStr"/>
    </row>
    <row r="1418">
      <c r="A1418">
        <f>Skills!A13</f>
        <v/>
      </c>
      <c r="B1418">
        <f>Skills!B13</f>
        <v/>
      </c>
      <c r="C1418">
        <f>Inputs!$B$3&gt;=74</f>
        <v/>
      </c>
      <c r="D1418">
        <f>IF(Skills!C13=1,60+Inputs!$B$25+Inputs!$B$29,IF(Skills!C13=2,90+Inputs!$B$26+Inputs!$B$29,IF(Skills!C13=3,120+Inputs!$B$27+Inputs!$B$29,MAX(0,(Inputs!$B$3-100)*3)+Inputs!$B$28+Inputs!$B$29)))</f>
        <v/>
      </c>
      <c r="E1418">
        <f>INDEX(FactorTable!$B$2:$Y$301, MATCH(ROUND(MIN(300,MAX(1,D1418)),0), FactorTable!$A$2:$A$301,0), Skills!M13+1)</f>
        <v/>
      </c>
      <c r="F1418">
        <f>IF(Skills!N13=TRUE,(Skills!L13/10)*(E1418/1000),Skills!L13/10)+Skills!O13</f>
        <v/>
      </c>
      <c r="G1418">
        <f>Skills!G13*IF(Skills!H13&gt;0,Skills!I13/Skills!H13,1)</f>
        <v/>
      </c>
      <c r="H1418">
        <f>1-(1-Skills!J13/100)^Skills!K13</f>
        <v/>
      </c>
      <c r="I1418" t="inlineStr">
        <is>
          <t>1</t>
        </is>
      </c>
      <c r="J1418" t="inlineStr"/>
      <c r="K1418" t="inlineStr"/>
      <c r="L1418" t="inlineStr"/>
      <c r="M1418" t="inlineStr"/>
      <c r="N1418" t="inlineStr"/>
      <c r="O1418">
        <f>(1-Summary!$B$11)*T1418+Summary!$B$11*V1418</f>
        <v/>
      </c>
      <c r="P1418">
        <f>IF(B1448=0,0,O1418/B1448)</f>
        <v/>
      </c>
      <c r="Q1418" t="n">
        <v>0</v>
      </c>
      <c r="R1418" t="n">
        <v>0</v>
      </c>
      <c r="S1418">
        <f>IFERROR(O1418/N1418,0)</f>
        <v/>
      </c>
      <c r="T1418" t="n">
        <v>0</v>
      </c>
      <c r="V1418" t="n">
        <v>0</v>
      </c>
    </row>
    <row r="1419">
      <c r="A1419">
        <f>Skills!A14</f>
        <v/>
      </c>
      <c r="B1419">
        <f>Skills!B14</f>
        <v/>
      </c>
      <c r="C1419">
        <f>Inputs!$B$3&gt;=74</f>
        <v/>
      </c>
      <c r="D1419">
        <f>IF(Skills!C14=1,60+Inputs!$B$25+Inputs!$B$29,IF(Skills!C14=2,90+Inputs!$B$26+Inputs!$B$29,IF(Skills!C14=3,120+Inputs!$B$27+Inputs!$B$29,MAX(0,(Inputs!$B$3-100)*3)+Inputs!$B$28+Inputs!$B$29)))</f>
        <v/>
      </c>
      <c r="E1419">
        <f>INDEX(FactorTable!$B$2:$Y$301, MATCH(ROUND(MIN(300,MAX(1,D1419)),0), FactorTable!$A$2:$A$301,0), Skills!M14+1)</f>
        <v/>
      </c>
      <c r="F1419">
        <f>IF(Skills!N14=TRUE,(Skills!L14/10)*(E1419/1000),Skills!L14/10)+Skills!O14</f>
        <v/>
      </c>
      <c r="G1419">
        <f>Skills!G14*IF(Skills!H14&gt;0,Skills!I14/Skills!H14,1)</f>
        <v/>
      </c>
      <c r="H1419">
        <f>1-(1-Skills!J14/100)^Skills!K14</f>
        <v/>
      </c>
      <c r="I1419" t="inlineStr">
        <is>
          <t>1</t>
        </is>
      </c>
      <c r="J1419" t="inlineStr"/>
      <c r="K1419" t="inlineStr"/>
      <c r="L1419" t="inlineStr"/>
      <c r="M1419" t="inlineStr"/>
      <c r="N1419" t="inlineStr"/>
      <c r="O1419">
        <f>(1-Summary!$B$11)*T1419+Summary!$B$11*V1419</f>
        <v/>
      </c>
      <c r="P1419">
        <f>IF(B1448=0,0,O1419/B1448)</f>
        <v/>
      </c>
      <c r="Q1419" t="n">
        <v>0</v>
      </c>
      <c r="R1419" t="n">
        <v>0</v>
      </c>
      <c r="S1419">
        <f>IFERROR(O1419/N1419,0)</f>
        <v/>
      </c>
      <c r="T1419" t="n">
        <v>0</v>
      </c>
      <c r="V1419" t="n">
        <v>0</v>
      </c>
    </row>
    <row r="1420">
      <c r="A1420">
        <f>Skills!A15</f>
        <v/>
      </c>
      <c r="B1420">
        <f>Skills!B15</f>
        <v/>
      </c>
      <c r="C1420">
        <f>Inputs!$B$3&gt;=117</f>
        <v/>
      </c>
      <c r="D1420">
        <f>IF(Skills!C15=1,60+Inputs!$B$25+Inputs!$B$29,IF(Skills!C15=2,90+Inputs!$B$26+Inputs!$B$29,IF(Skills!C15=3,120+Inputs!$B$27+Inputs!$B$29,MAX(0,(Inputs!$B$3-100)*3)+Inputs!$B$28+Inputs!$B$29)))</f>
        <v/>
      </c>
      <c r="E1420">
        <f>INDEX(FactorTable!$B$2:$Y$301, MATCH(ROUND(MIN(300,MAX(1,D1420)),0), FactorTable!$A$2:$A$301,0), Skills!M15+1)</f>
        <v/>
      </c>
      <c r="F1420">
        <f>IF(Skills!N15=TRUE,(Skills!L15/10)*(E1420/1000),Skills!L15/10)+Skills!O15</f>
        <v/>
      </c>
      <c r="G1420">
        <f>Skills!G15*IF(Skills!H15&gt;0,Skills!I15/Skills!H15,1)</f>
        <v/>
      </c>
      <c r="H1420">
        <f>1-(1-Skills!J15/100)^Skills!K15</f>
        <v/>
      </c>
      <c r="I1420" t="inlineStr">
        <is>
          <t>1</t>
        </is>
      </c>
      <c r="J1420" t="inlineStr"/>
      <c r="K1420" t="inlineStr"/>
      <c r="L1420" t="inlineStr"/>
      <c r="M1420" t="inlineStr"/>
      <c r="N1420" t="inlineStr"/>
      <c r="O1420">
        <f>(1-Summary!$B$11)*T1420+Summary!$B$11*V1420</f>
        <v/>
      </c>
      <c r="P1420">
        <f>IF(B1448=0,0,O1420/B1448)</f>
        <v/>
      </c>
      <c r="Q1420">
        <f>IFERROR(1/(IF(Inputs!$B$38="pvp",15,MAX(0.1,Skills!D15-IF(Skills!E15=TRUE,Inputs!$B$32,0)))*(1-IF(AND(ArtifactsInput!$M$27,Inputs!$B$4="Chapter Hunt"),CHOOSE(ArtifactsInput!$N$27+1,20,24,28,32,36,40),0)/100)),0)</f>
        <v/>
      </c>
      <c r="R1420">
        <f>IF(AND(Inputs!$B$38&lt;&gt;"pvp",Inputs!$B$43&gt;0),IF(Inputs!$B$43&lt;=0,0,(INT(Inputs!$B$43/(IF(Inputs!$B$38="pvp",15,MAX(0.1,Skills!D15-IF(Skills!E15=TRUE,Inputs!$B$32,0)))*(1-IF(AND(ArtifactsInput!$M$27,Inputs!$B$4="Chapter Hunt"),CHOOSE(ArtifactsInput!$N$27+1,20,24,28,32,36,40),0)/100)))+1)),0)</f>
        <v/>
      </c>
      <c r="S1420">
        <f>IFERROR(O1420/N1420,0)</f>
        <v/>
      </c>
      <c r="T1420" t="n">
        <v>0</v>
      </c>
      <c r="V1420" t="n">
        <v>0</v>
      </c>
    </row>
    <row r="1421">
      <c r="A1421">
        <f>Skills!A16</f>
        <v/>
      </c>
      <c r="B1421">
        <f>Skills!B16</f>
        <v/>
      </c>
      <c r="C1421">
        <f>Inputs!$B$3&gt;=115</f>
        <v/>
      </c>
      <c r="D1421">
        <f>IF(Skills!C16=1,60+Inputs!$B$25+Inputs!$B$29,IF(Skills!C16=2,90+Inputs!$B$26+Inputs!$B$29,IF(Skills!C16=3,120+Inputs!$B$27+Inputs!$B$29,MAX(0,(Inputs!$B$3-100)*3)+Inputs!$B$28+Inputs!$B$29)))</f>
        <v/>
      </c>
      <c r="E1421">
        <f>INDEX(FactorTable!$B$2:$Y$301, MATCH(ROUND(MIN(300,MAX(1,D1421)),0), FactorTable!$A$2:$A$301,0), Skills!M16+1)</f>
        <v/>
      </c>
      <c r="F1421">
        <f>IF(Skills!N16=TRUE,(Skills!L16/10)*(E1421/1000),Skills!L16/10)+Skills!O16</f>
        <v/>
      </c>
      <c r="G1421">
        <f>Skills!G16*IF(Skills!H16&gt;0,Skills!I16/Skills!H16,1)</f>
        <v/>
      </c>
      <c r="H1421">
        <f>1-(1-Skills!J16/100)^Skills!K16</f>
        <v/>
      </c>
      <c r="I1421" t="inlineStr">
        <is>
          <t>1</t>
        </is>
      </c>
      <c r="J1421" t="inlineStr"/>
      <c r="K1421" t="inlineStr"/>
      <c r="L1421" t="inlineStr"/>
      <c r="M1421" t="inlineStr"/>
      <c r="N1421" t="inlineStr"/>
      <c r="O1421">
        <f>(1-Summary!$B$11)*T1421+Summary!$B$11*V1421</f>
        <v/>
      </c>
      <c r="P1421">
        <f>IF(B1448=0,0,O1421/B1448)</f>
        <v/>
      </c>
      <c r="Q1421">
        <f>IFERROR(1/(IF(Inputs!$B$38="pvp",15,MAX(0.1,Skills!D16-IF(Skills!E16=TRUE,Inputs!$B$32,0)))*(1-IF(AND(ArtifactsInput!$M$27,Inputs!$B$4="Chapter Hunt"),CHOOSE(ArtifactsInput!$N$27+1,20,24,28,32,36,40),0)/100)),0)</f>
        <v/>
      </c>
      <c r="R1421">
        <f>IF(AND(Inputs!$B$38&lt;&gt;"pvp",Inputs!$B$43&gt;0),IF(Inputs!$B$43&lt;=0,0,(INT(Inputs!$B$43/(IF(Inputs!$B$38="pvp",15,MAX(0.1,Skills!D16-IF(Skills!E16=TRUE,Inputs!$B$32,0)))*(1-IF(AND(ArtifactsInput!$M$27,Inputs!$B$4="Chapter Hunt"),CHOOSE(ArtifactsInput!$N$27+1,20,24,28,32,36,40),0)/100)))+1)),0)</f>
        <v/>
      </c>
      <c r="S1421">
        <f>IFERROR(O1421/N1421,0)</f>
        <v/>
      </c>
      <c r="T1421" t="n">
        <v>0</v>
      </c>
      <c r="V1421" t="n">
        <v>0</v>
      </c>
    </row>
    <row r="1422">
      <c r="A1422">
        <f>Skills!A17</f>
        <v/>
      </c>
      <c r="B1422">
        <f>Skills!B17</f>
        <v/>
      </c>
      <c r="C1422">
        <f>Inputs!$B$3&gt;=66</f>
        <v/>
      </c>
      <c r="D1422">
        <f>IF(Skills!C17=1,60+Inputs!$B$25+Inputs!$B$29,IF(Skills!C17=2,90+Inputs!$B$26+Inputs!$B$29,IF(Skills!C17=3,120+Inputs!$B$27+Inputs!$B$29,MAX(0,(Inputs!$B$3-100)*3)+Inputs!$B$28+Inputs!$B$29)))</f>
        <v/>
      </c>
      <c r="E1422">
        <f>INDEX(FactorTable!$B$2:$Y$301, MATCH(ROUND(MIN(300,MAX(1,D1422)),0), FactorTable!$A$2:$A$301,0), Skills!M17+1)</f>
        <v/>
      </c>
      <c r="F1422">
        <f>IF(Skills!N17=TRUE,(Skills!L17/10)*(E1422/1000),Skills!L17/10)+Skills!O17</f>
        <v/>
      </c>
      <c r="G1422">
        <f>Skills!G17*IF(Skills!H17&gt;0,Skills!I17/Skills!H17,1)</f>
        <v/>
      </c>
      <c r="H1422">
        <f>1-(1-Skills!J17/100)^Skills!K17</f>
        <v/>
      </c>
      <c r="I1422" t="inlineStr">
        <is>
          <t>1</t>
        </is>
      </c>
      <c r="J1422" t="inlineStr"/>
      <c r="K1422" t="inlineStr"/>
      <c r="L1422" t="inlineStr"/>
      <c r="M1422" t="inlineStr"/>
      <c r="N1422" t="inlineStr"/>
      <c r="O1422">
        <f>(1-Summary!$B$11)*T1422+Summary!$B$11*V1422</f>
        <v/>
      </c>
      <c r="P1422">
        <f>IF(B1448=0,0,O1422/B1448)</f>
        <v/>
      </c>
      <c r="Q1422" t="n">
        <v>0</v>
      </c>
      <c r="R1422" t="n">
        <v>0</v>
      </c>
      <c r="S1422">
        <f>IFERROR(O1422/N1422,0)</f>
        <v/>
      </c>
      <c r="T1422" t="n">
        <v>0</v>
      </c>
      <c r="V1422" t="n">
        <v>0</v>
      </c>
    </row>
    <row r="1423">
      <c r="A1423">
        <f>Skills!A18</f>
        <v/>
      </c>
      <c r="B1423">
        <f>Skills!B18</f>
        <v/>
      </c>
      <c r="C1423">
        <f>Inputs!$B$3&gt;=72</f>
        <v/>
      </c>
      <c r="D1423">
        <f>IF(Skills!C18=1,60+Inputs!$B$25+Inputs!$B$29,IF(Skills!C18=2,90+Inputs!$B$26+Inputs!$B$29,IF(Skills!C18=3,120+Inputs!$B$27+Inputs!$B$29,MAX(0,(Inputs!$B$3-100)*3)+Inputs!$B$28+Inputs!$B$29)))</f>
        <v/>
      </c>
      <c r="E1423">
        <f>INDEX(FactorTable!$B$2:$Y$301, MATCH(ROUND(MIN(300,MAX(1,D1423)),0), FactorTable!$A$2:$A$301,0), Skills!M18+1)</f>
        <v/>
      </c>
      <c r="F1423">
        <f>IF(Skills!N18=TRUE,(Skills!L18/10)*(E1423/1000),Skills!L18/10)+Skills!O18</f>
        <v/>
      </c>
      <c r="G1423">
        <f>Skills!G18*IF(Skills!H18&gt;0,Skills!I18/Skills!H18,1)</f>
        <v/>
      </c>
      <c r="H1423">
        <f>1-(1-Skills!J18/100)^Skills!K18</f>
        <v/>
      </c>
      <c r="I1423" t="inlineStr">
        <is>
          <t>1</t>
        </is>
      </c>
      <c r="J1423" t="inlineStr"/>
      <c r="K1423" t="inlineStr"/>
      <c r="L1423" t="inlineStr"/>
      <c r="M1423" t="inlineStr"/>
      <c r="N1423" t="inlineStr"/>
      <c r="O1423">
        <f>(1-Summary!$B$11)*T1423+Summary!$B$11*V1423</f>
        <v/>
      </c>
      <c r="P1423">
        <f>IF(B1448=0,0,O1423/B1448)</f>
        <v/>
      </c>
      <c r="Q1423" t="n">
        <v>0</v>
      </c>
      <c r="R1423" t="n">
        <v>0</v>
      </c>
      <c r="S1423">
        <f>IFERROR(O1423/N1423,0)</f>
        <v/>
      </c>
      <c r="T1423" t="n">
        <v>0</v>
      </c>
      <c r="V1423" t="n">
        <v>0</v>
      </c>
    </row>
    <row r="1424">
      <c r="A1424">
        <f>Skills!A19</f>
        <v/>
      </c>
      <c r="B1424">
        <f>Skills!B19</f>
        <v/>
      </c>
      <c r="C1424">
        <f>TRUE</f>
        <v/>
      </c>
      <c r="D1424">
        <f>IF(Skills!C19=1,60+Inputs!$B$25+Inputs!$B$29,IF(Skills!C19=2,90+Inputs!$B$26+Inputs!$B$29,IF(Skills!C19=3,120+Inputs!$B$27+Inputs!$B$29,MAX(0,(Inputs!$B$3-100)*3)+Inputs!$B$28+Inputs!$B$29)))</f>
        <v/>
      </c>
      <c r="E1424">
        <f>INDEX(FactorTable!$B$2:$Y$301, MATCH(ROUND(MIN(300,MAX(1,D1424)),0), FactorTable!$A$2:$A$301,0), Skills!M19+1)</f>
        <v/>
      </c>
      <c r="F1424">
        <f>IF(Skills!N19=TRUE,(Skills!L19/10)*(E1424/1000),Skills!L19/10)+Skills!O19</f>
        <v/>
      </c>
      <c r="G1424">
        <f>Skills!G19*IF(Skills!H19&gt;0,Skills!I19/Skills!H19,1)</f>
        <v/>
      </c>
      <c r="H1424">
        <f>1-(1-Skills!J19/100)^Skills!K19</f>
        <v/>
      </c>
      <c r="I1424" t="inlineStr">
        <is>
          <t>1</t>
        </is>
      </c>
      <c r="J1424" t="inlineStr"/>
      <c r="K1424" t="inlineStr"/>
      <c r="L1424" t="inlineStr"/>
      <c r="M1424" t="inlineStr"/>
      <c r="N1424" t="inlineStr"/>
      <c r="O1424">
        <f>(1-Summary!$B$11)*T1424+Summary!$B$11*V1424</f>
        <v/>
      </c>
      <c r="P1424">
        <f>IF(B1448=0,0,O1424/B1448)</f>
        <v/>
      </c>
      <c r="Q1424">
        <f>IFERROR(1/(IF(Inputs!$B$38="pvp",15,MAX(0.1,Skills!D19-IF(Skills!E19=TRUE,Inputs!$B$32,0)))*(1-IF(AND(ArtifactsInput!$M$27,Inputs!$B$4="Chapter Hunt"),CHOOSE(ArtifactsInput!$N$27+1,20,24,28,32,36,40),0)/100)),0)</f>
        <v/>
      </c>
      <c r="R1424">
        <f>IF(AND(Inputs!$B$38&lt;&gt;"pvp",Inputs!$B$43&gt;0),IF(Inputs!$B$43&lt;=0,0,(INT(Inputs!$B$43/(IF(Inputs!$B$38="pvp",15,MAX(0.1,Skills!D19-IF(Skills!E19=TRUE,Inputs!$B$32,0)))*(1-IF(AND(ArtifactsInput!$M$27,Inputs!$B$4="Chapter Hunt"),CHOOSE(ArtifactsInput!$N$27+1,20,24,28,32,36,40),0)/100)))+1)),0)</f>
        <v/>
      </c>
      <c r="S1424">
        <f>IFERROR(O1424/N1424,0)</f>
        <v/>
      </c>
      <c r="T1424" t="n">
        <v>0</v>
      </c>
      <c r="V1424" t="n">
        <v>0</v>
      </c>
    </row>
    <row r="1425">
      <c r="A1425">
        <f>Skills!A20</f>
        <v/>
      </c>
      <c r="B1425">
        <f>Skills!B20</f>
        <v/>
      </c>
      <c r="C1425">
        <f>Inputs!$B$3&gt;=15</f>
        <v/>
      </c>
      <c r="D1425">
        <f>IF(Skills!C20=1,60+Inputs!$B$25+Inputs!$B$29,IF(Skills!C20=2,90+Inputs!$B$26+Inputs!$B$29,IF(Skills!C20=3,120+Inputs!$B$27+Inputs!$B$29,MAX(0,(Inputs!$B$3-100)*3)+Inputs!$B$28+Inputs!$B$29)))</f>
        <v/>
      </c>
      <c r="E1425">
        <f>INDEX(FactorTable!$B$2:$Y$301, MATCH(ROUND(MIN(300,MAX(1,D1425)),0), FactorTable!$A$2:$A$301,0), Skills!M20+1)</f>
        <v/>
      </c>
      <c r="F1425">
        <f>IF(Skills!N20=TRUE,(Skills!L20/10)*(E1425/1000),Skills!L20/10)+Skills!O20</f>
        <v/>
      </c>
      <c r="G1425">
        <f>Skills!G20*IF(Skills!H20&gt;0,Skills!I20/Skills!H20,1)</f>
        <v/>
      </c>
      <c r="H1425">
        <f>1-(1-Skills!J20/100)^Skills!K20</f>
        <v/>
      </c>
      <c r="I1425" t="inlineStr">
        <is>
          <t>1</t>
        </is>
      </c>
      <c r="J1425" t="inlineStr"/>
      <c r="K1425" t="inlineStr"/>
      <c r="L1425" t="inlineStr"/>
      <c r="M1425" t="inlineStr"/>
      <c r="N1425" t="inlineStr"/>
      <c r="O1425">
        <f>(1-Summary!$B$11)*T1425+Summary!$B$11*V1425</f>
        <v/>
      </c>
      <c r="P1425">
        <f>IF(B1448=0,0,O1425/B1448)</f>
        <v/>
      </c>
      <c r="Q1425" t="n">
        <v>0</v>
      </c>
      <c r="R1425" t="n">
        <v>0</v>
      </c>
      <c r="S1425">
        <f>IFERROR(O1425/N1425,0)</f>
        <v/>
      </c>
      <c r="T1425" t="n">
        <v>0</v>
      </c>
      <c r="V1425" t="n">
        <v>0</v>
      </c>
    </row>
    <row r="1426">
      <c r="A1426">
        <f>Skills!A21</f>
        <v/>
      </c>
      <c r="B1426">
        <f>Skills!B21</f>
        <v/>
      </c>
      <c r="C1426">
        <f>Inputs!$B$3&gt;=10</f>
        <v/>
      </c>
      <c r="D1426">
        <f>IF(Skills!C21=1,60+Inputs!$B$25+Inputs!$B$29,IF(Skills!C21=2,90+Inputs!$B$26+Inputs!$B$29,IF(Skills!C21=3,120+Inputs!$B$27+Inputs!$B$29,MAX(0,(Inputs!$B$3-100)*3)+Inputs!$B$28+Inputs!$B$29)))</f>
        <v/>
      </c>
      <c r="E1426">
        <f>INDEX(FactorTable!$B$2:$Y$301, MATCH(ROUND(MIN(300,MAX(1,D1426)),0), FactorTable!$A$2:$A$301,0), Skills!M21+1)</f>
        <v/>
      </c>
      <c r="F1426">
        <f>IF(Skills!N21=TRUE,(Skills!L21/10)*(E1426/1000),Skills!L21/10)+Skills!O21</f>
        <v/>
      </c>
      <c r="G1426">
        <f>Skills!G21*IF(Skills!H21&gt;0,Skills!I21/Skills!H21,1)</f>
        <v/>
      </c>
      <c r="H1426">
        <f>1-(1-Skills!J21/100)^Skills!K21</f>
        <v/>
      </c>
      <c r="I1426" t="inlineStr">
        <is>
          <t>1</t>
        </is>
      </c>
      <c r="J1426" t="inlineStr"/>
      <c r="K1426" t="inlineStr"/>
      <c r="L1426" t="inlineStr"/>
      <c r="M1426" t="inlineStr"/>
      <c r="N1426" t="inlineStr"/>
      <c r="O1426">
        <f>(1-Summary!$B$11)*T1426+Summary!$B$11*V1426</f>
        <v/>
      </c>
      <c r="P1426">
        <f>IF(B1448=0,0,O1426/B1448)</f>
        <v/>
      </c>
      <c r="Q1426" t="n">
        <v>0</v>
      </c>
      <c r="R1426" t="n">
        <v>0</v>
      </c>
      <c r="S1426">
        <f>IFERROR(O1426/N1426,0)</f>
        <v/>
      </c>
      <c r="T1426" t="n">
        <v>0</v>
      </c>
      <c r="V1426" t="n">
        <v>0</v>
      </c>
    </row>
    <row r="1427">
      <c r="A1427">
        <f>Skills!A22</f>
        <v/>
      </c>
      <c r="B1427">
        <f>Skills!B22</f>
        <v/>
      </c>
      <c r="C1427">
        <f>Inputs!$B$3&gt;=33</f>
        <v/>
      </c>
      <c r="D1427">
        <f>IF(Skills!C22=1,60+Inputs!$B$25+Inputs!$B$29,IF(Skills!C22=2,90+Inputs!$B$26+Inputs!$B$29,IF(Skills!C22=3,120+Inputs!$B$27+Inputs!$B$29,MAX(0,(Inputs!$B$3-100)*3)+Inputs!$B$28+Inputs!$B$29)))</f>
        <v/>
      </c>
      <c r="E1427">
        <f>INDEX(FactorTable!$B$2:$Y$301, MATCH(ROUND(MIN(300,MAX(1,D1427)),0), FactorTable!$A$2:$A$301,0), Skills!M22+1)</f>
        <v/>
      </c>
      <c r="F1427">
        <f>IF(Skills!N22=TRUE,(Skills!L22/10)*(E1427/1000),Skills!L22/10)+Skills!O22</f>
        <v/>
      </c>
      <c r="G1427">
        <f>Skills!G22*IF(Skills!H22&gt;0,Skills!I22/Skills!H22,1)</f>
        <v/>
      </c>
      <c r="H1427">
        <f>1-(1-Skills!J22/100)^Skills!K22</f>
        <v/>
      </c>
      <c r="I1427" t="inlineStr">
        <is>
          <t>1</t>
        </is>
      </c>
      <c r="J1427" t="inlineStr"/>
      <c r="K1427" t="inlineStr"/>
      <c r="L1427" t="inlineStr"/>
      <c r="M1427" t="inlineStr"/>
      <c r="N1427" t="inlineStr"/>
      <c r="O1427">
        <f>(1-Summary!$B$11)*T1427+Summary!$B$11*V1427</f>
        <v/>
      </c>
      <c r="P1427">
        <f>IF(B1448=0,0,O1427/B1448)</f>
        <v/>
      </c>
      <c r="Q1427" t="n">
        <v>0</v>
      </c>
      <c r="R1427" t="n">
        <v>0</v>
      </c>
      <c r="S1427">
        <f>IFERROR(O1427/N1427,0)</f>
        <v/>
      </c>
      <c r="T1427" t="n">
        <v>0</v>
      </c>
      <c r="V1427" t="n">
        <v>0</v>
      </c>
    </row>
    <row r="1428">
      <c r="A1428">
        <f>Skills!A23</f>
        <v/>
      </c>
      <c r="B1428">
        <f>Skills!B23</f>
        <v/>
      </c>
      <c r="C1428">
        <f>Inputs!$B$3&gt;=38</f>
        <v/>
      </c>
      <c r="D1428">
        <f>IF(Skills!C23=1,60+Inputs!$B$25+Inputs!$B$29,IF(Skills!C23=2,90+Inputs!$B$26+Inputs!$B$29,IF(Skills!C23=3,120+Inputs!$B$27+Inputs!$B$29,MAX(0,(Inputs!$B$3-100)*3)+Inputs!$B$28+Inputs!$B$29)))</f>
        <v/>
      </c>
      <c r="E1428">
        <f>INDEX(FactorTable!$B$2:$Y$301, MATCH(ROUND(MIN(300,MAX(1,D1428)),0), FactorTable!$A$2:$A$301,0), Skills!M23+1)</f>
        <v/>
      </c>
      <c r="F1428">
        <f>IF(Skills!N23=TRUE,(Skills!L23/10)*(E1428/1000),Skills!L23/10)+Skills!O23</f>
        <v/>
      </c>
      <c r="G1428">
        <f>Skills!G23*IF(Skills!H23&gt;0,Skills!I23/Skills!H23,1)</f>
        <v/>
      </c>
      <c r="H1428">
        <f>1-(1-Skills!J23/100)^Skills!K23</f>
        <v/>
      </c>
      <c r="I1428" t="inlineStr">
        <is>
          <t>1</t>
        </is>
      </c>
      <c r="J1428" t="inlineStr"/>
      <c r="K1428" t="inlineStr"/>
      <c r="L1428" t="inlineStr"/>
      <c r="M1428" t="inlineStr"/>
      <c r="N1428" t="inlineStr"/>
      <c r="O1428">
        <f>(1-Summary!$B$11)*T1428+Summary!$B$11*V1428</f>
        <v/>
      </c>
      <c r="P1428">
        <f>IF(B1448=0,0,O1428/B1448)</f>
        <v/>
      </c>
      <c r="Q1428" t="n">
        <v>0</v>
      </c>
      <c r="R1428" t="n">
        <v>0</v>
      </c>
      <c r="S1428">
        <f>IFERROR(O1428/N1428,0)</f>
        <v/>
      </c>
      <c r="T1428" t="n">
        <v>0</v>
      </c>
      <c r="V1428" t="n">
        <v>0</v>
      </c>
    </row>
    <row r="1429">
      <c r="A1429">
        <f>Skills!A24</f>
        <v/>
      </c>
      <c r="B1429">
        <f>Skills!B24</f>
        <v/>
      </c>
      <c r="C1429">
        <f>Inputs!$B$3&gt;=43</f>
        <v/>
      </c>
      <c r="D1429">
        <f>IF(Skills!C24=1,60+Inputs!$B$25+Inputs!$B$29,IF(Skills!C24=2,90+Inputs!$B$26+Inputs!$B$29,IF(Skills!C24=3,120+Inputs!$B$27+Inputs!$B$29,MAX(0,(Inputs!$B$3-100)*3)+Inputs!$B$28+Inputs!$B$29)))</f>
        <v/>
      </c>
      <c r="E1429">
        <f>INDEX(FactorTable!$B$2:$Y$301, MATCH(ROUND(MIN(300,MAX(1,D1429)),0), FactorTable!$A$2:$A$301,0), Skills!M24+1)</f>
        <v/>
      </c>
      <c r="F1429">
        <f>IF(Skills!N24=TRUE,(Skills!L24/10)*(E1429/1000),Skills!L24/10)+Skills!O24</f>
        <v/>
      </c>
      <c r="G1429">
        <f>Skills!G24*IF(Skills!H24&gt;0,Skills!I24/Skills!H24,1)</f>
        <v/>
      </c>
      <c r="H1429">
        <f>1-(1-Skills!J24/100)^Skills!K24</f>
        <v/>
      </c>
      <c r="I1429" t="inlineStr">
        <is>
          <t>1</t>
        </is>
      </c>
      <c r="J1429" t="inlineStr"/>
      <c r="K1429" t="inlineStr"/>
      <c r="L1429" t="inlineStr"/>
      <c r="M1429" t="inlineStr"/>
      <c r="N1429" t="inlineStr"/>
      <c r="O1429">
        <f>(1-Summary!$B$11)*T1429+Summary!$B$11*V1429</f>
        <v/>
      </c>
      <c r="P1429">
        <f>IF(B1448=0,0,O1429/B1448)</f>
        <v/>
      </c>
      <c r="Q1429" t="n">
        <v>0</v>
      </c>
      <c r="R1429" t="n">
        <v>0</v>
      </c>
      <c r="S1429">
        <f>IFERROR(O1429/N1429,0)</f>
        <v/>
      </c>
      <c r="T1429" t="n">
        <v>0</v>
      </c>
      <c r="V1429" t="n">
        <v>0</v>
      </c>
    </row>
    <row r="1430">
      <c r="A1430">
        <f>Skills!A25</f>
        <v/>
      </c>
      <c r="B1430">
        <f>Skills!B25</f>
        <v/>
      </c>
      <c r="C1430">
        <f>Inputs!$B$3&gt;=75</f>
        <v/>
      </c>
      <c r="D1430">
        <f>IF(Skills!C25=1,60+Inputs!$B$25+Inputs!$B$29,IF(Skills!C25=2,90+Inputs!$B$26+Inputs!$B$29,IF(Skills!C25=3,120+Inputs!$B$27+Inputs!$B$29,MAX(0,(Inputs!$B$3-100)*3)+Inputs!$B$28+Inputs!$B$29)))</f>
        <v/>
      </c>
      <c r="E1430">
        <f>INDEX(FactorTable!$B$2:$Y$301, MATCH(ROUND(MIN(300,MAX(1,D1430)),0), FactorTable!$A$2:$A$301,0), Skills!M25+1)</f>
        <v/>
      </c>
      <c r="F1430">
        <f>IF(Skills!N25=TRUE,(Skills!L25/10)*(E1430/1000),Skills!L25/10)+Skills!O25</f>
        <v/>
      </c>
      <c r="G1430">
        <f>Skills!G25*IF(Skills!H25&gt;0,Skills!I25/Skills!H25,1)</f>
        <v/>
      </c>
      <c r="H1430">
        <f>1-(1-Skills!J25/100)^Skills!K25</f>
        <v/>
      </c>
      <c r="I1430" t="inlineStr">
        <is>
          <t>1</t>
        </is>
      </c>
      <c r="J1430" t="inlineStr"/>
      <c r="K1430" t="inlineStr"/>
      <c r="L1430" t="inlineStr"/>
      <c r="M1430" t="inlineStr"/>
      <c r="N1430" t="inlineStr"/>
      <c r="O1430">
        <f>(1-Summary!$B$11)*T1430+Summary!$B$11*V1430</f>
        <v/>
      </c>
      <c r="P1430">
        <f>IF(B1448=0,0,O1430/B1448)</f>
        <v/>
      </c>
      <c r="Q1430" t="n">
        <v>0</v>
      </c>
      <c r="R1430" t="n">
        <v>0</v>
      </c>
      <c r="S1430">
        <f>IFERROR(O1430/N1430,0)</f>
        <v/>
      </c>
      <c r="T1430" t="n">
        <v>0</v>
      </c>
      <c r="V1430" t="n">
        <v>0</v>
      </c>
    </row>
    <row r="1431">
      <c r="A1431">
        <f>Skills!A26</f>
        <v/>
      </c>
      <c r="B1431">
        <f>Skills!B26</f>
        <v/>
      </c>
      <c r="C1431">
        <f>Inputs!$B$3&gt;=125</f>
        <v/>
      </c>
      <c r="D1431">
        <f>IF(Skills!C26=1,60+Inputs!$B$25+Inputs!$B$29,IF(Skills!C26=2,90+Inputs!$B$26+Inputs!$B$29,IF(Skills!C26=3,120+Inputs!$B$27+Inputs!$B$29,MAX(0,(Inputs!$B$3-100)*3)+Inputs!$B$28+Inputs!$B$29)))</f>
        <v/>
      </c>
      <c r="E1431">
        <f>INDEX(FactorTable!$B$2:$Y$301, MATCH(ROUND(MIN(300,MAX(1,D1431)),0), FactorTable!$A$2:$A$301,0), Skills!M26+1)</f>
        <v/>
      </c>
      <c r="F1431">
        <f>IF(Skills!N26=TRUE,(Skills!L26/10)*(E1431/1000),Skills!L26/10)+Skills!O26</f>
        <v/>
      </c>
      <c r="G1431">
        <f>Skills!G26*IF(Skills!H26&gt;0,Skills!I26/Skills!H26,1)</f>
        <v/>
      </c>
      <c r="H1431">
        <f>1-(1-Skills!J26/100)^Skills!K26</f>
        <v/>
      </c>
      <c r="I1431" t="inlineStr">
        <is>
          <t>1</t>
        </is>
      </c>
      <c r="J1431" t="inlineStr"/>
      <c r="K1431" t="inlineStr"/>
      <c r="L1431" t="inlineStr"/>
      <c r="M1431" t="inlineStr"/>
      <c r="N1431" t="inlineStr"/>
      <c r="O1431">
        <f>(1-Summary!$B$11)*T1431+Summary!$B$11*V1431</f>
        <v/>
      </c>
      <c r="P1431">
        <f>IF(B1448=0,0,O1431/B1448)</f>
        <v/>
      </c>
      <c r="Q1431" t="n">
        <v>0</v>
      </c>
      <c r="R1431" t="n">
        <v>0</v>
      </c>
      <c r="S1431">
        <f>IFERROR(O1431/N1431,0)</f>
        <v/>
      </c>
      <c r="T1431" t="n">
        <v>0</v>
      </c>
      <c r="V1431" t="n">
        <v>0</v>
      </c>
    </row>
    <row r="1432">
      <c r="A1432">
        <f>Skills!A27</f>
        <v/>
      </c>
      <c r="B1432">
        <f>Skills!B27</f>
        <v/>
      </c>
      <c r="C1432">
        <f>Inputs!$B$3&gt;=125</f>
        <v/>
      </c>
      <c r="D1432">
        <f>IF(Skills!C27=1,60+Inputs!$B$25+Inputs!$B$29,IF(Skills!C27=2,90+Inputs!$B$26+Inputs!$B$29,IF(Skills!C27=3,120+Inputs!$B$27+Inputs!$B$29,MAX(0,(Inputs!$B$3-100)*3)+Inputs!$B$28+Inputs!$B$29)))</f>
        <v/>
      </c>
      <c r="E1432">
        <f>INDEX(FactorTable!$B$2:$Y$301, MATCH(ROUND(MIN(300,MAX(1,D1432)),0), FactorTable!$A$2:$A$301,0), Skills!M27+1)</f>
        <v/>
      </c>
      <c r="F1432">
        <f>IF(Skills!N27=TRUE,(Skills!L27/10)*(E1432/1000),Skills!L27/10)+Skills!O27</f>
        <v/>
      </c>
      <c r="G1432">
        <f>Skills!G27*IF(Skills!H27&gt;0,Skills!I27/Skills!H27,1)</f>
        <v/>
      </c>
      <c r="H1432">
        <f>1-(1-Skills!J27/100)^Skills!K27</f>
        <v/>
      </c>
      <c r="I1432" t="inlineStr">
        <is>
          <t>1</t>
        </is>
      </c>
      <c r="J1432" t="inlineStr"/>
      <c r="K1432" t="inlineStr"/>
      <c r="L1432" t="inlineStr"/>
      <c r="M1432" t="inlineStr"/>
      <c r="N1432" t="inlineStr"/>
      <c r="O1432">
        <f>(1-Summary!$B$11)*T1432+Summary!$B$11*V1432</f>
        <v/>
      </c>
      <c r="P1432">
        <f>IF(B1448=0,0,O1432/B1448)</f>
        <v/>
      </c>
      <c r="Q1432" t="n">
        <v>0</v>
      </c>
      <c r="R1432" t="n">
        <v>0</v>
      </c>
      <c r="S1432">
        <f>IFERROR(O1432/N1432,0)</f>
        <v/>
      </c>
      <c r="T1432" t="n">
        <v>0</v>
      </c>
      <c r="V1432" t="n">
        <v>0</v>
      </c>
    </row>
    <row r="1433">
      <c r="A1433">
        <f>Skills!A28</f>
        <v/>
      </c>
      <c r="B1433">
        <f>Skills!B28</f>
        <v/>
      </c>
      <c r="C1433">
        <f>Inputs!$B$3&gt;=120</f>
        <v/>
      </c>
      <c r="D1433">
        <f>IF(Skills!C28=1,60+Inputs!$B$25+Inputs!$B$29,IF(Skills!C28=2,90+Inputs!$B$26+Inputs!$B$29,IF(Skills!C28=3,120+Inputs!$B$27+Inputs!$B$29,MAX(0,(Inputs!$B$3-100)*3)+Inputs!$B$28+Inputs!$B$29)))</f>
        <v/>
      </c>
      <c r="E1433">
        <f>INDEX(FactorTable!$B$2:$Y$301, MATCH(ROUND(MIN(300,MAX(1,D1433)),0), FactorTable!$A$2:$A$301,0), Skills!M28+1)</f>
        <v/>
      </c>
      <c r="F1433">
        <f>IF(Skills!N28=TRUE,(Skills!L28/10)*(E1433/1000),Skills!L28/10)+Skills!O28</f>
        <v/>
      </c>
      <c r="G1433">
        <f>Skills!G28*IF(Skills!H28&gt;0,Skills!I28/Skills!H28,1)</f>
        <v/>
      </c>
      <c r="H1433">
        <f>1-(1-Skills!J28/100)^Skills!K28</f>
        <v/>
      </c>
      <c r="I1433" t="inlineStr">
        <is>
          <t>1</t>
        </is>
      </c>
      <c r="J1433" t="inlineStr"/>
      <c r="K1433" t="inlineStr"/>
      <c r="L1433" t="inlineStr"/>
      <c r="M1433" t="inlineStr"/>
      <c r="N1433" t="inlineStr"/>
      <c r="O1433">
        <f>(1-Summary!$B$11)*T1433+Summary!$B$11*V1433</f>
        <v/>
      </c>
      <c r="P1433">
        <f>IF(B1448=0,0,O1433/B1448)</f>
        <v/>
      </c>
      <c r="Q1433" t="n">
        <v>0</v>
      </c>
      <c r="R1433" t="n">
        <v>0</v>
      </c>
      <c r="S1433">
        <f>IFERROR(O1433/N1433,0)</f>
        <v/>
      </c>
      <c r="T1433" t="n">
        <v>0</v>
      </c>
      <c r="V1433" t="n">
        <v>0</v>
      </c>
    </row>
    <row r="1434">
      <c r="A1434">
        <f>Skills!A29</f>
        <v/>
      </c>
      <c r="B1434">
        <f>Skills!B29</f>
        <v/>
      </c>
      <c r="C1434">
        <f>Inputs!$B$3&gt;=120</f>
        <v/>
      </c>
      <c r="D1434">
        <f>IF(Skills!C29=1,60+Inputs!$B$25+Inputs!$B$29,IF(Skills!C29=2,90+Inputs!$B$26+Inputs!$B$29,IF(Skills!C29=3,120+Inputs!$B$27+Inputs!$B$29,MAX(0,(Inputs!$B$3-100)*3)+Inputs!$B$28+Inputs!$B$29)))</f>
        <v/>
      </c>
      <c r="E1434">
        <f>INDEX(FactorTable!$B$2:$Y$301, MATCH(ROUND(MIN(300,MAX(1,D1434)),0), FactorTable!$A$2:$A$301,0), Skills!M29+1)</f>
        <v/>
      </c>
      <c r="F1434">
        <f>IF(Skills!N29=TRUE,(Skills!L29/10)*(E1434/1000),Skills!L29/10)+Skills!O29</f>
        <v/>
      </c>
      <c r="G1434">
        <f>Skills!G29*IF(Skills!H29&gt;0,Skills!I29/Skills!H29,1)</f>
        <v/>
      </c>
      <c r="H1434">
        <f>1-(1-Skills!J29/100)^Skills!K29</f>
        <v/>
      </c>
      <c r="I1434" t="inlineStr">
        <is>
          <t>1</t>
        </is>
      </c>
      <c r="J1434" t="inlineStr"/>
      <c r="K1434" t="inlineStr"/>
      <c r="L1434" t="inlineStr"/>
      <c r="M1434" t="inlineStr"/>
      <c r="N1434" t="inlineStr"/>
      <c r="O1434">
        <f>(1-Summary!$B$11)*T1434+Summary!$B$11*V1434</f>
        <v/>
      </c>
      <c r="P1434">
        <f>IF(B1448=0,0,O1434/B1448)</f>
        <v/>
      </c>
      <c r="Q1434" t="n">
        <v>0</v>
      </c>
      <c r="R1434" t="n">
        <v>0</v>
      </c>
      <c r="S1434">
        <f>IFERROR(O1434/N1434,0)</f>
        <v/>
      </c>
      <c r="T1434" t="n">
        <v>0</v>
      </c>
      <c r="V1434" t="n">
        <v>0</v>
      </c>
    </row>
    <row r="1435">
      <c r="A1435">
        <f>Skills!A30</f>
        <v/>
      </c>
      <c r="B1435">
        <f>Skills!B30</f>
        <v/>
      </c>
      <c r="C1435">
        <f>Inputs!$B$3&gt;=45</f>
        <v/>
      </c>
      <c r="D1435">
        <f>IF(Skills!C30=1,60+Inputs!$B$25+Inputs!$B$29,IF(Skills!C30=2,90+Inputs!$B$26+Inputs!$B$29,IF(Skills!C30=3,120+Inputs!$B$27+Inputs!$B$29,MAX(0,(Inputs!$B$3-100)*3)+Inputs!$B$28+Inputs!$B$29)))</f>
        <v/>
      </c>
      <c r="E1435">
        <f>INDEX(FactorTable!$B$2:$Y$301, MATCH(ROUND(MIN(300,MAX(1,D1435)),0), FactorTable!$A$2:$A$301,0), Skills!M30+1)</f>
        <v/>
      </c>
      <c r="F1435">
        <f>IF(Skills!N30=TRUE,(Skills!L30/10)*(E1435/1000),Skills!L30/10)+Skills!O30</f>
        <v/>
      </c>
      <c r="G1435">
        <f>Skills!G30*IF(Skills!H30&gt;0,Skills!I30/Skills!H30,1)</f>
        <v/>
      </c>
      <c r="H1435">
        <f>1-(1-Skills!J30/100)^Skills!K30</f>
        <v/>
      </c>
      <c r="I1435" t="inlineStr">
        <is>
          <t>1</t>
        </is>
      </c>
      <c r="J1435" t="inlineStr"/>
      <c r="K1435" t="inlineStr"/>
      <c r="L1435" t="inlineStr"/>
      <c r="M1435" t="inlineStr"/>
      <c r="N1435" t="inlineStr"/>
      <c r="O1435">
        <f>(1-Summary!$B$11)*T1435+Summary!$B$11*V1435</f>
        <v/>
      </c>
      <c r="P1435">
        <f>IF(B1448=0,0,O1435/B1448)</f>
        <v/>
      </c>
      <c r="Q1435" t="n">
        <v>0</v>
      </c>
      <c r="R1435" t="n">
        <v>0</v>
      </c>
      <c r="S1435">
        <f>IFERROR(O1435/N1435,0)</f>
        <v/>
      </c>
      <c r="T1435" t="n">
        <v>0</v>
      </c>
      <c r="V1435" t="n">
        <v>0</v>
      </c>
    </row>
    <row r="1437">
      <c r="A1437" t="inlineStr">
        <is>
          <t>Attack% Bucket Multiplier</t>
        </is>
      </c>
      <c r="B1437">
        <f>(1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8">
      <c r="A1438" t="inlineStr">
        <is>
          <t>Global Crit Rate Bonus %</t>
        </is>
      </c>
      <c r="B1438">
        <f>(C1421=TRUE)*20*IF(AND(Inputs!$B$38&lt;&gt;"pvp",Inputs!$B$43&gt;0),(((R1421-1)*(Skills!T16*(1+Inputs!$B$34/100))+MIN((Skills!T16*(1+Inputs!$B$34/100)),MAX(0,Inputs!$B$43-((R1421-1)*Skills!D16))))/Inputs!$B$43),IF(Inputs!$B$38="pvp",MIN((Skills!T16*(1+Inputs!$B$34/100)),15)/15,(Skills!T16*(1+Inputs!$B$34/100))/Skills!D16))</f>
        <v/>
      </c>
    </row>
    <row r="1439">
      <c r="A1439" t="inlineStr">
        <is>
          <t>Attack Speed Buff Bonus %</t>
        </is>
      </c>
      <c r="B1439">
        <f>((C1424=TRUE)*F1424*IF(AND(Inputs!$B$38&lt;&gt;"pvp",Inputs!$B$43&gt;0),(((R1424-1)*(Skills!T19*(1+Inputs!$B$34/100))+MIN((Skills!T19*(1+Inputs!$B$34/100)),MAX(0,Inputs!$B$43-((R1424-1)*Skills!D19))))/Inputs!$B$43),IF(Inputs!$B$38="pvp",MIN((Skills!T19*(1+Inputs!$B$34/100)),15)/15,(Skills!T19*(1+Inputs!$B$34/100))/Skills!D19)))</f>
        <v/>
      </c>
    </row>
    <row r="1440">
      <c r="A1440" t="inlineStr">
        <is>
          <t>Actions Per Second</t>
        </is>
      </c>
      <c r="B1440">
        <f>1+MIN(150,150*(1-(1-(Inputs!$B$11+((C1426=TRUE)*(F1426-Calc!F21))+((C1427=TRUE)*(F1427-Calc!F22)))/150)*(1-B1439/150)))/100</f>
        <v/>
      </c>
    </row>
    <row r="1441">
      <c r="A1441" t="inlineStr">
        <is>
          <t>Skill + Buff Cast Rate</t>
        </is>
      </c>
      <c r="B1441">
        <f>IF(AND(Inputs!$B$38&lt;&gt;"pvp",Inputs!$B$43&gt;0),SUMPRODUCT((Skills!E2:E30=TRUE)*(C1407:C1435=TRUE)*R1407:R1435*Skills!F2:F30)/Inputs!$B$43,SUMPRODUCT((Skills!E2:E30=TRUE)*(C1407:C1435=TRUE)*Q1407:Q1435*Skills!F2:F30))</f>
        <v/>
      </c>
    </row>
    <row r="1442">
      <c r="A1442" t="inlineStr">
        <is>
          <t>Arrow Stream Casts Per Second</t>
        </is>
      </c>
      <c r="B1442">
        <f>MAX(0,B1440-B1441)</f>
        <v/>
      </c>
    </row>
    <row r="1443">
      <c r="A1443" t="inlineStr">
        <is>
          <t>Global Critical Damage Bonus % (Sharp Eyes + Concentration)</t>
        </is>
      </c>
      <c r="B1443">
        <f>(C1421=TRUE)*F1421*IF(AND(Inputs!$B$38&lt;&gt;"pvp",Inputs!$B$43&gt;0),(((R1421-1)*(Skills!T16*(1+Inputs!$B$34/100))+MIN((Skills!T16*(1+Inputs!$B$34/100)),MAX(0,Inputs!$B$43-((R1421-1)*Skills!D16))))/Inputs!$B$43),IF(Inputs!$B$38="pvp",MIN((Skills!T16*(1+Inputs!$B$34/100)),15)/15,(Skills!T16*(1+Inputs!$B$34/100))/Skills!D16))+(C1422=TRUE)*30</f>
        <v/>
      </c>
    </row>
    <row r="1444">
      <c r="A1444" t="inlineStr">
        <is>
          <t>Global Final Damage Bonus % (Mortal Blow)</t>
        </is>
      </c>
      <c r="B1444">
        <f>(C1423=TRUE)*F1423</f>
        <v/>
      </c>
    </row>
    <row r="1445">
      <c r="A1445" t="inlineStr">
        <is>
          <t>Buff-Casting Startup Delay (s, fixed-duration only)</t>
        </is>
      </c>
      <c r="B1445">
        <f>IF(AND(Inputs!$B$38&lt;&gt;"pvp",Inputs!$B$43&gt;0),SUMPRODUCT((Skills!T2:T30&gt;0)*(Skills!E2:E30=TRUE)*(C1407:C1435=TRUE))/B1440,0)</f>
        <v/>
      </c>
    </row>
    <row r="1446">
      <c r="A1446" t="inlineStr">
        <is>
          <t>Boss-Only Total DPS (this block's swept value)</t>
        </is>
      </c>
      <c r="B1446">
        <f>SUM(T1407:T1435)</f>
        <v/>
      </c>
    </row>
    <row r="1447">
      <c r="A1447" t="inlineStr">
        <is>
          <t>Normal-Only Total DPS (this block's swept value)</t>
        </is>
      </c>
      <c r="B1447">
        <f>SUM(V1407:V1435)</f>
        <v/>
      </c>
    </row>
    <row r="1448">
      <c r="A1448" s="6" t="inlineStr">
        <is>
          <t>TOTAL DPS</t>
        </is>
      </c>
      <c r="B1448" s="6">
        <f>SUM(O1407:O1435)</f>
        <v/>
      </c>
    </row>
    <row r="1451">
      <c r="A1451" s="6" t="inlineStr">
        <is>
          <t>Stat: Rainbow-colored Snail Shell (Equip)</t>
        </is>
      </c>
    </row>
    <row r="1452">
      <c r="A1452" s="5" t="inlineStr">
        <is>
          <t>Key</t>
        </is>
      </c>
      <c r="B1452" s="5" t="inlineStr">
        <is>
          <t>Name</t>
        </is>
      </c>
      <c r="C1452" s="5" t="inlineStr">
        <is>
          <t>Unlocked</t>
        </is>
      </c>
      <c r="D1452" s="5" t="inlineStr">
        <is>
          <t>InputLevel</t>
        </is>
      </c>
      <c r="E1452" s="5" t="inlineStr">
        <is>
          <t>Factor</t>
        </is>
      </c>
      <c r="F1452" s="5" t="inlineStr">
        <is>
          <t>CoefficientPercent</t>
        </is>
      </c>
      <c r="G1452" s="5" t="inlineStr">
        <is>
          <t>EffectiveHits</t>
        </is>
      </c>
      <c r="H1452" s="5" t="inlineStr">
        <is>
          <t>ProcProbability</t>
        </is>
      </c>
      <c r="I1452" s="5" t="inlineStr">
        <is>
          <t>MapleHeroMultiplier</t>
        </is>
      </c>
      <c r="J1452" s="5" t="inlineStr">
        <is>
          <t>BaseDamage</t>
        </is>
      </c>
      <c r="K1452" s="5" t="inlineStr">
        <is>
          <t>BaseHitDamage</t>
        </is>
      </c>
      <c r="L1452" s="5" t="inlineStr">
        <is>
          <t>NonCritAvg</t>
        </is>
      </c>
      <c r="M1452" s="5" t="inlineStr">
        <is>
          <t>CritAvg</t>
        </is>
      </c>
      <c r="N1452" s="5" t="inlineStr">
        <is>
          <t>ExpectedDamage(perHit)</t>
        </is>
      </c>
      <c r="O1452" s="5" t="inlineStr">
        <is>
          <t>DPS</t>
        </is>
      </c>
      <c r="P1452" s="5" t="inlineStr">
        <is>
          <t>% of Total</t>
        </is>
      </c>
      <c r="Q1452" s="5" t="inlineStr">
        <is>
          <t>InvCooldown</t>
        </is>
      </c>
      <c r="R1452" s="5" t="inlineStr">
        <is>
          <t>CastsInFight</t>
        </is>
      </c>
      <c r="S1452" s="5" t="inlineStr">
        <is>
          <t>HitRate(perSec)</t>
        </is>
      </c>
      <c r="U1452" t="inlineStr">
        <is>
          <t>helpers</t>
        </is>
      </c>
    </row>
    <row r="1453">
      <c r="A1453">
        <f>Skills!A2</f>
        <v/>
      </c>
      <c r="B1453">
        <f>Skills!B2</f>
        <v/>
      </c>
      <c r="C1453">
        <f>Inputs!$B$3&gt;=100</f>
        <v/>
      </c>
      <c r="D1453" t="inlineStr"/>
      <c r="E1453" t="inlineStr"/>
      <c r="F1453">
        <f>U1455+Skills!O2</f>
        <v/>
      </c>
      <c r="G1453">
        <f>Skills!G2*IF(Skills!H2&gt;0,Skills!I2/Skills!H2,1)</f>
        <v/>
      </c>
      <c r="H1453">
        <f>1-(1-Skills!J2/100)^Skills!K2</f>
        <v/>
      </c>
      <c r="I1453" t="inlineStr">
        <is>
          <t>1</t>
        </is>
      </c>
      <c r="J1453">
        <f>((Inputs!$B$6*(1+Inputs!$B$7/100))+(((Inputs!$B$12*(1+Inputs!$B$13/100))-(Inputs!$B$12*(1+Inputs!$B$13/100)))+0.25*(Inputs!$B$14-Inputs!$B$14))*(1+Inputs!$B$7/100))*(F1453/100)</f>
        <v/>
      </c>
      <c r="K1453">
        <f>J1453*(1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1475=TRUE)*(F1475-Calc!F24)),(Inputs!$B$23+((C1480=TRUE)*(F1480-Calc!F29))+(IF(ArtifactsInput!$M$15,CHOOSE(ArtifactsInput!$N$15+1,25,30,35,40,45,50)/100*(Inputs!$B$11-Inputs!$B$11),0))))/100+(Inputs!$B$23+((C1480=TRUE)*(F1480-Calc!F29))+(IF(ArtifactsInput!$M$15,CHOOSE(ArtifactsInput!$N$15+1,25,30,35,40,45,50)/100*(Inputs!$B$11-Inputs!$B$11),0)))/100)/2</f>
        <v/>
      </c>
      <c r="M1453">
        <f>L1453*(1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3">
        <f>L1453*(1-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1453*(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3">
        <f>(1-Summary!$B$11)*T1453+Summary!$B$11*V1453</f>
        <v/>
      </c>
      <c r="P1453">
        <f>IF(B1494=0,0,O1453/B1494)</f>
        <v/>
      </c>
      <c r="Q1453" t="n">
        <v>0</v>
      </c>
      <c r="R1453" t="n">
        <v>0</v>
      </c>
      <c r="S1453">
        <f>IFERROR(O1453/N1453,0)</f>
        <v/>
      </c>
      <c r="T1453">
        <f>IF(C1453,(Skills!G2*N1453*B1488)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1453*(1-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1453*(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1453*(1-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1453*(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3">
        <f>MAX(0,(Inputs!$B$3-100)*3)+Inputs!$B$28+Inputs!$B$29</f>
        <v/>
      </c>
      <c r="V1453">
        <f>IF(C1453,(Skills!G2*N1453*B1488)*IF(Inputs!$B$38="pvp",1,(1+(Inputs!$B$21+Skills!Q2+(IF(ArtifactsInput!$M$33,CHOOSE(ArtifactsInput!$N$33+1,30,36,42,48,54,60),0))+(IF(AND(ArtifactsInput!$M$35,Inputs!$B$4&lt;&gt;"Chapter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Skills!A3</f>
        <v/>
      </c>
      <c r="B1454">
        <f>Skills!B3</f>
        <v/>
      </c>
      <c r="C1454">
        <f>Inputs!$B$3&gt;=50</f>
        <v/>
      </c>
      <c r="D1454">
        <f>IF(Skills!C3=1,60+Inputs!$B$25+Inputs!$B$29,IF(Skills!C3=2,90+Inputs!$B$26+Inputs!$B$29,IF(Skills!C3=3,120+Inputs!$B$27+Inputs!$B$29,MAX(0,(Inputs!$B$3-100)*3)+Inputs!$B$28+Inputs!$B$29)))</f>
        <v/>
      </c>
      <c r="E1454">
        <f>INDEX(FactorTable!$B$2:$Y$301, MATCH(ROUND(MIN(300,MAX(1,D1454)),0), FactorTable!$A$2:$A$301,0), Skills!M3+1)</f>
        <v/>
      </c>
      <c r="F1454">
        <f>IF(Skills!N3=TRUE,(Skills!L3/10)*(E1454/1000),Skills!L3/10)+Skills!O3</f>
        <v/>
      </c>
      <c r="G1454" t="inlineStr"/>
      <c r="H1454" t="inlineStr"/>
      <c r="I1454" t="inlineStr">
        <is>
          <t>1</t>
        </is>
      </c>
      <c r="J1454" t="inlineStr"/>
      <c r="K1454" t="inlineStr"/>
      <c r="L1454" t="inlineStr"/>
      <c r="M1454" t="inlineStr"/>
      <c r="N1454" t="inlineStr"/>
      <c r="O1454" t="inlineStr"/>
      <c r="P1454" t="inlineStr"/>
      <c r="Q1454" t="inlineStr"/>
      <c r="R1454" t="inlineStr"/>
      <c r="S1454" t="inlineStr"/>
      <c r="T1454" t="inlineStr"/>
      <c r="U1454">
        <f>INDEX(FactorTable!$B$2:$Y$301, MATCH(ROUND(MIN(300,MAX(1,U1453)),0), FactorTable!$A$2:$A$301,0), 22)</f>
        <v/>
      </c>
      <c r="V1454" t="inlineStr"/>
    </row>
    <row r="1455">
      <c r="A1455">
        <f>Skills!A4</f>
        <v/>
      </c>
      <c r="B1455">
        <f>Skills!B4</f>
        <v/>
      </c>
      <c r="C1455">
        <f>Inputs!$B$3&gt;=105</f>
        <v/>
      </c>
      <c r="D1455">
        <f>IF(Skills!C4=1,60+Inputs!$B$25+Inputs!$B$29,IF(Skills!C4=2,90+Inputs!$B$26+Inputs!$B$29,IF(Skills!C4=3,120+Inputs!$B$27+Inputs!$B$29,MAX(0,(Inputs!$B$3-100)*3)+Inputs!$B$28+Inputs!$B$29)))</f>
        <v/>
      </c>
      <c r="E1455">
        <f>INDEX(FactorTable!$B$2:$Y$301, MATCH(ROUND(MIN(300,MAX(1,D1455)),0), FactorTable!$A$2:$A$301,0), Skills!M4+1)</f>
        <v/>
      </c>
      <c r="F1455">
        <f>IF(Skills!N4=TRUE,(Skills!L4/10)*(E1455/1000),Skills!L4/10)+Skills!O4</f>
        <v/>
      </c>
      <c r="G1455" t="inlineStr"/>
      <c r="H1455" t="inlineStr"/>
      <c r="I1455" t="inlineStr">
        <is>
          <t>1</t>
        </is>
      </c>
      <c r="J1455" t="inlineStr"/>
      <c r="K1455" t="inlineStr"/>
      <c r="L1455" t="inlineStr"/>
      <c r="M1455" t="inlineStr"/>
      <c r="N1455" t="inlineStr"/>
      <c r="O1455" t="inlineStr"/>
      <c r="P1455" t="inlineStr"/>
      <c r="Q1455" t="inlineStr"/>
      <c r="R1455" t="inlineStr"/>
      <c r="S1455" t="inlineStr"/>
      <c r="T1455" t="inlineStr"/>
      <c r="U1455">
        <f>290*U1454/1000</f>
        <v/>
      </c>
      <c r="V1455" t="inlineStr"/>
    </row>
    <row r="1456">
      <c r="A1456">
        <f>Skills!A5</f>
        <v/>
      </c>
      <c r="B1456">
        <f>Skills!B5</f>
        <v/>
      </c>
      <c r="C1456">
        <f>Inputs!$B$3&gt;=35</f>
        <v/>
      </c>
      <c r="D1456">
        <f>IF(Skills!C5=1,60+Inputs!$B$25+Inputs!$B$29,IF(Skills!C5=2,90+Inputs!$B$26+Inputs!$B$29,IF(Skills!C5=3,120+Inputs!$B$27+Inputs!$B$29,MAX(0,(Inputs!$B$3-100)*3)+Inputs!$B$28+Inputs!$B$29)))</f>
        <v/>
      </c>
      <c r="E1456">
        <f>INDEX(FactorTable!$B$2:$Y$301, MATCH(ROUND(MIN(300,MAX(1,D1456)),0), FactorTable!$A$2:$A$301,0), Skills!M5+1)</f>
        <v/>
      </c>
      <c r="F1456">
        <f>IF(Skills!N5=TRUE,(Skills!L5/10)*(E1456/1000),Skills!L5/10)+Skills!O5</f>
        <v/>
      </c>
      <c r="G1456">
        <f>Skills!G5*IF(Skills!H5&gt;0,Skills!I5/Skills!H5,1)</f>
        <v/>
      </c>
      <c r="H1456">
        <f>1-(1-Skills!J5/100)^Skills!K5</f>
        <v/>
      </c>
      <c r="I1456" t="inlineStr">
        <is>
          <t>1</t>
        </is>
      </c>
      <c r="J1456">
        <f>((Inputs!$B$6*(1+Inputs!$B$7/100))+(((Inputs!$B$12*(1+Inputs!$B$13/100))-(Inputs!$B$12*(1+Inputs!$B$13/100)))+0.25*(Inputs!$B$14-Inputs!$B$14))*(1+Inputs!$B$7/100))*(F1456/100)</f>
        <v/>
      </c>
      <c r="K1456">
        <f>J1456*(1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1461=TRUE,F1461,0)/100)*(1+(IF(Skills!A5="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1475=TRUE)*(F1475-Calc!F24)),(Inputs!$B$23+((C1480=TRUE)*(F1480-Calc!F29))+(IF(ArtifactsInput!$M$15,CHOOSE(ArtifactsInput!$N$15+1,25,30,35,40,45,50)/100*(Inputs!$B$11-Inputs!$B$11),0))))/100+(Inputs!$B$23+((C1480=TRUE)*(F1480-Calc!F29))+(IF(ArtifactsInput!$M$15,CHOOSE(ArtifactsInput!$N$15+1,25,30,35,40,45,50)/100*(Inputs!$B$11-Inputs!$B$11),0)))/100)/2</f>
        <v/>
      </c>
      <c r="M1456">
        <f>L1456*(1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6">
        <f>L1456*(1-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1456*(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6">
        <f>(1-Summary!$B$11)*T1456+Summary!$B$11*V1456</f>
        <v/>
      </c>
      <c r="P1456">
        <f>IF(B1494=0,0,O1456/B1494)</f>
        <v/>
      </c>
      <c r="Q1456">
        <f>IFERROR(1/(IF(Inputs!$B$38="pvp",15,MAX(0.1,Skills!D5-IF(Skills!E5=TRUE,Inputs!$B$32,0)))*(1-IF(AND(ArtifactsInput!$M$27,Inputs!$B$4="Chapter Hunt"),CHOOSE(ArtifactsInput!$N$27+1,20,24,28,32,36,40),0)/100)),0)</f>
        <v/>
      </c>
      <c r="R1456">
        <f>IF(AND(Inputs!$B$38&lt;&gt;"pvp",Inputs!$B$43&gt;0),IF(MAX(0,Inputs!$B$43-B1491)&lt;=0,0,(INT(MAX(0,Inputs!$B$43-B1491)/(IF(Inputs!$B$38="pvp",15,MAX(0.1,Skills!D5-IF(Skills!E5=TRUE,Inputs!$B$32,0)))*(1-IF(AND(ArtifactsInput!$M$27,Inputs!$B$4="Chapter Hunt"),CHOOSE(ArtifactsInput!$N$27+1,20,24,28,32,36,40),0)/100)))+1)),0)</f>
        <v/>
      </c>
      <c r="S1456">
        <f>IFERROR(O1456/N1456,0)</f>
        <v/>
      </c>
      <c r="T1456">
        <f>IF(C1456,(H1456*N1456*IF(AND(Inputs!$B$38&lt;&gt;"pvp",Inputs!$B$43&gt;0),((Skills!G5*((R1456-1)*IF(Skills!H5&gt;0,Skills!I5/Skills!H5,1)+IF(Skills!H5&gt;0,MIN(Skills!I5,MAX(0,MAX(0,Inputs!$B$43-B1491)-((R1456-1)*(IF(Inputs!$B$38="pvp",15,MAX(0.1,Skills!D5-IF(Skills!E5=TRUE,Inputs!$B$32,0)))*(1-IF(AND(ArtifactsInput!$M$27,Inputs!$B$4="Chapter Hunt"),CHOOSE(ArtifactsInput!$N$27+1,20,24,28,32,36,40),0)/100)))))/Skills!H5,1)))/Inputs!$B$43),G1456*Q1456)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1456*(1-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1456*(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1456*(1-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1456*(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5*((R1456-1)*IF(Skills!H5&gt;0,Skills!I5/Skills!H5,1)+IF(Skills!H5&gt;0,MIN(Skills!I5,MAX(0,MAX(0,Inputs!$B$43-B1491)-((R1456-1)*(IF(Inputs!$B$38="pvp",15,MAX(0.1,Skills!D5-IF(Skills!E5=TRUE,Inputs!$B$32,0)))*(1-IF(AND(ArtifactsInput!$M$27,Inputs!$B$4="Chapter Hunt"),CHOOSE(ArtifactsInput!$N$27+1,20,24,28,32,36,40),0)/100)))))/Skills!H5,1)))/Inputs!$B$43),G1456*Q1456))*IF(Inputs!$B$38="pvp",1,(1+(Inputs!$B$21+Skills!Q5+(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Skills!A6</f>
        <v/>
      </c>
      <c r="B1457">
        <f>Skills!B6</f>
        <v/>
      </c>
      <c r="C1457">
        <f>Inputs!$B$3&gt;=40</f>
        <v/>
      </c>
      <c r="D1457">
        <f>IF(Skills!C6=1,60+Inputs!$B$25+Inputs!$B$29,IF(Skills!C6=2,90+Inputs!$B$26+Inputs!$B$29,IF(Skills!C6=3,120+Inputs!$B$27+Inputs!$B$29,MAX(0,(Inputs!$B$3-100)*3)+Inputs!$B$28+Inputs!$B$29)))</f>
        <v/>
      </c>
      <c r="E1457">
        <f>INDEX(FactorTable!$B$2:$Y$301, MATCH(ROUND(MIN(300,MAX(1,D1457)),0), FactorTable!$A$2:$A$301,0), Skills!M6+1)</f>
        <v/>
      </c>
      <c r="F1457">
        <f>IF(Skills!N6=TRUE,(Skills!L6/10)*(E1457/1000),Skills!L6/10)+Skills!O6</f>
        <v/>
      </c>
      <c r="G1457">
        <f>Skills!G6*IF(Skills!H6&gt;0,Skills!I6/Skills!H6,1)</f>
        <v/>
      </c>
      <c r="H1457">
        <f>1-(1-Skills!J6/100)^Skills!K6</f>
        <v/>
      </c>
      <c r="I1457" t="inlineStr">
        <is>
          <t>1</t>
        </is>
      </c>
      <c r="J1457">
        <f>((Inputs!$B$6*(1+Inputs!$B$7/100))+(((Inputs!$B$12*(1+Inputs!$B$13/100))-(Inputs!$B$12*(1+Inputs!$B$13/100)))+0.25*(Inputs!$B$14-Inputs!$B$14))*(1+Inputs!$B$7/100))*(F1457/100)</f>
        <v/>
      </c>
      <c r="K1457">
        <f>J1457*(1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1458=TRUE,F1458,0)/100)*(1+(IF(Skills!A6="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1475=TRUE)*(F1475-Calc!F24)),(Inputs!$B$23+((C1480=TRUE)*(F1480-Calc!F29))+(IF(ArtifactsInput!$M$15,CHOOSE(ArtifactsInput!$N$15+1,25,30,35,40,45,50)/100*(Inputs!$B$11-Inputs!$B$11),0))))/100+(Inputs!$B$23+((C1480=TRUE)*(F1480-Calc!F29))+(IF(ArtifactsInput!$M$15,CHOOSE(ArtifactsInput!$N$15+1,25,30,35,40,45,50)/100*(Inputs!$B$11-Inputs!$B$11),0)))/100)/2</f>
        <v/>
      </c>
      <c r="M1457">
        <f>L1457*(1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7">
        <f>L1457*(1-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1457*(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7">
        <f>(1-Summary!$B$11)*T1457+Summary!$B$11*V1457</f>
        <v/>
      </c>
      <c r="P1457">
        <f>IF(B1494=0,0,O1457/B1494)</f>
        <v/>
      </c>
      <c r="Q1457">
        <f>IFERROR(1/(IF(Inputs!$B$38="pvp",15,MAX(0.1,Skills!D6-IF(Skills!E6=TRUE,Inputs!$B$32,0)))*(1-IF(AND(ArtifactsInput!$M$27,Inputs!$B$4="Chapter Hunt"),CHOOSE(ArtifactsInput!$N$27+1,20,24,28,32,36,40),0)/100)),0)</f>
        <v/>
      </c>
      <c r="R1457">
        <f>IF(AND(Inputs!$B$38&lt;&gt;"pvp",Inputs!$B$43&gt;0),IF(MAX(0,Inputs!$B$43-B1491)&lt;=0,0,(INT(MAX(0,Inputs!$B$43-B1491)/(IF(Inputs!$B$38="pvp",15,MAX(0.1,Skills!D6-IF(Skills!E6=TRUE,Inputs!$B$32,0)))*(1-IF(AND(ArtifactsInput!$M$27,Inputs!$B$4="Chapter Hunt"),CHOOSE(ArtifactsInput!$N$27+1,20,24,28,32,36,40),0)/100)))+1)),0)</f>
        <v/>
      </c>
      <c r="S1457">
        <f>IFERROR(O1457/N1457,0)</f>
        <v/>
      </c>
      <c r="T1457">
        <f>IF(C1457,(H1457*N1457*IF(AND(Inputs!$B$38&lt;&gt;"pvp",Inputs!$B$43&gt;0),((Skills!G6*((R1457-1)*IF(Skills!H6&gt;0,Skills!I6/Skills!H6,1)+IF(Skills!H6&gt;0,MIN(Skills!I6,MAX(0,MAX(0,Inputs!$B$43-B1491)-((R1457-1)*(IF(Inputs!$B$38="pvp",15,MAX(0.1,Skills!D6-IF(Skills!E6=TRUE,Inputs!$B$32,0)))*(1-IF(AND(ArtifactsInput!$M$27,Inputs!$B$4="Chapter Hunt"),CHOOSE(ArtifactsInput!$N$27+1,20,24,28,32,36,40),0)/100)))))/Skills!H6,1)))/Inputs!$B$43),G1457*Q1457)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1457*(1-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1457*(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1457*(1-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1457*(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6*((R1457-1)*IF(Skills!H6&gt;0,Skills!I6/Skills!H6,1)+IF(Skills!H6&gt;0,MIN(Skills!I6,MAX(0,MAX(0,Inputs!$B$43-B1491)-((R1457-1)*(IF(Inputs!$B$38="pvp",15,MAX(0.1,Skills!D6-IF(Skills!E6=TRUE,Inputs!$B$32,0)))*(1-IF(AND(ArtifactsInput!$M$27,Inputs!$B$4="Chapter Hunt"),CHOOSE(ArtifactsInput!$N$27+1,20,24,28,32,36,40),0)/100)))))/Skills!H6,1)))/Inputs!$B$43),G1457*Q1457))*IF(Inputs!$B$38="pvp",1,(1+(Inputs!$B$21+Skills!Q6+(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Skills!A7</f>
        <v/>
      </c>
      <c r="B1458">
        <f>Skills!B7</f>
        <v/>
      </c>
      <c r="C1458">
        <f>Inputs!$B$3&gt;=107</f>
        <v/>
      </c>
      <c r="D1458">
        <f>IF(Skills!C7=1,60+Inputs!$B$25+Inputs!$B$29,IF(Skills!C7=2,90+Inputs!$B$26+Inputs!$B$29,IF(Skills!C7=3,120+Inputs!$B$27+Inputs!$B$29,MAX(0,(Inputs!$B$3-100)*3)+Inputs!$B$28+Inputs!$B$29)))</f>
        <v/>
      </c>
      <c r="E1458">
        <f>INDEX(FactorTable!$B$2:$Y$301, MATCH(ROUND(MIN(300,MAX(1,D1458)),0), FactorTable!$A$2:$A$301,0), Skills!M7+1)</f>
        <v/>
      </c>
      <c r="F1458">
        <f>IF(Skills!N7=TRUE,(Skills!L7/10)*(E1458/1000),Skills!L7/10)+Skills!O7</f>
        <v/>
      </c>
      <c r="G1458" t="inlineStr"/>
      <c r="H1458" t="inlineStr"/>
      <c r="I1458" t="inlineStr">
        <is>
          <t>1</t>
        </is>
      </c>
      <c r="J1458" t="inlineStr"/>
      <c r="K1458" t="inlineStr"/>
      <c r="L1458" t="inlineStr"/>
      <c r="M1458" t="inlineStr"/>
      <c r="N1458" t="inlineStr"/>
      <c r="O1458" t="inlineStr"/>
      <c r="P1458" t="inlineStr"/>
      <c r="Q1458" t="inlineStr"/>
      <c r="R1458" t="inlineStr"/>
      <c r="S1458" t="inlineStr"/>
      <c r="T1458" t="inlineStr"/>
      <c r="V1458" t="inlineStr"/>
    </row>
    <row r="1459">
      <c r="A1459">
        <f>Skills!A8</f>
        <v/>
      </c>
      <c r="B1459">
        <f>Skills!B8</f>
        <v/>
      </c>
      <c r="C1459">
        <f>Inputs!$B$3&gt;=69</f>
        <v/>
      </c>
      <c r="D1459">
        <f>IF(Skills!C8=1,60+Inputs!$B$25+Inputs!$B$29,IF(Skills!C8=2,90+Inputs!$B$26+Inputs!$B$29,IF(Skills!C8=3,120+Inputs!$B$27+Inputs!$B$29,MAX(0,(Inputs!$B$3-100)*3)+Inputs!$B$28+Inputs!$B$29)))</f>
        <v/>
      </c>
      <c r="E1459">
        <f>INDEX(FactorTable!$B$2:$Y$301, MATCH(ROUND(MIN(300,MAX(1,D1459)),0), FactorTable!$A$2:$A$301,0), Skills!M8+1)</f>
        <v/>
      </c>
      <c r="F1459">
        <f>IF(Skills!N8=TRUE,(Skills!L8/10)*(E1459/1000),Skills!L8/10)+Skills!O8</f>
        <v/>
      </c>
      <c r="G1459">
        <f>Skills!G8*IF(Skills!H8&gt;0,Skills!I8/Skills!H8,1)</f>
        <v/>
      </c>
      <c r="H1459">
        <f>1-(1-Skills!J8/100)^Skills!K8</f>
        <v/>
      </c>
      <c r="I1459" t="inlineStr">
        <is>
          <t>1</t>
        </is>
      </c>
      <c r="J1459">
        <f>((Inputs!$B$6*(1+Inputs!$B$7/100))+(((Inputs!$B$12*(1+Inputs!$B$13/100))-(Inputs!$B$12*(1+Inputs!$B$13/100)))+0.25*(Inputs!$B$14-Inputs!$B$14))*(1+Inputs!$B$7/100))*(F1459/100)</f>
        <v/>
      </c>
      <c r="K1459">
        <f>J1459*(1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1461=TRUE,F1461,0)/100)*(1+(IF(Skills!A8="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1475=TRUE)*(F1475-Calc!F24)),(Inputs!$B$23+((C1480=TRUE)*(F1480-Calc!F29))+(IF(ArtifactsInput!$M$15,CHOOSE(ArtifactsInput!$N$15+1,25,30,35,40,45,50)/100*(Inputs!$B$11-Inputs!$B$11),0))))/100+(Inputs!$B$23+((C1480=TRUE)*(F1480-Calc!F29))+(IF(ArtifactsInput!$M$15,CHOOSE(ArtifactsInput!$N$15+1,25,30,35,40,45,50)/100*(Inputs!$B$11-Inputs!$B$11),0)))/100)/2</f>
        <v/>
      </c>
      <c r="M1459">
        <f>L1459*(1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9">
        <f>L1459*(1-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1459*(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9">
        <f>(1-Summary!$B$11)*T1459+Summary!$B$11*V1459</f>
        <v/>
      </c>
      <c r="P1459">
        <f>IF(B1494=0,0,O1459/B1494)</f>
        <v/>
      </c>
      <c r="Q1459">
        <f>IFERROR(1/(IF(Inputs!$B$38="pvp",15,MAX(0.1,Skills!D8-IF(Skills!E8=TRUE,Inputs!$B$32,0)))*(1-IF(AND(ArtifactsInput!$M$27,Inputs!$B$4="Chapter Hunt"),CHOOSE(ArtifactsInput!$N$27+1,20,24,28,32,36,40),0)/100)),0)</f>
        <v/>
      </c>
      <c r="R1459">
        <f>IF(AND(Inputs!$B$38&lt;&gt;"pvp",Inputs!$B$43&gt;0),IF(MAX(0,Inputs!$B$43-B1491)&lt;=0,0,(INT(MAX(0,Inputs!$B$43-B1491)/(IF(Inputs!$B$38="pvp",15,MAX(0.1,Skills!D8-IF(Skills!E8=TRUE,Inputs!$B$32,0)))*(1-IF(AND(ArtifactsInput!$M$27,Inputs!$B$4="Chapter Hunt"),CHOOSE(ArtifactsInput!$N$27+1,20,24,28,32,36,40),0)/100)))+1)),0)</f>
        <v/>
      </c>
      <c r="S1459">
        <f>IFERROR(O1459/N1459,0)</f>
        <v/>
      </c>
      <c r="T1459">
        <f>IF(C1459,(H1459*N1459*IF(AND(Inputs!$B$38&lt;&gt;"pvp",Inputs!$B$43&gt;0),((Skills!G8*((R1459-1)*IF(Skills!H8&gt;0,Skills!I8/Skills!H8,1)+IF(Skills!H8&gt;0,MIN(Skills!I8,MAX(0,MAX(0,Inputs!$B$43-B1491)-((R1459-1)*(IF(Inputs!$B$38="pvp",15,MAX(0.1,Skills!D8-IF(Skills!E8=TRUE,Inputs!$B$32,0)))*(1-IF(AND(ArtifactsInput!$M$27,Inputs!$B$4="Chapter Hunt"),CHOOSE(ArtifactsInput!$N$27+1,20,24,28,32,36,40),0)/100)))))/Skills!H8,1)))/Inputs!$B$43),G1459*Q1459)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1459*(1-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1459*(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1459*(1-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1459*(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8*((R1459-1)*IF(Skills!H8&gt;0,Skills!I8/Skills!H8,1)+IF(Skills!H8&gt;0,MIN(Skills!I8,MAX(0,MAX(0,Inputs!$B$43-B1491)-((R1459-1)*(IF(Inputs!$B$38="pvp",15,MAX(0.1,Skills!D8-IF(Skills!E8=TRUE,Inputs!$B$32,0)))*(1-IF(AND(ArtifactsInput!$M$27,Inputs!$B$4="Chapter Hunt"),CHOOSE(ArtifactsInput!$N$27+1,20,24,28,32,36,40),0)/100)))))/Skills!H8,1)))/Inputs!$B$43),G1459*Q1459))*IF(Inputs!$B$38="pvp",1,(1+(Inputs!$B$21+Skills!Q8+(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Skills!A9</f>
        <v/>
      </c>
      <c r="B1460">
        <f>Skills!B9</f>
        <v/>
      </c>
      <c r="C1460">
        <f>Inputs!$B$3&gt;=63</f>
        <v/>
      </c>
      <c r="D1460">
        <f>IF(Skills!C9=1,60+Inputs!$B$25+Inputs!$B$29,IF(Skills!C9=2,90+Inputs!$B$26+Inputs!$B$29,IF(Skills!C9=3,120+Inputs!$B$27+Inputs!$B$29,MAX(0,(Inputs!$B$3-100)*3)+Inputs!$B$28+Inputs!$B$29)))</f>
        <v/>
      </c>
      <c r="E1460">
        <f>INDEX(FactorTable!$B$2:$Y$301, MATCH(ROUND(MIN(300,MAX(1,D1460)),0), FactorTable!$A$2:$A$301,0), Skills!M9+1)</f>
        <v/>
      </c>
      <c r="F1460">
        <f>IF(Skills!N9=TRUE,(Skills!L9/10)*(E1460/1000),Skills!L9/10)+Skills!O9</f>
        <v/>
      </c>
      <c r="G1460">
        <f>Skills!G9*IF(Skills!H9&gt;0,Skills!I9/Skills!H9,1)</f>
        <v/>
      </c>
      <c r="H1460">
        <f>1-(1-Skills!J9/100)^Skills!K9</f>
        <v/>
      </c>
      <c r="I1460" t="inlineStr">
        <is>
          <t>1</t>
        </is>
      </c>
      <c r="J1460">
        <f>((Inputs!$B$6*(1+Inputs!$B$7/100))+(((Inputs!$B$12*(1+Inputs!$B$13/100))-(Inputs!$B$12*(1+Inputs!$B$13/100)))+0.25*(Inputs!$B$14-Inputs!$B$14))*(1+Inputs!$B$7/100))*(F1460/100)</f>
        <v/>
      </c>
      <c r="K1460">
        <f>J1460*(1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1461=TRUE,F1461,0)/100)*(1+(IF(Skills!A9="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1475=TRUE)*(F1475-Calc!F24)),(Inputs!$B$23+((C1480=TRUE)*(F1480-Calc!F29))+(IF(ArtifactsInput!$M$15,CHOOSE(ArtifactsInput!$N$15+1,25,30,35,40,45,50)/100*(Inputs!$B$11-Inputs!$B$11),0))))/100+(Inputs!$B$23+((C1480=TRUE)*(F1480-Calc!F29))+(IF(ArtifactsInput!$M$15,CHOOSE(ArtifactsInput!$N$15+1,25,30,35,40,45,50)/100*(Inputs!$B$11-Inputs!$B$11),0)))/100)/2</f>
        <v/>
      </c>
      <c r="M1460">
        <f>L1460*(1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0">
        <f>L1460*(1-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1460*(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0">
        <f>(1-Summary!$B$11)*T1460+Summary!$B$11*V1460</f>
        <v/>
      </c>
      <c r="P1460">
        <f>IF(B1494=0,0,O1460/B1494)</f>
        <v/>
      </c>
      <c r="Q1460">
        <f>IFERROR(1/(IF(Inputs!$B$38="pvp",15,MAX(0.1,Skills!D9-IF(Skills!E9=TRUE,Inputs!$B$32,0)))*(1-IF(AND(ArtifactsInput!$M$27,Inputs!$B$4="Chapter Hunt"),CHOOSE(ArtifactsInput!$N$27+1,20,24,28,32,36,40),0)/100)),0)</f>
        <v/>
      </c>
      <c r="R1460">
        <f>IF(AND(Inputs!$B$38&lt;&gt;"pvp",Inputs!$B$43&gt;0),IF(MAX(0,Inputs!$B$43-B1491)&lt;=0,0,(INT(MAX(0,Inputs!$B$43-B1491)/(IF(Inputs!$B$38="pvp",15,MAX(0.1,Skills!D9-IF(Skills!E9=TRUE,Inputs!$B$32,0)))*(1-IF(AND(ArtifactsInput!$M$27,Inputs!$B$4="Chapter Hunt"),CHOOSE(ArtifactsInput!$N$27+1,20,24,28,32,36,40),0)/100)))+1)),0)</f>
        <v/>
      </c>
      <c r="S1460">
        <f>IFERROR(O1460/N1460,0)</f>
        <v/>
      </c>
      <c r="T1460">
        <f>IF(C1460,(H1460*N1460*IF(AND(Inputs!$B$38&lt;&gt;"pvp",Inputs!$B$43&gt;0),((Skills!G9*((R1460-1)*IF(Skills!H9&gt;0,Skills!I9/Skills!H9,1)+IF(Skills!H9&gt;0,MIN(Skills!I9,MAX(0,MAX(0,Inputs!$B$43-B1491)-((R1460-1)*(IF(Inputs!$B$38="pvp",15,MAX(0.1,Skills!D9-IF(Skills!E9=TRUE,Inputs!$B$32,0)))*(1-IF(AND(ArtifactsInput!$M$27,Inputs!$B$4="Chapter Hunt"),CHOOSE(ArtifactsInput!$N$27+1,20,24,28,32,36,40),0)/100)))))/Skills!H9,1)))/Inputs!$B$43),G1460*Q1460)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1460*(1-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1460*(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1460*(1-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1460*(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9*((R1460-1)*IF(Skills!H9&gt;0,Skills!I9/Skills!H9,1)+IF(Skills!H9&gt;0,MIN(Skills!I9,MAX(0,MAX(0,Inputs!$B$43-B1491)-((R1460-1)*(IF(Inputs!$B$38="pvp",15,MAX(0.1,Skills!D9-IF(Skills!E9=TRUE,Inputs!$B$32,0)))*(1-IF(AND(ArtifactsInput!$M$27,Inputs!$B$4="Chapter Hunt"),CHOOSE(ArtifactsInput!$N$27+1,20,24,28,32,36,40),0)/100)))))/Skills!H9,1)))/Inputs!$B$43),G1460*Q1460))*IF(Inputs!$B$38="pvp",1,(1+(Inputs!$B$21+Skills!Q9+(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Skills!A10</f>
        <v/>
      </c>
      <c r="B1461">
        <f>Skills!B10</f>
        <v/>
      </c>
      <c r="C1461">
        <f>Inputs!$B$3&gt;=100</f>
        <v/>
      </c>
      <c r="D1461">
        <f>IF(Skills!C10=1,60+Inputs!$B$25+Inputs!$B$29,IF(Skills!C10=2,90+Inputs!$B$26+Inputs!$B$29,IF(Skills!C10=3,120+Inputs!$B$27+Inputs!$B$29,MAX(0,(Inputs!$B$3-100)*3)+Inputs!$B$28+Inputs!$B$29)))</f>
        <v/>
      </c>
      <c r="E1461">
        <f>INDEX(FactorTable!$B$2:$Y$301, MATCH(ROUND(MIN(300,MAX(1,D1461)),0), FactorTable!$A$2:$A$301,0), Skills!M10+1)</f>
        <v/>
      </c>
      <c r="F1461">
        <f>IF(Skills!N10=TRUE,(Skills!L10/10)*(E1461/1000),Skills!L10/10)+Skills!O10</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T1461" t="inlineStr"/>
      <c r="V1461" t="inlineStr"/>
    </row>
    <row r="1462">
      <c r="A1462">
        <f>Skills!A11</f>
        <v/>
      </c>
      <c r="B1462">
        <f>Skills!B11</f>
        <v/>
      </c>
      <c r="C1462">
        <f>Inputs!$B$3&gt;=60</f>
        <v/>
      </c>
      <c r="D1462">
        <f>IF(Skills!C11=1,60+Inputs!$B$25+Inputs!$B$29,IF(Skills!C11=2,90+Inputs!$B$26+Inputs!$B$29,IF(Skills!C11=3,120+Inputs!$B$27+Inputs!$B$29,MAX(0,(Inputs!$B$3-100)*3)+Inputs!$B$28+Inputs!$B$29)))</f>
        <v/>
      </c>
      <c r="E1462">
        <f>INDEX(FactorTable!$B$2:$Y$301, MATCH(ROUND(MIN(300,MAX(1,D1462)),0), FactorTable!$A$2:$A$301,0), Skills!M11+1)</f>
        <v/>
      </c>
      <c r="F1462">
        <f>IF(Skills!N11=TRUE,(Skills!L11/10)*(E1462/1000),Skills!L11/10)+Skills!O11</f>
        <v/>
      </c>
      <c r="G1462">
        <f>Skills!G11*IF(Skills!H11&gt;0,Skills!I11/Skills!H11,1)</f>
        <v/>
      </c>
      <c r="H1462">
        <f>1-(1-Skills!J11/100)^Skills!K11</f>
        <v/>
      </c>
      <c r="I1462" t="inlineStr">
        <is>
          <t>1</t>
        </is>
      </c>
      <c r="J1462">
        <f>((Inputs!$B$6*(1+Inputs!$B$7/100))+(((Inputs!$B$12*(1+Inputs!$B$13/100))-(Inputs!$B$12*(1+Inputs!$B$13/100)))+0.25*(Inputs!$B$14-Inputs!$B$14))*(1+Inputs!$B$7/100))*(F1462/100)</f>
        <v/>
      </c>
      <c r="K1462">
        <f>J1462*(1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1463=TRUE,F1463,0)/100)*(1+(IF(Skills!A11="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1475=TRUE)*(F1475-Calc!F24)),(Inputs!$B$23+((C1480=TRUE)*(F1480-Calc!F29))+(IF(ArtifactsInput!$M$15,CHOOSE(ArtifactsInput!$N$15+1,25,30,35,40,45,50)/100*(Inputs!$B$11-Inputs!$B$11),0))))/100+(Inputs!$B$23+((C1480=TRUE)*(F1480-Calc!F29))+(IF(ArtifactsInput!$M$15,CHOOSE(ArtifactsInput!$N$15+1,25,30,35,40,45,50)/100*(Inputs!$B$11-Inputs!$B$11),0)))/100)/2</f>
        <v/>
      </c>
      <c r="M1462">
        <f>L1462*(1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2">
        <f>L1462*(1-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1462*(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2">
        <f>(1-Summary!$B$11)*T1462+Summary!$B$11*V1462</f>
        <v/>
      </c>
      <c r="P1462">
        <f>IF(B1494=0,0,O1462/B1494)</f>
        <v/>
      </c>
      <c r="Q1462">
        <f>IFERROR(1/(IF(Inputs!$B$38="pvp",15,MAX(0.1,Skills!D11-IF(Skills!E11=TRUE,Inputs!$B$32,0)))*(1-IF(AND(ArtifactsInput!$M$27,Inputs!$B$4="Chapter Hunt"),CHOOSE(ArtifactsInput!$N$27+1,20,24,28,32,36,40),0)/100)),0)</f>
        <v/>
      </c>
      <c r="R1462">
        <f>IF(AND(Inputs!$B$38&lt;&gt;"pvp",Inputs!$B$43&gt;0),IF(MAX(0,Inputs!$B$43-B1491)&lt;=0,0,(INT(MAX(0,Inputs!$B$43-B1491)/(IF(Inputs!$B$38="pvp",15,MAX(0.1,Skills!D11-IF(Skills!E11=TRUE,Inputs!$B$32,0)))*(1-IF(AND(ArtifactsInput!$M$27,Inputs!$B$4="Chapter Hunt"),CHOOSE(ArtifactsInput!$N$27+1,20,24,28,32,36,40),0)/100)))+1)),0)</f>
        <v/>
      </c>
      <c r="S1462">
        <f>IFERROR(O1462/N1462,0)</f>
        <v/>
      </c>
      <c r="T1462">
        <f>IF(C1462,(H1462*N1462*IF(AND(Inputs!$B$38&lt;&gt;"pvp",Inputs!$B$43&gt;0),((Skills!G11*((R1462-1)*IF(Skills!H11&gt;0,Skills!I11/Skills!H11,1)+IF(Skills!H11&gt;0,MIN(Skills!I11,MAX(0,MAX(0,Inputs!$B$43-B1491)-((R1462-1)*(IF(Inputs!$B$38="pvp",15,MAX(0.1,Skills!D11-IF(Skills!E11=TRUE,Inputs!$B$32,0)))*(1-IF(AND(ArtifactsInput!$M$27,Inputs!$B$4="Chapter Hunt"),CHOOSE(ArtifactsInput!$N$27+1,20,24,28,32,36,40),0)/100)))))/Skills!H11,1)))/Inputs!$B$43),G1462*Q1462)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1462*(1-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1462*(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1462*(1-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1462*(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11*((R1462-1)*IF(Skills!H11&gt;0,Skills!I11/Skills!H11,1)+IF(Skills!H11&gt;0,MIN(Skills!I11,MAX(0,MAX(0,Inputs!$B$43-B1491)-((R1462-1)*(IF(Inputs!$B$38="pvp",15,MAX(0.1,Skills!D11-IF(Skills!E11=TRUE,Inputs!$B$32,0)))*(1-IF(AND(ArtifactsInput!$M$27,Inputs!$B$4="Chapter Hunt"),CHOOSE(ArtifactsInput!$N$27+1,20,24,28,32,36,40),0)/100)))))/Skills!H11,1)))/Inputs!$B$43),G1462*Q1462))*IF(Inputs!$B$38="pvp",1,(1+(Inputs!$B$21+Skills!Q11+(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Skills!A12</f>
        <v/>
      </c>
      <c r="B1463">
        <f>Skills!B12</f>
        <v/>
      </c>
      <c r="C1463">
        <f>Inputs!$B$3&gt;=110</f>
        <v/>
      </c>
      <c r="D1463">
        <f>IF(Skills!C12=1,60+Inputs!$B$25+Inputs!$B$29,IF(Skills!C12=2,90+Inputs!$B$26+Inputs!$B$29,IF(Skills!C12=3,120+Inputs!$B$27+Inputs!$B$29,MAX(0,(Inputs!$B$3-100)*3)+Inputs!$B$28+Inputs!$B$29)))</f>
        <v/>
      </c>
      <c r="E1463">
        <f>INDEX(FactorTable!$B$2:$Y$301, MATCH(ROUND(MIN(300,MAX(1,D1463)),0), FactorTable!$A$2:$A$301,0), Skills!M12+1)</f>
        <v/>
      </c>
      <c r="F1463">
        <f>IF(Skills!N12=TRUE,(Skills!L12/10)*(E1463/1000),Skills!L12/10)+Skills!O12</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T1463" t="inlineStr"/>
      <c r="V1463" t="inlineStr"/>
    </row>
    <row r="1464">
      <c r="A1464">
        <f>Skills!A13</f>
        <v/>
      </c>
      <c r="B1464">
        <f>Skills!B13</f>
        <v/>
      </c>
      <c r="C1464">
        <f>Inputs!$B$3&gt;=74</f>
        <v/>
      </c>
      <c r="D1464">
        <f>IF(Skills!C13=1,60+Inputs!$B$25+Inputs!$B$29,IF(Skills!C13=2,90+Inputs!$B$26+Inputs!$B$29,IF(Skills!C13=3,120+Inputs!$B$27+Inputs!$B$29,MAX(0,(Inputs!$B$3-100)*3)+Inputs!$B$28+Inputs!$B$29)))</f>
        <v/>
      </c>
      <c r="E1464">
        <f>INDEX(FactorTable!$B$2:$Y$301, MATCH(ROUND(MIN(300,MAX(1,D1464)),0), FactorTable!$A$2:$A$301,0), Skills!M13+1)</f>
        <v/>
      </c>
      <c r="F1464">
        <f>IF(Skills!N13=TRUE,(Skills!L13/10)*(E1464/1000),Skills!L13/10)+Skills!O13</f>
        <v/>
      </c>
      <c r="G1464">
        <f>Skills!G13*IF(Skills!H13&gt;0,Skills!I13/Skills!H13,1)</f>
        <v/>
      </c>
      <c r="H1464">
        <f>1-(1-Skills!J13/100)^Skills!K13</f>
        <v/>
      </c>
      <c r="I1464" t="inlineStr">
        <is>
          <t>1</t>
        </is>
      </c>
      <c r="J1464" t="inlineStr"/>
      <c r="K1464" t="inlineStr"/>
      <c r="L1464" t="inlineStr"/>
      <c r="M1464" t="inlineStr"/>
      <c r="N1464" t="inlineStr"/>
      <c r="O1464">
        <f>(1-Summary!$B$11)*T1464+Summary!$B$11*V1464</f>
        <v/>
      </c>
      <c r="P1464">
        <f>IF(B1494=0,0,O1464/B1494)</f>
        <v/>
      </c>
      <c r="Q1464" t="n">
        <v>0</v>
      </c>
      <c r="R1464" t="n">
        <v>0</v>
      </c>
      <c r="S1464">
        <f>IFERROR(O1464/N1464,0)</f>
        <v/>
      </c>
      <c r="T1464" t="n">
        <v>0</v>
      </c>
      <c r="V1464" t="n">
        <v>0</v>
      </c>
    </row>
    <row r="1465">
      <c r="A1465">
        <f>Skills!A14</f>
        <v/>
      </c>
      <c r="B1465">
        <f>Skills!B14</f>
        <v/>
      </c>
      <c r="C1465">
        <f>Inputs!$B$3&gt;=74</f>
        <v/>
      </c>
      <c r="D1465">
        <f>IF(Skills!C14=1,60+Inputs!$B$25+Inputs!$B$29,IF(Skills!C14=2,90+Inputs!$B$26+Inputs!$B$29,IF(Skills!C14=3,120+Inputs!$B$27+Inputs!$B$29,MAX(0,(Inputs!$B$3-100)*3)+Inputs!$B$28+Inputs!$B$29)))</f>
        <v/>
      </c>
      <c r="E1465">
        <f>INDEX(FactorTable!$B$2:$Y$301, MATCH(ROUND(MIN(300,MAX(1,D1465)),0), FactorTable!$A$2:$A$301,0), Skills!M14+1)</f>
        <v/>
      </c>
      <c r="F1465">
        <f>IF(Skills!N14=TRUE,(Skills!L14/10)*(E1465/1000),Skills!L14/10)+Skills!O14</f>
        <v/>
      </c>
      <c r="G1465">
        <f>Skills!G14*IF(Skills!H14&gt;0,Skills!I14/Skills!H14,1)</f>
        <v/>
      </c>
      <c r="H1465">
        <f>1-(1-Skills!J14/100)^Skills!K14</f>
        <v/>
      </c>
      <c r="I1465" t="inlineStr">
        <is>
          <t>1</t>
        </is>
      </c>
      <c r="J1465" t="inlineStr"/>
      <c r="K1465" t="inlineStr"/>
      <c r="L1465" t="inlineStr"/>
      <c r="M1465" t="inlineStr"/>
      <c r="N1465" t="inlineStr"/>
      <c r="O1465">
        <f>(1-Summary!$B$11)*T1465+Summary!$B$11*V1465</f>
        <v/>
      </c>
      <c r="P1465">
        <f>IF(B1494=0,0,O1465/B1494)</f>
        <v/>
      </c>
      <c r="Q1465" t="n">
        <v>0</v>
      </c>
      <c r="R1465" t="n">
        <v>0</v>
      </c>
      <c r="S1465">
        <f>IFERROR(O1465/N1465,0)</f>
        <v/>
      </c>
      <c r="T1465" t="n">
        <v>0</v>
      </c>
      <c r="V1465" t="n">
        <v>0</v>
      </c>
    </row>
    <row r="1466">
      <c r="A1466">
        <f>Skills!A15</f>
        <v/>
      </c>
      <c r="B1466">
        <f>Skills!B15</f>
        <v/>
      </c>
      <c r="C1466">
        <f>Inputs!$B$3&gt;=117</f>
        <v/>
      </c>
      <c r="D1466">
        <f>IF(Skills!C15=1,60+Inputs!$B$25+Inputs!$B$29,IF(Skills!C15=2,90+Inputs!$B$26+Inputs!$B$29,IF(Skills!C15=3,120+Inputs!$B$27+Inputs!$B$29,MAX(0,(Inputs!$B$3-100)*3)+Inputs!$B$28+Inputs!$B$29)))</f>
        <v/>
      </c>
      <c r="E1466">
        <f>INDEX(FactorTable!$B$2:$Y$301, MATCH(ROUND(MIN(300,MAX(1,D1466)),0), FactorTable!$A$2:$A$301,0), Skills!M15+1)</f>
        <v/>
      </c>
      <c r="F1466">
        <f>IF(Skills!N15=TRUE,(Skills!L15/10)*(E1466/1000),Skills!L15/10)+Skills!O15</f>
        <v/>
      </c>
      <c r="G1466">
        <f>Skills!G15*IF(Skills!H15&gt;0,Skills!I15/Skills!H15,1)</f>
        <v/>
      </c>
      <c r="H1466">
        <f>1-(1-Skills!J15/100)^Skills!K15</f>
        <v/>
      </c>
      <c r="I1466" t="inlineStr">
        <is>
          <t>1</t>
        </is>
      </c>
      <c r="J1466" t="inlineStr"/>
      <c r="K1466" t="inlineStr"/>
      <c r="L1466" t="inlineStr"/>
      <c r="M1466" t="inlineStr"/>
      <c r="N1466" t="inlineStr"/>
      <c r="O1466">
        <f>(1-Summary!$B$11)*T1466+Summary!$B$11*V1466</f>
        <v/>
      </c>
      <c r="P1466">
        <f>IF(B1494=0,0,O1466/B1494)</f>
        <v/>
      </c>
      <c r="Q1466">
        <f>IFERROR(1/(IF(Inputs!$B$38="pvp",15,MAX(0.1,Skills!D15-IF(Skills!E15=TRUE,Inputs!$B$32,0)))*(1-IF(AND(ArtifactsInput!$M$27,Inputs!$B$4="Chapter Hunt"),CHOOSE(ArtifactsInput!$N$27+1,20,24,28,32,36,40),0)/100)),0)</f>
        <v/>
      </c>
      <c r="R1466">
        <f>IF(AND(Inputs!$B$38&lt;&gt;"pvp",Inputs!$B$43&gt;0),IF(Inputs!$B$43&lt;=0,0,(INT(Inputs!$B$43/(IF(Inputs!$B$38="pvp",15,MAX(0.1,Skills!D15-IF(Skills!E15=TRUE,Inputs!$B$32,0)))*(1-IF(AND(ArtifactsInput!$M$27,Inputs!$B$4="Chapter Hunt"),CHOOSE(ArtifactsInput!$N$27+1,20,24,28,32,36,40),0)/100)))+1)),0)</f>
        <v/>
      </c>
      <c r="S1466">
        <f>IFERROR(O1466/N1466,0)</f>
        <v/>
      </c>
      <c r="T1466" t="n">
        <v>0</v>
      </c>
      <c r="V1466" t="n">
        <v>0</v>
      </c>
    </row>
    <row r="1467">
      <c r="A1467">
        <f>Skills!A16</f>
        <v/>
      </c>
      <c r="B1467">
        <f>Skills!B16</f>
        <v/>
      </c>
      <c r="C1467">
        <f>Inputs!$B$3&gt;=115</f>
        <v/>
      </c>
      <c r="D1467">
        <f>IF(Skills!C16=1,60+Inputs!$B$25+Inputs!$B$29,IF(Skills!C16=2,90+Inputs!$B$26+Inputs!$B$29,IF(Skills!C16=3,120+Inputs!$B$27+Inputs!$B$29,MAX(0,(Inputs!$B$3-100)*3)+Inputs!$B$28+Inputs!$B$29)))</f>
        <v/>
      </c>
      <c r="E1467">
        <f>INDEX(FactorTable!$B$2:$Y$301, MATCH(ROUND(MIN(300,MAX(1,D1467)),0), FactorTable!$A$2:$A$301,0), Skills!M16+1)</f>
        <v/>
      </c>
      <c r="F1467">
        <f>IF(Skills!N16=TRUE,(Skills!L16/10)*(E1467/1000),Skills!L16/10)+Skills!O16</f>
        <v/>
      </c>
      <c r="G1467">
        <f>Skills!G16*IF(Skills!H16&gt;0,Skills!I16/Skills!H16,1)</f>
        <v/>
      </c>
      <c r="H1467">
        <f>1-(1-Skills!J16/100)^Skills!K16</f>
        <v/>
      </c>
      <c r="I1467" t="inlineStr">
        <is>
          <t>1</t>
        </is>
      </c>
      <c r="J1467" t="inlineStr"/>
      <c r="K1467" t="inlineStr"/>
      <c r="L1467" t="inlineStr"/>
      <c r="M1467" t="inlineStr"/>
      <c r="N1467" t="inlineStr"/>
      <c r="O1467">
        <f>(1-Summary!$B$11)*T1467+Summary!$B$11*V1467</f>
        <v/>
      </c>
      <c r="P1467">
        <f>IF(B1494=0,0,O1467/B1494)</f>
        <v/>
      </c>
      <c r="Q1467">
        <f>IFERROR(1/(IF(Inputs!$B$38="pvp",15,MAX(0.1,Skills!D16-IF(Skills!E16=TRUE,Inputs!$B$32,0)))*(1-IF(AND(ArtifactsInput!$M$27,Inputs!$B$4="Chapter Hunt"),CHOOSE(ArtifactsInput!$N$27+1,20,24,28,32,36,40),0)/100)),0)</f>
        <v/>
      </c>
      <c r="R1467">
        <f>IF(AND(Inputs!$B$38&lt;&gt;"pvp",Inputs!$B$43&gt;0),IF(Inputs!$B$43&lt;=0,0,(INT(Inputs!$B$43/(IF(Inputs!$B$38="pvp",15,MAX(0.1,Skills!D16-IF(Skills!E16=TRUE,Inputs!$B$32,0)))*(1-IF(AND(ArtifactsInput!$M$27,Inputs!$B$4="Chapter Hunt"),CHOOSE(ArtifactsInput!$N$27+1,20,24,28,32,36,40),0)/100)))+1)),0)</f>
        <v/>
      </c>
      <c r="S1467">
        <f>IFERROR(O1467/N1467,0)</f>
        <v/>
      </c>
      <c r="T1467" t="n">
        <v>0</v>
      </c>
      <c r="V1467" t="n">
        <v>0</v>
      </c>
    </row>
    <row r="1468">
      <c r="A1468">
        <f>Skills!A17</f>
        <v/>
      </c>
      <c r="B1468">
        <f>Skills!B17</f>
        <v/>
      </c>
      <c r="C1468">
        <f>Inputs!$B$3&gt;=66</f>
        <v/>
      </c>
      <c r="D1468">
        <f>IF(Skills!C17=1,60+Inputs!$B$25+Inputs!$B$29,IF(Skills!C17=2,90+Inputs!$B$26+Inputs!$B$29,IF(Skills!C17=3,120+Inputs!$B$27+Inputs!$B$29,MAX(0,(Inputs!$B$3-100)*3)+Inputs!$B$28+Inputs!$B$29)))</f>
        <v/>
      </c>
      <c r="E1468">
        <f>INDEX(FactorTable!$B$2:$Y$301, MATCH(ROUND(MIN(300,MAX(1,D1468)),0), FactorTable!$A$2:$A$301,0), Skills!M17+1)</f>
        <v/>
      </c>
      <c r="F1468">
        <f>IF(Skills!N17=TRUE,(Skills!L17/10)*(E1468/1000),Skills!L17/10)+Skills!O17</f>
        <v/>
      </c>
      <c r="G1468">
        <f>Skills!G17*IF(Skills!H17&gt;0,Skills!I17/Skills!H17,1)</f>
        <v/>
      </c>
      <c r="H1468">
        <f>1-(1-Skills!J17/100)^Skills!K17</f>
        <v/>
      </c>
      <c r="I1468" t="inlineStr">
        <is>
          <t>1</t>
        </is>
      </c>
      <c r="J1468" t="inlineStr"/>
      <c r="K1468" t="inlineStr"/>
      <c r="L1468" t="inlineStr"/>
      <c r="M1468" t="inlineStr"/>
      <c r="N1468" t="inlineStr"/>
      <c r="O1468">
        <f>(1-Summary!$B$11)*T1468+Summary!$B$11*V1468</f>
        <v/>
      </c>
      <c r="P1468">
        <f>IF(B1494=0,0,O1468/B1494)</f>
        <v/>
      </c>
      <c r="Q1468" t="n">
        <v>0</v>
      </c>
      <c r="R1468" t="n">
        <v>0</v>
      </c>
      <c r="S1468">
        <f>IFERROR(O1468/N1468,0)</f>
        <v/>
      </c>
      <c r="T1468" t="n">
        <v>0</v>
      </c>
      <c r="V1468" t="n">
        <v>0</v>
      </c>
    </row>
    <row r="1469">
      <c r="A1469">
        <f>Skills!A18</f>
        <v/>
      </c>
      <c r="B1469">
        <f>Skills!B18</f>
        <v/>
      </c>
      <c r="C1469">
        <f>Inputs!$B$3&gt;=72</f>
        <v/>
      </c>
      <c r="D1469">
        <f>IF(Skills!C18=1,60+Inputs!$B$25+Inputs!$B$29,IF(Skills!C18=2,90+Inputs!$B$26+Inputs!$B$29,IF(Skills!C18=3,120+Inputs!$B$27+Inputs!$B$29,MAX(0,(Inputs!$B$3-100)*3)+Inputs!$B$28+Inputs!$B$29)))</f>
        <v/>
      </c>
      <c r="E1469">
        <f>INDEX(FactorTable!$B$2:$Y$301, MATCH(ROUND(MIN(300,MAX(1,D1469)),0), FactorTable!$A$2:$A$301,0), Skills!M18+1)</f>
        <v/>
      </c>
      <c r="F1469">
        <f>IF(Skills!N18=TRUE,(Skills!L18/10)*(E1469/1000),Skills!L18/10)+Skills!O18</f>
        <v/>
      </c>
      <c r="G1469">
        <f>Skills!G18*IF(Skills!H18&gt;0,Skills!I18/Skills!H18,1)</f>
        <v/>
      </c>
      <c r="H1469">
        <f>1-(1-Skills!J18/100)^Skills!K18</f>
        <v/>
      </c>
      <c r="I1469" t="inlineStr">
        <is>
          <t>1</t>
        </is>
      </c>
      <c r="J1469" t="inlineStr"/>
      <c r="K1469" t="inlineStr"/>
      <c r="L1469" t="inlineStr"/>
      <c r="M1469" t="inlineStr"/>
      <c r="N1469" t="inlineStr"/>
      <c r="O1469">
        <f>(1-Summary!$B$11)*T1469+Summary!$B$11*V1469</f>
        <v/>
      </c>
      <c r="P1469">
        <f>IF(B1494=0,0,O1469/B1494)</f>
        <v/>
      </c>
      <c r="Q1469" t="n">
        <v>0</v>
      </c>
      <c r="R1469" t="n">
        <v>0</v>
      </c>
      <c r="S1469">
        <f>IFERROR(O1469/N1469,0)</f>
        <v/>
      </c>
      <c r="T1469" t="n">
        <v>0</v>
      </c>
      <c r="V1469" t="n">
        <v>0</v>
      </c>
    </row>
    <row r="1470">
      <c r="A1470">
        <f>Skills!A19</f>
        <v/>
      </c>
      <c r="B1470">
        <f>Skills!B19</f>
        <v/>
      </c>
      <c r="C1470">
        <f>TRUE</f>
        <v/>
      </c>
      <c r="D1470">
        <f>IF(Skills!C19=1,60+Inputs!$B$25+Inputs!$B$29,IF(Skills!C19=2,90+Inputs!$B$26+Inputs!$B$29,IF(Skills!C19=3,120+Inputs!$B$27+Inputs!$B$29,MAX(0,(Inputs!$B$3-100)*3)+Inputs!$B$28+Inputs!$B$29)))</f>
        <v/>
      </c>
      <c r="E1470">
        <f>INDEX(FactorTable!$B$2:$Y$301, MATCH(ROUND(MIN(300,MAX(1,D1470)),0), FactorTable!$A$2:$A$301,0), Skills!M19+1)</f>
        <v/>
      </c>
      <c r="F1470">
        <f>IF(Skills!N19=TRUE,(Skills!L19/10)*(E1470/1000),Skills!L19/10)+Skills!O19</f>
        <v/>
      </c>
      <c r="G1470">
        <f>Skills!G19*IF(Skills!H19&gt;0,Skills!I19/Skills!H19,1)</f>
        <v/>
      </c>
      <c r="H1470">
        <f>1-(1-Skills!J19/100)^Skills!K19</f>
        <v/>
      </c>
      <c r="I1470" t="inlineStr">
        <is>
          <t>1</t>
        </is>
      </c>
      <c r="J1470" t="inlineStr"/>
      <c r="K1470" t="inlineStr"/>
      <c r="L1470" t="inlineStr"/>
      <c r="M1470" t="inlineStr"/>
      <c r="N1470" t="inlineStr"/>
      <c r="O1470">
        <f>(1-Summary!$B$11)*T1470+Summary!$B$11*V1470</f>
        <v/>
      </c>
      <c r="P1470">
        <f>IF(B1494=0,0,O1470/B1494)</f>
        <v/>
      </c>
      <c r="Q1470">
        <f>IFERROR(1/(IF(Inputs!$B$38="pvp",15,MAX(0.1,Skills!D19-IF(Skills!E19=TRUE,Inputs!$B$32,0)))*(1-IF(AND(ArtifactsInput!$M$27,Inputs!$B$4="Chapter Hunt"),CHOOSE(ArtifactsInput!$N$27+1,20,24,28,32,36,40),0)/100)),0)</f>
        <v/>
      </c>
      <c r="R1470">
        <f>IF(AND(Inputs!$B$38&lt;&gt;"pvp",Inputs!$B$43&gt;0),IF(Inputs!$B$43&lt;=0,0,(INT(Inputs!$B$43/(IF(Inputs!$B$38="pvp",15,MAX(0.1,Skills!D19-IF(Skills!E19=TRUE,Inputs!$B$32,0)))*(1-IF(AND(ArtifactsInput!$M$27,Inputs!$B$4="Chapter Hunt"),CHOOSE(ArtifactsInput!$N$27+1,20,24,28,32,36,40),0)/100)))+1)),0)</f>
        <v/>
      </c>
      <c r="S1470">
        <f>IFERROR(O1470/N1470,0)</f>
        <v/>
      </c>
      <c r="T1470" t="n">
        <v>0</v>
      </c>
      <c r="V1470" t="n">
        <v>0</v>
      </c>
    </row>
    <row r="1471">
      <c r="A1471">
        <f>Skills!A20</f>
        <v/>
      </c>
      <c r="B1471">
        <f>Skills!B20</f>
        <v/>
      </c>
      <c r="C1471">
        <f>Inputs!$B$3&gt;=15</f>
        <v/>
      </c>
      <c r="D1471">
        <f>IF(Skills!C20=1,60+Inputs!$B$25+Inputs!$B$29,IF(Skills!C20=2,90+Inputs!$B$26+Inputs!$B$29,IF(Skills!C20=3,120+Inputs!$B$27+Inputs!$B$29,MAX(0,(Inputs!$B$3-100)*3)+Inputs!$B$28+Inputs!$B$29)))</f>
        <v/>
      </c>
      <c r="E1471">
        <f>INDEX(FactorTable!$B$2:$Y$301, MATCH(ROUND(MIN(300,MAX(1,D1471)),0), FactorTable!$A$2:$A$301,0), Skills!M20+1)</f>
        <v/>
      </c>
      <c r="F1471">
        <f>IF(Skills!N20=TRUE,(Skills!L20/10)*(E1471/1000),Skills!L20/10)+Skills!O20</f>
        <v/>
      </c>
      <c r="G1471">
        <f>Skills!G20*IF(Skills!H20&gt;0,Skills!I20/Skills!H20,1)</f>
        <v/>
      </c>
      <c r="H1471">
        <f>1-(1-Skills!J20/100)^Skills!K20</f>
        <v/>
      </c>
      <c r="I1471" t="inlineStr">
        <is>
          <t>1</t>
        </is>
      </c>
      <c r="J1471" t="inlineStr"/>
      <c r="K1471" t="inlineStr"/>
      <c r="L1471" t="inlineStr"/>
      <c r="M1471" t="inlineStr"/>
      <c r="N1471" t="inlineStr"/>
      <c r="O1471">
        <f>(1-Summary!$B$11)*T1471+Summary!$B$11*V1471</f>
        <v/>
      </c>
      <c r="P1471">
        <f>IF(B1494=0,0,O1471/B1494)</f>
        <v/>
      </c>
      <c r="Q1471" t="n">
        <v>0</v>
      </c>
      <c r="R1471" t="n">
        <v>0</v>
      </c>
      <c r="S1471">
        <f>IFERROR(O1471/N1471,0)</f>
        <v/>
      </c>
      <c r="T1471" t="n">
        <v>0</v>
      </c>
      <c r="V1471" t="n">
        <v>0</v>
      </c>
    </row>
    <row r="1472">
      <c r="A1472">
        <f>Skills!A21</f>
        <v/>
      </c>
      <c r="B1472">
        <f>Skills!B21</f>
        <v/>
      </c>
      <c r="C1472">
        <f>Inputs!$B$3&gt;=10</f>
        <v/>
      </c>
      <c r="D1472">
        <f>IF(Skills!C21=1,60+Inputs!$B$25+Inputs!$B$29,IF(Skills!C21=2,90+Inputs!$B$26+Inputs!$B$29,IF(Skills!C21=3,120+Inputs!$B$27+Inputs!$B$29,MAX(0,(Inputs!$B$3-100)*3)+Inputs!$B$28+Inputs!$B$29)))</f>
        <v/>
      </c>
      <c r="E1472">
        <f>INDEX(FactorTable!$B$2:$Y$301, MATCH(ROUND(MIN(300,MAX(1,D1472)),0), FactorTable!$A$2:$A$301,0), Skills!M21+1)</f>
        <v/>
      </c>
      <c r="F1472">
        <f>IF(Skills!N21=TRUE,(Skills!L21/10)*(E1472/1000),Skills!L21/10)+Skills!O21</f>
        <v/>
      </c>
      <c r="G1472">
        <f>Skills!G21*IF(Skills!H21&gt;0,Skills!I21/Skills!H21,1)</f>
        <v/>
      </c>
      <c r="H1472">
        <f>1-(1-Skills!J21/100)^Skills!K21</f>
        <v/>
      </c>
      <c r="I1472" t="inlineStr">
        <is>
          <t>1</t>
        </is>
      </c>
      <c r="J1472" t="inlineStr"/>
      <c r="K1472" t="inlineStr"/>
      <c r="L1472" t="inlineStr"/>
      <c r="M1472" t="inlineStr"/>
      <c r="N1472" t="inlineStr"/>
      <c r="O1472">
        <f>(1-Summary!$B$11)*T1472+Summary!$B$11*V1472</f>
        <v/>
      </c>
      <c r="P1472">
        <f>IF(B1494=0,0,O1472/B1494)</f>
        <v/>
      </c>
      <c r="Q1472" t="n">
        <v>0</v>
      </c>
      <c r="R1472" t="n">
        <v>0</v>
      </c>
      <c r="S1472">
        <f>IFERROR(O1472/N1472,0)</f>
        <v/>
      </c>
      <c r="T1472" t="n">
        <v>0</v>
      </c>
      <c r="V1472" t="n">
        <v>0</v>
      </c>
    </row>
    <row r="1473">
      <c r="A1473">
        <f>Skills!A22</f>
        <v/>
      </c>
      <c r="B1473">
        <f>Skills!B22</f>
        <v/>
      </c>
      <c r="C1473">
        <f>Inputs!$B$3&gt;=33</f>
        <v/>
      </c>
      <c r="D1473">
        <f>IF(Skills!C22=1,60+Inputs!$B$25+Inputs!$B$29,IF(Skills!C22=2,90+Inputs!$B$26+Inputs!$B$29,IF(Skills!C22=3,120+Inputs!$B$27+Inputs!$B$29,MAX(0,(Inputs!$B$3-100)*3)+Inputs!$B$28+Inputs!$B$29)))</f>
        <v/>
      </c>
      <c r="E1473">
        <f>INDEX(FactorTable!$B$2:$Y$301, MATCH(ROUND(MIN(300,MAX(1,D1473)),0), FactorTable!$A$2:$A$301,0), Skills!M22+1)</f>
        <v/>
      </c>
      <c r="F1473">
        <f>IF(Skills!N22=TRUE,(Skills!L22/10)*(E1473/1000),Skills!L22/10)+Skills!O22</f>
        <v/>
      </c>
      <c r="G1473">
        <f>Skills!G22*IF(Skills!H22&gt;0,Skills!I22/Skills!H22,1)</f>
        <v/>
      </c>
      <c r="H1473">
        <f>1-(1-Skills!J22/100)^Skills!K22</f>
        <v/>
      </c>
      <c r="I1473" t="inlineStr">
        <is>
          <t>1</t>
        </is>
      </c>
      <c r="J1473" t="inlineStr"/>
      <c r="K1473" t="inlineStr"/>
      <c r="L1473" t="inlineStr"/>
      <c r="M1473" t="inlineStr"/>
      <c r="N1473" t="inlineStr"/>
      <c r="O1473">
        <f>(1-Summary!$B$11)*T1473+Summary!$B$11*V1473</f>
        <v/>
      </c>
      <c r="P1473">
        <f>IF(B1494=0,0,O1473/B1494)</f>
        <v/>
      </c>
      <c r="Q1473" t="n">
        <v>0</v>
      </c>
      <c r="R1473" t="n">
        <v>0</v>
      </c>
      <c r="S1473">
        <f>IFERROR(O1473/N1473,0)</f>
        <v/>
      </c>
      <c r="T1473" t="n">
        <v>0</v>
      </c>
      <c r="V1473" t="n">
        <v>0</v>
      </c>
    </row>
    <row r="1474">
      <c r="A1474">
        <f>Skills!A23</f>
        <v/>
      </c>
      <c r="B1474">
        <f>Skills!B23</f>
        <v/>
      </c>
      <c r="C1474">
        <f>Inputs!$B$3&gt;=38</f>
        <v/>
      </c>
      <c r="D1474">
        <f>IF(Skills!C23=1,60+Inputs!$B$25+Inputs!$B$29,IF(Skills!C23=2,90+Inputs!$B$26+Inputs!$B$29,IF(Skills!C23=3,120+Inputs!$B$27+Inputs!$B$29,MAX(0,(Inputs!$B$3-100)*3)+Inputs!$B$28+Inputs!$B$29)))</f>
        <v/>
      </c>
      <c r="E1474">
        <f>INDEX(FactorTable!$B$2:$Y$301, MATCH(ROUND(MIN(300,MAX(1,D1474)),0), FactorTable!$A$2:$A$301,0), Skills!M23+1)</f>
        <v/>
      </c>
      <c r="F1474">
        <f>IF(Skills!N23=TRUE,(Skills!L23/10)*(E1474/1000),Skills!L23/10)+Skills!O23</f>
        <v/>
      </c>
      <c r="G1474">
        <f>Skills!G23*IF(Skills!H23&gt;0,Skills!I23/Skills!H23,1)</f>
        <v/>
      </c>
      <c r="H1474">
        <f>1-(1-Skills!J23/100)^Skills!K23</f>
        <v/>
      </c>
      <c r="I1474" t="inlineStr">
        <is>
          <t>1</t>
        </is>
      </c>
      <c r="J1474" t="inlineStr"/>
      <c r="K1474" t="inlineStr"/>
      <c r="L1474" t="inlineStr"/>
      <c r="M1474" t="inlineStr"/>
      <c r="N1474" t="inlineStr"/>
      <c r="O1474">
        <f>(1-Summary!$B$11)*T1474+Summary!$B$11*V1474</f>
        <v/>
      </c>
      <c r="P1474">
        <f>IF(B1494=0,0,O1474/B1494)</f>
        <v/>
      </c>
      <c r="Q1474" t="n">
        <v>0</v>
      </c>
      <c r="R1474" t="n">
        <v>0</v>
      </c>
      <c r="S1474">
        <f>IFERROR(O1474/N1474,0)</f>
        <v/>
      </c>
      <c r="T1474" t="n">
        <v>0</v>
      </c>
      <c r="V1474" t="n">
        <v>0</v>
      </c>
    </row>
    <row r="1475">
      <c r="A1475">
        <f>Skills!A24</f>
        <v/>
      </c>
      <c r="B1475">
        <f>Skills!B24</f>
        <v/>
      </c>
      <c r="C1475">
        <f>Inputs!$B$3&gt;=43</f>
        <v/>
      </c>
      <c r="D1475">
        <f>IF(Skills!C24=1,60+Inputs!$B$25+Inputs!$B$29,IF(Skills!C24=2,90+Inputs!$B$26+Inputs!$B$29,IF(Skills!C24=3,120+Inputs!$B$27+Inputs!$B$29,MAX(0,(Inputs!$B$3-100)*3)+Inputs!$B$28+Inputs!$B$29)))</f>
        <v/>
      </c>
      <c r="E1475">
        <f>INDEX(FactorTable!$B$2:$Y$301, MATCH(ROUND(MIN(300,MAX(1,D1475)),0), FactorTable!$A$2:$A$301,0), Skills!M24+1)</f>
        <v/>
      </c>
      <c r="F1475">
        <f>IF(Skills!N24=TRUE,(Skills!L24/10)*(E1475/1000),Skills!L24/10)+Skills!O24</f>
        <v/>
      </c>
      <c r="G1475">
        <f>Skills!G24*IF(Skills!H24&gt;0,Skills!I24/Skills!H24,1)</f>
        <v/>
      </c>
      <c r="H1475">
        <f>1-(1-Skills!J24/100)^Skills!K24</f>
        <v/>
      </c>
      <c r="I1475" t="inlineStr">
        <is>
          <t>1</t>
        </is>
      </c>
      <c r="J1475" t="inlineStr"/>
      <c r="K1475" t="inlineStr"/>
      <c r="L1475" t="inlineStr"/>
      <c r="M1475" t="inlineStr"/>
      <c r="N1475" t="inlineStr"/>
      <c r="O1475">
        <f>(1-Summary!$B$11)*T1475+Summary!$B$11*V1475</f>
        <v/>
      </c>
      <c r="P1475">
        <f>IF(B1494=0,0,O1475/B1494)</f>
        <v/>
      </c>
      <c r="Q1475" t="n">
        <v>0</v>
      </c>
      <c r="R1475" t="n">
        <v>0</v>
      </c>
      <c r="S1475">
        <f>IFERROR(O1475/N1475,0)</f>
        <v/>
      </c>
      <c r="T1475" t="n">
        <v>0</v>
      </c>
      <c r="V1475" t="n">
        <v>0</v>
      </c>
    </row>
    <row r="1476">
      <c r="A1476">
        <f>Skills!A25</f>
        <v/>
      </c>
      <c r="B1476">
        <f>Skills!B25</f>
        <v/>
      </c>
      <c r="C1476">
        <f>Inputs!$B$3&gt;=75</f>
        <v/>
      </c>
      <c r="D1476">
        <f>IF(Skills!C25=1,60+Inputs!$B$25+Inputs!$B$29,IF(Skills!C25=2,90+Inputs!$B$26+Inputs!$B$29,IF(Skills!C25=3,120+Inputs!$B$27+Inputs!$B$29,MAX(0,(Inputs!$B$3-100)*3)+Inputs!$B$28+Inputs!$B$29)))</f>
        <v/>
      </c>
      <c r="E1476">
        <f>INDEX(FactorTable!$B$2:$Y$301, MATCH(ROUND(MIN(300,MAX(1,D1476)),0), FactorTable!$A$2:$A$301,0), Skills!M25+1)</f>
        <v/>
      </c>
      <c r="F1476">
        <f>IF(Skills!N25=TRUE,(Skills!L25/10)*(E1476/1000),Skills!L25/10)+Skills!O25</f>
        <v/>
      </c>
      <c r="G1476">
        <f>Skills!G25*IF(Skills!H25&gt;0,Skills!I25/Skills!H25,1)</f>
        <v/>
      </c>
      <c r="H1476">
        <f>1-(1-Skills!J25/100)^Skills!K25</f>
        <v/>
      </c>
      <c r="I1476" t="inlineStr">
        <is>
          <t>1</t>
        </is>
      </c>
      <c r="J1476" t="inlineStr"/>
      <c r="K1476" t="inlineStr"/>
      <c r="L1476" t="inlineStr"/>
      <c r="M1476" t="inlineStr"/>
      <c r="N1476" t="inlineStr"/>
      <c r="O1476">
        <f>(1-Summary!$B$11)*T1476+Summary!$B$11*V1476</f>
        <v/>
      </c>
      <c r="P1476">
        <f>IF(B1494=0,0,O1476/B1494)</f>
        <v/>
      </c>
      <c r="Q1476" t="n">
        <v>0</v>
      </c>
      <c r="R1476" t="n">
        <v>0</v>
      </c>
      <c r="S1476">
        <f>IFERROR(O1476/N1476,0)</f>
        <v/>
      </c>
      <c r="T1476" t="n">
        <v>0</v>
      </c>
      <c r="V1476" t="n">
        <v>0</v>
      </c>
    </row>
    <row r="1477">
      <c r="A1477">
        <f>Skills!A26</f>
        <v/>
      </c>
      <c r="B1477">
        <f>Skills!B26</f>
        <v/>
      </c>
      <c r="C1477">
        <f>Inputs!$B$3&gt;=125</f>
        <v/>
      </c>
      <c r="D1477">
        <f>IF(Skills!C26=1,60+Inputs!$B$25+Inputs!$B$29,IF(Skills!C26=2,90+Inputs!$B$26+Inputs!$B$29,IF(Skills!C26=3,120+Inputs!$B$27+Inputs!$B$29,MAX(0,(Inputs!$B$3-100)*3)+Inputs!$B$28+Inputs!$B$29)))</f>
        <v/>
      </c>
      <c r="E1477">
        <f>INDEX(FactorTable!$B$2:$Y$301, MATCH(ROUND(MIN(300,MAX(1,D1477)),0), FactorTable!$A$2:$A$301,0), Skills!M26+1)</f>
        <v/>
      </c>
      <c r="F1477">
        <f>IF(Skills!N26=TRUE,(Skills!L26/10)*(E1477/1000),Skills!L26/10)+Skills!O26</f>
        <v/>
      </c>
      <c r="G1477">
        <f>Skills!G26*IF(Skills!H26&gt;0,Skills!I26/Skills!H26,1)</f>
        <v/>
      </c>
      <c r="H1477">
        <f>1-(1-Skills!J26/100)^Skills!K26</f>
        <v/>
      </c>
      <c r="I1477" t="inlineStr">
        <is>
          <t>1</t>
        </is>
      </c>
      <c r="J1477" t="inlineStr"/>
      <c r="K1477" t="inlineStr"/>
      <c r="L1477" t="inlineStr"/>
      <c r="M1477" t="inlineStr"/>
      <c r="N1477" t="inlineStr"/>
      <c r="O1477">
        <f>(1-Summary!$B$11)*T1477+Summary!$B$11*V1477</f>
        <v/>
      </c>
      <c r="P1477">
        <f>IF(B1494=0,0,O1477/B1494)</f>
        <v/>
      </c>
      <c r="Q1477" t="n">
        <v>0</v>
      </c>
      <c r="R1477" t="n">
        <v>0</v>
      </c>
      <c r="S1477">
        <f>IFERROR(O1477/N1477,0)</f>
        <v/>
      </c>
      <c r="T1477" t="n">
        <v>0</v>
      </c>
      <c r="V1477" t="n">
        <v>0</v>
      </c>
    </row>
    <row r="1478">
      <c r="A1478">
        <f>Skills!A27</f>
        <v/>
      </c>
      <c r="B1478">
        <f>Skills!B27</f>
        <v/>
      </c>
      <c r="C1478">
        <f>Inputs!$B$3&gt;=125</f>
        <v/>
      </c>
      <c r="D1478">
        <f>IF(Skills!C27=1,60+Inputs!$B$25+Inputs!$B$29,IF(Skills!C27=2,90+Inputs!$B$26+Inputs!$B$29,IF(Skills!C27=3,120+Inputs!$B$27+Inputs!$B$29,MAX(0,(Inputs!$B$3-100)*3)+Inputs!$B$28+Inputs!$B$29)))</f>
        <v/>
      </c>
      <c r="E1478">
        <f>INDEX(FactorTable!$B$2:$Y$301, MATCH(ROUND(MIN(300,MAX(1,D1478)),0), FactorTable!$A$2:$A$301,0), Skills!M27+1)</f>
        <v/>
      </c>
      <c r="F1478">
        <f>IF(Skills!N27=TRUE,(Skills!L27/10)*(E1478/1000),Skills!L27/10)+Skills!O27</f>
        <v/>
      </c>
      <c r="G1478">
        <f>Skills!G27*IF(Skills!H27&gt;0,Skills!I27/Skills!H27,1)</f>
        <v/>
      </c>
      <c r="H1478">
        <f>1-(1-Skills!J27/100)^Skills!K27</f>
        <v/>
      </c>
      <c r="I1478" t="inlineStr">
        <is>
          <t>1</t>
        </is>
      </c>
      <c r="J1478" t="inlineStr"/>
      <c r="K1478" t="inlineStr"/>
      <c r="L1478" t="inlineStr"/>
      <c r="M1478" t="inlineStr"/>
      <c r="N1478" t="inlineStr"/>
      <c r="O1478">
        <f>(1-Summary!$B$11)*T1478+Summary!$B$11*V1478</f>
        <v/>
      </c>
      <c r="P1478">
        <f>IF(B1494=0,0,O1478/B1494)</f>
        <v/>
      </c>
      <c r="Q1478" t="n">
        <v>0</v>
      </c>
      <c r="R1478" t="n">
        <v>0</v>
      </c>
      <c r="S1478">
        <f>IFERROR(O1478/N1478,0)</f>
        <v/>
      </c>
      <c r="T1478" t="n">
        <v>0</v>
      </c>
      <c r="V1478" t="n">
        <v>0</v>
      </c>
    </row>
    <row r="1479">
      <c r="A1479">
        <f>Skills!A28</f>
        <v/>
      </c>
      <c r="B1479">
        <f>Skills!B28</f>
        <v/>
      </c>
      <c r="C1479">
        <f>Inputs!$B$3&gt;=120</f>
        <v/>
      </c>
      <c r="D1479">
        <f>IF(Skills!C28=1,60+Inputs!$B$25+Inputs!$B$29,IF(Skills!C28=2,90+Inputs!$B$26+Inputs!$B$29,IF(Skills!C28=3,120+Inputs!$B$27+Inputs!$B$29,MAX(0,(Inputs!$B$3-100)*3)+Inputs!$B$28+Inputs!$B$29)))</f>
        <v/>
      </c>
      <c r="E1479">
        <f>INDEX(FactorTable!$B$2:$Y$301, MATCH(ROUND(MIN(300,MAX(1,D1479)),0), FactorTable!$A$2:$A$301,0), Skills!M28+1)</f>
        <v/>
      </c>
      <c r="F1479">
        <f>IF(Skills!N28=TRUE,(Skills!L28/10)*(E1479/1000),Skills!L28/10)+Skills!O28</f>
        <v/>
      </c>
      <c r="G1479">
        <f>Skills!G28*IF(Skills!H28&gt;0,Skills!I28/Skills!H28,1)</f>
        <v/>
      </c>
      <c r="H1479">
        <f>1-(1-Skills!J28/100)^Skills!K28</f>
        <v/>
      </c>
      <c r="I1479" t="inlineStr">
        <is>
          <t>1</t>
        </is>
      </c>
      <c r="J1479" t="inlineStr"/>
      <c r="K1479" t="inlineStr"/>
      <c r="L1479" t="inlineStr"/>
      <c r="M1479" t="inlineStr"/>
      <c r="N1479" t="inlineStr"/>
      <c r="O1479">
        <f>(1-Summary!$B$11)*T1479+Summary!$B$11*V1479</f>
        <v/>
      </c>
      <c r="P1479">
        <f>IF(B1494=0,0,O1479/B1494)</f>
        <v/>
      </c>
      <c r="Q1479" t="n">
        <v>0</v>
      </c>
      <c r="R1479" t="n">
        <v>0</v>
      </c>
      <c r="S1479">
        <f>IFERROR(O1479/N1479,0)</f>
        <v/>
      </c>
      <c r="T1479" t="n">
        <v>0</v>
      </c>
      <c r="V1479" t="n">
        <v>0</v>
      </c>
    </row>
    <row r="1480">
      <c r="A1480">
        <f>Skills!A29</f>
        <v/>
      </c>
      <c r="B1480">
        <f>Skills!B29</f>
        <v/>
      </c>
      <c r="C1480">
        <f>Inputs!$B$3&gt;=120</f>
        <v/>
      </c>
      <c r="D1480">
        <f>IF(Skills!C29=1,60+Inputs!$B$25+Inputs!$B$29,IF(Skills!C29=2,90+Inputs!$B$26+Inputs!$B$29,IF(Skills!C29=3,120+Inputs!$B$27+Inputs!$B$29,MAX(0,(Inputs!$B$3-100)*3)+Inputs!$B$28+Inputs!$B$29)))</f>
        <v/>
      </c>
      <c r="E1480">
        <f>INDEX(FactorTable!$B$2:$Y$301, MATCH(ROUND(MIN(300,MAX(1,D1480)),0), FactorTable!$A$2:$A$301,0), Skills!M29+1)</f>
        <v/>
      </c>
      <c r="F1480">
        <f>IF(Skills!N29=TRUE,(Skills!L29/10)*(E1480/1000),Skills!L29/10)+Skills!O29</f>
        <v/>
      </c>
      <c r="G1480">
        <f>Skills!G29*IF(Skills!H29&gt;0,Skills!I29/Skills!H29,1)</f>
        <v/>
      </c>
      <c r="H1480">
        <f>1-(1-Skills!J29/100)^Skills!K29</f>
        <v/>
      </c>
      <c r="I1480" t="inlineStr">
        <is>
          <t>1</t>
        </is>
      </c>
      <c r="J1480" t="inlineStr"/>
      <c r="K1480" t="inlineStr"/>
      <c r="L1480" t="inlineStr"/>
      <c r="M1480" t="inlineStr"/>
      <c r="N1480" t="inlineStr"/>
      <c r="O1480">
        <f>(1-Summary!$B$11)*T1480+Summary!$B$11*V1480</f>
        <v/>
      </c>
      <c r="P1480">
        <f>IF(B1494=0,0,O1480/B1494)</f>
        <v/>
      </c>
      <c r="Q1480" t="n">
        <v>0</v>
      </c>
      <c r="R1480" t="n">
        <v>0</v>
      </c>
      <c r="S1480">
        <f>IFERROR(O1480/N1480,0)</f>
        <v/>
      </c>
      <c r="T1480" t="n">
        <v>0</v>
      </c>
      <c r="V1480" t="n">
        <v>0</v>
      </c>
    </row>
    <row r="1481">
      <c r="A1481">
        <f>Skills!A30</f>
        <v/>
      </c>
      <c r="B1481">
        <f>Skills!B30</f>
        <v/>
      </c>
      <c r="C1481">
        <f>Inputs!$B$3&gt;=45</f>
        <v/>
      </c>
      <c r="D1481">
        <f>IF(Skills!C30=1,60+Inputs!$B$25+Inputs!$B$29,IF(Skills!C30=2,90+Inputs!$B$26+Inputs!$B$29,IF(Skills!C30=3,120+Inputs!$B$27+Inputs!$B$29,MAX(0,(Inputs!$B$3-100)*3)+Inputs!$B$28+Inputs!$B$29)))</f>
        <v/>
      </c>
      <c r="E1481">
        <f>INDEX(FactorTable!$B$2:$Y$301, MATCH(ROUND(MIN(300,MAX(1,D1481)),0), FactorTable!$A$2:$A$301,0), Skills!M30+1)</f>
        <v/>
      </c>
      <c r="F1481">
        <f>IF(Skills!N30=TRUE,(Skills!L30/10)*(E1481/1000),Skills!L30/10)+Skills!O30</f>
        <v/>
      </c>
      <c r="G1481">
        <f>Skills!G30*IF(Skills!H30&gt;0,Skills!I30/Skills!H30,1)</f>
        <v/>
      </c>
      <c r="H1481">
        <f>1-(1-Skills!J30/100)^Skills!K30</f>
        <v/>
      </c>
      <c r="I1481" t="inlineStr">
        <is>
          <t>1</t>
        </is>
      </c>
      <c r="J1481" t="inlineStr"/>
      <c r="K1481" t="inlineStr"/>
      <c r="L1481" t="inlineStr"/>
      <c r="M1481" t="inlineStr"/>
      <c r="N1481" t="inlineStr"/>
      <c r="O1481">
        <f>(1-Summary!$B$11)*T1481+Summary!$B$11*V1481</f>
        <v/>
      </c>
      <c r="P1481">
        <f>IF(B1494=0,0,O1481/B1494)</f>
        <v/>
      </c>
      <c r="Q1481" t="n">
        <v>0</v>
      </c>
      <c r="R1481" t="n">
        <v>0</v>
      </c>
      <c r="S1481">
        <f>IFERROR(O1481/N1481,0)</f>
        <v/>
      </c>
      <c r="T1481" t="n">
        <v>0</v>
      </c>
      <c r="V1481" t="n">
        <v>0</v>
      </c>
    </row>
    <row r="1483">
      <c r="A1483" t="inlineStr">
        <is>
          <t>Attack% Bucket Multiplier</t>
        </is>
      </c>
      <c r="B1483">
        <f>(1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4">
      <c r="A1484" t="inlineStr">
        <is>
          <t>Global Crit Rate Bonus %</t>
        </is>
      </c>
      <c r="B1484">
        <f>(C1467=TRUE)*20*IF(AND(Inputs!$B$38&lt;&gt;"pvp",Inputs!$B$43&gt;0),(((R1467-1)*(Skills!T16*(1+Inputs!$B$34/100))+MIN((Skills!T16*(1+Inputs!$B$34/100)),MAX(0,Inputs!$B$43-((R1467-1)*Skills!D16))))/Inputs!$B$43),IF(Inputs!$B$38="pvp",MIN((Skills!T16*(1+Inputs!$B$34/100)),15)/15,(Skills!T16*(1+Inputs!$B$34/100))/Skills!D16))</f>
        <v/>
      </c>
    </row>
    <row r="1485">
      <c r="A1485" t="inlineStr">
        <is>
          <t>Attack Speed Buff Bonus %</t>
        </is>
      </c>
      <c r="B1485">
        <f>((C1470=TRUE)*F1470*IF(AND(Inputs!$B$38&lt;&gt;"pvp",Inputs!$B$43&gt;0),(((R1470-1)*(Skills!T19*(1+Inputs!$B$34/100))+MIN((Skills!T19*(1+Inputs!$B$34/100)),MAX(0,Inputs!$B$43-((R1470-1)*Skills!D19))))/Inputs!$B$43),IF(Inputs!$B$38="pvp",MIN((Skills!T19*(1+Inputs!$B$34/100)),15)/15,(Skills!T19*(1+Inputs!$B$34/100))/Skills!D19)))</f>
        <v/>
      </c>
    </row>
    <row r="1486">
      <c r="A1486" t="inlineStr">
        <is>
          <t>Actions Per Second</t>
        </is>
      </c>
      <c r="B1486">
        <f>1+MIN(150,150*(1-(1-(Inputs!$B$11+((C1472=TRUE)*(F1472-Calc!F21))+((C1473=TRUE)*(F1473-Calc!F22)))/150)*(1-B1485/150)))/100</f>
        <v/>
      </c>
    </row>
    <row r="1487">
      <c r="A1487" t="inlineStr">
        <is>
          <t>Skill + Buff Cast Rate</t>
        </is>
      </c>
      <c r="B1487">
        <f>IF(AND(Inputs!$B$38&lt;&gt;"pvp",Inputs!$B$43&gt;0),SUMPRODUCT((Skills!E2:E30=TRUE)*(C1453:C1481=TRUE)*R1453:R1481*Skills!F2:F30)/Inputs!$B$43,SUMPRODUCT((Skills!E2:E30=TRUE)*(C1453:C1481=TRUE)*Q1453:Q1481*Skills!F2:F30))</f>
        <v/>
      </c>
    </row>
    <row r="1488">
      <c r="A1488" t="inlineStr">
        <is>
          <t>Arrow Stream Casts Per Second</t>
        </is>
      </c>
      <c r="B1488">
        <f>MAX(0,B1486-B1487)</f>
        <v/>
      </c>
    </row>
    <row r="1489">
      <c r="A1489" t="inlineStr">
        <is>
          <t>Global Critical Damage Bonus % (Sharp Eyes + Concentration)</t>
        </is>
      </c>
      <c r="B1489">
        <f>(C1467=TRUE)*F1467*IF(AND(Inputs!$B$38&lt;&gt;"pvp",Inputs!$B$43&gt;0),(((R1467-1)*(Skills!T16*(1+Inputs!$B$34/100))+MIN((Skills!T16*(1+Inputs!$B$34/100)),MAX(0,Inputs!$B$43-((R1467-1)*Skills!D16))))/Inputs!$B$43),IF(Inputs!$B$38="pvp",MIN((Skills!T16*(1+Inputs!$B$34/100)),15)/15,(Skills!T16*(1+Inputs!$B$34/100))/Skills!D16))+(C1468=TRUE)*30</f>
        <v/>
      </c>
    </row>
    <row r="1490">
      <c r="A1490" t="inlineStr">
        <is>
          <t>Global Final Damage Bonus % (Mortal Blow)</t>
        </is>
      </c>
      <c r="B1490">
        <f>(C1469=TRUE)*F1469</f>
        <v/>
      </c>
    </row>
    <row r="1491">
      <c r="A1491" t="inlineStr">
        <is>
          <t>Buff-Casting Startup Delay (s, fixed-duration only)</t>
        </is>
      </c>
      <c r="B1491">
        <f>IF(AND(Inputs!$B$38&lt;&gt;"pvp",Inputs!$B$43&gt;0),SUMPRODUCT((Skills!T2:T30&gt;0)*(Skills!E2:E30=TRUE)*(C1453:C1481=TRUE))/B1486,0)</f>
        <v/>
      </c>
    </row>
    <row r="1492">
      <c r="A1492" t="inlineStr">
        <is>
          <t>Boss-Only Total DPS (this block's swept value)</t>
        </is>
      </c>
      <c r="B1492">
        <f>SUM(T1453:T1481)</f>
        <v/>
      </c>
    </row>
    <row r="1493">
      <c r="A1493" t="inlineStr">
        <is>
          <t>Normal-Only Total DPS (this block's swept value)</t>
        </is>
      </c>
      <c r="B1493">
        <f>SUM(V1453:V1481)</f>
        <v/>
      </c>
    </row>
    <row r="1494">
      <c r="A1494" s="6" t="inlineStr">
        <is>
          <t>TOTAL DPS</t>
        </is>
      </c>
      <c r="B1494" s="6">
        <f>SUM(O1453:O1481)</f>
        <v/>
      </c>
    </row>
    <row r="1497">
      <c r="A1497" s="6" t="inlineStr">
        <is>
          <t>Stat: Hexagon Necklace (Equip)</t>
        </is>
      </c>
    </row>
    <row r="1498">
      <c r="A1498" s="5" t="inlineStr">
        <is>
          <t>Key</t>
        </is>
      </c>
      <c r="B1498" s="5" t="inlineStr">
        <is>
          <t>Name</t>
        </is>
      </c>
      <c r="C1498" s="5" t="inlineStr">
        <is>
          <t>Unlocked</t>
        </is>
      </c>
      <c r="D1498" s="5" t="inlineStr">
        <is>
          <t>InputLevel</t>
        </is>
      </c>
      <c r="E1498" s="5" t="inlineStr">
        <is>
          <t>Factor</t>
        </is>
      </c>
      <c r="F1498" s="5" t="inlineStr">
        <is>
          <t>CoefficientPercent</t>
        </is>
      </c>
      <c r="G1498" s="5" t="inlineStr">
        <is>
          <t>EffectiveHits</t>
        </is>
      </c>
      <c r="H1498" s="5" t="inlineStr">
        <is>
          <t>ProcProbability</t>
        </is>
      </c>
      <c r="I1498" s="5" t="inlineStr">
        <is>
          <t>MapleHeroMultiplier</t>
        </is>
      </c>
      <c r="J1498" s="5" t="inlineStr">
        <is>
          <t>BaseDamage</t>
        </is>
      </c>
      <c r="K1498" s="5" t="inlineStr">
        <is>
          <t>BaseHitDamage</t>
        </is>
      </c>
      <c r="L1498" s="5" t="inlineStr">
        <is>
          <t>NonCritAvg</t>
        </is>
      </c>
      <c r="M1498" s="5" t="inlineStr">
        <is>
          <t>CritAvg</t>
        </is>
      </c>
      <c r="N1498" s="5" t="inlineStr">
        <is>
          <t>ExpectedDamage(perHit)</t>
        </is>
      </c>
      <c r="O1498" s="5" t="inlineStr">
        <is>
          <t>DPS</t>
        </is>
      </c>
      <c r="P1498" s="5" t="inlineStr">
        <is>
          <t>% of Total</t>
        </is>
      </c>
      <c r="Q1498" s="5" t="inlineStr">
        <is>
          <t>InvCooldown</t>
        </is>
      </c>
      <c r="R1498" s="5" t="inlineStr">
        <is>
          <t>CastsInFight</t>
        </is>
      </c>
      <c r="S1498" s="5" t="inlineStr">
        <is>
          <t>HitRate(perSec)</t>
        </is>
      </c>
      <c r="U1498" t="inlineStr">
        <is>
          <t>helpers</t>
        </is>
      </c>
    </row>
    <row r="1499">
      <c r="A1499">
        <f>Skills!A2</f>
        <v/>
      </c>
      <c r="B1499">
        <f>Skills!B2</f>
        <v/>
      </c>
      <c r="C1499">
        <f>Inputs!$B$3&gt;=100</f>
        <v/>
      </c>
      <c r="D1499" t="inlineStr"/>
      <c r="E1499" t="inlineStr"/>
      <c r="F1499">
        <f>U1501+Skills!O2</f>
        <v/>
      </c>
      <c r="G1499">
        <f>Skills!G2*IF(Skills!H2&gt;0,Skills!I2/Skills!H2,1)</f>
        <v/>
      </c>
      <c r="H1499">
        <f>1-(1-Skills!J2/100)^Skills!K2</f>
        <v/>
      </c>
      <c r="I1499" t="inlineStr">
        <is>
          <t>1</t>
        </is>
      </c>
      <c r="J1499">
        <f>((Inputs!$B$6*(1+Inputs!$B$7/100))+(((Inputs!$B$12*(1+Inputs!$B$13/100))-(Inputs!$B$12*(1+Inputs!$B$13/100)))+0.25*(Inputs!$B$14-Inputs!$B$14))*(1+Inputs!$B$7/100))*(F1499/100)</f>
        <v/>
      </c>
      <c r="K1499">
        <f>J1499*(1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1521=TRUE)*(F1521-Calc!F24)),(Inputs!$B$23+((C1526=TRUE)*(F1526-Calc!F29))+(IF(ArtifactsInput!$M$15,CHOOSE(ArtifactsInput!$N$15+1,25,30,35,40,45,50)/100*(Inputs!$B$11-Inputs!$B$11),0))))/100+(Inputs!$B$23+((C1526=TRUE)*(F1526-Calc!F29))+(IF(ArtifactsInput!$M$15,CHOOSE(ArtifactsInput!$N$15+1,25,30,35,40,45,50)/100*(Inputs!$B$11-Inputs!$B$11),0)))/100)/2</f>
        <v/>
      </c>
      <c r="M1499">
        <f>L1499*(1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IF(B1540=0,0,O1499/B1540)</f>
        <v/>
      </c>
      <c r="Q1499" t="n">
        <v>0</v>
      </c>
      <c r="R1499" t="n">
        <v>0</v>
      </c>
      <c r="S1499">
        <f>IFERROR(O1499/N1499,0)</f>
        <v/>
      </c>
      <c r="T1499">
        <f>IF(C1499,(Skills!G2*N1499*B1534)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1499*(1-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9">
        <f>MAX(0,(Inputs!$B$3-100)*3)+Inputs!$B$28+Inputs!$B$29</f>
        <v/>
      </c>
      <c r="V1499">
        <f>IF(C1499,(Skills!G2*N1499*B1534)*IF(Inputs!$B$38="pvp",1,(1+(Inputs!$B$21+Skills!Q2+(IF(ArtifactsInput!$M$33,CHOOSE(ArtifactsInput!$N$33+1,30,36,42,48,54,60),0))+(IF(AND(ArtifactsInput!$M$35,Inputs!$B$4&lt;&gt;"Chapter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Skills!A3</f>
        <v/>
      </c>
      <c r="B1500">
        <f>Skills!B3</f>
        <v/>
      </c>
      <c r="C1500">
        <f>Inputs!$B$3&gt;=50</f>
        <v/>
      </c>
      <c r="D1500">
        <f>IF(Skills!C3=1,60+Inputs!$B$25+Inputs!$B$29,IF(Skills!C3=2,90+Inputs!$B$26+Inputs!$B$29,IF(Skills!C3=3,120+Inputs!$B$27+Inputs!$B$29,MAX(0,(Inputs!$B$3-100)*3)+Inputs!$B$28+Inputs!$B$29)))</f>
        <v/>
      </c>
      <c r="E1500">
        <f>INDEX(FactorTable!$B$2:$Y$301, MATCH(ROUND(MIN(300,MAX(1,D1500)),0), FactorTable!$A$2:$A$301,0), Skills!M3+1)</f>
        <v/>
      </c>
      <c r="F1500">
        <f>IF(Skills!N3=TRUE,(Skills!L3/10)*(E1500/1000),Skills!L3/10)+Skills!O3</f>
        <v/>
      </c>
      <c r="G1500" t="inlineStr"/>
      <c r="H1500" t="inlineStr"/>
      <c r="I1500" t="inlineStr">
        <is>
          <t>1</t>
        </is>
      </c>
      <c r="J1500" t="inlineStr"/>
      <c r="K1500" t="inlineStr"/>
      <c r="L1500" t="inlineStr"/>
      <c r="M1500" t="inlineStr"/>
      <c r="N1500" t="inlineStr"/>
      <c r="O1500" t="inlineStr"/>
      <c r="P1500" t="inlineStr"/>
      <c r="Q1500" t="inlineStr"/>
      <c r="R1500" t="inlineStr"/>
      <c r="S1500" t="inlineStr"/>
      <c r="T1500" t="inlineStr"/>
      <c r="U1500">
        <f>INDEX(FactorTable!$B$2:$Y$301, MATCH(ROUND(MIN(300,MAX(1,U1499)),0), FactorTable!$A$2:$A$301,0), 22)</f>
        <v/>
      </c>
      <c r="V1500" t="inlineStr"/>
    </row>
    <row r="1501">
      <c r="A1501">
        <f>Skills!A4</f>
        <v/>
      </c>
      <c r="B1501">
        <f>Skills!B4</f>
        <v/>
      </c>
      <c r="C1501">
        <f>Inputs!$B$3&gt;=105</f>
        <v/>
      </c>
      <c r="D1501">
        <f>IF(Skills!C4=1,60+Inputs!$B$25+Inputs!$B$29,IF(Skills!C4=2,90+Inputs!$B$26+Inputs!$B$29,IF(Skills!C4=3,120+Inputs!$B$27+Inputs!$B$29,MAX(0,(Inputs!$B$3-100)*3)+Inputs!$B$28+Inputs!$B$29)))</f>
        <v/>
      </c>
      <c r="E1501">
        <f>INDEX(FactorTable!$B$2:$Y$301, MATCH(ROUND(MIN(300,MAX(1,D1501)),0), FactorTable!$A$2:$A$301,0), Skills!M4+1)</f>
        <v/>
      </c>
      <c r="F1501">
        <f>IF(Skills!N4=TRUE,(Skills!L4/10)*(E1501/1000),Skills!L4/10)+Skills!O4</f>
        <v/>
      </c>
      <c r="G1501" t="inlineStr"/>
      <c r="H1501" t="inlineStr"/>
      <c r="I1501" t="inlineStr">
        <is>
          <t>1</t>
        </is>
      </c>
      <c r="J1501" t="inlineStr"/>
      <c r="K1501" t="inlineStr"/>
      <c r="L1501" t="inlineStr"/>
      <c r="M1501" t="inlineStr"/>
      <c r="N1501" t="inlineStr"/>
      <c r="O1501" t="inlineStr"/>
      <c r="P1501" t="inlineStr"/>
      <c r="Q1501" t="inlineStr"/>
      <c r="R1501" t="inlineStr"/>
      <c r="S1501" t="inlineStr"/>
      <c r="T1501" t="inlineStr"/>
      <c r="U1501">
        <f>290*U1500/1000</f>
        <v/>
      </c>
      <c r="V1501" t="inlineStr"/>
    </row>
    <row r="1502">
      <c r="A1502">
        <f>Skills!A5</f>
        <v/>
      </c>
      <c r="B1502">
        <f>Skills!B5</f>
        <v/>
      </c>
      <c r="C1502">
        <f>Inputs!$B$3&gt;=35</f>
        <v/>
      </c>
      <c r="D1502">
        <f>IF(Skills!C5=1,60+Inputs!$B$25+Inputs!$B$29,IF(Skills!C5=2,90+Inputs!$B$26+Inputs!$B$29,IF(Skills!C5=3,120+Inputs!$B$27+Inputs!$B$29,MAX(0,(Inputs!$B$3-100)*3)+Inputs!$B$28+Inputs!$B$29)))</f>
        <v/>
      </c>
      <c r="E1502">
        <f>INDEX(FactorTable!$B$2:$Y$301, MATCH(ROUND(MIN(300,MAX(1,D1502)),0), FactorTable!$A$2:$A$301,0), Skills!M5+1)</f>
        <v/>
      </c>
      <c r="F1502">
        <f>IF(Skills!N5=TRUE,(Skills!L5/10)*(E1502/1000),Skills!L5/10)+Skills!O5</f>
        <v/>
      </c>
      <c r="G1502">
        <f>Skills!G5*IF(Skills!H5&gt;0,Skills!I5/Skills!H5,1)</f>
        <v/>
      </c>
      <c r="H1502">
        <f>1-(1-Skills!J5/100)^Skills!K5</f>
        <v/>
      </c>
      <c r="I1502" t="inlineStr">
        <is>
          <t>1</t>
        </is>
      </c>
      <c r="J1502">
        <f>((Inputs!$B$6*(1+Inputs!$B$7/100))+(((Inputs!$B$12*(1+Inputs!$B$13/100))-(Inputs!$B$12*(1+Inputs!$B$13/100)))+0.25*(Inputs!$B$14-Inputs!$B$14))*(1+Inputs!$B$7/100))*(F1502/100)</f>
        <v/>
      </c>
      <c r="K1502">
        <f>J1502*(1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1507=TRUE,F1507,0)/100)*(1+(IF(Skills!A5="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1521=TRUE)*(F1521-Calc!F24)),(Inputs!$B$23+((C1526=TRUE)*(F1526-Calc!F29))+(IF(ArtifactsInput!$M$15,CHOOSE(ArtifactsInput!$N$15+1,25,30,35,40,45,50)/100*(Inputs!$B$11-Inputs!$B$11),0))))/100+(Inputs!$B$23+((C1526=TRUE)*(F1526-Calc!F29))+(IF(ArtifactsInput!$M$15,CHOOSE(ArtifactsInput!$N$15+1,25,30,35,40,45,50)/100*(Inputs!$B$11-Inputs!$B$11),0)))/100)/2</f>
        <v/>
      </c>
      <c r="M1502">
        <f>L1502*(1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IF(B1540=0,0,O1502/B1540)</f>
        <v/>
      </c>
      <c r="Q1502">
        <f>IFERROR(1/(IF(Inputs!$B$38="pvp",15,MAX(0.1,Skills!D5-IF(Skills!E5=TRUE,Inputs!$B$32,0)))*(1-IF(AND(ArtifactsInput!$M$27,Inputs!$B$4="Chapter Hunt"),CHOOSE(ArtifactsInput!$N$27+1,20,24,28,32,36,40),0)/100)),0)</f>
        <v/>
      </c>
      <c r="R1502">
        <f>IF(AND(Inputs!$B$38&lt;&gt;"pvp",Inputs!$B$43&gt;0),IF(MAX(0,Inputs!$B$43-B1537)&lt;=0,0,(INT(MAX(0,Inputs!$B$43-B1537)/(IF(Inputs!$B$38="pvp",15,MAX(0.1,Skills!D5-IF(Skills!E5=TRUE,Inputs!$B$32,0)))*(1-IF(AND(ArtifactsInput!$M$27,Inputs!$B$4="Chapter Hunt"),CHOOSE(ArtifactsInput!$N$27+1,20,24,28,32,36,40),0)/100)))+1)),0)</f>
        <v/>
      </c>
      <c r="S1502">
        <f>IFERROR(O1502/N1502,0)</f>
        <v/>
      </c>
      <c r="T1502">
        <f>IF(C1502,(H1502*N1502*IF(AND(Inputs!$B$38&lt;&gt;"pvp",Inputs!$B$43&gt;0),((Skills!G5*((R1502-1)*IF(Skills!H5&gt;0,Skills!I5/Skills!H5,1)+IF(Skills!H5&gt;0,MIN(Skills!I5,MAX(0,MAX(0,Inputs!$B$43-B1537)-((R1502-1)*(IF(Inputs!$B$38="pvp",15,MAX(0.1,Skills!D5-IF(Skills!E5=TRUE,Inputs!$B$32,0)))*(1-IF(AND(ArtifactsInput!$M$27,Inputs!$B$4="Chapter Hunt"),CHOOSE(ArtifactsInput!$N$27+1,20,24,28,32,36,40),0)/100)))))/Skills!H5,1)))/Inputs!$B$43),G1502*Q1502)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1502*(1-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5*((R1502-1)*IF(Skills!H5&gt;0,Skills!I5/Skills!H5,1)+IF(Skills!H5&gt;0,MIN(Skills!I5,MAX(0,MAX(0,Inputs!$B$43-B1537)-((R1502-1)*(IF(Inputs!$B$38="pvp",15,MAX(0.1,Skills!D5-IF(Skills!E5=TRUE,Inputs!$B$32,0)))*(1-IF(AND(ArtifactsInput!$M$27,Inputs!$B$4="Chapter Hunt"),CHOOSE(ArtifactsInput!$N$27+1,20,24,28,32,36,40),0)/100)))))/Skills!H5,1)))/Inputs!$B$43),G1502*Q1502))*IF(Inputs!$B$38="pvp",1,(1+(Inputs!$B$21+Skills!Q5+(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Skills!A6</f>
        <v/>
      </c>
      <c r="B1503">
        <f>Skills!B6</f>
        <v/>
      </c>
      <c r="C1503">
        <f>Inputs!$B$3&gt;=40</f>
        <v/>
      </c>
      <c r="D1503">
        <f>IF(Skills!C6=1,60+Inputs!$B$25+Inputs!$B$29,IF(Skills!C6=2,90+Inputs!$B$26+Inputs!$B$29,IF(Skills!C6=3,120+Inputs!$B$27+Inputs!$B$29,MAX(0,(Inputs!$B$3-100)*3)+Inputs!$B$28+Inputs!$B$29)))</f>
        <v/>
      </c>
      <c r="E1503">
        <f>INDEX(FactorTable!$B$2:$Y$301, MATCH(ROUND(MIN(300,MAX(1,D1503)),0), FactorTable!$A$2:$A$301,0), Skills!M6+1)</f>
        <v/>
      </c>
      <c r="F1503">
        <f>IF(Skills!N6=TRUE,(Skills!L6/10)*(E1503/1000),Skills!L6/10)+Skills!O6</f>
        <v/>
      </c>
      <c r="G1503">
        <f>Skills!G6*IF(Skills!H6&gt;0,Skills!I6/Skills!H6,1)</f>
        <v/>
      </c>
      <c r="H1503">
        <f>1-(1-Skills!J6/100)^Skills!K6</f>
        <v/>
      </c>
      <c r="I1503" t="inlineStr">
        <is>
          <t>1</t>
        </is>
      </c>
      <c r="J1503">
        <f>((Inputs!$B$6*(1+Inputs!$B$7/100))+(((Inputs!$B$12*(1+Inputs!$B$13/100))-(Inputs!$B$12*(1+Inputs!$B$13/100)))+0.25*(Inputs!$B$14-Inputs!$B$14))*(1+Inputs!$B$7/100))*(F1503/100)</f>
        <v/>
      </c>
      <c r="K1503">
        <f>J1503*(1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1504=TRUE,F1504,0)/100)*(1+(IF(Skills!A6="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1521=TRUE)*(F1521-Calc!F24)),(Inputs!$B$23+((C1526=TRUE)*(F1526-Calc!F29))+(IF(ArtifactsInput!$M$15,CHOOSE(ArtifactsInput!$N$15+1,25,30,35,40,45,50)/100*(Inputs!$B$11-Inputs!$B$11),0))))/100+(Inputs!$B$23+((C1526=TRUE)*(F1526-Calc!F29))+(IF(ArtifactsInput!$M$15,CHOOSE(ArtifactsInput!$N$15+1,25,30,35,40,45,50)/100*(Inputs!$B$11-Inputs!$B$11),0)))/100)/2</f>
        <v/>
      </c>
      <c r="M1503">
        <f>L1503*(1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IF(B1540=0,0,O1503/B1540)</f>
        <v/>
      </c>
      <c r="Q1503">
        <f>IFERROR(1/(IF(Inputs!$B$38="pvp",15,MAX(0.1,Skills!D6-IF(Skills!E6=TRUE,Inputs!$B$32,0)))*(1-IF(AND(ArtifactsInput!$M$27,Inputs!$B$4="Chapter Hunt"),CHOOSE(ArtifactsInput!$N$27+1,20,24,28,32,36,40),0)/100)),0)</f>
        <v/>
      </c>
      <c r="R1503">
        <f>IF(AND(Inputs!$B$38&lt;&gt;"pvp",Inputs!$B$43&gt;0),IF(MAX(0,Inputs!$B$43-B1537)&lt;=0,0,(INT(MAX(0,Inputs!$B$43-B1537)/(IF(Inputs!$B$38="pvp",15,MAX(0.1,Skills!D6-IF(Skills!E6=TRUE,Inputs!$B$32,0)))*(1-IF(AND(ArtifactsInput!$M$27,Inputs!$B$4="Chapter Hunt"),CHOOSE(ArtifactsInput!$N$27+1,20,24,28,32,36,40),0)/100)))+1)),0)</f>
        <v/>
      </c>
      <c r="S1503">
        <f>IFERROR(O1503/N1503,0)</f>
        <v/>
      </c>
      <c r="T1503">
        <f>IF(C1503,(H1503*N1503*IF(AND(Inputs!$B$38&lt;&gt;"pvp",Inputs!$B$43&gt;0),((Skills!G6*((R1503-1)*IF(Skills!H6&gt;0,Skills!I6/Skills!H6,1)+IF(Skills!H6&gt;0,MIN(Skills!I6,MAX(0,MAX(0,Inputs!$B$43-B1537)-((R1503-1)*(IF(Inputs!$B$38="pvp",15,MAX(0.1,Skills!D6-IF(Skills!E6=TRUE,Inputs!$B$32,0)))*(1-IF(AND(ArtifactsInput!$M$27,Inputs!$B$4="Chapter Hunt"),CHOOSE(ArtifactsInput!$N$27+1,20,24,28,32,36,40),0)/100)))))/Skills!H6,1)))/Inputs!$B$43),G1503*Q1503)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1503*(1-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6*((R1503-1)*IF(Skills!H6&gt;0,Skills!I6/Skills!H6,1)+IF(Skills!H6&gt;0,MIN(Skills!I6,MAX(0,MAX(0,Inputs!$B$43-B1537)-((R1503-1)*(IF(Inputs!$B$38="pvp",15,MAX(0.1,Skills!D6-IF(Skills!E6=TRUE,Inputs!$B$32,0)))*(1-IF(AND(ArtifactsInput!$M$27,Inputs!$B$4="Chapter Hunt"),CHOOSE(ArtifactsInput!$N$27+1,20,24,28,32,36,40),0)/100)))))/Skills!H6,1)))/Inputs!$B$43),G1503*Q1503))*IF(Inputs!$B$38="pvp",1,(1+(Inputs!$B$21+Skills!Q6+(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Skills!A7</f>
        <v/>
      </c>
      <c r="B1504">
        <f>Skills!B7</f>
        <v/>
      </c>
      <c r="C1504">
        <f>Inputs!$B$3&gt;=107</f>
        <v/>
      </c>
      <c r="D1504">
        <f>IF(Skills!C7=1,60+Inputs!$B$25+Inputs!$B$29,IF(Skills!C7=2,90+Inputs!$B$26+Inputs!$B$29,IF(Skills!C7=3,120+Inputs!$B$27+Inputs!$B$29,MAX(0,(Inputs!$B$3-100)*3)+Inputs!$B$28+Inputs!$B$29)))</f>
        <v/>
      </c>
      <c r="E1504">
        <f>INDEX(FactorTable!$B$2:$Y$301, MATCH(ROUND(MIN(300,MAX(1,D1504)),0), FactorTable!$A$2:$A$301,0), Skills!M7+1)</f>
        <v/>
      </c>
      <c r="F1504">
        <f>IF(Skills!N7=TRUE,(Skills!L7/10)*(E1504/1000),Skills!L7/10)+Skills!O7</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T1504" t="inlineStr"/>
      <c r="V1504" t="inlineStr"/>
    </row>
    <row r="1505">
      <c r="A1505">
        <f>Skills!A8</f>
        <v/>
      </c>
      <c r="B1505">
        <f>Skills!B8</f>
        <v/>
      </c>
      <c r="C1505">
        <f>Inputs!$B$3&gt;=69</f>
        <v/>
      </c>
      <c r="D1505">
        <f>IF(Skills!C8=1,60+Inputs!$B$25+Inputs!$B$29,IF(Skills!C8=2,90+Inputs!$B$26+Inputs!$B$29,IF(Skills!C8=3,120+Inputs!$B$27+Inputs!$B$29,MAX(0,(Inputs!$B$3-100)*3)+Inputs!$B$28+Inputs!$B$29)))</f>
        <v/>
      </c>
      <c r="E1505">
        <f>INDEX(FactorTable!$B$2:$Y$301, MATCH(ROUND(MIN(300,MAX(1,D1505)),0), FactorTable!$A$2:$A$301,0), Skills!M8+1)</f>
        <v/>
      </c>
      <c r="F1505">
        <f>IF(Skills!N8=TRUE,(Skills!L8/10)*(E1505/1000),Skills!L8/10)+Skills!O8</f>
        <v/>
      </c>
      <c r="G1505">
        <f>Skills!G8*IF(Skills!H8&gt;0,Skills!I8/Skills!H8,1)</f>
        <v/>
      </c>
      <c r="H1505">
        <f>1-(1-Skills!J8/100)^Skills!K8</f>
        <v/>
      </c>
      <c r="I1505" t="inlineStr">
        <is>
          <t>1</t>
        </is>
      </c>
      <c r="J1505">
        <f>((Inputs!$B$6*(1+Inputs!$B$7/100))+(((Inputs!$B$12*(1+Inputs!$B$13/100))-(Inputs!$B$12*(1+Inputs!$B$13/100)))+0.25*(Inputs!$B$14-Inputs!$B$14))*(1+Inputs!$B$7/100))*(F1505/100)</f>
        <v/>
      </c>
      <c r="K1505">
        <f>J1505*(1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1507=TRUE,F1507,0)/100)*(1+(IF(Skills!A8="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1521=TRUE)*(F1521-Calc!F24)),(Inputs!$B$23+((C1526=TRUE)*(F1526-Calc!F29))+(IF(ArtifactsInput!$M$15,CHOOSE(ArtifactsInput!$N$15+1,25,30,35,40,45,50)/100*(Inputs!$B$11-Inputs!$B$11),0))))/100+(Inputs!$B$23+((C1526=TRUE)*(F1526-Calc!F29))+(IF(ArtifactsInput!$M$15,CHOOSE(ArtifactsInput!$N$15+1,25,30,35,40,45,50)/100*(Inputs!$B$11-Inputs!$B$11),0)))/100)/2</f>
        <v/>
      </c>
      <c r="M1505">
        <f>L1505*(1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IF(B1540=0,0,O1505/B1540)</f>
        <v/>
      </c>
      <c r="Q1505">
        <f>IFERROR(1/(IF(Inputs!$B$38="pvp",15,MAX(0.1,Skills!D8-IF(Skills!E8=TRUE,Inputs!$B$32,0)))*(1-IF(AND(ArtifactsInput!$M$27,Inputs!$B$4="Chapter Hunt"),CHOOSE(ArtifactsInput!$N$27+1,20,24,28,32,36,40),0)/100)),0)</f>
        <v/>
      </c>
      <c r="R1505">
        <f>IF(AND(Inputs!$B$38&lt;&gt;"pvp",Inputs!$B$43&gt;0),IF(MAX(0,Inputs!$B$43-B1537)&lt;=0,0,(INT(MAX(0,Inputs!$B$43-B1537)/(IF(Inputs!$B$38="pvp",15,MAX(0.1,Skills!D8-IF(Skills!E8=TRUE,Inputs!$B$32,0)))*(1-IF(AND(ArtifactsInput!$M$27,Inputs!$B$4="Chapter Hunt"),CHOOSE(ArtifactsInput!$N$27+1,20,24,28,32,36,40),0)/100)))+1)),0)</f>
        <v/>
      </c>
      <c r="S1505">
        <f>IFERROR(O1505/N1505,0)</f>
        <v/>
      </c>
      <c r="T1505">
        <f>IF(C1505,(H1505*N1505*IF(AND(Inputs!$B$38&lt;&gt;"pvp",Inputs!$B$43&gt;0),((Skills!G8*((R1505-1)*IF(Skills!H8&gt;0,Skills!I8/Skills!H8,1)+IF(Skills!H8&gt;0,MIN(Skills!I8,MAX(0,MAX(0,Inputs!$B$43-B1537)-((R1505-1)*(IF(Inputs!$B$38="pvp",15,MAX(0.1,Skills!D8-IF(Skills!E8=TRUE,Inputs!$B$32,0)))*(1-IF(AND(ArtifactsInput!$M$27,Inputs!$B$4="Chapter Hunt"),CHOOSE(ArtifactsInput!$N$27+1,20,24,28,32,36,40),0)/100)))))/Skills!H8,1)))/Inputs!$B$43),G1505*Q1505)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1505*(1-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8*((R1505-1)*IF(Skills!H8&gt;0,Skills!I8/Skills!H8,1)+IF(Skills!H8&gt;0,MIN(Skills!I8,MAX(0,MAX(0,Inputs!$B$43-B1537)-((R1505-1)*(IF(Inputs!$B$38="pvp",15,MAX(0.1,Skills!D8-IF(Skills!E8=TRUE,Inputs!$B$32,0)))*(1-IF(AND(ArtifactsInput!$M$27,Inputs!$B$4="Chapter Hunt"),CHOOSE(ArtifactsInput!$N$27+1,20,24,28,32,36,40),0)/100)))))/Skills!H8,1)))/Inputs!$B$43),G1505*Q1505))*IF(Inputs!$B$38="pvp",1,(1+(Inputs!$B$21+Skills!Q8+(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Skills!A9</f>
        <v/>
      </c>
      <c r="B1506">
        <f>Skills!B9</f>
        <v/>
      </c>
      <c r="C1506">
        <f>Inputs!$B$3&gt;=63</f>
        <v/>
      </c>
      <c r="D1506">
        <f>IF(Skills!C9=1,60+Inputs!$B$25+Inputs!$B$29,IF(Skills!C9=2,90+Inputs!$B$26+Inputs!$B$29,IF(Skills!C9=3,120+Inputs!$B$27+Inputs!$B$29,MAX(0,(Inputs!$B$3-100)*3)+Inputs!$B$28+Inputs!$B$29)))</f>
        <v/>
      </c>
      <c r="E1506">
        <f>INDEX(FactorTable!$B$2:$Y$301, MATCH(ROUND(MIN(300,MAX(1,D1506)),0), FactorTable!$A$2:$A$301,0), Skills!M9+1)</f>
        <v/>
      </c>
      <c r="F1506">
        <f>IF(Skills!N9=TRUE,(Skills!L9/10)*(E1506/1000),Skills!L9/10)+Skills!O9</f>
        <v/>
      </c>
      <c r="G1506">
        <f>Skills!G9*IF(Skills!H9&gt;0,Skills!I9/Skills!H9,1)</f>
        <v/>
      </c>
      <c r="H1506">
        <f>1-(1-Skills!J9/100)^Skills!K9</f>
        <v/>
      </c>
      <c r="I1506" t="inlineStr">
        <is>
          <t>1</t>
        </is>
      </c>
      <c r="J1506">
        <f>((Inputs!$B$6*(1+Inputs!$B$7/100))+(((Inputs!$B$12*(1+Inputs!$B$13/100))-(Inputs!$B$12*(1+Inputs!$B$13/100)))+0.25*(Inputs!$B$14-Inputs!$B$14))*(1+Inputs!$B$7/100))*(F1506/100)</f>
        <v/>
      </c>
      <c r="K1506">
        <f>J1506*(1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1507=TRUE,F1507,0)/100)*(1+(IF(Skills!A9="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1521=TRUE)*(F1521-Calc!F24)),(Inputs!$B$23+((C1526=TRUE)*(F1526-Calc!F29))+(IF(ArtifactsInput!$M$15,CHOOSE(ArtifactsInput!$N$15+1,25,30,35,40,45,50)/100*(Inputs!$B$11-Inputs!$B$11),0))))/100+(Inputs!$B$23+((C1526=TRUE)*(F1526-Calc!F29))+(IF(ArtifactsInput!$M$15,CHOOSE(ArtifactsInput!$N$15+1,25,30,35,40,45,50)/100*(Inputs!$B$11-Inputs!$B$11),0)))/100)/2</f>
        <v/>
      </c>
      <c r="M1506">
        <f>L1506*(1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IF(B1540=0,0,O1506/B1540)</f>
        <v/>
      </c>
      <c r="Q1506">
        <f>IFERROR(1/(IF(Inputs!$B$38="pvp",15,MAX(0.1,Skills!D9-IF(Skills!E9=TRUE,Inputs!$B$32,0)))*(1-IF(AND(ArtifactsInput!$M$27,Inputs!$B$4="Chapter Hunt"),CHOOSE(ArtifactsInput!$N$27+1,20,24,28,32,36,40),0)/100)),0)</f>
        <v/>
      </c>
      <c r="R1506">
        <f>IF(AND(Inputs!$B$38&lt;&gt;"pvp",Inputs!$B$43&gt;0),IF(MAX(0,Inputs!$B$43-B1537)&lt;=0,0,(INT(MAX(0,Inputs!$B$43-B1537)/(IF(Inputs!$B$38="pvp",15,MAX(0.1,Skills!D9-IF(Skills!E9=TRUE,Inputs!$B$32,0)))*(1-IF(AND(ArtifactsInput!$M$27,Inputs!$B$4="Chapter Hunt"),CHOOSE(ArtifactsInput!$N$27+1,20,24,28,32,36,40),0)/100)))+1)),0)</f>
        <v/>
      </c>
      <c r="S1506">
        <f>IFERROR(O1506/N1506,0)</f>
        <v/>
      </c>
      <c r="T1506">
        <f>IF(C1506,(H1506*N1506*IF(AND(Inputs!$B$38&lt;&gt;"pvp",Inputs!$B$43&gt;0),((Skills!G9*((R1506-1)*IF(Skills!H9&gt;0,Skills!I9/Skills!H9,1)+IF(Skills!H9&gt;0,MIN(Skills!I9,MAX(0,MAX(0,Inputs!$B$43-B1537)-((R1506-1)*(IF(Inputs!$B$38="pvp",15,MAX(0.1,Skills!D9-IF(Skills!E9=TRUE,Inputs!$B$32,0)))*(1-IF(AND(ArtifactsInput!$M$27,Inputs!$B$4="Chapter Hunt"),CHOOSE(ArtifactsInput!$N$27+1,20,24,28,32,36,40),0)/100)))))/Skills!H9,1)))/Inputs!$B$43),G1506*Q1506)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1506*(1-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9*((R1506-1)*IF(Skills!H9&gt;0,Skills!I9/Skills!H9,1)+IF(Skills!H9&gt;0,MIN(Skills!I9,MAX(0,MAX(0,Inputs!$B$43-B1537)-((R1506-1)*(IF(Inputs!$B$38="pvp",15,MAX(0.1,Skills!D9-IF(Skills!E9=TRUE,Inputs!$B$32,0)))*(1-IF(AND(ArtifactsInput!$M$27,Inputs!$B$4="Chapter Hunt"),CHOOSE(ArtifactsInput!$N$27+1,20,24,28,32,36,40),0)/100)))))/Skills!H9,1)))/Inputs!$B$43),G1506*Q1506))*IF(Inputs!$B$38="pvp",1,(1+(Inputs!$B$21+Skills!Q9+(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Skills!A10</f>
        <v/>
      </c>
      <c r="B1507">
        <f>Skills!B10</f>
        <v/>
      </c>
      <c r="C1507">
        <f>Inputs!$B$3&gt;=100</f>
        <v/>
      </c>
      <c r="D1507">
        <f>IF(Skills!C10=1,60+Inputs!$B$25+Inputs!$B$29,IF(Skills!C10=2,90+Inputs!$B$26+Inputs!$B$29,IF(Skills!C10=3,120+Inputs!$B$27+Inputs!$B$29,MAX(0,(Inputs!$B$3-100)*3)+Inputs!$B$28+Inputs!$B$29)))</f>
        <v/>
      </c>
      <c r="E1507">
        <f>INDEX(FactorTable!$B$2:$Y$301, MATCH(ROUND(MIN(300,MAX(1,D1507)),0), FactorTable!$A$2:$A$301,0), Skills!M10+1)</f>
        <v/>
      </c>
      <c r="F1507">
        <f>IF(Skills!N10=TRUE,(Skills!L10/10)*(E1507/1000),Skills!L10/10)+Skills!O10</f>
        <v/>
      </c>
      <c r="G1507" t="inlineStr"/>
      <c r="H1507" t="inlineStr"/>
      <c r="I1507" t="inlineStr">
        <is>
          <t>1</t>
        </is>
      </c>
      <c r="J1507" t="inlineStr"/>
      <c r="K1507" t="inlineStr"/>
      <c r="L1507" t="inlineStr"/>
      <c r="M1507" t="inlineStr"/>
      <c r="N1507" t="inlineStr"/>
      <c r="O1507" t="inlineStr"/>
      <c r="P1507" t="inlineStr"/>
      <c r="Q1507" t="inlineStr"/>
      <c r="R1507" t="inlineStr"/>
      <c r="S1507" t="inlineStr"/>
      <c r="T1507" t="inlineStr"/>
      <c r="V1507" t="inlineStr"/>
    </row>
    <row r="1508">
      <c r="A1508">
        <f>Skills!A11</f>
        <v/>
      </c>
      <c r="B1508">
        <f>Skills!B11</f>
        <v/>
      </c>
      <c r="C1508">
        <f>Inputs!$B$3&gt;=60</f>
        <v/>
      </c>
      <c r="D1508">
        <f>IF(Skills!C11=1,60+Inputs!$B$25+Inputs!$B$29,IF(Skills!C11=2,90+Inputs!$B$26+Inputs!$B$29,IF(Skills!C11=3,120+Inputs!$B$27+Inputs!$B$29,MAX(0,(Inputs!$B$3-100)*3)+Inputs!$B$28+Inputs!$B$29)))</f>
        <v/>
      </c>
      <c r="E1508">
        <f>INDEX(FactorTable!$B$2:$Y$301, MATCH(ROUND(MIN(300,MAX(1,D1508)),0), FactorTable!$A$2:$A$301,0), Skills!M11+1)</f>
        <v/>
      </c>
      <c r="F1508">
        <f>IF(Skills!N11=TRUE,(Skills!L11/10)*(E1508/1000),Skills!L11/10)+Skills!O11</f>
        <v/>
      </c>
      <c r="G1508">
        <f>Skills!G11*IF(Skills!H11&gt;0,Skills!I11/Skills!H11,1)</f>
        <v/>
      </c>
      <c r="H1508">
        <f>1-(1-Skills!J11/100)^Skills!K11</f>
        <v/>
      </c>
      <c r="I1508" t="inlineStr">
        <is>
          <t>1</t>
        </is>
      </c>
      <c r="J1508">
        <f>((Inputs!$B$6*(1+Inputs!$B$7/100))+(((Inputs!$B$12*(1+Inputs!$B$13/100))-(Inputs!$B$12*(1+Inputs!$B$13/100)))+0.25*(Inputs!$B$14-Inputs!$B$14))*(1+Inputs!$B$7/100))*(F1508/100)</f>
        <v/>
      </c>
      <c r="K1508">
        <f>J1508*(1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1509=TRUE,F1509,0)/100)*(1+(IF(Skills!A11="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1521=TRUE)*(F1521-Calc!F24)),(Inputs!$B$23+((C1526=TRUE)*(F1526-Calc!F29))+(IF(ArtifactsInput!$M$15,CHOOSE(ArtifactsInput!$N$15+1,25,30,35,40,45,50)/100*(Inputs!$B$11-Inputs!$B$11),0))))/100+(Inputs!$B$23+((C1526=TRUE)*(F1526-Calc!F29))+(IF(ArtifactsInput!$M$15,CHOOSE(ArtifactsInput!$N$15+1,25,30,35,40,45,50)/100*(Inputs!$B$11-Inputs!$B$11),0)))/100)/2</f>
        <v/>
      </c>
      <c r="M1508">
        <f>L1508*(1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IF(B1540=0,0,O1508/B1540)</f>
        <v/>
      </c>
      <c r="Q1508">
        <f>IFERROR(1/(IF(Inputs!$B$38="pvp",15,MAX(0.1,Skills!D11-IF(Skills!E11=TRUE,Inputs!$B$32,0)))*(1-IF(AND(ArtifactsInput!$M$27,Inputs!$B$4="Chapter Hunt"),CHOOSE(ArtifactsInput!$N$27+1,20,24,28,32,36,40),0)/100)),0)</f>
        <v/>
      </c>
      <c r="R1508">
        <f>IF(AND(Inputs!$B$38&lt;&gt;"pvp",Inputs!$B$43&gt;0),IF(MAX(0,Inputs!$B$43-B1537)&lt;=0,0,(INT(MAX(0,Inputs!$B$43-B1537)/(IF(Inputs!$B$38="pvp",15,MAX(0.1,Skills!D11-IF(Skills!E11=TRUE,Inputs!$B$32,0)))*(1-IF(AND(ArtifactsInput!$M$27,Inputs!$B$4="Chapter Hunt"),CHOOSE(ArtifactsInput!$N$27+1,20,24,28,32,36,40),0)/100)))+1)),0)</f>
        <v/>
      </c>
      <c r="S1508">
        <f>IFERROR(O1508/N1508,0)</f>
        <v/>
      </c>
      <c r="T1508">
        <f>IF(C1508,(H1508*N1508*IF(AND(Inputs!$B$38&lt;&gt;"pvp",Inputs!$B$43&gt;0),((Skills!G11*((R1508-1)*IF(Skills!H11&gt;0,Skills!I11/Skills!H11,1)+IF(Skills!H11&gt;0,MIN(Skills!I11,MAX(0,MAX(0,Inputs!$B$43-B1537)-((R1508-1)*(IF(Inputs!$B$38="pvp",15,MAX(0.1,Skills!D11-IF(Skills!E11=TRUE,Inputs!$B$32,0)))*(1-IF(AND(ArtifactsInput!$M$27,Inputs!$B$4="Chapter Hunt"),CHOOSE(ArtifactsInput!$N$27+1,20,24,28,32,36,40),0)/100)))))/Skills!H11,1)))/Inputs!$B$43),G1508*Q1508)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1508*(1-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11*((R1508-1)*IF(Skills!H11&gt;0,Skills!I11/Skills!H11,1)+IF(Skills!H11&gt;0,MIN(Skills!I11,MAX(0,MAX(0,Inputs!$B$43-B1537)-((R1508-1)*(IF(Inputs!$B$38="pvp",15,MAX(0.1,Skills!D11-IF(Skills!E11=TRUE,Inputs!$B$32,0)))*(1-IF(AND(ArtifactsInput!$M$27,Inputs!$B$4="Chapter Hunt"),CHOOSE(ArtifactsInput!$N$27+1,20,24,28,32,36,40),0)/100)))))/Skills!H11,1)))/Inputs!$B$43),G1508*Q1508))*IF(Inputs!$B$38="pvp",1,(1+(Inputs!$B$21+Skills!Q11+(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Skills!A12</f>
        <v/>
      </c>
      <c r="B1509">
        <f>Skills!B12</f>
        <v/>
      </c>
      <c r="C1509">
        <f>Inputs!$B$3&gt;=110</f>
        <v/>
      </c>
      <c r="D1509">
        <f>IF(Skills!C12=1,60+Inputs!$B$25+Inputs!$B$29,IF(Skills!C12=2,90+Inputs!$B$26+Inputs!$B$29,IF(Skills!C12=3,120+Inputs!$B$27+Inputs!$B$29,MAX(0,(Inputs!$B$3-100)*3)+Inputs!$B$28+Inputs!$B$29)))</f>
        <v/>
      </c>
      <c r="E1509">
        <f>INDEX(FactorTable!$B$2:$Y$301, MATCH(ROUND(MIN(300,MAX(1,D1509)),0), FactorTable!$A$2:$A$301,0), Skills!M12+1)</f>
        <v/>
      </c>
      <c r="F1509">
        <f>IF(Skills!N12=TRUE,(Skills!L12/10)*(E1509/1000),Skills!L12/10)+Skills!O12</f>
        <v/>
      </c>
      <c r="G1509" t="inlineStr"/>
      <c r="H1509" t="inlineStr"/>
      <c r="I1509" t="inlineStr">
        <is>
          <t>1</t>
        </is>
      </c>
      <c r="J1509" t="inlineStr"/>
      <c r="K1509" t="inlineStr"/>
      <c r="L1509" t="inlineStr"/>
      <c r="M1509" t="inlineStr"/>
      <c r="N1509" t="inlineStr"/>
      <c r="O1509" t="inlineStr"/>
      <c r="P1509" t="inlineStr"/>
      <c r="Q1509" t="inlineStr"/>
      <c r="R1509" t="inlineStr"/>
      <c r="S1509" t="inlineStr"/>
      <c r="T1509" t="inlineStr"/>
      <c r="V1509" t="inlineStr"/>
    </row>
    <row r="1510">
      <c r="A1510">
        <f>Skills!A13</f>
        <v/>
      </c>
      <c r="B1510">
        <f>Skills!B13</f>
        <v/>
      </c>
      <c r="C1510">
        <f>Inputs!$B$3&gt;=74</f>
        <v/>
      </c>
      <c r="D1510">
        <f>IF(Skills!C13=1,60+Inputs!$B$25+Inputs!$B$29,IF(Skills!C13=2,90+Inputs!$B$26+Inputs!$B$29,IF(Skills!C13=3,120+Inputs!$B$27+Inputs!$B$29,MAX(0,(Inputs!$B$3-100)*3)+Inputs!$B$28+Inputs!$B$29)))</f>
        <v/>
      </c>
      <c r="E1510">
        <f>INDEX(FactorTable!$B$2:$Y$301, MATCH(ROUND(MIN(300,MAX(1,D1510)),0), FactorTable!$A$2:$A$301,0), Skills!M13+1)</f>
        <v/>
      </c>
      <c r="F1510">
        <f>IF(Skills!N13=TRUE,(Skills!L13/10)*(E1510/1000),Skills!L13/10)+Skills!O13</f>
        <v/>
      </c>
      <c r="G1510">
        <f>Skills!G13*IF(Skills!H13&gt;0,Skills!I13/Skills!H13,1)</f>
        <v/>
      </c>
      <c r="H1510">
        <f>1-(1-Skills!J13/100)^Skills!K13</f>
        <v/>
      </c>
      <c r="I1510" t="inlineStr">
        <is>
          <t>1</t>
        </is>
      </c>
      <c r="J1510" t="inlineStr"/>
      <c r="K1510" t="inlineStr"/>
      <c r="L1510" t="inlineStr"/>
      <c r="M1510" t="inlineStr"/>
      <c r="N1510" t="inlineStr"/>
      <c r="O1510">
        <f>(1-Summary!$B$11)*T1510+Summary!$B$11*V1510</f>
        <v/>
      </c>
      <c r="P1510">
        <f>IF(B1540=0,0,O1510/B1540)</f>
        <v/>
      </c>
      <c r="Q1510" t="n">
        <v>0</v>
      </c>
      <c r="R1510" t="n">
        <v>0</v>
      </c>
      <c r="S1510">
        <f>IFERROR(O1510/N1510,0)</f>
        <v/>
      </c>
      <c r="T1510" t="n">
        <v>0</v>
      </c>
      <c r="V1510" t="n">
        <v>0</v>
      </c>
    </row>
    <row r="1511">
      <c r="A1511">
        <f>Skills!A14</f>
        <v/>
      </c>
      <c r="B1511">
        <f>Skills!B14</f>
        <v/>
      </c>
      <c r="C1511">
        <f>Inputs!$B$3&gt;=74</f>
        <v/>
      </c>
      <c r="D1511">
        <f>IF(Skills!C14=1,60+Inputs!$B$25+Inputs!$B$29,IF(Skills!C14=2,90+Inputs!$B$26+Inputs!$B$29,IF(Skills!C14=3,120+Inputs!$B$27+Inputs!$B$29,MAX(0,(Inputs!$B$3-100)*3)+Inputs!$B$28+Inputs!$B$29)))</f>
        <v/>
      </c>
      <c r="E1511">
        <f>INDEX(FactorTable!$B$2:$Y$301, MATCH(ROUND(MIN(300,MAX(1,D1511)),0), FactorTable!$A$2:$A$301,0), Skills!M14+1)</f>
        <v/>
      </c>
      <c r="F1511">
        <f>IF(Skills!N14=TRUE,(Skills!L14/10)*(E1511/1000),Skills!L14/10)+Skills!O14</f>
        <v/>
      </c>
      <c r="G1511">
        <f>Skills!G14*IF(Skills!H14&gt;0,Skills!I14/Skills!H14,1)</f>
        <v/>
      </c>
      <c r="H1511">
        <f>1-(1-Skills!J14/100)^Skills!K14</f>
        <v/>
      </c>
      <c r="I1511" t="inlineStr">
        <is>
          <t>1</t>
        </is>
      </c>
      <c r="J1511" t="inlineStr"/>
      <c r="K1511" t="inlineStr"/>
      <c r="L1511" t="inlineStr"/>
      <c r="M1511" t="inlineStr"/>
      <c r="N1511" t="inlineStr"/>
      <c r="O1511">
        <f>(1-Summary!$B$11)*T1511+Summary!$B$11*V1511</f>
        <v/>
      </c>
      <c r="P1511">
        <f>IF(B1540=0,0,O1511/B1540)</f>
        <v/>
      </c>
      <c r="Q1511" t="n">
        <v>0</v>
      </c>
      <c r="R1511" t="n">
        <v>0</v>
      </c>
      <c r="S1511">
        <f>IFERROR(O1511/N1511,0)</f>
        <v/>
      </c>
      <c r="T1511" t="n">
        <v>0</v>
      </c>
      <c r="V1511" t="n">
        <v>0</v>
      </c>
    </row>
    <row r="1512">
      <c r="A1512">
        <f>Skills!A15</f>
        <v/>
      </c>
      <c r="B1512">
        <f>Skills!B15</f>
        <v/>
      </c>
      <c r="C1512">
        <f>Inputs!$B$3&gt;=117</f>
        <v/>
      </c>
      <c r="D1512">
        <f>IF(Skills!C15=1,60+Inputs!$B$25+Inputs!$B$29,IF(Skills!C15=2,90+Inputs!$B$26+Inputs!$B$29,IF(Skills!C15=3,120+Inputs!$B$27+Inputs!$B$29,MAX(0,(Inputs!$B$3-100)*3)+Inputs!$B$28+Inputs!$B$29)))</f>
        <v/>
      </c>
      <c r="E1512">
        <f>INDEX(FactorTable!$B$2:$Y$301, MATCH(ROUND(MIN(300,MAX(1,D1512)),0), FactorTable!$A$2:$A$301,0), Skills!M15+1)</f>
        <v/>
      </c>
      <c r="F1512">
        <f>IF(Skills!N15=TRUE,(Skills!L15/10)*(E1512/1000),Skills!L15/10)+Skills!O15</f>
        <v/>
      </c>
      <c r="G1512">
        <f>Skills!G15*IF(Skills!H15&gt;0,Skills!I15/Skills!H15,1)</f>
        <v/>
      </c>
      <c r="H1512">
        <f>1-(1-Skills!J15/100)^Skills!K15</f>
        <v/>
      </c>
      <c r="I1512" t="inlineStr">
        <is>
          <t>1</t>
        </is>
      </c>
      <c r="J1512" t="inlineStr"/>
      <c r="K1512" t="inlineStr"/>
      <c r="L1512" t="inlineStr"/>
      <c r="M1512" t="inlineStr"/>
      <c r="N1512" t="inlineStr"/>
      <c r="O1512">
        <f>(1-Summary!$B$11)*T1512+Summary!$B$11*V1512</f>
        <v/>
      </c>
      <c r="P1512">
        <f>IF(B1540=0,0,O1512/B1540)</f>
        <v/>
      </c>
      <c r="Q1512">
        <f>IFERROR(1/(IF(Inputs!$B$38="pvp",15,MAX(0.1,Skills!D15-IF(Skills!E15=TRUE,Inputs!$B$32,0)))*(1-IF(AND(ArtifactsInput!$M$27,Inputs!$B$4="Chapter Hunt"),CHOOSE(ArtifactsInput!$N$27+1,20,24,28,32,36,40),0)/100)),0)</f>
        <v/>
      </c>
      <c r="R1512">
        <f>IF(AND(Inputs!$B$38&lt;&gt;"pvp",Inputs!$B$43&gt;0),IF(Inputs!$B$43&lt;=0,0,(INT(Inputs!$B$43/(IF(Inputs!$B$38="pvp",15,MAX(0.1,Skills!D15-IF(Skills!E15=TRUE,Inputs!$B$32,0)))*(1-IF(AND(ArtifactsInput!$M$27,Inputs!$B$4="Chapter Hunt"),CHOOSE(ArtifactsInput!$N$27+1,20,24,28,32,36,40),0)/100)))+1)),0)</f>
        <v/>
      </c>
      <c r="S1512">
        <f>IFERROR(O1512/N1512,0)</f>
        <v/>
      </c>
      <c r="T1512" t="n">
        <v>0</v>
      </c>
      <c r="V1512" t="n">
        <v>0</v>
      </c>
    </row>
    <row r="1513">
      <c r="A1513">
        <f>Skills!A16</f>
        <v/>
      </c>
      <c r="B1513">
        <f>Skills!B16</f>
        <v/>
      </c>
      <c r="C1513">
        <f>Inputs!$B$3&gt;=115</f>
        <v/>
      </c>
      <c r="D1513">
        <f>IF(Skills!C16=1,60+Inputs!$B$25+Inputs!$B$29,IF(Skills!C16=2,90+Inputs!$B$26+Inputs!$B$29,IF(Skills!C16=3,120+Inputs!$B$27+Inputs!$B$29,MAX(0,(Inputs!$B$3-100)*3)+Inputs!$B$28+Inputs!$B$29)))</f>
        <v/>
      </c>
      <c r="E1513">
        <f>INDEX(FactorTable!$B$2:$Y$301, MATCH(ROUND(MIN(300,MAX(1,D1513)),0), FactorTable!$A$2:$A$301,0), Skills!M16+1)</f>
        <v/>
      </c>
      <c r="F1513">
        <f>IF(Skills!N16=TRUE,(Skills!L16/10)*(E1513/1000),Skills!L16/10)+Skills!O16</f>
        <v/>
      </c>
      <c r="G1513">
        <f>Skills!G16*IF(Skills!H16&gt;0,Skills!I16/Skills!H16,1)</f>
        <v/>
      </c>
      <c r="H1513">
        <f>1-(1-Skills!J16/100)^Skills!K16</f>
        <v/>
      </c>
      <c r="I1513" t="inlineStr">
        <is>
          <t>1</t>
        </is>
      </c>
      <c r="J1513" t="inlineStr"/>
      <c r="K1513" t="inlineStr"/>
      <c r="L1513" t="inlineStr"/>
      <c r="M1513" t="inlineStr"/>
      <c r="N1513" t="inlineStr"/>
      <c r="O1513">
        <f>(1-Summary!$B$11)*T1513+Summary!$B$11*V1513</f>
        <v/>
      </c>
      <c r="P1513">
        <f>IF(B1540=0,0,O1513/B1540)</f>
        <v/>
      </c>
      <c r="Q1513">
        <f>IFERROR(1/(IF(Inputs!$B$38="pvp",15,MAX(0.1,Skills!D16-IF(Skills!E16=TRUE,Inputs!$B$32,0)))*(1-IF(AND(ArtifactsInput!$M$27,Inputs!$B$4="Chapter Hunt"),CHOOSE(ArtifactsInput!$N$27+1,20,24,28,32,36,40),0)/100)),0)</f>
        <v/>
      </c>
      <c r="R1513">
        <f>IF(AND(Inputs!$B$38&lt;&gt;"pvp",Inputs!$B$43&gt;0),IF(Inputs!$B$43&lt;=0,0,(INT(Inputs!$B$43/(IF(Inputs!$B$38="pvp",15,MAX(0.1,Skills!D16-IF(Skills!E16=TRUE,Inputs!$B$32,0)))*(1-IF(AND(ArtifactsInput!$M$27,Inputs!$B$4="Chapter Hunt"),CHOOSE(ArtifactsInput!$N$27+1,20,24,28,32,36,40),0)/100)))+1)),0)</f>
        <v/>
      </c>
      <c r="S1513">
        <f>IFERROR(O1513/N1513,0)</f>
        <v/>
      </c>
      <c r="T1513" t="n">
        <v>0</v>
      </c>
      <c r="V1513" t="n">
        <v>0</v>
      </c>
    </row>
    <row r="1514">
      <c r="A1514">
        <f>Skills!A17</f>
        <v/>
      </c>
      <c r="B1514">
        <f>Skills!B17</f>
        <v/>
      </c>
      <c r="C1514">
        <f>Inputs!$B$3&gt;=66</f>
        <v/>
      </c>
      <c r="D1514">
        <f>IF(Skills!C17=1,60+Inputs!$B$25+Inputs!$B$29,IF(Skills!C17=2,90+Inputs!$B$26+Inputs!$B$29,IF(Skills!C17=3,120+Inputs!$B$27+Inputs!$B$29,MAX(0,(Inputs!$B$3-100)*3)+Inputs!$B$28+Inputs!$B$29)))</f>
        <v/>
      </c>
      <c r="E1514">
        <f>INDEX(FactorTable!$B$2:$Y$301, MATCH(ROUND(MIN(300,MAX(1,D1514)),0), FactorTable!$A$2:$A$301,0), Skills!M17+1)</f>
        <v/>
      </c>
      <c r="F1514">
        <f>IF(Skills!N17=TRUE,(Skills!L17/10)*(E1514/1000),Skills!L17/10)+Skills!O17</f>
        <v/>
      </c>
      <c r="G1514">
        <f>Skills!G17*IF(Skills!H17&gt;0,Skills!I17/Skills!H17,1)</f>
        <v/>
      </c>
      <c r="H1514">
        <f>1-(1-Skills!J17/100)^Skills!K17</f>
        <v/>
      </c>
      <c r="I1514" t="inlineStr">
        <is>
          <t>1</t>
        </is>
      </c>
      <c r="J1514" t="inlineStr"/>
      <c r="K1514" t="inlineStr"/>
      <c r="L1514" t="inlineStr"/>
      <c r="M1514" t="inlineStr"/>
      <c r="N1514" t="inlineStr"/>
      <c r="O1514">
        <f>(1-Summary!$B$11)*T1514+Summary!$B$11*V1514</f>
        <v/>
      </c>
      <c r="P1514">
        <f>IF(B1540=0,0,O1514/B1540)</f>
        <v/>
      </c>
      <c r="Q1514" t="n">
        <v>0</v>
      </c>
      <c r="R1514" t="n">
        <v>0</v>
      </c>
      <c r="S1514">
        <f>IFERROR(O1514/N1514,0)</f>
        <v/>
      </c>
      <c r="T1514" t="n">
        <v>0</v>
      </c>
      <c r="V1514" t="n">
        <v>0</v>
      </c>
    </row>
    <row r="1515">
      <c r="A1515">
        <f>Skills!A18</f>
        <v/>
      </c>
      <c r="B1515">
        <f>Skills!B18</f>
        <v/>
      </c>
      <c r="C1515">
        <f>Inputs!$B$3&gt;=72</f>
        <v/>
      </c>
      <c r="D1515">
        <f>IF(Skills!C18=1,60+Inputs!$B$25+Inputs!$B$29,IF(Skills!C18=2,90+Inputs!$B$26+Inputs!$B$29,IF(Skills!C18=3,120+Inputs!$B$27+Inputs!$B$29,MAX(0,(Inputs!$B$3-100)*3)+Inputs!$B$28+Inputs!$B$29)))</f>
        <v/>
      </c>
      <c r="E1515">
        <f>INDEX(FactorTable!$B$2:$Y$301, MATCH(ROUND(MIN(300,MAX(1,D1515)),0), FactorTable!$A$2:$A$301,0), Skills!M18+1)</f>
        <v/>
      </c>
      <c r="F1515">
        <f>IF(Skills!N18=TRUE,(Skills!L18/10)*(E1515/1000),Skills!L18/10)+Skills!O18</f>
        <v/>
      </c>
      <c r="G1515">
        <f>Skills!G18*IF(Skills!H18&gt;0,Skills!I18/Skills!H18,1)</f>
        <v/>
      </c>
      <c r="H1515">
        <f>1-(1-Skills!J18/100)^Skills!K18</f>
        <v/>
      </c>
      <c r="I1515" t="inlineStr">
        <is>
          <t>1</t>
        </is>
      </c>
      <c r="J1515" t="inlineStr"/>
      <c r="K1515" t="inlineStr"/>
      <c r="L1515" t="inlineStr"/>
      <c r="M1515" t="inlineStr"/>
      <c r="N1515" t="inlineStr"/>
      <c r="O1515">
        <f>(1-Summary!$B$11)*T1515+Summary!$B$11*V1515</f>
        <v/>
      </c>
      <c r="P1515">
        <f>IF(B1540=0,0,O1515/B1540)</f>
        <v/>
      </c>
      <c r="Q1515" t="n">
        <v>0</v>
      </c>
      <c r="R1515" t="n">
        <v>0</v>
      </c>
      <c r="S1515">
        <f>IFERROR(O1515/N1515,0)</f>
        <v/>
      </c>
      <c r="T1515" t="n">
        <v>0</v>
      </c>
      <c r="V1515" t="n">
        <v>0</v>
      </c>
    </row>
    <row r="1516">
      <c r="A1516">
        <f>Skills!A19</f>
        <v/>
      </c>
      <c r="B1516">
        <f>Skills!B19</f>
        <v/>
      </c>
      <c r="C1516">
        <f>TRUE</f>
        <v/>
      </c>
      <c r="D1516">
        <f>IF(Skills!C19=1,60+Inputs!$B$25+Inputs!$B$29,IF(Skills!C19=2,90+Inputs!$B$26+Inputs!$B$29,IF(Skills!C19=3,120+Inputs!$B$27+Inputs!$B$29,MAX(0,(Inputs!$B$3-100)*3)+Inputs!$B$28+Inputs!$B$29)))</f>
        <v/>
      </c>
      <c r="E1516">
        <f>INDEX(FactorTable!$B$2:$Y$301, MATCH(ROUND(MIN(300,MAX(1,D1516)),0), FactorTable!$A$2:$A$301,0), Skills!M19+1)</f>
        <v/>
      </c>
      <c r="F1516">
        <f>IF(Skills!N19=TRUE,(Skills!L19/10)*(E1516/1000),Skills!L19/10)+Skills!O19</f>
        <v/>
      </c>
      <c r="G1516">
        <f>Skills!G19*IF(Skills!H19&gt;0,Skills!I19/Skills!H19,1)</f>
        <v/>
      </c>
      <c r="H1516">
        <f>1-(1-Skills!J19/100)^Skills!K19</f>
        <v/>
      </c>
      <c r="I1516" t="inlineStr">
        <is>
          <t>1</t>
        </is>
      </c>
      <c r="J1516" t="inlineStr"/>
      <c r="K1516" t="inlineStr"/>
      <c r="L1516" t="inlineStr"/>
      <c r="M1516" t="inlineStr"/>
      <c r="N1516" t="inlineStr"/>
      <c r="O1516">
        <f>(1-Summary!$B$11)*T1516+Summary!$B$11*V1516</f>
        <v/>
      </c>
      <c r="P1516">
        <f>IF(B1540=0,0,O1516/B1540)</f>
        <v/>
      </c>
      <c r="Q1516">
        <f>IFERROR(1/(IF(Inputs!$B$38="pvp",15,MAX(0.1,Skills!D19-IF(Skills!E19=TRUE,Inputs!$B$32,0)))*(1-IF(AND(ArtifactsInput!$M$27,Inputs!$B$4="Chapter Hunt"),CHOOSE(ArtifactsInput!$N$27+1,20,24,28,32,36,40),0)/100)),0)</f>
        <v/>
      </c>
      <c r="R1516">
        <f>IF(AND(Inputs!$B$38&lt;&gt;"pvp",Inputs!$B$43&gt;0),IF(Inputs!$B$43&lt;=0,0,(INT(Inputs!$B$43/(IF(Inputs!$B$38="pvp",15,MAX(0.1,Skills!D19-IF(Skills!E19=TRUE,Inputs!$B$32,0)))*(1-IF(AND(ArtifactsInput!$M$27,Inputs!$B$4="Chapter Hunt"),CHOOSE(ArtifactsInput!$N$27+1,20,24,28,32,36,40),0)/100)))+1)),0)</f>
        <v/>
      </c>
      <c r="S1516">
        <f>IFERROR(O1516/N1516,0)</f>
        <v/>
      </c>
      <c r="T1516" t="n">
        <v>0</v>
      </c>
      <c r="V1516" t="n">
        <v>0</v>
      </c>
    </row>
    <row r="1517">
      <c r="A1517">
        <f>Skills!A20</f>
        <v/>
      </c>
      <c r="B1517">
        <f>Skills!B20</f>
        <v/>
      </c>
      <c r="C1517">
        <f>Inputs!$B$3&gt;=15</f>
        <v/>
      </c>
      <c r="D1517">
        <f>IF(Skills!C20=1,60+Inputs!$B$25+Inputs!$B$29,IF(Skills!C20=2,90+Inputs!$B$26+Inputs!$B$29,IF(Skills!C20=3,120+Inputs!$B$27+Inputs!$B$29,MAX(0,(Inputs!$B$3-100)*3)+Inputs!$B$28+Inputs!$B$29)))</f>
        <v/>
      </c>
      <c r="E1517">
        <f>INDEX(FactorTable!$B$2:$Y$301, MATCH(ROUND(MIN(300,MAX(1,D1517)),0), FactorTable!$A$2:$A$301,0), Skills!M20+1)</f>
        <v/>
      </c>
      <c r="F1517">
        <f>IF(Skills!N20=TRUE,(Skills!L20/10)*(E1517/1000),Skills!L20/10)+Skills!O20</f>
        <v/>
      </c>
      <c r="G1517">
        <f>Skills!G20*IF(Skills!H20&gt;0,Skills!I20/Skills!H20,1)</f>
        <v/>
      </c>
      <c r="H1517">
        <f>1-(1-Skills!J20/100)^Skills!K20</f>
        <v/>
      </c>
      <c r="I1517" t="inlineStr">
        <is>
          <t>1</t>
        </is>
      </c>
      <c r="J1517" t="inlineStr"/>
      <c r="K1517" t="inlineStr"/>
      <c r="L1517" t="inlineStr"/>
      <c r="M1517" t="inlineStr"/>
      <c r="N1517" t="inlineStr"/>
      <c r="O1517">
        <f>(1-Summary!$B$11)*T1517+Summary!$B$11*V1517</f>
        <v/>
      </c>
      <c r="P1517">
        <f>IF(B1540=0,0,O1517/B1540)</f>
        <v/>
      </c>
      <c r="Q1517" t="n">
        <v>0</v>
      </c>
      <c r="R1517" t="n">
        <v>0</v>
      </c>
      <c r="S1517">
        <f>IFERROR(O1517/N1517,0)</f>
        <v/>
      </c>
      <c r="T1517" t="n">
        <v>0</v>
      </c>
      <c r="V1517" t="n">
        <v>0</v>
      </c>
    </row>
    <row r="1518">
      <c r="A1518">
        <f>Skills!A21</f>
        <v/>
      </c>
      <c r="B1518">
        <f>Skills!B21</f>
        <v/>
      </c>
      <c r="C1518">
        <f>Inputs!$B$3&gt;=10</f>
        <v/>
      </c>
      <c r="D1518">
        <f>IF(Skills!C21=1,60+Inputs!$B$25+Inputs!$B$29,IF(Skills!C21=2,90+Inputs!$B$26+Inputs!$B$29,IF(Skills!C21=3,120+Inputs!$B$27+Inputs!$B$29,MAX(0,(Inputs!$B$3-100)*3)+Inputs!$B$28+Inputs!$B$29)))</f>
        <v/>
      </c>
      <c r="E1518">
        <f>INDEX(FactorTable!$B$2:$Y$301, MATCH(ROUND(MIN(300,MAX(1,D1518)),0), FactorTable!$A$2:$A$301,0), Skills!M21+1)</f>
        <v/>
      </c>
      <c r="F1518">
        <f>IF(Skills!N21=TRUE,(Skills!L21/10)*(E1518/1000),Skills!L21/10)+Skills!O21</f>
        <v/>
      </c>
      <c r="G1518">
        <f>Skills!G21*IF(Skills!H21&gt;0,Skills!I21/Skills!H21,1)</f>
        <v/>
      </c>
      <c r="H1518">
        <f>1-(1-Skills!J21/100)^Skills!K21</f>
        <v/>
      </c>
      <c r="I1518" t="inlineStr">
        <is>
          <t>1</t>
        </is>
      </c>
      <c r="J1518" t="inlineStr"/>
      <c r="K1518" t="inlineStr"/>
      <c r="L1518" t="inlineStr"/>
      <c r="M1518" t="inlineStr"/>
      <c r="N1518" t="inlineStr"/>
      <c r="O1518">
        <f>(1-Summary!$B$11)*T1518+Summary!$B$11*V1518</f>
        <v/>
      </c>
      <c r="P1518">
        <f>IF(B1540=0,0,O1518/B1540)</f>
        <v/>
      </c>
      <c r="Q1518" t="n">
        <v>0</v>
      </c>
      <c r="R1518" t="n">
        <v>0</v>
      </c>
      <c r="S1518">
        <f>IFERROR(O1518/N1518,0)</f>
        <v/>
      </c>
      <c r="T1518" t="n">
        <v>0</v>
      </c>
      <c r="V1518" t="n">
        <v>0</v>
      </c>
    </row>
    <row r="1519">
      <c r="A1519">
        <f>Skills!A22</f>
        <v/>
      </c>
      <c r="B1519">
        <f>Skills!B22</f>
        <v/>
      </c>
      <c r="C1519">
        <f>Inputs!$B$3&gt;=33</f>
        <v/>
      </c>
      <c r="D1519">
        <f>IF(Skills!C22=1,60+Inputs!$B$25+Inputs!$B$29,IF(Skills!C22=2,90+Inputs!$B$26+Inputs!$B$29,IF(Skills!C22=3,120+Inputs!$B$27+Inputs!$B$29,MAX(0,(Inputs!$B$3-100)*3)+Inputs!$B$28+Inputs!$B$29)))</f>
        <v/>
      </c>
      <c r="E1519">
        <f>INDEX(FactorTable!$B$2:$Y$301, MATCH(ROUND(MIN(300,MAX(1,D1519)),0), FactorTable!$A$2:$A$301,0), Skills!M22+1)</f>
        <v/>
      </c>
      <c r="F1519">
        <f>IF(Skills!N22=TRUE,(Skills!L22/10)*(E1519/1000),Skills!L22/10)+Skills!O22</f>
        <v/>
      </c>
      <c r="G1519">
        <f>Skills!G22*IF(Skills!H22&gt;0,Skills!I22/Skills!H22,1)</f>
        <v/>
      </c>
      <c r="H1519">
        <f>1-(1-Skills!J22/100)^Skills!K22</f>
        <v/>
      </c>
      <c r="I1519" t="inlineStr">
        <is>
          <t>1</t>
        </is>
      </c>
      <c r="J1519" t="inlineStr"/>
      <c r="K1519" t="inlineStr"/>
      <c r="L1519" t="inlineStr"/>
      <c r="M1519" t="inlineStr"/>
      <c r="N1519" t="inlineStr"/>
      <c r="O1519">
        <f>(1-Summary!$B$11)*T1519+Summary!$B$11*V1519</f>
        <v/>
      </c>
      <c r="P1519">
        <f>IF(B1540=0,0,O1519/B1540)</f>
        <v/>
      </c>
      <c r="Q1519" t="n">
        <v>0</v>
      </c>
      <c r="R1519" t="n">
        <v>0</v>
      </c>
      <c r="S1519">
        <f>IFERROR(O1519/N1519,0)</f>
        <v/>
      </c>
      <c r="T1519" t="n">
        <v>0</v>
      </c>
      <c r="V1519" t="n">
        <v>0</v>
      </c>
    </row>
    <row r="1520">
      <c r="A1520">
        <f>Skills!A23</f>
        <v/>
      </c>
      <c r="B1520">
        <f>Skills!B23</f>
        <v/>
      </c>
      <c r="C1520">
        <f>Inputs!$B$3&gt;=38</f>
        <v/>
      </c>
      <c r="D1520">
        <f>IF(Skills!C23=1,60+Inputs!$B$25+Inputs!$B$29,IF(Skills!C23=2,90+Inputs!$B$26+Inputs!$B$29,IF(Skills!C23=3,120+Inputs!$B$27+Inputs!$B$29,MAX(0,(Inputs!$B$3-100)*3)+Inputs!$B$28+Inputs!$B$29)))</f>
        <v/>
      </c>
      <c r="E1520">
        <f>INDEX(FactorTable!$B$2:$Y$301, MATCH(ROUND(MIN(300,MAX(1,D1520)),0), FactorTable!$A$2:$A$301,0), Skills!M23+1)</f>
        <v/>
      </c>
      <c r="F1520">
        <f>IF(Skills!N23=TRUE,(Skills!L23/10)*(E1520/1000),Skills!L23/10)+Skills!O23</f>
        <v/>
      </c>
      <c r="G1520">
        <f>Skills!G23*IF(Skills!H23&gt;0,Skills!I23/Skills!H23,1)</f>
        <v/>
      </c>
      <c r="H1520">
        <f>1-(1-Skills!J23/100)^Skills!K23</f>
        <v/>
      </c>
      <c r="I1520" t="inlineStr">
        <is>
          <t>1</t>
        </is>
      </c>
      <c r="J1520" t="inlineStr"/>
      <c r="K1520" t="inlineStr"/>
      <c r="L1520" t="inlineStr"/>
      <c r="M1520" t="inlineStr"/>
      <c r="N1520" t="inlineStr"/>
      <c r="O1520">
        <f>(1-Summary!$B$11)*T1520+Summary!$B$11*V1520</f>
        <v/>
      </c>
      <c r="P1520">
        <f>IF(B1540=0,0,O1520/B1540)</f>
        <v/>
      </c>
      <c r="Q1520" t="n">
        <v>0</v>
      </c>
      <c r="R1520" t="n">
        <v>0</v>
      </c>
      <c r="S1520">
        <f>IFERROR(O1520/N1520,0)</f>
        <v/>
      </c>
      <c r="T1520" t="n">
        <v>0</v>
      </c>
      <c r="V1520" t="n">
        <v>0</v>
      </c>
    </row>
    <row r="1521">
      <c r="A1521">
        <f>Skills!A24</f>
        <v/>
      </c>
      <c r="B1521">
        <f>Skills!B24</f>
        <v/>
      </c>
      <c r="C1521">
        <f>Inputs!$B$3&gt;=43</f>
        <v/>
      </c>
      <c r="D1521">
        <f>IF(Skills!C24=1,60+Inputs!$B$25+Inputs!$B$29,IF(Skills!C24=2,90+Inputs!$B$26+Inputs!$B$29,IF(Skills!C24=3,120+Inputs!$B$27+Inputs!$B$29,MAX(0,(Inputs!$B$3-100)*3)+Inputs!$B$28+Inputs!$B$29)))</f>
        <v/>
      </c>
      <c r="E1521">
        <f>INDEX(FactorTable!$B$2:$Y$301, MATCH(ROUND(MIN(300,MAX(1,D1521)),0), FactorTable!$A$2:$A$301,0), Skills!M24+1)</f>
        <v/>
      </c>
      <c r="F1521">
        <f>IF(Skills!N24=TRUE,(Skills!L24/10)*(E1521/1000),Skills!L24/10)+Skills!O24</f>
        <v/>
      </c>
      <c r="G1521">
        <f>Skills!G24*IF(Skills!H24&gt;0,Skills!I24/Skills!H24,1)</f>
        <v/>
      </c>
      <c r="H1521">
        <f>1-(1-Skills!J24/100)^Skills!K24</f>
        <v/>
      </c>
      <c r="I1521" t="inlineStr">
        <is>
          <t>1</t>
        </is>
      </c>
      <c r="J1521" t="inlineStr"/>
      <c r="K1521" t="inlineStr"/>
      <c r="L1521" t="inlineStr"/>
      <c r="M1521" t="inlineStr"/>
      <c r="N1521" t="inlineStr"/>
      <c r="O1521">
        <f>(1-Summary!$B$11)*T1521+Summary!$B$11*V1521</f>
        <v/>
      </c>
      <c r="P1521">
        <f>IF(B1540=0,0,O1521/B1540)</f>
        <v/>
      </c>
      <c r="Q1521" t="n">
        <v>0</v>
      </c>
      <c r="R1521" t="n">
        <v>0</v>
      </c>
      <c r="S1521">
        <f>IFERROR(O1521/N1521,0)</f>
        <v/>
      </c>
      <c r="T1521" t="n">
        <v>0</v>
      </c>
      <c r="V1521" t="n">
        <v>0</v>
      </c>
    </row>
    <row r="1522">
      <c r="A1522">
        <f>Skills!A25</f>
        <v/>
      </c>
      <c r="B1522">
        <f>Skills!B25</f>
        <v/>
      </c>
      <c r="C1522">
        <f>Inputs!$B$3&gt;=75</f>
        <v/>
      </c>
      <c r="D1522">
        <f>IF(Skills!C25=1,60+Inputs!$B$25+Inputs!$B$29,IF(Skills!C25=2,90+Inputs!$B$26+Inputs!$B$29,IF(Skills!C25=3,120+Inputs!$B$27+Inputs!$B$29,MAX(0,(Inputs!$B$3-100)*3)+Inputs!$B$28+Inputs!$B$29)))</f>
        <v/>
      </c>
      <c r="E1522">
        <f>INDEX(FactorTable!$B$2:$Y$301, MATCH(ROUND(MIN(300,MAX(1,D1522)),0), FactorTable!$A$2:$A$301,0), Skills!M25+1)</f>
        <v/>
      </c>
      <c r="F1522">
        <f>IF(Skills!N25=TRUE,(Skills!L25/10)*(E1522/1000),Skills!L25/10)+Skills!O25</f>
        <v/>
      </c>
      <c r="G1522">
        <f>Skills!G25*IF(Skills!H25&gt;0,Skills!I25/Skills!H25,1)</f>
        <v/>
      </c>
      <c r="H1522">
        <f>1-(1-Skills!J25/100)^Skills!K25</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Skills!A26</f>
        <v/>
      </c>
      <c r="B1523">
        <f>Skills!B26</f>
        <v/>
      </c>
      <c r="C1523">
        <f>Inputs!$B$3&gt;=125</f>
        <v/>
      </c>
      <c r="D1523">
        <f>IF(Skills!C26=1,60+Inputs!$B$25+Inputs!$B$29,IF(Skills!C26=2,90+Inputs!$B$26+Inputs!$B$29,IF(Skills!C26=3,120+Inputs!$B$27+Inputs!$B$29,MAX(0,(Inputs!$B$3-100)*3)+Inputs!$B$28+Inputs!$B$29)))</f>
        <v/>
      </c>
      <c r="E1523">
        <f>INDEX(FactorTable!$B$2:$Y$301, MATCH(ROUND(MIN(300,MAX(1,D1523)),0), FactorTable!$A$2:$A$301,0), Skills!M26+1)</f>
        <v/>
      </c>
      <c r="F1523">
        <f>IF(Skills!N26=TRUE,(Skills!L26/10)*(E1523/1000),Skills!L26/10)+Skills!O26</f>
        <v/>
      </c>
      <c r="G1523">
        <f>Skills!G26*IF(Skills!H26&gt;0,Skills!I26/Skills!H26,1)</f>
        <v/>
      </c>
      <c r="H1523">
        <f>1-(1-Skills!J26/100)^Skills!K26</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Skills!A27</f>
        <v/>
      </c>
      <c r="B1524">
        <f>Skills!B27</f>
        <v/>
      </c>
      <c r="C1524">
        <f>Inputs!$B$3&gt;=125</f>
        <v/>
      </c>
      <c r="D1524">
        <f>IF(Skills!C27=1,60+Inputs!$B$25+Inputs!$B$29,IF(Skills!C27=2,90+Inputs!$B$26+Inputs!$B$29,IF(Skills!C27=3,120+Inputs!$B$27+Inputs!$B$29,MAX(0,(Inputs!$B$3-100)*3)+Inputs!$B$28+Inputs!$B$29)))</f>
        <v/>
      </c>
      <c r="E1524">
        <f>INDEX(FactorTable!$B$2:$Y$301, MATCH(ROUND(MIN(300,MAX(1,D1524)),0), FactorTable!$A$2:$A$301,0), Skills!M27+1)</f>
        <v/>
      </c>
      <c r="F1524">
        <f>IF(Skills!N27=TRUE,(Skills!L27/10)*(E1524/1000),Skills!L27/10)+Skills!O27</f>
        <v/>
      </c>
      <c r="G1524">
        <f>Skills!G27*IF(Skills!H27&gt;0,Skills!I27/Skills!H27,1)</f>
        <v/>
      </c>
      <c r="H1524">
        <f>1-(1-Skills!J27/100)^Skills!K27</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Skills!A28</f>
        <v/>
      </c>
      <c r="B1525">
        <f>Skills!B28</f>
        <v/>
      </c>
      <c r="C1525">
        <f>Inputs!$B$3&gt;=120</f>
        <v/>
      </c>
      <c r="D1525">
        <f>IF(Skills!C28=1,60+Inputs!$B$25+Inputs!$B$29,IF(Skills!C28=2,90+Inputs!$B$26+Inputs!$B$29,IF(Skills!C28=3,120+Inputs!$B$27+Inputs!$B$29,MAX(0,(Inputs!$B$3-100)*3)+Inputs!$B$28+Inputs!$B$29)))</f>
        <v/>
      </c>
      <c r="E1525">
        <f>INDEX(FactorTable!$B$2:$Y$301, MATCH(ROUND(MIN(300,MAX(1,D1525)),0), FactorTable!$A$2:$A$301,0), Skills!M28+1)</f>
        <v/>
      </c>
      <c r="F1525">
        <f>IF(Skills!N28=TRUE,(Skills!L28/10)*(E1525/1000),Skills!L28/10)+Skills!O28</f>
        <v/>
      </c>
      <c r="G1525">
        <f>Skills!G28*IF(Skills!H28&gt;0,Skills!I28/Skills!H28,1)</f>
        <v/>
      </c>
      <c r="H1525">
        <f>1-(1-Skills!J28/100)^Skills!K28</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Skills!A29</f>
        <v/>
      </c>
      <c r="B1526">
        <f>Skills!B29</f>
        <v/>
      </c>
      <c r="C1526">
        <f>Inputs!$B$3&gt;=120</f>
        <v/>
      </c>
      <c r="D1526">
        <f>IF(Skills!C29=1,60+Inputs!$B$25+Inputs!$B$29,IF(Skills!C29=2,90+Inputs!$B$26+Inputs!$B$29,IF(Skills!C29=3,120+Inputs!$B$27+Inputs!$B$29,MAX(0,(Inputs!$B$3-100)*3)+Inputs!$B$28+Inputs!$B$29)))</f>
        <v/>
      </c>
      <c r="E1526">
        <f>INDEX(FactorTable!$B$2:$Y$301, MATCH(ROUND(MIN(300,MAX(1,D1526)),0), FactorTable!$A$2:$A$301,0), Skills!M29+1)</f>
        <v/>
      </c>
      <c r="F1526">
        <f>IF(Skills!N29=TRUE,(Skills!L29/10)*(E1526/1000),Skills!L29/10)+Skills!O29</f>
        <v/>
      </c>
      <c r="G1526">
        <f>Skills!G29*IF(Skills!H29&gt;0,Skills!I29/Skills!H29,1)</f>
        <v/>
      </c>
      <c r="H1526">
        <f>1-(1-Skills!J29/100)^Skills!K29</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Skills!A30</f>
        <v/>
      </c>
      <c r="B1527">
        <f>Skills!B30</f>
        <v/>
      </c>
      <c r="C1527">
        <f>Inputs!$B$3&gt;=45</f>
        <v/>
      </c>
      <c r="D1527">
        <f>IF(Skills!C30=1,60+Inputs!$B$25+Inputs!$B$29,IF(Skills!C30=2,90+Inputs!$B$26+Inputs!$B$29,IF(Skills!C30=3,120+Inputs!$B$27+Inputs!$B$29,MAX(0,(Inputs!$B$3-100)*3)+Inputs!$B$28+Inputs!$B$29)))</f>
        <v/>
      </c>
      <c r="E1527">
        <f>INDEX(FactorTable!$B$2:$Y$301, MATCH(ROUND(MIN(300,MAX(1,D1527)),0), FactorTable!$A$2:$A$301,0), Skills!M30+1)</f>
        <v/>
      </c>
      <c r="F1527">
        <f>IF(Skills!N30=TRUE,(Skills!L30/10)*(E1527/1000),Skills!L30/10)+Skills!O30</f>
        <v/>
      </c>
      <c r="G1527">
        <f>Skills!G30*IF(Skills!H30&gt;0,Skills!I30/Skills!H30,1)</f>
        <v/>
      </c>
      <c r="H1527">
        <f>1-(1-Skills!J30/100)^Skills!K30</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0">
      <c r="A1530" t="inlineStr">
        <is>
          <t>Global Crit Rate Bonus %</t>
        </is>
      </c>
      <c r="B1530">
        <f>(C1513=TRUE)*20*IF(AND(Inputs!$B$38&lt;&gt;"pvp",Inputs!$B$43&gt;0),(((R1513-1)*(Skills!T16*(1+Inputs!$B$34/100))+MIN((Skills!T16*(1+Inputs!$B$34/100)),MAX(0,Inputs!$B$43-((R1513-1)*Skills!D16))))/Inputs!$B$43),IF(Inputs!$B$38="pvp",MIN((Skills!T16*(1+Inputs!$B$34/100)),15)/15,(Skills!T16*(1+Inputs!$B$34/100))/Skills!D16))</f>
        <v/>
      </c>
    </row>
    <row r="1531">
      <c r="A1531" t="inlineStr">
        <is>
          <t>Attack Speed Buff Bonus %</t>
        </is>
      </c>
      <c r="B1531">
        <f>((C1516=TRUE)*F1516*IF(AND(Inputs!$B$38&lt;&gt;"pvp",Inputs!$B$43&gt;0),(((R1516-1)*(Skills!T19*(1+Inputs!$B$34/100))+MIN((Skills!T19*(1+Inputs!$B$34/100)),MAX(0,Inputs!$B$43-((R1516-1)*Skills!D19))))/Inputs!$B$43),IF(Inputs!$B$38="pvp",MIN((Skills!T19*(1+Inputs!$B$34/100)),15)/15,(Skills!T19*(1+Inputs!$B$34/100))/Skills!D19)))</f>
        <v/>
      </c>
    </row>
    <row r="1532">
      <c r="A1532" t="inlineStr">
        <is>
          <t>Actions Per Second</t>
        </is>
      </c>
      <c r="B1532">
        <f>1+MIN(150,150*(1-(1-(Inputs!$B$11+((C1518=TRUE)*(F1518-Calc!F21))+((C1519=TRUE)*(F1519-Calc!F22)))/150)*(1-B1531/150)))/100</f>
        <v/>
      </c>
    </row>
    <row r="1533">
      <c r="A1533" t="inlineStr">
        <is>
          <t>Skill + Buff Cast Rate</t>
        </is>
      </c>
      <c r="B1533">
        <f>IF(AND(Inputs!$B$38&lt;&gt;"pvp",Inputs!$B$43&gt;0),SUMPRODUCT((Skills!E2:E30=TRUE)*(C1499:C1527=TRUE)*R1499:R1527*Skills!F2:F30)/Inputs!$B$43,SUMPRODUCT((Skills!E2:E30=TRUE)*(C1499:C1527=TRUE)*Q1499:Q1527*Skills!F2:F30))</f>
        <v/>
      </c>
    </row>
    <row r="1534">
      <c r="A1534" t="inlineStr">
        <is>
          <t>Arrow Stream Casts Per Second</t>
        </is>
      </c>
      <c r="B1534">
        <f>MAX(0,B1532-B1533)</f>
        <v/>
      </c>
    </row>
    <row r="1535">
      <c r="A1535" t="inlineStr">
        <is>
          <t>Global Critical Damage Bonus % (Sharp Eyes + Concentration)</t>
        </is>
      </c>
      <c r="B1535">
        <f>(C1513=TRUE)*F1513*IF(AND(Inputs!$B$38&lt;&gt;"pvp",Inputs!$B$43&gt;0),(((R1513-1)*(Skills!T16*(1+Inputs!$B$34/100))+MIN((Skills!T16*(1+Inputs!$B$34/100)),MAX(0,Inputs!$B$43-((R1513-1)*Skills!D16))))/Inputs!$B$43),IF(Inputs!$B$38="pvp",MIN((Skills!T16*(1+Inputs!$B$34/100)),15)/15,(Skills!T16*(1+Inputs!$B$34/100))/Skills!D16))+(C1514=TRUE)*30</f>
        <v/>
      </c>
    </row>
    <row r="1536">
      <c r="A1536" t="inlineStr">
        <is>
          <t>Global Final Damage Bonus % (Mortal Blow)</t>
        </is>
      </c>
      <c r="B1536">
        <f>(C1515=TRUE)*F1515</f>
        <v/>
      </c>
    </row>
    <row r="1537">
      <c r="A1537" t="inlineStr">
        <is>
          <t>Buff-Casting Startup Delay (s, fixed-duration only)</t>
        </is>
      </c>
      <c r="B1537">
        <f>IF(AND(Inputs!$B$38&lt;&gt;"pvp",Inputs!$B$43&gt;0),SUMPRODUCT((Skills!T2:T30&gt;0)*(Skills!E2:E30=TRUE)*(C1499:C1527=TRUE))/B1532,0)</f>
        <v/>
      </c>
    </row>
    <row r="1538">
      <c r="A1538" t="inlineStr">
        <is>
          <t>Boss-Only Total DPS (this block's swept value)</t>
        </is>
      </c>
      <c r="B1538">
        <f>SUM(T1499:T1527)</f>
        <v/>
      </c>
    </row>
    <row r="1539">
      <c r="A1539" t="inlineStr">
        <is>
          <t>Normal-Only Total DPS (this block's swept value)</t>
        </is>
      </c>
      <c r="B1539">
        <f>SUM(V1499:V1527)</f>
        <v/>
      </c>
    </row>
    <row r="1540">
      <c r="A1540" s="6" t="inlineStr">
        <is>
          <t>TOTAL DPS</t>
        </is>
      </c>
      <c r="B1540" s="6">
        <f>SUM(O1499:O1527)</f>
        <v/>
      </c>
    </row>
    <row r="1543">
      <c r="A1543" s="6" t="inlineStr">
        <is>
          <t>Stat: Arwen's Glass Shoes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((Inputs!$B$6*(1+Inputs!$B$7/100))+(((Inputs!$B$12*(1+Inputs!$B$13/100))-(Inputs!$B$12*(1+Inputs!$B$13/100)))+0.25*(Inputs!$B$14-Inputs!$B$14))*(1+Inputs!$B$7/100))*(F1545/100)</f>
        <v/>
      </c>
      <c r="K1545">
        <f>J1545*(1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1567=TRUE)*(F1567-Calc!F24)),(Inputs!$B$23+((C1572=TRUE)*(F1572-Calc!F29))+(IF(ArtifactsInput!$M$15,CHOOSE(ArtifactsInput!$N$15+1,25,30,35,40,45,50)/100*(Inputs!$B$11-Inputs!$B$11),0))))/100+(Inputs!$B$23+((C1572=TRUE)*(F1572-Calc!F29))+(IF(ArtifactsInput!$M$15,CHOOSE(ArtifactsInput!$N$15+1,25,30,35,40,45,50)/100*(Inputs!$B$11-Inputs!$B$11),0)))/100)/2</f>
        <v/>
      </c>
      <c r="M1545">
        <f>L1545*(1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IF(B1586=0,0,O1545/B1586)</f>
        <v/>
      </c>
      <c r="Q1545" t="n">
        <v>0</v>
      </c>
      <c r="R1545" t="n">
        <v>0</v>
      </c>
      <c r="S1545">
        <f>IFERROR(O1545/N1545,0)</f>
        <v/>
      </c>
      <c r="T1545">
        <f>IF(C1545,(Skills!G2*N1545*B1580)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MAX(0,(Inputs!$B$3-100)*3)+Inputs!$B$28+Inputs!$B$29</f>
        <v/>
      </c>
      <c r="V1545">
        <f>IF(C1545,(Skills!G2*N1545*B1580)*IF(Inputs!$B$38="pvp",1,(1+(Inputs!$B$21+Skills!Q2+(IF(ArtifactsInput!$M$33,CHOOSE(ArtifactsInput!$N$33+1,30,36,42,48,54,60),0))+(IF(AND(ArtifactsInput!$M$35,Inputs!$B$4&lt;&gt;"Chapter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Skills!A3</f>
        <v/>
      </c>
      <c r="B1546">
        <f>Skills!B3</f>
        <v/>
      </c>
      <c r="C1546">
        <f>Inputs!$B$3&gt;=50</f>
        <v/>
      </c>
      <c r="D1546">
        <f>IF(Skills!C3=1,60+Inputs!$B$25+Inputs!$B$29,IF(Skills!C3=2,90+Inputs!$B$26+Inputs!$B$29,IF(Skills!C3=3,120+Inputs!$B$27+Inputs!$B$29,MAX(0,(Inputs!$B$3-100)*3)+Inputs!$B$28+Inputs!$B$29)))</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T1546" t="inlineStr"/>
      <c r="U1546">
        <f>INDEX(FactorTable!$B$2:$Y$301, MATCH(ROUND(MIN(300,MAX(1,U1545)),0), FactorTable!$A$2:$A$301,0), 22)</f>
        <v/>
      </c>
      <c r="V1546" t="inlineStr"/>
    </row>
    <row r="1547">
      <c r="A1547">
        <f>Skills!A4</f>
        <v/>
      </c>
      <c r="B1547">
        <f>Skills!B4</f>
        <v/>
      </c>
      <c r="C1547">
        <f>Inputs!$B$3&gt;=105</f>
        <v/>
      </c>
      <c r="D1547">
        <f>IF(Skills!C4=1,60+Inputs!$B$25+Inputs!$B$29,IF(Skills!C4=2,90+Inputs!$B$26+Inputs!$B$29,IF(Skills!C4=3,120+Inputs!$B$27+Inputs!$B$29,MAX(0,(Inputs!$B$3-100)*3)+Inputs!$B$28+Inputs!$B$29)))</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T1547" t="inlineStr"/>
      <c r="U1547">
        <f>290*U1546/1000</f>
        <v/>
      </c>
      <c r="V1547" t="inlineStr"/>
    </row>
    <row r="1548">
      <c r="A1548">
        <f>Skills!A5</f>
        <v/>
      </c>
      <c r="B1548">
        <f>Skills!B5</f>
        <v/>
      </c>
      <c r="C1548">
        <f>Inputs!$B$3&gt;=35</f>
        <v/>
      </c>
      <c r="D1548">
        <f>IF(Skills!C5=1,60+Inputs!$B$25+Inputs!$B$29,IF(Skills!C5=2,90+Inputs!$B$26+Inputs!$B$29,IF(Skills!C5=3,120+Inputs!$B$27+Inputs!$B$29,MAX(0,(Inputs!$B$3-100)*3)+Inputs!$B$28+Inputs!$B$29)))</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((Inputs!$B$6*(1+Inputs!$B$7/100))+(((Inputs!$B$12*(1+Inputs!$B$13/100))-(Inputs!$B$12*(1+Inputs!$B$13/100)))+0.25*(Inputs!$B$14-Inputs!$B$14))*(1+Inputs!$B$7/100))*(F1548/100)</f>
        <v/>
      </c>
      <c r="K1548">
        <f>J1548*(1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5="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1567=TRUE)*(F1567-Calc!F24)),(Inputs!$B$23+((C1572=TRUE)*(F1572-Calc!F29))+(IF(ArtifactsInput!$M$15,CHOOSE(ArtifactsInput!$N$15+1,25,30,35,40,45,50)/100*(Inputs!$B$11-Inputs!$B$11),0))))/100+(Inputs!$B$23+((C1572=TRUE)*(F1572-Calc!F29))+(IF(ArtifactsInput!$M$15,CHOOSE(ArtifactsInput!$N$15+1,25,30,35,40,45,50)/100*(Inputs!$B$11-Inputs!$B$11),0)))/100)/2</f>
        <v/>
      </c>
      <c r="M1548">
        <f>L1548*(1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IF(B1586=0,0,O1548/B1586)</f>
        <v/>
      </c>
      <c r="Q1548">
        <f>IFERROR(1/(IF(Inputs!$B$38="pvp",15,MAX(0.1,Skills!D5-IF(Skills!E5=TRUE,Inputs!$B$32,0)))*(1-IF(AND(ArtifactsInput!$M$27,Inputs!$B$4="Chapter Hunt"),CHOOSE(ArtifactsInput!$N$27+1,20,24,28,32,36,40),0)/100)),0)</f>
        <v/>
      </c>
      <c r="R1548">
        <f>IF(AND(Inputs!$B$38&lt;&gt;"pvp",Inputs!$B$43&gt;0),IF(MAX(0,Inputs!$B$43-B1583)&lt;=0,0,(INT(MAX(0,Inputs!$B$43-B1583)/(IF(Inputs!$B$38="pvp",15,MAX(0.1,Skills!D5-IF(Skills!E5=TRUE,Inputs!$B$32,0)))*(1-IF(AND(ArtifactsInput!$M$27,Inputs!$B$4="Chapter Hunt"),CHOOSE(ArtifactsInput!$N$27+1,20,24,28,32,36,40),0)/100)))+1)),0)</f>
        <v/>
      </c>
      <c r="S1548">
        <f>IFERROR(O1548/N1548,0)</f>
        <v/>
      </c>
      <c r="T1548">
        <f>IF(C1548,(H1548*N1548*IF(AND(Inputs!$B$38&lt;&gt;"pvp",Inputs!$B$43&gt;0),((Skills!G5*((R1548-1)*IF(Skills!H5&gt;0,Skills!I5/Skills!H5,1)+IF(Skills!H5&gt;0,MIN(Skills!I5,MAX(0,MAX(0,Inputs!$B$43-B1583)-((R1548-1)*(IF(Inputs!$B$38="pvp",15,MAX(0.1,Skills!D5-IF(Skills!E5=TRUE,Inputs!$B$32,0)))*(1-IF(AND(ArtifactsInput!$M$27,Inputs!$B$4="Chapter Hunt"),CHOOSE(ArtifactsInput!$N$27+1,20,24,28,32,36,40),0)/100)))))/Skills!H5,1)))/Inputs!$B$43),G1548*Q1548)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1548*(1-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5*((R1548-1)*IF(Skills!H5&gt;0,Skills!I5/Skills!H5,1)+IF(Skills!H5&gt;0,MIN(Skills!I5,MAX(0,MAX(0,Inputs!$B$43-B1583)-((R1548-1)*(IF(Inputs!$B$38="pvp",15,MAX(0.1,Skills!D5-IF(Skills!E5=TRUE,Inputs!$B$32,0)))*(1-IF(AND(ArtifactsInput!$M$27,Inputs!$B$4="Chapter Hunt"),CHOOSE(ArtifactsInput!$N$27+1,20,24,28,32,36,40),0)/100)))))/Skills!H5,1)))/Inputs!$B$43),G1548*Q1548))*IF(Inputs!$B$38="pvp",1,(1+(Inputs!$B$21+Skills!Q5+(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Skills!A6</f>
        <v/>
      </c>
      <c r="B1549">
        <f>Skills!B6</f>
        <v/>
      </c>
      <c r="C1549">
        <f>Inputs!$B$3&gt;=40</f>
        <v/>
      </c>
      <c r="D1549">
        <f>IF(Skills!C6=1,60+Inputs!$B$25+Inputs!$B$29,IF(Skills!C6=2,90+Inputs!$B$26+Inputs!$B$29,IF(Skills!C6=3,120+Inputs!$B$27+Inputs!$B$29,MAX(0,(Inputs!$B$3-100)*3)+Inputs!$B$28+Inputs!$B$29)))</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((Inputs!$B$6*(1+Inputs!$B$7/100))+(((Inputs!$B$12*(1+Inputs!$B$13/100))-(Inputs!$B$12*(1+Inputs!$B$13/100)))+0.25*(Inputs!$B$14-Inputs!$B$14))*(1+Inputs!$B$7/100))*(F1549/100)</f>
        <v/>
      </c>
      <c r="K1549">
        <f>J1549*(1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1550=TRUE,F1550,0)/100)*(1+(IF(Skills!A6="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1567=TRUE)*(F1567-Calc!F24)),(Inputs!$B$23+((C1572=TRUE)*(F1572-Calc!F29))+(IF(ArtifactsInput!$M$15,CHOOSE(ArtifactsInput!$N$15+1,25,30,35,40,45,50)/100*(Inputs!$B$11-Inputs!$B$11),0))))/100+(Inputs!$B$23+((C1572=TRUE)*(F1572-Calc!F29))+(IF(ArtifactsInput!$M$15,CHOOSE(ArtifactsInput!$N$15+1,25,30,35,40,45,50)/100*(Inputs!$B$11-Inputs!$B$11),0)))/100)/2</f>
        <v/>
      </c>
      <c r="M1549">
        <f>L1549*(1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IF(B1586=0,0,O1549/B1586)</f>
        <v/>
      </c>
      <c r="Q1549">
        <f>IFERROR(1/(IF(Inputs!$B$38="pvp",15,MAX(0.1,Skills!D6-IF(Skills!E6=TRUE,Inputs!$B$32,0)))*(1-IF(AND(ArtifactsInput!$M$27,Inputs!$B$4="Chapter Hunt"),CHOOSE(ArtifactsInput!$N$27+1,20,24,28,32,36,40),0)/100)),0)</f>
        <v/>
      </c>
      <c r="R1549">
        <f>IF(AND(Inputs!$B$38&lt;&gt;"pvp",Inputs!$B$43&gt;0),IF(MAX(0,Inputs!$B$43-B1583)&lt;=0,0,(INT(MAX(0,Inputs!$B$43-B1583)/(IF(Inputs!$B$38="pvp",15,MAX(0.1,Skills!D6-IF(Skills!E6=TRUE,Inputs!$B$32,0)))*(1-IF(AND(ArtifactsInput!$M$27,Inputs!$B$4="Chapter Hunt"),CHOOSE(ArtifactsInput!$N$27+1,20,24,28,32,36,40),0)/100)))+1)),0)</f>
        <v/>
      </c>
      <c r="S1549">
        <f>IFERROR(O1549/N1549,0)</f>
        <v/>
      </c>
      <c r="T1549">
        <f>IF(C1549,(H1549*N1549*IF(AND(Inputs!$B$38&lt;&gt;"pvp",Inputs!$B$43&gt;0),((Skills!G6*((R1549-1)*IF(Skills!H6&gt;0,Skills!I6/Skills!H6,1)+IF(Skills!H6&gt;0,MIN(Skills!I6,MAX(0,MAX(0,Inputs!$B$43-B1583)-((R1549-1)*(IF(Inputs!$B$38="pvp",15,MAX(0.1,Skills!D6-IF(Skills!E6=TRUE,Inputs!$B$32,0)))*(1-IF(AND(ArtifactsInput!$M$27,Inputs!$B$4="Chapter Hunt"),CHOOSE(ArtifactsInput!$N$27+1,20,24,28,32,36,40),0)/100)))))/Skills!H6,1)))/Inputs!$B$43),G1549*Q1549)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1549*(1-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6*((R1549-1)*IF(Skills!H6&gt;0,Skills!I6/Skills!H6,1)+IF(Skills!H6&gt;0,MIN(Skills!I6,MAX(0,MAX(0,Inputs!$B$43-B1583)-((R1549-1)*(IF(Inputs!$B$38="pvp",15,MAX(0.1,Skills!D6-IF(Skills!E6=TRUE,Inputs!$B$32,0)))*(1-IF(AND(ArtifactsInput!$M$27,Inputs!$B$4="Chapter Hunt"),CHOOSE(ArtifactsInput!$N$27+1,20,24,28,32,36,40),0)/100)))))/Skills!H6,1)))/Inputs!$B$43),G1549*Q1549))*IF(Inputs!$B$38="pvp",1,(1+(Inputs!$B$21+Skills!Q6+(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Skills!A7</f>
        <v/>
      </c>
      <c r="B1550">
        <f>Skills!B7</f>
        <v/>
      </c>
      <c r="C1550">
        <f>Inputs!$B$3&gt;=107</f>
        <v/>
      </c>
      <c r="D1550">
        <f>IF(Skills!C7=1,60+Inputs!$B$25+Inputs!$B$29,IF(Skills!C7=2,90+Inputs!$B$26+Inputs!$B$29,IF(Skills!C7=3,120+Inputs!$B$27+Inputs!$B$29,MAX(0,(Inputs!$B$3-100)*3)+Inputs!$B$28+Inputs!$B$29)))</f>
        <v/>
      </c>
      <c r="E1550">
        <f>INDEX(FactorTable!$B$2:$Y$301, MATCH(ROUND(MIN(300,MAX(1,D1550)),0), FactorTable!$A$2:$A$301,0), Skills!M7+1)</f>
        <v/>
      </c>
      <c r="F1550">
        <f>IF(Skills!N7=TRUE,(Skills!L7/10)*(E1550/1000),Skills!L7/10)+Skills!O7</f>
        <v/>
      </c>
      <c r="G1550" t="inlineStr"/>
      <c r="H1550" t="inlineStr"/>
      <c r="I1550" t="inlineStr">
        <is>
          <t>1</t>
        </is>
      </c>
      <c r="J1550" t="inlineStr"/>
      <c r="K1550" t="inlineStr"/>
      <c r="L1550" t="inlineStr"/>
      <c r="M1550" t="inlineStr"/>
      <c r="N1550" t="inlineStr"/>
      <c r="O1550" t="inlineStr"/>
      <c r="P1550" t="inlineStr"/>
      <c r="Q1550" t="inlineStr"/>
      <c r="R1550" t="inlineStr"/>
      <c r="S1550" t="inlineStr"/>
      <c r="T1550" t="inlineStr"/>
      <c r="V1550" t="inlineStr"/>
    </row>
    <row r="1551">
      <c r="A1551">
        <f>Skills!A8</f>
        <v/>
      </c>
      <c r="B1551">
        <f>Skills!B8</f>
        <v/>
      </c>
      <c r="C1551">
        <f>Inputs!$B$3&gt;=69</f>
        <v/>
      </c>
      <c r="D1551">
        <f>IF(Skills!C8=1,60+Inputs!$B$25+Inputs!$B$29,IF(Skills!C8=2,90+Inputs!$B$26+Inputs!$B$29,IF(Skills!C8=3,120+Inputs!$B$27+Inputs!$B$29,MAX(0,(Inputs!$B$3-100)*3)+Inputs!$B$28+Inputs!$B$29)))</f>
        <v/>
      </c>
      <c r="E1551">
        <f>INDEX(FactorTable!$B$2:$Y$301, MATCH(ROUND(MIN(300,MAX(1,D1551)),0), FactorTable!$A$2:$A$301,0), Skills!M8+1)</f>
        <v/>
      </c>
      <c r="F1551">
        <f>IF(Skills!N8=TRUE,(Skills!L8/10)*(E1551/1000),Skills!L8/10)+Skills!O8</f>
        <v/>
      </c>
      <c r="G1551">
        <f>Skills!G8*IF(Skills!H8&gt;0,Skills!I8/Skills!H8,1)</f>
        <v/>
      </c>
      <c r="H1551">
        <f>1-(1-Skills!J8/100)^Skills!K8</f>
        <v/>
      </c>
      <c r="I1551" t="inlineStr">
        <is>
          <t>1</t>
        </is>
      </c>
      <c r="J1551">
        <f>((Inputs!$B$6*(1+Inputs!$B$7/100))+(((Inputs!$B$12*(1+Inputs!$B$13/100))-(Inputs!$B$12*(1+Inputs!$B$13/100)))+0.25*(Inputs!$B$14-Inputs!$B$14))*(1+Inputs!$B$7/100))*(F1551/100)</f>
        <v/>
      </c>
      <c r="K1551">
        <f>J1551*(1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1553=TRUE,F1553,0)/100)*(1+(IF(Skills!A8="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1567=TRUE)*(F1567-Calc!F24)),(Inputs!$B$23+((C1572=TRUE)*(F1572-Calc!F29))+(IF(ArtifactsInput!$M$15,CHOOSE(ArtifactsInput!$N$15+1,25,30,35,40,45,50)/100*(Inputs!$B$11-Inputs!$B$11),0))))/100+(Inputs!$B$23+((C1572=TRUE)*(F1572-Calc!F29))+(IF(ArtifactsInput!$M$15,CHOOSE(ArtifactsInput!$N$15+1,25,30,35,40,45,50)/100*(Inputs!$B$11-Inputs!$B$11),0)))/100)/2</f>
        <v/>
      </c>
      <c r="M1551">
        <f>L1551*(1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IF(B1586=0,0,O1551/B1586)</f>
        <v/>
      </c>
      <c r="Q1551">
        <f>IFERROR(1/(IF(Inputs!$B$38="pvp",15,MAX(0.1,Skills!D8-IF(Skills!E8=TRUE,Inputs!$B$32,0)))*(1-IF(AND(ArtifactsInput!$M$27,Inputs!$B$4="Chapter Hunt"),CHOOSE(ArtifactsInput!$N$27+1,20,24,28,32,36,40),0)/100)),0)</f>
        <v/>
      </c>
      <c r="R1551">
        <f>IF(AND(Inputs!$B$38&lt;&gt;"pvp",Inputs!$B$43&gt;0),IF(MAX(0,Inputs!$B$43-B1583)&lt;=0,0,(INT(MAX(0,Inputs!$B$43-B1583)/(IF(Inputs!$B$38="pvp",15,MAX(0.1,Skills!D8-IF(Skills!E8=TRUE,Inputs!$B$32,0)))*(1-IF(AND(ArtifactsInput!$M$27,Inputs!$B$4="Chapter Hunt"),CHOOSE(ArtifactsInput!$N$27+1,20,24,28,32,36,40),0)/100)))+1)),0)</f>
        <v/>
      </c>
      <c r="S1551">
        <f>IFERROR(O1551/N1551,0)</f>
        <v/>
      </c>
      <c r="T1551">
        <f>IF(C1551,(H1551*N1551*IF(AND(Inputs!$B$38&lt;&gt;"pvp",Inputs!$B$43&gt;0),((Skills!G8*((R1551-1)*IF(Skills!H8&gt;0,Skills!I8/Skills!H8,1)+IF(Skills!H8&gt;0,MIN(Skills!I8,MAX(0,MAX(0,Inputs!$B$43-B1583)-((R1551-1)*(IF(Inputs!$B$38="pvp",15,MAX(0.1,Skills!D8-IF(Skills!E8=TRUE,Inputs!$B$32,0)))*(1-IF(AND(ArtifactsInput!$M$27,Inputs!$B$4="Chapter Hunt"),CHOOSE(ArtifactsInput!$N$27+1,20,24,28,32,36,40),0)/100)))))/Skills!H8,1)))/Inputs!$B$43),G1551*Q1551)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1551*(1-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8*((R1551-1)*IF(Skills!H8&gt;0,Skills!I8/Skills!H8,1)+IF(Skills!H8&gt;0,MIN(Skills!I8,MAX(0,MAX(0,Inputs!$B$43-B1583)-((R1551-1)*(IF(Inputs!$B$38="pvp",15,MAX(0.1,Skills!D8-IF(Skills!E8=TRUE,Inputs!$B$32,0)))*(1-IF(AND(ArtifactsInput!$M$27,Inputs!$B$4="Chapter Hunt"),CHOOSE(ArtifactsInput!$N$27+1,20,24,28,32,36,40),0)/100)))))/Skills!H8,1)))/Inputs!$B$43),G1551*Q1551))*IF(Inputs!$B$38="pvp",1,(1+(Inputs!$B$21+Skills!Q8+(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Skills!A9</f>
        <v/>
      </c>
      <c r="B1552">
        <f>Skills!B9</f>
        <v/>
      </c>
      <c r="C1552">
        <f>Inputs!$B$3&gt;=63</f>
        <v/>
      </c>
      <c r="D1552">
        <f>IF(Skills!C9=1,60+Inputs!$B$25+Inputs!$B$29,IF(Skills!C9=2,90+Inputs!$B$26+Inputs!$B$29,IF(Skills!C9=3,120+Inputs!$B$27+Inputs!$B$29,MAX(0,(Inputs!$B$3-100)*3)+Inputs!$B$28+Inputs!$B$29)))</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((Inputs!$B$6*(1+Inputs!$B$7/100))+(((Inputs!$B$12*(1+Inputs!$B$13/100))-(Inputs!$B$12*(1+Inputs!$B$13/100)))+0.25*(Inputs!$B$14-Inputs!$B$14))*(1+Inputs!$B$7/100))*(F1552/100)</f>
        <v/>
      </c>
      <c r="K1552">
        <f>J1552*(1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1567=TRUE)*(F1567-Calc!F24)),(Inputs!$B$23+((C1572=TRUE)*(F1572-Calc!F29))+(IF(ArtifactsInput!$M$15,CHOOSE(ArtifactsInput!$N$15+1,25,30,35,40,45,50)/100*(Inputs!$B$11-Inputs!$B$11),0))))/100+(Inputs!$B$23+((C1572=TRUE)*(F1572-Calc!F29))+(IF(ArtifactsInput!$M$15,CHOOSE(ArtifactsInput!$N$15+1,25,30,35,40,45,50)/100*(Inputs!$B$11-Inputs!$B$11),0)))/100)/2</f>
        <v/>
      </c>
      <c r="M1552">
        <f>L1552*(1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IF(B1586=0,0,O1552/B1586)</f>
        <v/>
      </c>
      <c r="Q1552">
        <f>IFERROR(1/(IF(Inputs!$B$38="pvp",15,MAX(0.1,Skills!D9-IF(Skills!E9=TRUE,Inputs!$B$32,0)))*(1-IF(AND(ArtifactsInput!$M$27,Inputs!$B$4="Chapter Hunt"),CHOOSE(ArtifactsInput!$N$27+1,20,24,28,32,36,40),0)/100)),0)</f>
        <v/>
      </c>
      <c r="R1552">
        <f>IF(AND(Inputs!$B$38&lt;&gt;"pvp",Inputs!$B$43&gt;0),IF(MAX(0,Inputs!$B$43-B1583)&lt;=0,0,(INT(MAX(0,Inputs!$B$43-B1583)/(IF(Inputs!$B$38="pvp",15,MAX(0.1,Skills!D9-IF(Skills!E9=TRUE,Inputs!$B$32,0)))*(1-IF(AND(ArtifactsInput!$M$27,Inputs!$B$4="Chapter Hunt"),CHOOSE(ArtifactsInput!$N$27+1,20,24,28,32,36,40),0)/100)))+1)),0)</f>
        <v/>
      </c>
      <c r="S1552">
        <f>IFERROR(O1552/N1552,0)</f>
        <v/>
      </c>
      <c r="T1552">
        <f>IF(C1552,(H1552*N1552*IF(AND(Inputs!$B$38&lt;&gt;"pvp",Inputs!$B$43&gt;0),((Skills!G9*((R1552-1)*IF(Skills!H9&gt;0,Skills!I9/Skills!H9,1)+IF(Skills!H9&gt;0,MIN(Skills!I9,MAX(0,MAX(0,Inputs!$B$43-B1583)-((R1552-1)*(IF(Inputs!$B$38="pvp",15,MAX(0.1,Skills!D9-IF(Skills!E9=TRUE,Inputs!$B$32,0)))*(1-IF(AND(ArtifactsInput!$M$27,Inputs!$B$4="Chapter Hunt"),CHOOSE(ArtifactsInput!$N$27+1,20,24,28,32,36,40),0)/100)))))/Skills!H9,1)))/Inputs!$B$43),G1552*Q1552)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1552*(1-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9*((R1552-1)*IF(Skills!H9&gt;0,Skills!I9/Skills!H9,1)+IF(Skills!H9&gt;0,MIN(Skills!I9,MAX(0,MAX(0,Inputs!$B$43-B1583)-((R1552-1)*(IF(Inputs!$B$38="pvp",15,MAX(0.1,Skills!D9-IF(Skills!E9=TRUE,Inputs!$B$32,0)))*(1-IF(AND(ArtifactsInput!$M$27,Inputs!$B$4="Chapter Hunt"),CHOOSE(ArtifactsInput!$N$27+1,20,24,28,32,36,40),0)/100)))))/Skills!H9,1)))/Inputs!$B$43),G1552*Q1552))*IF(Inputs!$B$38="pvp",1,(1+(Inputs!$B$21+Skills!Q9+(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Skills!A10</f>
        <v/>
      </c>
      <c r="B1553">
        <f>Skills!B10</f>
        <v/>
      </c>
      <c r="C1553">
        <f>Inputs!$B$3&gt;=100</f>
        <v/>
      </c>
      <c r="D1553">
        <f>IF(Skills!C10=1,60+Inputs!$B$25+Inputs!$B$29,IF(Skills!C10=2,90+Inputs!$B$26+Inputs!$B$29,IF(Skills!C10=3,120+Inputs!$B$27+Inputs!$B$29,MAX(0,(Inputs!$B$3-100)*3)+Inputs!$B$28+Inputs!$B$29)))</f>
        <v/>
      </c>
      <c r="E1553">
        <f>INDEX(FactorTable!$B$2:$Y$301, MATCH(ROUND(MIN(300,MAX(1,D1553)),0), FactorTable!$A$2:$A$301,0), Skills!M10+1)</f>
        <v/>
      </c>
      <c r="F1553">
        <f>IF(Skills!N10=TRUE,(Skills!L10/10)*(E1553/1000),Skills!L10/10)+Skills!O10</f>
        <v/>
      </c>
      <c r="G1553" t="inlineStr"/>
      <c r="H1553" t="inlineStr"/>
      <c r="I1553" t="inlineStr">
        <is>
          <t>1</t>
        </is>
      </c>
      <c r="J1553" t="inlineStr"/>
      <c r="K1553" t="inlineStr"/>
      <c r="L1553" t="inlineStr"/>
      <c r="M1553" t="inlineStr"/>
      <c r="N1553" t="inlineStr"/>
      <c r="O1553" t="inlineStr"/>
      <c r="P1553" t="inlineStr"/>
      <c r="Q1553" t="inlineStr"/>
      <c r="R1553" t="inlineStr"/>
      <c r="S1553" t="inlineStr"/>
      <c r="T1553" t="inlineStr"/>
      <c r="V1553" t="inlineStr"/>
    </row>
    <row r="1554">
      <c r="A1554">
        <f>Skills!A11</f>
        <v/>
      </c>
      <c r="B1554">
        <f>Skills!B11</f>
        <v/>
      </c>
      <c r="C1554">
        <f>Inputs!$B$3&gt;=60</f>
        <v/>
      </c>
      <c r="D1554">
        <f>IF(Skills!C11=1,60+Inputs!$B$25+Inputs!$B$29,IF(Skills!C11=2,90+Inputs!$B$26+Inputs!$B$29,IF(Skills!C11=3,120+Inputs!$B$27+Inputs!$B$29,MAX(0,(Inputs!$B$3-100)*3)+Inputs!$B$28+Inputs!$B$29)))</f>
        <v/>
      </c>
      <c r="E1554">
        <f>INDEX(FactorTable!$B$2:$Y$301, MATCH(ROUND(MIN(300,MAX(1,D1554)),0), FactorTable!$A$2:$A$301,0), Skills!M11+1)</f>
        <v/>
      </c>
      <c r="F1554">
        <f>IF(Skills!N11=TRUE,(Skills!L11/10)*(E1554/1000),Skills!L11/10)+Skills!O11</f>
        <v/>
      </c>
      <c r="G1554">
        <f>Skills!G11*IF(Skills!H11&gt;0,Skills!I11/Skills!H11,1)</f>
        <v/>
      </c>
      <c r="H1554">
        <f>1-(1-Skills!J11/100)^Skills!K11</f>
        <v/>
      </c>
      <c r="I1554" t="inlineStr">
        <is>
          <t>1</t>
        </is>
      </c>
      <c r="J1554">
        <f>((Inputs!$B$6*(1+Inputs!$B$7/100))+(((Inputs!$B$12*(1+Inputs!$B$13/100))-(Inputs!$B$12*(1+Inputs!$B$13/100)))+0.25*(Inputs!$B$14-Inputs!$B$14))*(1+Inputs!$B$7/100))*(F1554/100)</f>
        <v/>
      </c>
      <c r="K1554">
        <f>J1554*(1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1555=TRUE,F1555,0)/100)*(1+(IF(Skills!A11="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C1567=TRUE)*(F1567-Calc!F24)),(Inputs!$B$23+((C1572=TRUE)*(F1572-Calc!F29))+(IF(ArtifactsInput!$M$15,CHOOSE(ArtifactsInput!$N$15+1,25,30,35,40,45,50)/100*(Inputs!$B$11-Inputs!$B$11),0))))/100+(Inputs!$B$23+((C1572=TRUE)*(F1572-Calc!F29))+(IF(ArtifactsInput!$M$15,CHOOSE(ArtifactsInput!$N$15+1,25,30,35,40,45,50)/100*(Inputs!$B$11-Inputs!$B$11),0)))/100)/2</f>
        <v/>
      </c>
      <c r="M1554">
        <f>L1554*(1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(1-Summary!$B$11)*T1554+Summary!$B$11*V1554</f>
        <v/>
      </c>
      <c r="P1554">
        <f>IF(B1586=0,0,O1554/B1586)</f>
        <v/>
      </c>
      <c r="Q1554">
        <f>IFERROR(1/(IF(Inputs!$B$38="pvp",15,MAX(0.1,Skills!D11-IF(Skills!E11=TRUE,Inputs!$B$32,0)))*(1-IF(AND(ArtifactsInput!$M$27,Inputs!$B$4="Chapter Hunt"),CHOOSE(ArtifactsInput!$N$27+1,20,24,28,32,36,40),0)/100)),0)</f>
        <v/>
      </c>
      <c r="R1554">
        <f>IF(AND(Inputs!$B$38&lt;&gt;"pvp",Inputs!$B$43&gt;0),IF(MAX(0,Inputs!$B$43-B1583)&lt;=0,0,(INT(MAX(0,Inputs!$B$43-B1583)/(IF(Inputs!$B$38="pvp",15,MAX(0.1,Skills!D11-IF(Skills!E11=TRUE,Inputs!$B$32,0)))*(1-IF(AND(ArtifactsInput!$M$27,Inputs!$B$4="Chapter Hunt"),CHOOSE(ArtifactsInput!$N$27+1,20,24,28,32,36,40),0)/100)))+1)),0)</f>
        <v/>
      </c>
      <c r="S1554">
        <f>IFERROR(O1554/N1554,0)</f>
        <v/>
      </c>
      <c r="T1554">
        <f>IF(C1554,(H1554*N1554*IF(AND(Inputs!$B$38&lt;&gt;"pvp",Inputs!$B$43&gt;0),((Skills!G11*((R1554-1)*IF(Skills!H11&gt;0,Skills!I11/Skills!H11,1)+IF(Skills!H11&gt;0,MIN(Skills!I11,MAX(0,MAX(0,Inputs!$B$43-B1583)-((R1554-1)*(IF(Inputs!$B$38="pvp",15,MAX(0.1,Skills!D11-IF(Skills!E11=TRUE,Inputs!$B$32,0)))*(1-IF(AND(ArtifactsInput!$M$27,Inputs!$B$4="Chapter Hunt"),CHOOSE(ArtifactsInput!$N$27+1,20,24,28,32,36,40),0)/100)))))/Skills!H11,1)))/Inputs!$B$43),G1554*Q1554)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1554*(1-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4">
        <f>IF(C1554,(H1554*N1554*IF(AND(Inputs!$B$38&lt;&gt;"pvp",Inputs!$B$43&gt;0),((Skills!G11*((R1554-1)*IF(Skills!H11&gt;0,Skills!I11/Skills!H11,1)+IF(Skills!H11&gt;0,MIN(Skills!I11,MAX(0,MAX(0,Inputs!$B$43-B1583)-((R1554-1)*(IF(Inputs!$B$38="pvp",15,MAX(0.1,Skills!D11-IF(Skills!E11=TRUE,Inputs!$B$32,0)))*(1-IF(AND(ArtifactsInput!$M$27,Inputs!$B$4="Chapter Hunt"),CHOOSE(ArtifactsInput!$N$27+1,20,24,28,32,36,40),0)/100)))))/Skills!H11,1)))/Inputs!$B$43),G1554*Q1554))*IF(Inputs!$B$38="pvp",1,(1+(Inputs!$B$21+Skills!Q11+(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Skills!A12</f>
        <v/>
      </c>
      <c r="B1555">
        <f>Skills!B12</f>
        <v/>
      </c>
      <c r="C1555">
        <f>Inputs!$B$3&gt;=110</f>
        <v/>
      </c>
      <c r="D1555">
        <f>IF(Skills!C12=1,60+Inputs!$B$25+Inputs!$B$29,IF(Skills!C12=2,90+Inputs!$B$26+Inputs!$B$29,IF(Skills!C12=3,120+Inputs!$B$27+Inputs!$B$29,MAX(0,(Inputs!$B$3-100)*3)+Inputs!$B$28+Inputs!$B$29)))</f>
        <v/>
      </c>
      <c r="E1555">
        <f>INDEX(FactorTable!$B$2:$Y$301, MATCH(ROUND(MIN(300,MAX(1,D1555)),0), FactorTable!$A$2:$A$301,0), Skills!M12+1)</f>
        <v/>
      </c>
      <c r="F1555">
        <f>IF(Skills!N12=TRUE,(Skills!L12/10)*(E1555/1000),Skills!L12/10)+Skills!O12</f>
        <v/>
      </c>
      <c r="G1555" t="inlineStr"/>
      <c r="H1555" t="inlineStr"/>
      <c r="I1555" t="inlineStr">
        <is>
          <t>1</t>
        </is>
      </c>
      <c r="J1555" t="inlineStr"/>
      <c r="K1555" t="inlineStr"/>
      <c r="L1555" t="inlineStr"/>
      <c r="M1555" t="inlineStr"/>
      <c r="N1555" t="inlineStr"/>
      <c r="O1555" t="inlineStr"/>
      <c r="P1555" t="inlineStr"/>
      <c r="Q1555" t="inlineStr"/>
      <c r="R1555" t="inlineStr"/>
      <c r="S1555" t="inlineStr"/>
      <c r="T1555" t="inlineStr"/>
      <c r="V1555" t="inlineStr"/>
    </row>
    <row r="1556">
      <c r="A1556">
        <f>Skills!A13</f>
        <v/>
      </c>
      <c r="B1556">
        <f>Skills!B13</f>
        <v/>
      </c>
      <c r="C1556">
        <f>Inputs!$B$3&gt;=74</f>
        <v/>
      </c>
      <c r="D1556">
        <f>IF(Skills!C13=1,60+Inputs!$B$25+Inputs!$B$29,IF(Skills!C13=2,90+Inputs!$B$26+Inputs!$B$29,IF(Skills!C13=3,120+Inputs!$B$27+Inputs!$B$29,MAX(0,(Inputs!$B$3-100)*3)+Inputs!$B$28+Inputs!$B$29)))</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IF(B1586=0,0,O1556/B1586)</f>
        <v/>
      </c>
      <c r="Q1556" t="n">
        <v>0</v>
      </c>
      <c r="R1556" t="n">
        <v>0</v>
      </c>
      <c r="S1556">
        <f>IFERROR(O1556/N1556,0)</f>
        <v/>
      </c>
      <c r="T1556" t="n">
        <v>0</v>
      </c>
      <c r="V1556" t="n">
        <v>0</v>
      </c>
    </row>
    <row r="1557">
      <c r="A1557">
        <f>Skills!A14</f>
        <v/>
      </c>
      <c r="B1557">
        <f>Skills!B14</f>
        <v/>
      </c>
      <c r="C1557">
        <f>Inputs!$B$3&gt;=74</f>
        <v/>
      </c>
      <c r="D1557">
        <f>IF(Skills!C14=1,60+Inputs!$B$25+Inputs!$B$29,IF(Skills!C14=2,90+Inputs!$B$26+Inputs!$B$29,IF(Skills!C14=3,120+Inputs!$B$27+Inputs!$B$29,MAX(0,(Inputs!$B$3-100)*3)+Inputs!$B$28+Inputs!$B$29)))</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IF(B1586=0,0,O1557/B1586)</f>
        <v/>
      </c>
      <c r="Q1557" t="n">
        <v>0</v>
      </c>
      <c r="R1557" t="n">
        <v>0</v>
      </c>
      <c r="S1557">
        <f>IFERROR(O1557/N1557,0)</f>
        <v/>
      </c>
      <c r="T1557" t="n">
        <v>0</v>
      </c>
      <c r="V1557" t="n">
        <v>0</v>
      </c>
    </row>
    <row r="1558">
      <c r="A1558">
        <f>Skills!A15</f>
        <v/>
      </c>
      <c r="B1558">
        <f>Skills!B15</f>
        <v/>
      </c>
      <c r="C1558">
        <f>Inputs!$B$3&gt;=117</f>
        <v/>
      </c>
      <c r="D1558">
        <f>IF(Skills!C15=1,60+Inputs!$B$25+Inputs!$B$29,IF(Skills!C15=2,90+Inputs!$B$26+Inputs!$B$29,IF(Skills!C15=3,120+Inputs!$B$27+Inputs!$B$29,MAX(0,(Inputs!$B$3-100)*3)+Inputs!$B$28+Inputs!$B$29)))</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IF(B1586=0,0,O1558/B1586)</f>
        <v/>
      </c>
      <c r="Q1558">
        <f>IFERROR(1/(IF(Inputs!$B$38="pvp",15,MAX(0.1,Skills!D15-IF(Skills!E15=TRUE,Inputs!$B$32,0)))*(1-IF(AND(ArtifactsInput!$M$27,Inputs!$B$4="Chapter Hunt"),CHOOSE(ArtifactsInput!$N$27+1,20,24,28,32,36,40),0)/100)),0)</f>
        <v/>
      </c>
      <c r="R1558">
        <f>IF(AND(Inputs!$B$38&lt;&gt;"pvp",Inputs!$B$43&gt;0),IF(Inputs!$B$43&lt;=0,0,(INT(Inputs!$B$43/(IF(Inputs!$B$38="pvp",15,MAX(0.1,Skills!D15-IF(Skills!E15=TRUE,Inputs!$B$32,0)))*(1-IF(AND(ArtifactsInput!$M$27,Inputs!$B$4="Chapter Hunt"),CHOOSE(ArtifactsInput!$N$27+1,20,24,28,32,36,40),0)/100)))+1)),0)</f>
        <v/>
      </c>
      <c r="S1558">
        <f>IFERROR(O1558/N1558,0)</f>
        <v/>
      </c>
      <c r="T1558" t="n">
        <v>0</v>
      </c>
      <c r="V1558" t="n">
        <v>0</v>
      </c>
    </row>
    <row r="1559">
      <c r="A1559">
        <f>Skills!A16</f>
        <v/>
      </c>
      <c r="B1559">
        <f>Skills!B16</f>
        <v/>
      </c>
      <c r="C1559">
        <f>Inputs!$B$3&gt;=115</f>
        <v/>
      </c>
      <c r="D1559">
        <f>IF(Skills!C16=1,60+Inputs!$B$25+Inputs!$B$29,IF(Skills!C16=2,90+Inputs!$B$26+Inputs!$B$29,IF(Skills!C16=3,120+Inputs!$B$27+Inputs!$B$29,MAX(0,(Inputs!$B$3-100)*3)+Inputs!$B$28+Inputs!$B$29)))</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IF(B1586=0,0,O1559/B1586)</f>
        <v/>
      </c>
      <c r="Q1559">
        <f>IFERROR(1/(IF(Inputs!$B$38="pvp",15,MAX(0.1,Skills!D16-IF(Skills!E16=TRUE,Inputs!$B$32,0)))*(1-IF(AND(ArtifactsInput!$M$27,Inputs!$B$4="Chapter Hunt"),CHOOSE(ArtifactsInput!$N$27+1,20,24,28,32,36,40),0)/100)),0)</f>
        <v/>
      </c>
      <c r="R1559">
        <f>IF(AND(Inputs!$B$38&lt;&gt;"pvp",Inputs!$B$43&gt;0),IF(Inputs!$B$43&lt;=0,0,(INT(Inputs!$B$43/(IF(Inputs!$B$38="pvp",15,MAX(0.1,Skills!D16-IF(Skills!E16=TRUE,Inputs!$B$32,0)))*(1-IF(AND(ArtifactsInput!$M$27,Inputs!$B$4="Chapter Hunt"),CHOOSE(ArtifactsInput!$N$27+1,20,24,28,32,36,40),0)/100)))+1)),0)</f>
        <v/>
      </c>
      <c r="S1559">
        <f>IFERROR(O1559/N1559,0)</f>
        <v/>
      </c>
      <c r="T1559" t="n">
        <v>0</v>
      </c>
      <c r="V1559" t="n">
        <v>0</v>
      </c>
    </row>
    <row r="1560">
      <c r="A1560">
        <f>Skills!A17</f>
        <v/>
      </c>
      <c r="B1560">
        <f>Skills!B17</f>
        <v/>
      </c>
      <c r="C1560">
        <f>Inputs!$B$3&gt;=66</f>
        <v/>
      </c>
      <c r="D1560">
        <f>IF(Skills!C17=1,60+Inputs!$B$25+Inputs!$B$29,IF(Skills!C17=2,90+Inputs!$B$26+Inputs!$B$29,IF(Skills!C17=3,120+Inputs!$B$27+Inputs!$B$29,MAX(0,(Inputs!$B$3-100)*3)+Inputs!$B$28+Inputs!$B$29)))</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Skills!A18</f>
        <v/>
      </c>
      <c r="B1561">
        <f>Skills!B18</f>
        <v/>
      </c>
      <c r="C1561">
        <f>Inputs!$B$3&gt;=72</f>
        <v/>
      </c>
      <c r="D1561">
        <f>IF(Skills!C18=1,60+Inputs!$B$25+Inputs!$B$29,IF(Skills!C18=2,90+Inputs!$B$26+Inputs!$B$29,IF(Skills!C18=3,120+Inputs!$B$27+Inputs!$B$29,MAX(0,(Inputs!$B$3-100)*3)+Inputs!$B$28+Inputs!$B$29)))</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IF(B1586=0,0,O1561/B1586)</f>
        <v/>
      </c>
      <c r="Q1561" t="n">
        <v>0</v>
      </c>
      <c r="R1561" t="n">
        <v>0</v>
      </c>
      <c r="S1561">
        <f>IFERROR(O1561/N1561,0)</f>
        <v/>
      </c>
      <c r="T1561" t="n">
        <v>0</v>
      </c>
      <c r="V1561" t="n">
        <v>0</v>
      </c>
    </row>
    <row r="1562">
      <c r="A1562">
        <f>Skills!A19</f>
        <v/>
      </c>
      <c r="B1562">
        <f>Skills!B19</f>
        <v/>
      </c>
      <c r="C1562">
        <f>TRUE</f>
        <v/>
      </c>
      <c r="D1562">
        <f>IF(Skills!C19=1,60+Inputs!$B$25+Inputs!$B$29,IF(Skills!C19=2,90+Inputs!$B$26+Inputs!$B$29,IF(Skills!C19=3,120+Inputs!$B$27+Inputs!$B$29,MAX(0,(Inputs!$B$3-100)*3)+Inputs!$B$28+Inputs!$B$29)))</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IF(B1586=0,0,O1562/B1586)</f>
        <v/>
      </c>
      <c r="Q1562">
        <f>IFERROR(1/(IF(Inputs!$B$38="pvp",15,MAX(0.1,Skills!D19-IF(Skills!E19=TRUE,Inputs!$B$32,0)))*(1-IF(AND(ArtifactsInput!$M$27,Inputs!$B$4="Chapter Hunt"),CHOOSE(ArtifactsInput!$N$27+1,20,24,28,32,36,40),0)/100)),0)</f>
        <v/>
      </c>
      <c r="R1562">
        <f>IF(AND(Inputs!$B$38&lt;&gt;"pvp",Inputs!$B$43&gt;0),IF(Inputs!$B$43&lt;=0,0,(INT(Inputs!$B$43/(IF(Inputs!$B$38="pvp",15,MAX(0.1,Skills!D19-IF(Skills!E19=TRUE,Inputs!$B$32,0)))*(1-IF(AND(ArtifactsInput!$M$27,Inputs!$B$4="Chapter Hunt"),CHOOSE(ArtifactsInput!$N$27+1,20,24,28,32,36,40),0)/100)))+1)),0)</f>
        <v/>
      </c>
      <c r="S1562">
        <f>IFERROR(O1562/N1562,0)</f>
        <v/>
      </c>
      <c r="T1562" t="n">
        <v>0</v>
      </c>
      <c r="V1562" t="n">
        <v>0</v>
      </c>
    </row>
    <row r="1563">
      <c r="A1563">
        <f>Skills!A20</f>
        <v/>
      </c>
      <c r="B1563">
        <f>Skills!B20</f>
        <v/>
      </c>
      <c r="C1563">
        <f>Inputs!$B$3&gt;=15</f>
        <v/>
      </c>
      <c r="D1563">
        <f>IF(Skills!C20=1,60+Inputs!$B$25+Inputs!$B$29,IF(Skills!C20=2,90+Inputs!$B$26+Inputs!$B$29,IF(Skills!C20=3,120+Inputs!$B$27+Inputs!$B$29,MAX(0,(Inputs!$B$3-100)*3)+Inputs!$B$28+Inputs!$B$29)))</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IF(B1586=0,0,O1563/B1586)</f>
        <v/>
      </c>
      <c r="Q1563" t="n">
        <v>0</v>
      </c>
      <c r="R1563" t="n">
        <v>0</v>
      </c>
      <c r="S1563">
        <f>IFERROR(O1563/N1563,0)</f>
        <v/>
      </c>
      <c r="T1563" t="n">
        <v>0</v>
      </c>
      <c r="V1563" t="n">
        <v>0</v>
      </c>
    </row>
    <row r="1564">
      <c r="A1564">
        <f>Skills!A21</f>
        <v/>
      </c>
      <c r="B1564">
        <f>Skills!B21</f>
        <v/>
      </c>
      <c r="C1564">
        <f>Inputs!$B$3&gt;=10</f>
        <v/>
      </c>
      <c r="D1564">
        <f>IF(Skills!C21=1,60+Inputs!$B$25+Inputs!$B$29,IF(Skills!C21=2,90+Inputs!$B$26+Inputs!$B$29,IF(Skills!C21=3,120+Inputs!$B$27+Inputs!$B$29,MAX(0,(Inputs!$B$3-100)*3)+Inputs!$B$28+Inputs!$B$29)))</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Skills!A22</f>
        <v/>
      </c>
      <c r="B1565">
        <f>Skills!B22</f>
        <v/>
      </c>
      <c r="C1565">
        <f>Inputs!$B$3&gt;=33</f>
        <v/>
      </c>
      <c r="D1565">
        <f>IF(Skills!C22=1,60+Inputs!$B$25+Inputs!$B$29,IF(Skills!C22=2,90+Inputs!$B$26+Inputs!$B$29,IF(Skills!C22=3,120+Inputs!$B$27+Inputs!$B$29,MAX(0,(Inputs!$B$3-100)*3)+Inputs!$B$28+Inputs!$B$29)))</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Skills!A23</f>
        <v/>
      </c>
      <c r="B1566">
        <f>Skills!B23</f>
        <v/>
      </c>
      <c r="C1566">
        <f>Inputs!$B$3&gt;=38</f>
        <v/>
      </c>
      <c r="D1566">
        <f>IF(Skills!C23=1,60+Inputs!$B$25+Inputs!$B$29,IF(Skills!C23=2,90+Inputs!$B$26+Inputs!$B$29,IF(Skills!C23=3,120+Inputs!$B$27+Inputs!$B$29,MAX(0,(Inputs!$B$3-100)*3)+Inputs!$B$28+Inputs!$B$29)))</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Skills!A24</f>
        <v/>
      </c>
      <c r="B1567">
        <f>Skills!B24</f>
        <v/>
      </c>
      <c r="C1567">
        <f>Inputs!$B$3&gt;=43</f>
        <v/>
      </c>
      <c r="D1567">
        <f>IF(Skills!C24=1,60+Inputs!$B$25+Inputs!$B$29,IF(Skills!C24=2,90+Inputs!$B$26+Inputs!$B$29,IF(Skills!C24=3,120+Inputs!$B$27+Inputs!$B$29,MAX(0,(Inputs!$B$3-100)*3)+Inputs!$B$28+Inputs!$B$29)))</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Skills!A25</f>
        <v/>
      </c>
      <c r="B1568">
        <f>Skills!B25</f>
        <v/>
      </c>
      <c r="C1568">
        <f>Inputs!$B$3&gt;=75</f>
        <v/>
      </c>
      <c r="D1568">
        <f>IF(Skills!C25=1,60+Inputs!$B$25+Inputs!$B$29,IF(Skills!C25=2,90+Inputs!$B$26+Inputs!$B$29,IF(Skills!C25=3,120+Inputs!$B$27+Inputs!$B$29,MAX(0,(Inputs!$B$3-100)*3)+Inputs!$B$28+Inputs!$B$29)))</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Skills!A26</f>
        <v/>
      </c>
      <c r="B1569">
        <f>Skills!B26</f>
        <v/>
      </c>
      <c r="C1569">
        <f>Inputs!$B$3&gt;=125</f>
        <v/>
      </c>
      <c r="D1569">
        <f>IF(Skills!C26=1,60+Inputs!$B$25+Inputs!$B$29,IF(Skills!C26=2,90+Inputs!$B$26+Inputs!$B$29,IF(Skills!C26=3,120+Inputs!$B$27+Inputs!$B$29,MAX(0,(Inputs!$B$3-100)*3)+Inputs!$B$28+Inputs!$B$29)))</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Skills!A27</f>
        <v/>
      </c>
      <c r="B1570">
        <f>Skills!B27</f>
        <v/>
      </c>
      <c r="C1570">
        <f>Inputs!$B$3&gt;=125</f>
        <v/>
      </c>
      <c r="D1570">
        <f>IF(Skills!C27=1,60+Inputs!$B$25+Inputs!$B$29,IF(Skills!C27=2,90+Inputs!$B$26+Inputs!$B$29,IF(Skills!C27=3,120+Inputs!$B$27+Inputs!$B$29,MAX(0,(Inputs!$B$3-100)*3)+Inputs!$B$28+Inputs!$B$29)))</f>
        <v/>
      </c>
      <c r="E1570">
        <f>INDEX(FactorTable!$B$2:$Y$301, MATCH(ROUND(MIN(300,MAX(1,D1570)),0), FactorTable!$A$2:$A$301,0), Skills!M27+1)</f>
        <v/>
      </c>
      <c r="F1570">
        <f>IF(Skills!N27=TRUE,(Skills!L27/10)*(E1570/1000),Skills!L27/10)+Skills!O27</f>
        <v/>
      </c>
      <c r="G1570">
        <f>Skills!G27*IF(Skills!H27&gt;0,Skills!I27/Skills!H27,1)</f>
        <v/>
      </c>
      <c r="H1570">
        <f>1-(1-Skills!J27/100)^Skills!K27</f>
        <v/>
      </c>
      <c r="I1570" t="inlineStr">
        <is>
          <t>1</t>
        </is>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Skills!A28</f>
        <v/>
      </c>
      <c r="B1571">
        <f>Skills!B28</f>
        <v/>
      </c>
      <c r="C1571">
        <f>Inputs!$B$3&gt;=120</f>
        <v/>
      </c>
      <c r="D1571">
        <f>IF(Skills!C28=1,60+Inputs!$B$25+Inputs!$B$29,IF(Skills!C28=2,90+Inputs!$B$26+Inputs!$B$29,IF(Skills!C28=3,120+Inputs!$B$27+Inputs!$B$29,MAX(0,(Inputs!$B$3-100)*3)+Inputs!$B$28+Inputs!$B$29)))</f>
        <v/>
      </c>
      <c r="E1571">
        <f>INDEX(FactorTable!$B$2:$Y$301, MATCH(ROUND(MIN(300,MAX(1,D1571)),0), FactorTable!$A$2:$A$301,0), Skills!M28+1)</f>
        <v/>
      </c>
      <c r="F1571">
        <f>IF(Skills!N28=TRUE,(Skills!L28/10)*(E1571/1000),Skills!L28/10)+Skills!O28</f>
        <v/>
      </c>
      <c r="G1571">
        <f>Skills!G28*IF(Skills!H28&gt;0,Skills!I28/Skills!H28,1)</f>
        <v/>
      </c>
      <c r="H1571">
        <f>1-(1-Skills!J28/100)^Skills!K28</f>
        <v/>
      </c>
      <c r="I1571" t="inlineStr">
        <is>
          <t>1</t>
        </is>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Skills!A29</f>
        <v/>
      </c>
      <c r="B1572">
        <f>Skills!B29</f>
        <v/>
      </c>
      <c r="C1572">
        <f>Inputs!$B$3&gt;=120</f>
        <v/>
      </c>
      <c r="D1572">
        <f>IF(Skills!C29=1,60+Inputs!$B$25+Inputs!$B$29,IF(Skills!C29=2,90+Inputs!$B$26+Inputs!$B$29,IF(Skills!C29=3,120+Inputs!$B$27+Inputs!$B$29,MAX(0,(Inputs!$B$3-100)*3)+Inputs!$B$28+Inputs!$B$29)))</f>
        <v/>
      </c>
      <c r="E1572">
        <f>INDEX(FactorTable!$B$2:$Y$301, MATCH(ROUND(MIN(300,MAX(1,D1572)),0), FactorTable!$A$2:$A$301,0), Skills!M29+1)</f>
        <v/>
      </c>
      <c r="F1572">
        <f>IF(Skills!N29=TRUE,(Skills!L29/10)*(E1572/1000),Skills!L29/10)+Skills!O29</f>
        <v/>
      </c>
      <c r="G1572">
        <f>Skills!G29*IF(Skills!H29&gt;0,Skills!I29/Skills!H29,1)</f>
        <v/>
      </c>
      <c r="H1572">
        <f>1-(1-Skills!J29/100)^Skills!K29</f>
        <v/>
      </c>
      <c r="I1572" t="inlineStr">
        <is>
          <t>1</t>
        </is>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Skills!A30</f>
        <v/>
      </c>
      <c r="B1573">
        <f>Skills!B30</f>
        <v/>
      </c>
      <c r="C1573">
        <f>Inputs!$B$3&gt;=45</f>
        <v/>
      </c>
      <c r="D1573">
        <f>IF(Skills!C30=1,60+Inputs!$B$25+Inputs!$B$29,IF(Skills!C30=2,90+Inputs!$B$26+Inputs!$B$29,IF(Skills!C30=3,120+Inputs!$B$27+Inputs!$B$29,MAX(0,(Inputs!$B$3-100)*3)+Inputs!$B$28+Inputs!$B$29)))</f>
        <v/>
      </c>
      <c r="E1573">
        <f>INDEX(FactorTable!$B$2:$Y$301, MATCH(ROUND(MIN(300,MAX(1,D1573)),0), FactorTable!$A$2:$A$301,0), Skills!M30+1)</f>
        <v/>
      </c>
      <c r="F1573">
        <f>IF(Skills!N30=TRUE,(Skills!L30/10)*(E1573/1000),Skills!L30/10)+Skills!O30</f>
        <v/>
      </c>
      <c r="G1573">
        <f>Skills!G30*IF(Skills!H30&gt;0,Skills!I30/Skills!H30,1)</f>
        <v/>
      </c>
      <c r="H1573">
        <f>1-(1-Skills!J30/100)^Skills!K30</f>
        <v/>
      </c>
      <c r="I1573" t="inlineStr">
        <is>
          <t>1</t>
        </is>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Attack% Bucket Multiplier</t>
        </is>
      </c>
      <c r="B1575">
        <f>(1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6">
      <c r="A1576" t="inlineStr">
        <is>
          <t>Global Crit Rate Bonus %</t>
        </is>
      </c>
      <c r="B1576">
        <f>(C1559=TRUE)*20*IF(AND(Inputs!$B$38&lt;&gt;"pvp",Inputs!$B$43&gt;0),(((R1559-1)*(Skills!T16*(1+Inputs!$B$34/100))+MIN((Skills!T16*(1+Inputs!$B$34/100)),MAX(0,Inputs!$B$43-((R1559-1)*Skills!D16))))/Inputs!$B$43),IF(Inputs!$B$38="pvp",MIN((Skills!T16*(1+Inputs!$B$34/100)),15)/15,(Skills!T16*(1+Inputs!$B$34/100))/Skills!D16))</f>
        <v/>
      </c>
    </row>
    <row r="1577">
      <c r="A1577" t="inlineStr">
        <is>
          <t>Attack Speed Buff Bonus %</t>
        </is>
      </c>
      <c r="B1577">
        <f>((C1562=TRUE)*F1562*IF(AND(Inputs!$B$38&lt;&gt;"pvp",Inputs!$B$43&gt;0),(((R1562-1)*(Skills!T19*(1+Inputs!$B$34/100))+MIN((Skills!T19*(1+Inputs!$B$34/100)),MAX(0,Inputs!$B$43-((R1562-1)*Skills!D19))))/Inputs!$B$43),IF(Inputs!$B$38="pvp",MIN((Skills!T19*(1+Inputs!$B$34/100)),15)/15,(Skills!T19*(1+Inputs!$B$34/100))/Skills!D19)))</f>
        <v/>
      </c>
    </row>
    <row r="1578">
      <c r="A1578" t="inlineStr">
        <is>
          <t>Actions Per Second</t>
        </is>
      </c>
      <c r="B1578">
        <f>1+MIN(150,150*(1-(1-(Inputs!$B$11+((C1564=TRUE)*(F1564-Calc!F21))+((C1565=TRUE)*(F1565-Calc!F22)))/150)*(1-B1577/150)))/100</f>
        <v/>
      </c>
    </row>
    <row r="1579">
      <c r="A1579" t="inlineStr">
        <is>
          <t>Skill + Buff Cast Rate</t>
        </is>
      </c>
      <c r="B1579">
        <f>IF(AND(Inputs!$B$38&lt;&gt;"pvp",Inputs!$B$43&gt;0),SUMPRODUCT((Skills!E2:E30=TRUE)*(C1545:C1573=TRUE)*R1545:R1573*Skills!F2:F30)/Inputs!$B$43,SUMPRODUCT((Skills!E2:E30=TRUE)*(C1545:C1573=TRUE)*Q1545:Q1573*Skills!F2:F30))</f>
        <v/>
      </c>
    </row>
    <row r="1580">
      <c r="A1580" t="inlineStr">
        <is>
          <t>Arrow Stream Casts Per Second</t>
        </is>
      </c>
      <c r="B1580">
        <f>MAX(0,B1578-B1579)</f>
        <v/>
      </c>
    </row>
    <row r="1581">
      <c r="A1581" t="inlineStr">
        <is>
          <t>Global Critical Damage Bonus % (Sharp Eyes + Concentration)</t>
        </is>
      </c>
      <c r="B1581">
        <f>(C1559=TRUE)*F1559*IF(AND(Inputs!$B$38&lt;&gt;"pvp",Inputs!$B$43&gt;0),(((R1559-1)*(Skills!T16*(1+Inputs!$B$34/100))+MIN((Skills!T16*(1+Inputs!$B$34/100)),MAX(0,Inputs!$B$43-((R1559-1)*Skills!D16))))/Inputs!$B$43),IF(Inputs!$B$38="pvp",MIN((Skills!T16*(1+Inputs!$B$34/100)),15)/15,(Skills!T16*(1+Inputs!$B$34/100))/Skills!D16))+(C1560=TRUE)*30</f>
        <v/>
      </c>
    </row>
    <row r="1582">
      <c r="A1582" t="inlineStr">
        <is>
          <t>Global Final Damage Bonus % (Mortal Blow)</t>
        </is>
      </c>
      <c r="B1582">
        <f>(C1561=TRUE)*F1561</f>
        <v/>
      </c>
    </row>
    <row r="1583">
      <c r="A1583" t="inlineStr">
        <is>
          <t>Buff-Casting Startup Delay (s, fixed-duration only)</t>
        </is>
      </c>
      <c r="B1583">
        <f>IF(AND(Inputs!$B$38&lt;&gt;"pvp",Inputs!$B$43&gt;0),SUMPRODUCT((Skills!T2:T30&gt;0)*(Skills!E2:E30=TRUE)*(C1545:C1573=TRUE))/B1578,0)</f>
        <v/>
      </c>
    </row>
    <row r="1584">
      <c r="A1584" t="inlineStr">
        <is>
          <t>Boss-Only Total DPS (this block's swept value)</t>
        </is>
      </c>
      <c r="B1584">
        <f>SUM(T1545:T1573)</f>
        <v/>
      </c>
    </row>
    <row r="1585">
      <c r="A1585" t="inlineStr">
        <is>
          <t>Normal-Only Total DPS (this block's swept value)</t>
        </is>
      </c>
      <c r="B1585">
        <f>SUM(V1545:V1573)</f>
        <v/>
      </c>
    </row>
    <row r="1586">
      <c r="A1586" s="6" t="inlineStr">
        <is>
          <t>TOTAL DPS</t>
        </is>
      </c>
      <c r="B1586" s="6">
        <f>SUM(O1545:O1573)</f>
        <v/>
      </c>
    </row>
    <row r="1589">
      <c r="A1589" s="6" t="inlineStr">
        <is>
          <t>Stat: Mushmom's Cap (Equip)</t>
        </is>
      </c>
    </row>
    <row r="1590">
      <c r="A1590" s="5" t="inlineStr">
        <is>
          <t>Key</t>
        </is>
      </c>
      <c r="B1590" s="5" t="inlineStr">
        <is>
          <t>Name</t>
        </is>
      </c>
      <c r="C1590" s="5" t="inlineStr">
        <is>
          <t>Unlocked</t>
        </is>
      </c>
      <c r="D1590" s="5" t="inlineStr">
        <is>
          <t>InputLevel</t>
        </is>
      </c>
      <c r="E1590" s="5" t="inlineStr">
        <is>
          <t>Factor</t>
        </is>
      </c>
      <c r="F1590" s="5" t="inlineStr">
        <is>
          <t>CoefficientPercent</t>
        </is>
      </c>
      <c r="G1590" s="5" t="inlineStr">
        <is>
          <t>EffectiveHits</t>
        </is>
      </c>
      <c r="H1590" s="5" t="inlineStr">
        <is>
          <t>ProcProbability</t>
        </is>
      </c>
      <c r="I1590" s="5" t="inlineStr">
        <is>
          <t>MapleHeroMultiplier</t>
        </is>
      </c>
      <c r="J1590" s="5" t="inlineStr">
        <is>
          <t>BaseDamage</t>
        </is>
      </c>
      <c r="K1590" s="5" t="inlineStr">
        <is>
          <t>BaseHitDamage</t>
        </is>
      </c>
      <c r="L1590" s="5" t="inlineStr">
        <is>
          <t>NonCritAvg</t>
        </is>
      </c>
      <c r="M1590" s="5" t="inlineStr">
        <is>
          <t>CritAvg</t>
        </is>
      </c>
      <c r="N1590" s="5" t="inlineStr">
        <is>
          <t>ExpectedDamage(perHit)</t>
        </is>
      </c>
      <c r="O1590" s="5" t="inlineStr">
        <is>
          <t>DPS</t>
        </is>
      </c>
      <c r="P1590" s="5" t="inlineStr">
        <is>
          <t>% of Total</t>
        </is>
      </c>
      <c r="Q1590" s="5" t="inlineStr">
        <is>
          <t>InvCooldown</t>
        </is>
      </c>
      <c r="R1590" s="5" t="inlineStr">
        <is>
          <t>CastsInFight</t>
        </is>
      </c>
      <c r="S1590" s="5" t="inlineStr">
        <is>
          <t>HitRate(perSec)</t>
        </is>
      </c>
      <c r="U1590" t="inlineStr">
        <is>
          <t>helpers</t>
        </is>
      </c>
    </row>
    <row r="1591">
      <c r="A1591">
        <f>Skills!A2</f>
        <v/>
      </c>
      <c r="B1591">
        <f>Skills!B2</f>
        <v/>
      </c>
      <c r="C1591">
        <f>Inputs!$B$3&gt;=100</f>
        <v/>
      </c>
      <c r="D1591" t="inlineStr"/>
      <c r="E1591" t="inlineStr"/>
      <c r="F1591">
        <f>U1593+Skills!O2</f>
        <v/>
      </c>
      <c r="G1591">
        <f>Skills!G2*IF(Skills!H2&gt;0,Skills!I2/Skills!H2,1)</f>
        <v/>
      </c>
      <c r="H1591">
        <f>1-(1-Skills!J2/100)^Skills!K2</f>
        <v/>
      </c>
      <c r="I1591" t="inlineStr">
        <is>
          <t>1</t>
        </is>
      </c>
      <c r="J1591">
        <f>((Inputs!$B$6*(1+Inputs!$B$7/100))+(((Inputs!$B$12*(1+Inputs!$B$13/100))-(Inputs!$B$12*(1+Inputs!$B$13/100)))+0.25*(Inputs!$B$14-Inputs!$B$14))*(1+Inputs!$B$7/100))*(F1591/100)</f>
        <v/>
      </c>
      <c r="K1591">
        <f>J1591*(1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1613=TRUE)*(F1613-Calc!F24)),(Inputs!$B$23+((C1618=TRUE)*(F1618-Calc!F29))+(IF(ArtifactsInput!$M$15,CHOOSE(ArtifactsInput!$N$15+1,25,30,35,40,45,50)/100*(Inputs!$B$11-Inputs!$B$11),0))))/100+(Inputs!$B$23+((C1618=TRUE)*(F1618-Calc!F29))+(IF(ArtifactsInput!$M$15,CHOOSE(ArtifactsInput!$N$15+1,25,30,35,40,45,50)/100*(Inputs!$B$11-Inputs!$B$11),0)))/100)/2</f>
        <v/>
      </c>
      <c r="M1591">
        <f>L1591*(1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IF(B1632=0,0,O1591/B1632)</f>
        <v/>
      </c>
      <c r="Q1591" t="n">
        <v>0</v>
      </c>
      <c r="R1591" t="n">
        <v>0</v>
      </c>
      <c r="S1591">
        <f>IFERROR(O1591/N1591,0)</f>
        <v/>
      </c>
      <c r="T1591">
        <f>IF(C1591,(Skills!G2*N1591*B1626)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1591*(1-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1">
        <f>MAX(0,(Inputs!$B$3-100)*3)+Inputs!$B$28+Inputs!$B$29</f>
        <v/>
      </c>
      <c r="V1591">
        <f>IF(C1591,(Skills!G2*N1591*B1626)*IF(Inputs!$B$38="pvp",1,(1+(Inputs!$B$21+Skills!Q2+(IF(ArtifactsInput!$M$33,CHOOSE(ArtifactsInput!$N$33+1,30,36,42,48,54,60),0))+(IF(AND(ArtifactsInput!$M$35,Inputs!$B$4&lt;&gt;"Chapter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Skills!A3</f>
        <v/>
      </c>
      <c r="B1592">
        <f>Skills!B3</f>
        <v/>
      </c>
      <c r="C1592">
        <f>Inputs!$B$3&gt;=50</f>
        <v/>
      </c>
      <c r="D1592">
        <f>IF(Skills!C3=1,60+Inputs!$B$25+Inputs!$B$29,IF(Skills!C3=2,90+Inputs!$B$26+Inputs!$B$29,IF(Skills!C3=3,120+Inputs!$B$27+Inputs!$B$29,MAX(0,(Inputs!$B$3-100)*3)+Inputs!$B$28+Inputs!$B$29)))</f>
        <v/>
      </c>
      <c r="E1592">
        <f>INDEX(FactorTable!$B$2:$Y$301, MATCH(ROUND(MIN(300,MAX(1,D1592)),0), FactorTable!$A$2:$A$301,0), Skills!M3+1)</f>
        <v/>
      </c>
      <c r="F1592">
        <f>IF(Skills!N3=TRUE,(Skills!L3/10)*(E1592/1000),Skills!L3/10)+Skills!O3</f>
        <v/>
      </c>
      <c r="G1592" t="inlineStr"/>
      <c r="H1592" t="inlineStr"/>
      <c r="I1592" t="inlineStr">
        <is>
          <t>1</t>
        </is>
      </c>
      <c r="J1592" t="inlineStr"/>
      <c r="K1592" t="inlineStr"/>
      <c r="L1592" t="inlineStr"/>
      <c r="M1592" t="inlineStr"/>
      <c r="N1592" t="inlineStr"/>
      <c r="O1592" t="inlineStr"/>
      <c r="P1592" t="inlineStr"/>
      <c r="Q1592" t="inlineStr"/>
      <c r="R1592" t="inlineStr"/>
      <c r="S1592" t="inlineStr"/>
      <c r="T1592" t="inlineStr"/>
      <c r="U1592">
        <f>INDEX(FactorTable!$B$2:$Y$301, MATCH(ROUND(MIN(300,MAX(1,U1591)),0), FactorTable!$A$2:$A$301,0), 22)</f>
        <v/>
      </c>
      <c r="V1592" t="inlineStr"/>
    </row>
    <row r="1593">
      <c r="A1593">
        <f>Skills!A4</f>
        <v/>
      </c>
      <c r="B1593">
        <f>Skills!B4</f>
        <v/>
      </c>
      <c r="C1593">
        <f>Inputs!$B$3&gt;=105</f>
        <v/>
      </c>
      <c r="D1593">
        <f>IF(Skills!C4=1,60+Inputs!$B$25+Inputs!$B$29,IF(Skills!C4=2,90+Inputs!$B$26+Inputs!$B$29,IF(Skills!C4=3,120+Inputs!$B$27+Inputs!$B$29,MAX(0,(Inputs!$B$3-100)*3)+Inputs!$B$28+Inputs!$B$29)))</f>
        <v/>
      </c>
      <c r="E1593">
        <f>INDEX(FactorTable!$B$2:$Y$301, MATCH(ROUND(MIN(300,MAX(1,D1593)),0), FactorTable!$A$2:$A$301,0), Skills!M4+1)</f>
        <v/>
      </c>
      <c r="F1593">
        <f>IF(Skills!N4=TRUE,(Skills!L4/10)*(E1593/1000),Skills!L4/10)+Skills!O4</f>
        <v/>
      </c>
      <c r="G1593" t="inlineStr"/>
      <c r="H1593" t="inlineStr"/>
      <c r="I1593" t="inlineStr">
        <is>
          <t>1</t>
        </is>
      </c>
      <c r="J1593" t="inlineStr"/>
      <c r="K1593" t="inlineStr"/>
      <c r="L1593" t="inlineStr"/>
      <c r="M1593" t="inlineStr"/>
      <c r="N1593" t="inlineStr"/>
      <c r="O1593" t="inlineStr"/>
      <c r="P1593" t="inlineStr"/>
      <c r="Q1593" t="inlineStr"/>
      <c r="R1593" t="inlineStr"/>
      <c r="S1593" t="inlineStr"/>
      <c r="T1593" t="inlineStr"/>
      <c r="U1593">
        <f>290*U1592/1000</f>
        <v/>
      </c>
      <c r="V1593" t="inlineStr"/>
    </row>
    <row r="1594">
      <c r="A1594">
        <f>Skills!A5</f>
        <v/>
      </c>
      <c r="B1594">
        <f>Skills!B5</f>
        <v/>
      </c>
      <c r="C1594">
        <f>Inputs!$B$3&gt;=35</f>
        <v/>
      </c>
      <c r="D1594">
        <f>IF(Skills!C5=1,60+Inputs!$B$25+Inputs!$B$29,IF(Skills!C5=2,90+Inputs!$B$26+Inputs!$B$29,IF(Skills!C5=3,120+Inputs!$B$27+Inputs!$B$29,MAX(0,(Inputs!$B$3-100)*3)+Inputs!$B$28+Inputs!$B$29)))</f>
        <v/>
      </c>
      <c r="E1594">
        <f>INDEX(FactorTable!$B$2:$Y$301, MATCH(ROUND(MIN(300,MAX(1,D1594)),0), FactorTable!$A$2:$A$301,0), Skills!M5+1)</f>
        <v/>
      </c>
      <c r="F1594">
        <f>IF(Skills!N5=TRUE,(Skills!L5/10)*(E1594/1000),Skills!L5/10)+Skills!O5</f>
        <v/>
      </c>
      <c r="G1594">
        <f>Skills!G5*IF(Skills!H5&gt;0,Skills!I5/Skills!H5,1)</f>
        <v/>
      </c>
      <c r="H1594">
        <f>1-(1-Skills!J5/100)^Skills!K5</f>
        <v/>
      </c>
      <c r="I1594" t="inlineStr">
        <is>
          <t>1</t>
        </is>
      </c>
      <c r="J1594">
        <f>((Inputs!$B$6*(1+Inputs!$B$7/100))+(((Inputs!$B$12*(1+Inputs!$B$13/100))-(Inputs!$B$12*(1+Inputs!$B$13/100)))+0.25*(Inputs!$B$14-Inputs!$B$14))*(1+Inputs!$B$7/100))*(F1594/100)</f>
        <v/>
      </c>
      <c r="K1594">
        <f>J1594*(1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1599=TRUE,F1599,0)/100)*(1+(IF(Skills!A5="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1613=TRUE)*(F1613-Calc!F24)),(Inputs!$B$23+((C1618=TRUE)*(F1618-Calc!F29))+(IF(ArtifactsInput!$M$15,CHOOSE(ArtifactsInput!$N$15+1,25,30,35,40,45,50)/100*(Inputs!$B$11-Inputs!$B$11),0))))/100+(Inputs!$B$23+((C1618=TRUE)*(F1618-Calc!F29))+(IF(ArtifactsInput!$M$15,CHOOSE(ArtifactsInput!$N$15+1,25,30,35,40,45,50)/100*(Inputs!$B$11-Inputs!$B$11),0)))/100)/2</f>
        <v/>
      </c>
      <c r="M1594">
        <f>L1594*(1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IF(B1632=0,0,O1594/B1632)</f>
        <v/>
      </c>
      <c r="Q1594">
        <f>IFERROR(1/(IF(Inputs!$B$38="pvp",15,MAX(0.1,Skills!D5-IF(Skills!E5=TRUE,Inputs!$B$32,0)))*(1-IF(AND(ArtifactsInput!$M$27,Inputs!$B$4="Chapter Hunt"),CHOOSE(ArtifactsInput!$N$27+1,20,24,28,32,36,40),0)/100)),0)</f>
        <v/>
      </c>
      <c r="R1594">
        <f>IF(AND(Inputs!$B$38&lt;&gt;"pvp",Inputs!$B$43&gt;0),IF(MAX(0,Inputs!$B$43-B1629)&lt;=0,0,(INT(MAX(0,Inputs!$B$43-B1629)/(IF(Inputs!$B$38="pvp",15,MAX(0.1,Skills!D5-IF(Skills!E5=TRUE,Inputs!$B$32,0)))*(1-IF(AND(ArtifactsInput!$M$27,Inputs!$B$4="Chapter Hunt"),CHOOSE(ArtifactsInput!$N$27+1,20,24,28,32,36,40),0)/100)))+1)),0)</f>
        <v/>
      </c>
      <c r="S1594">
        <f>IFERROR(O1594/N1594,0)</f>
        <v/>
      </c>
      <c r="T1594">
        <f>IF(C1594,(H1594*N1594*IF(AND(Inputs!$B$38&lt;&gt;"pvp",Inputs!$B$43&gt;0),((Skills!G5*((R1594-1)*IF(Skills!H5&gt;0,Skills!I5/Skills!H5,1)+IF(Skills!H5&gt;0,MIN(Skills!I5,MAX(0,MAX(0,Inputs!$B$43-B1629)-((R1594-1)*(IF(Inputs!$B$38="pvp",15,MAX(0.1,Skills!D5-IF(Skills!E5=TRUE,Inputs!$B$32,0)))*(1-IF(AND(ArtifactsInput!$M$27,Inputs!$B$4="Chapter Hunt"),CHOOSE(ArtifactsInput!$N$27+1,20,24,28,32,36,40),0)/100)))))/Skills!H5,1)))/Inputs!$B$43),G1594*Q1594)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1594*(1-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5*((R1594-1)*IF(Skills!H5&gt;0,Skills!I5/Skills!H5,1)+IF(Skills!H5&gt;0,MIN(Skills!I5,MAX(0,MAX(0,Inputs!$B$43-B1629)-((R1594-1)*(IF(Inputs!$B$38="pvp",15,MAX(0.1,Skills!D5-IF(Skills!E5=TRUE,Inputs!$B$32,0)))*(1-IF(AND(ArtifactsInput!$M$27,Inputs!$B$4="Chapter Hunt"),CHOOSE(ArtifactsInput!$N$27+1,20,24,28,32,36,40),0)/100)))))/Skills!H5,1)))/Inputs!$B$43),G1594*Q1594))*IF(Inputs!$B$38="pvp",1,(1+(Inputs!$B$21+Skills!Q5+(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Skills!A6</f>
        <v/>
      </c>
      <c r="B1595">
        <f>Skills!B6</f>
        <v/>
      </c>
      <c r="C1595">
        <f>Inputs!$B$3&gt;=40</f>
        <v/>
      </c>
      <c r="D1595">
        <f>IF(Skills!C6=1,60+Inputs!$B$25+Inputs!$B$29,IF(Skills!C6=2,90+Inputs!$B$26+Inputs!$B$29,IF(Skills!C6=3,120+Inputs!$B$27+Inputs!$B$29,MAX(0,(Inputs!$B$3-100)*3)+Inputs!$B$28+Inputs!$B$29)))</f>
        <v/>
      </c>
      <c r="E1595">
        <f>INDEX(FactorTable!$B$2:$Y$301, MATCH(ROUND(MIN(300,MAX(1,D1595)),0), FactorTable!$A$2:$A$301,0), Skills!M6+1)</f>
        <v/>
      </c>
      <c r="F1595">
        <f>IF(Skills!N6=TRUE,(Skills!L6/10)*(E1595/1000),Skills!L6/10)+Skills!O6</f>
        <v/>
      </c>
      <c r="G1595">
        <f>Skills!G6*IF(Skills!H6&gt;0,Skills!I6/Skills!H6,1)</f>
        <v/>
      </c>
      <c r="H1595">
        <f>1-(1-Skills!J6/100)^Skills!K6</f>
        <v/>
      </c>
      <c r="I1595" t="inlineStr">
        <is>
          <t>1</t>
        </is>
      </c>
      <c r="J1595">
        <f>((Inputs!$B$6*(1+Inputs!$B$7/100))+(((Inputs!$B$12*(1+Inputs!$B$13/100))-(Inputs!$B$12*(1+Inputs!$B$13/100)))+0.25*(Inputs!$B$14-Inputs!$B$14))*(1+Inputs!$B$7/100))*(F1595/100)</f>
        <v/>
      </c>
      <c r="K1595">
        <f>J1595*(1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1596=TRUE,F1596,0)/100)*(1+(IF(Skills!A6="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24)),(Inputs!$B$23+((C1618=TRUE)*(F1618-Calc!F29))+(IF(ArtifactsInput!$M$15,CHOOSE(ArtifactsInput!$N$15+1,25,30,35,40,45,50)/100*(Inputs!$B$11-Inputs!$B$11),0))))/100+(Inputs!$B$23+((C1618=TRUE)*(F1618-Calc!F29))+(IF(ArtifactsInput!$M$15,CHOOSE(ArtifactsInput!$N$15+1,25,30,35,40,45,50)/100*(Inputs!$B$11-Inputs!$B$11),0)))/100)/2</f>
        <v/>
      </c>
      <c r="M1595">
        <f>L1595*(1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IF(B1632=0,0,O1595/B1632)</f>
        <v/>
      </c>
      <c r="Q1595">
        <f>IFERROR(1/(IF(Inputs!$B$38="pvp",15,MAX(0.1,Skills!D6-IF(Skills!E6=TRUE,Inputs!$B$32,0)))*(1-IF(AND(ArtifactsInput!$M$27,Inputs!$B$4="Chapter Hunt"),CHOOSE(ArtifactsInput!$N$27+1,20,24,28,32,36,40),0)/100)),0)</f>
        <v/>
      </c>
      <c r="R1595">
        <f>IF(AND(Inputs!$B$38&lt;&gt;"pvp",Inputs!$B$43&gt;0),IF(MAX(0,Inputs!$B$43-B1629)&lt;=0,0,(INT(MAX(0,Inputs!$B$43-B1629)/(IF(Inputs!$B$38="pvp",15,MAX(0.1,Skills!D6-IF(Skills!E6=TRUE,Inputs!$B$32,0)))*(1-IF(AND(ArtifactsInput!$M$27,Inputs!$B$4="Chapter Hunt"),CHOOSE(ArtifactsInput!$N$27+1,20,24,28,32,36,40),0)/100)))+1)),0)</f>
        <v/>
      </c>
      <c r="S1595">
        <f>IFERROR(O1595/N1595,0)</f>
        <v/>
      </c>
      <c r="T1595">
        <f>IF(C1595,(H1595*N1595*IF(AND(Inputs!$B$38&lt;&gt;"pvp",Inputs!$B$43&gt;0),((Skills!G6*((R1595-1)*IF(Skills!H6&gt;0,Skills!I6/Skills!H6,1)+IF(Skills!H6&gt;0,MIN(Skills!I6,MAX(0,MAX(0,Inputs!$B$43-B1629)-((R1595-1)*(IF(Inputs!$B$38="pvp",15,MAX(0.1,Skills!D6-IF(Skills!E6=TRUE,Inputs!$B$32,0)))*(1-IF(AND(ArtifactsInput!$M$27,Inputs!$B$4="Chapter Hunt"),CHOOSE(ArtifactsInput!$N$27+1,20,24,28,32,36,40),0)/100)))))/Skills!H6,1)))/Inputs!$B$43),G1595*Q1595)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1595*(1-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5">
        <f>IF(C1595,(H1595*N1595*IF(AND(Inputs!$B$38&lt;&gt;"pvp",Inputs!$B$43&gt;0),((Skills!G6*((R1595-1)*IF(Skills!H6&gt;0,Skills!I6/Skills!H6,1)+IF(Skills!H6&gt;0,MIN(Skills!I6,MAX(0,MAX(0,Inputs!$B$43-B1629)-((R1595-1)*(IF(Inputs!$B$38="pvp",15,MAX(0.1,Skills!D6-IF(Skills!E6=TRUE,Inputs!$B$32,0)))*(1-IF(AND(ArtifactsInput!$M$27,Inputs!$B$4="Chapter Hunt"),CHOOSE(ArtifactsInput!$N$27+1,20,24,28,32,36,40),0)/100)))))/Skills!H6,1)))/Inputs!$B$43),G1595*Q1595))*IF(Inputs!$B$38="pvp",1,(1+(Inputs!$B$21+Skills!Q6+(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Skills!A7</f>
        <v/>
      </c>
      <c r="B1596">
        <f>Skills!B7</f>
        <v/>
      </c>
      <c r="C1596">
        <f>Inputs!$B$3&gt;=107</f>
        <v/>
      </c>
      <c r="D1596">
        <f>IF(Skills!C7=1,60+Inputs!$B$25+Inputs!$B$29,IF(Skills!C7=2,90+Inputs!$B$26+Inputs!$B$29,IF(Skills!C7=3,120+Inputs!$B$27+Inputs!$B$29,MAX(0,(Inputs!$B$3-100)*3)+Inputs!$B$28+Inputs!$B$29)))</f>
        <v/>
      </c>
      <c r="E1596">
        <f>INDEX(FactorTable!$B$2:$Y$301, MATCH(ROUND(MIN(300,MAX(1,D1596)),0), FactorTable!$A$2:$A$301,0), Skills!M7+1)</f>
        <v/>
      </c>
      <c r="F1596">
        <f>IF(Skills!N7=TRUE,(Skills!L7/10)*(E1596/1000),Skills!L7/10)+Skills!O7</f>
        <v/>
      </c>
      <c r="G1596" t="inlineStr"/>
      <c r="H1596" t="inlineStr"/>
      <c r="I1596" t="inlineStr">
        <is>
          <t>1</t>
        </is>
      </c>
      <c r="J1596" t="inlineStr"/>
      <c r="K1596" t="inlineStr"/>
      <c r="L1596" t="inlineStr"/>
      <c r="M1596" t="inlineStr"/>
      <c r="N1596" t="inlineStr"/>
      <c r="O1596" t="inlineStr"/>
      <c r="P1596" t="inlineStr"/>
      <c r="Q1596" t="inlineStr"/>
      <c r="R1596" t="inlineStr"/>
      <c r="S1596" t="inlineStr"/>
      <c r="T1596" t="inlineStr"/>
      <c r="V1596" t="inlineStr"/>
    </row>
    <row r="1597">
      <c r="A1597">
        <f>Skills!A8</f>
        <v/>
      </c>
      <c r="B1597">
        <f>Skills!B8</f>
        <v/>
      </c>
      <c r="C1597">
        <f>Inputs!$B$3&gt;=69</f>
        <v/>
      </c>
      <c r="D1597">
        <f>IF(Skills!C8=1,60+Inputs!$B$25+Inputs!$B$29,IF(Skills!C8=2,90+Inputs!$B$26+Inputs!$B$29,IF(Skills!C8=3,120+Inputs!$B$27+Inputs!$B$29,MAX(0,(Inputs!$B$3-100)*3)+Inputs!$B$28+Inputs!$B$29)))</f>
        <v/>
      </c>
      <c r="E1597">
        <f>INDEX(FactorTable!$B$2:$Y$301, MATCH(ROUND(MIN(300,MAX(1,D1597)),0), FactorTable!$A$2:$A$301,0), Skills!M8+1)</f>
        <v/>
      </c>
      <c r="F1597">
        <f>IF(Skills!N8=TRUE,(Skills!L8/10)*(E1597/1000),Skills!L8/10)+Skills!O8</f>
        <v/>
      </c>
      <c r="G1597">
        <f>Skills!G8*IF(Skills!H8&gt;0,Skills!I8/Skills!H8,1)</f>
        <v/>
      </c>
      <c r="H1597">
        <f>1-(1-Skills!J8/100)^Skills!K8</f>
        <v/>
      </c>
      <c r="I1597" t="inlineStr">
        <is>
          <t>1</t>
        </is>
      </c>
      <c r="J1597">
        <f>((Inputs!$B$6*(1+Inputs!$B$7/100))+(((Inputs!$B$12*(1+Inputs!$B$13/100))-(Inputs!$B$12*(1+Inputs!$B$13/100)))+0.25*(Inputs!$B$14-Inputs!$B$14))*(1+Inputs!$B$7/100))*(F1597/100)</f>
        <v/>
      </c>
      <c r="K1597">
        <f>J1597*(1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1599=TRUE,F1599,0)/100)*(1+(IF(Skills!A8="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24)),(Inputs!$B$23+((C1618=TRUE)*(F1618-Calc!F29))+(IF(ArtifactsInput!$M$15,CHOOSE(ArtifactsInput!$N$15+1,25,30,35,40,45,50)/100*(Inputs!$B$11-Inputs!$B$11),0))))/100+(Inputs!$B$23+((C1618=TRUE)*(F1618-Calc!F29))+(IF(ArtifactsInput!$M$15,CHOOSE(ArtifactsInput!$N$15+1,25,30,35,40,45,50)/100*(Inputs!$B$11-Inputs!$B$11),0)))/100)/2</f>
        <v/>
      </c>
      <c r="M1597">
        <f>L1597*(1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IF(B1632=0,0,O1597/B1632)</f>
        <v/>
      </c>
      <c r="Q1597">
        <f>IFERROR(1/(IF(Inputs!$B$38="pvp",15,MAX(0.1,Skills!D8-IF(Skills!E8=TRUE,Inputs!$B$32,0)))*(1-IF(AND(ArtifactsInput!$M$27,Inputs!$B$4="Chapter Hunt"),CHOOSE(ArtifactsInput!$N$27+1,20,24,28,32,36,40),0)/100)),0)</f>
        <v/>
      </c>
      <c r="R1597">
        <f>IF(AND(Inputs!$B$38&lt;&gt;"pvp",Inputs!$B$43&gt;0),IF(MAX(0,Inputs!$B$43-B1629)&lt;=0,0,(INT(MAX(0,Inputs!$B$43-B1629)/(IF(Inputs!$B$38="pvp",15,MAX(0.1,Skills!D8-IF(Skills!E8=TRUE,Inputs!$B$32,0)))*(1-IF(AND(ArtifactsInput!$M$27,Inputs!$B$4="Chapter Hunt"),CHOOSE(ArtifactsInput!$N$27+1,20,24,28,32,36,40),0)/100)))+1)),0)</f>
        <v/>
      </c>
      <c r="S1597">
        <f>IFERROR(O1597/N1597,0)</f>
        <v/>
      </c>
      <c r="T1597">
        <f>IF(C1597,(H1597*N1597*IF(AND(Inputs!$B$38&lt;&gt;"pvp",Inputs!$B$43&gt;0),((Skills!G8*((R1597-1)*IF(Skills!H8&gt;0,Skills!I8/Skills!H8,1)+IF(Skills!H8&gt;0,MIN(Skills!I8,MAX(0,MAX(0,Inputs!$B$43-B1629)-((R1597-1)*(IF(Inputs!$B$38="pvp",15,MAX(0.1,Skills!D8-IF(Skills!E8=TRUE,Inputs!$B$32,0)))*(1-IF(AND(ArtifactsInput!$M$27,Inputs!$B$4="Chapter Hunt"),CHOOSE(ArtifactsInput!$N$27+1,20,24,28,32,36,40),0)/100)))))/Skills!H8,1)))/Inputs!$B$43),G1597*Q1597)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1597*(1-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8*((R1597-1)*IF(Skills!H8&gt;0,Skills!I8/Skills!H8,1)+IF(Skills!H8&gt;0,MIN(Skills!I8,MAX(0,MAX(0,Inputs!$B$43-B1629)-((R1597-1)*(IF(Inputs!$B$38="pvp",15,MAX(0.1,Skills!D8-IF(Skills!E8=TRUE,Inputs!$B$32,0)))*(1-IF(AND(ArtifactsInput!$M$27,Inputs!$B$4="Chapter Hunt"),CHOOSE(ArtifactsInput!$N$27+1,20,24,28,32,36,40),0)/100)))))/Skills!H8,1)))/Inputs!$B$43),G1597*Q1597))*IF(Inputs!$B$38="pvp",1,(1+(Inputs!$B$21+Skills!Q8+(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Skills!A9</f>
        <v/>
      </c>
      <c r="B1598">
        <f>Skills!B9</f>
        <v/>
      </c>
      <c r="C1598">
        <f>Inputs!$B$3&gt;=63</f>
        <v/>
      </c>
      <c r="D1598">
        <f>IF(Skills!C9=1,60+Inputs!$B$25+Inputs!$B$29,IF(Skills!C9=2,90+Inputs!$B$26+Inputs!$B$29,IF(Skills!C9=3,120+Inputs!$B$27+Inputs!$B$29,MAX(0,(Inputs!$B$3-100)*3)+Inputs!$B$28+Inputs!$B$29)))</f>
        <v/>
      </c>
      <c r="E1598">
        <f>INDEX(FactorTable!$B$2:$Y$301, MATCH(ROUND(MIN(300,MAX(1,D1598)),0), FactorTable!$A$2:$A$301,0), Skills!M9+1)</f>
        <v/>
      </c>
      <c r="F1598">
        <f>IF(Skills!N9=TRUE,(Skills!L9/10)*(E1598/1000),Skills!L9/10)+Skills!O9</f>
        <v/>
      </c>
      <c r="G1598">
        <f>Skills!G9*IF(Skills!H9&gt;0,Skills!I9/Skills!H9,1)</f>
        <v/>
      </c>
      <c r="H1598">
        <f>1-(1-Skills!J9/100)^Skills!K9</f>
        <v/>
      </c>
      <c r="I1598" t="inlineStr">
        <is>
          <t>1</t>
        </is>
      </c>
      <c r="J1598">
        <f>((Inputs!$B$6*(1+Inputs!$B$7/100))+(((Inputs!$B$12*(1+Inputs!$B$13/100))-(Inputs!$B$12*(1+Inputs!$B$13/100)))+0.25*(Inputs!$B$14-Inputs!$B$14))*(1+Inputs!$B$7/100))*(F1598/100)</f>
        <v/>
      </c>
      <c r="K1598">
        <f>J1598*(1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1599=TRUE,F1599,0)/100)*(1+(IF(Skills!A9="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24)),(Inputs!$B$23+((C1618=TRUE)*(F1618-Calc!F29))+(IF(ArtifactsInput!$M$15,CHOOSE(ArtifactsInput!$N$15+1,25,30,35,40,45,50)/100*(Inputs!$B$11-Inputs!$B$11),0))))/100+(Inputs!$B$23+((C1618=TRUE)*(F1618-Calc!F29))+(IF(ArtifactsInput!$M$15,CHOOSE(ArtifactsInput!$N$15+1,25,30,35,40,45,50)/100*(Inputs!$B$11-Inputs!$B$11),0)))/100)/2</f>
        <v/>
      </c>
      <c r="M1598">
        <f>L1598*(1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IF(B1632=0,0,O1598/B1632)</f>
        <v/>
      </c>
      <c r="Q1598">
        <f>IFERROR(1/(IF(Inputs!$B$38="pvp",15,MAX(0.1,Skills!D9-IF(Skills!E9=TRUE,Inputs!$B$32,0)))*(1-IF(AND(ArtifactsInput!$M$27,Inputs!$B$4="Chapter Hunt"),CHOOSE(ArtifactsInput!$N$27+1,20,24,28,32,36,40),0)/100)),0)</f>
        <v/>
      </c>
      <c r="R1598">
        <f>IF(AND(Inputs!$B$38&lt;&gt;"pvp",Inputs!$B$43&gt;0),IF(MAX(0,Inputs!$B$43-B1629)&lt;=0,0,(INT(MAX(0,Inputs!$B$43-B1629)/(IF(Inputs!$B$38="pvp",15,MAX(0.1,Skills!D9-IF(Skills!E9=TRUE,Inputs!$B$32,0)))*(1-IF(AND(ArtifactsInput!$M$27,Inputs!$B$4="Chapter Hunt"),CHOOSE(ArtifactsInput!$N$27+1,20,24,28,32,36,40),0)/100)))+1)),0)</f>
        <v/>
      </c>
      <c r="S1598">
        <f>IFERROR(O1598/N1598,0)</f>
        <v/>
      </c>
      <c r="T1598">
        <f>IF(C1598,(H1598*N1598*IF(AND(Inputs!$B$38&lt;&gt;"pvp",Inputs!$B$43&gt;0),((Skills!G9*((R1598-1)*IF(Skills!H9&gt;0,Skills!I9/Skills!H9,1)+IF(Skills!H9&gt;0,MIN(Skills!I9,MAX(0,MAX(0,Inputs!$B$43-B1629)-((R1598-1)*(IF(Inputs!$B$38="pvp",15,MAX(0.1,Skills!D9-IF(Skills!E9=TRUE,Inputs!$B$32,0)))*(1-IF(AND(ArtifactsInput!$M$27,Inputs!$B$4="Chapter Hunt"),CHOOSE(ArtifactsInput!$N$27+1,20,24,28,32,36,40),0)/100)))))/Skills!H9,1)))/Inputs!$B$43),G1598*Q1598)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1598*(1-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9*((R1598-1)*IF(Skills!H9&gt;0,Skills!I9/Skills!H9,1)+IF(Skills!H9&gt;0,MIN(Skills!I9,MAX(0,MAX(0,Inputs!$B$43-B1629)-((R1598-1)*(IF(Inputs!$B$38="pvp",15,MAX(0.1,Skills!D9-IF(Skills!E9=TRUE,Inputs!$B$32,0)))*(1-IF(AND(ArtifactsInput!$M$27,Inputs!$B$4="Chapter Hunt"),CHOOSE(ArtifactsInput!$N$27+1,20,24,28,32,36,40),0)/100)))))/Skills!H9,1)))/Inputs!$B$43),G1598*Q1598))*IF(Inputs!$B$38="pvp",1,(1+(Inputs!$B$21+Skills!Q9+(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Skills!A10</f>
        <v/>
      </c>
      <c r="B1599">
        <f>Skills!B10</f>
        <v/>
      </c>
      <c r="C1599">
        <f>Inputs!$B$3&gt;=100</f>
        <v/>
      </c>
      <c r="D1599">
        <f>IF(Skills!C10=1,60+Inputs!$B$25+Inputs!$B$29,IF(Skills!C10=2,90+Inputs!$B$26+Inputs!$B$29,IF(Skills!C10=3,120+Inputs!$B$27+Inputs!$B$29,MAX(0,(Inputs!$B$3-100)*3)+Inputs!$B$28+Inputs!$B$29)))</f>
        <v/>
      </c>
      <c r="E1599">
        <f>INDEX(FactorTable!$B$2:$Y$301, MATCH(ROUND(MIN(300,MAX(1,D1599)),0), FactorTable!$A$2:$A$301,0), Skills!M10+1)</f>
        <v/>
      </c>
      <c r="F1599">
        <f>IF(Skills!N10=TRUE,(Skills!L10/10)*(E1599/1000),Skills!L10/10)+Skills!O10</f>
        <v/>
      </c>
      <c r="G1599" t="inlineStr"/>
      <c r="H1599" t="inlineStr"/>
      <c r="I1599" t="inlineStr">
        <is>
          <t>1</t>
        </is>
      </c>
      <c r="J1599" t="inlineStr"/>
      <c r="K1599" t="inlineStr"/>
      <c r="L1599" t="inlineStr"/>
      <c r="M1599" t="inlineStr"/>
      <c r="N1599" t="inlineStr"/>
      <c r="O1599" t="inlineStr"/>
      <c r="P1599" t="inlineStr"/>
      <c r="Q1599" t="inlineStr"/>
      <c r="R1599" t="inlineStr"/>
      <c r="S1599" t="inlineStr"/>
      <c r="T1599" t="inlineStr"/>
      <c r="V1599" t="inlineStr"/>
    </row>
    <row r="1600">
      <c r="A1600">
        <f>Skills!A11</f>
        <v/>
      </c>
      <c r="B1600">
        <f>Skills!B11</f>
        <v/>
      </c>
      <c r="C1600">
        <f>Inputs!$B$3&gt;=60</f>
        <v/>
      </c>
      <c r="D1600">
        <f>IF(Skills!C11=1,60+Inputs!$B$25+Inputs!$B$29,IF(Skills!C11=2,90+Inputs!$B$26+Inputs!$B$29,IF(Skills!C11=3,120+Inputs!$B$27+Inputs!$B$29,MAX(0,(Inputs!$B$3-100)*3)+Inputs!$B$28+Inputs!$B$29)))</f>
        <v/>
      </c>
      <c r="E1600">
        <f>INDEX(FactorTable!$B$2:$Y$301, MATCH(ROUND(MIN(300,MAX(1,D1600)),0), FactorTable!$A$2:$A$301,0), Skills!M11+1)</f>
        <v/>
      </c>
      <c r="F1600">
        <f>IF(Skills!N11=TRUE,(Skills!L11/10)*(E1600/1000),Skills!L11/10)+Skills!O11</f>
        <v/>
      </c>
      <c r="G1600">
        <f>Skills!G11*IF(Skills!H11&gt;0,Skills!I11/Skills!H11,1)</f>
        <v/>
      </c>
      <c r="H1600">
        <f>1-(1-Skills!J11/100)^Skills!K11</f>
        <v/>
      </c>
      <c r="I1600" t="inlineStr">
        <is>
          <t>1</t>
        </is>
      </c>
      <c r="J1600">
        <f>((Inputs!$B$6*(1+Inputs!$B$7/100))+(((Inputs!$B$12*(1+Inputs!$B$13/100))-(Inputs!$B$12*(1+Inputs!$B$13/100)))+0.25*(Inputs!$B$14-Inputs!$B$14))*(1+Inputs!$B$7/100))*(F1600/100)</f>
        <v/>
      </c>
      <c r="K1600">
        <f>J1600*(1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1601=TRUE,F1601,0)/100)*(1+(IF(Skills!A11="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24)),(Inputs!$B$23+((C1618=TRUE)*(F1618-Calc!F29))+(IF(ArtifactsInput!$M$15,CHOOSE(ArtifactsInput!$N$15+1,25,30,35,40,45,50)/100*(Inputs!$B$11-Inputs!$B$11),0))))/100+(Inputs!$B$23+((C1618=TRUE)*(F1618-Calc!F29))+(IF(ArtifactsInput!$M$15,CHOOSE(ArtifactsInput!$N$15+1,25,30,35,40,45,50)/100*(Inputs!$B$11-Inputs!$B$11),0)))/100)/2</f>
        <v/>
      </c>
      <c r="M1600">
        <f>L1600*(1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IF(B1632=0,0,O1600/B1632)</f>
        <v/>
      </c>
      <c r="Q1600">
        <f>IFERROR(1/(IF(Inputs!$B$38="pvp",15,MAX(0.1,Skills!D11-IF(Skills!E11=TRUE,Inputs!$B$32,0)))*(1-IF(AND(ArtifactsInput!$M$27,Inputs!$B$4="Chapter Hunt"),CHOOSE(ArtifactsInput!$N$27+1,20,24,28,32,36,40),0)/100)),0)</f>
        <v/>
      </c>
      <c r="R1600">
        <f>IF(AND(Inputs!$B$38&lt;&gt;"pvp",Inputs!$B$43&gt;0),IF(MAX(0,Inputs!$B$43-B1629)&lt;=0,0,(INT(MAX(0,Inputs!$B$43-B1629)/(IF(Inputs!$B$38="pvp",15,MAX(0.1,Skills!D11-IF(Skills!E11=TRUE,Inputs!$B$32,0)))*(1-IF(AND(ArtifactsInput!$M$27,Inputs!$B$4="Chapter Hunt"),CHOOSE(ArtifactsInput!$N$27+1,20,24,28,32,36,40),0)/100)))+1)),0)</f>
        <v/>
      </c>
      <c r="S1600">
        <f>IFERROR(O1600/N1600,0)</f>
        <v/>
      </c>
      <c r="T1600">
        <f>IF(C1600,(H1600*N1600*IF(AND(Inputs!$B$38&lt;&gt;"pvp",Inputs!$B$43&gt;0),((Skills!G11*((R1600-1)*IF(Skills!H11&gt;0,Skills!I11/Skills!H11,1)+IF(Skills!H11&gt;0,MIN(Skills!I11,MAX(0,MAX(0,Inputs!$B$43-B1629)-((R1600-1)*(IF(Inputs!$B$38="pvp",15,MAX(0.1,Skills!D11-IF(Skills!E11=TRUE,Inputs!$B$32,0)))*(1-IF(AND(ArtifactsInput!$M$27,Inputs!$B$4="Chapter Hunt"),CHOOSE(ArtifactsInput!$N$27+1,20,24,28,32,36,40),0)/100)))))/Skills!H11,1)))/Inputs!$B$43),G1600*Q1600)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1600*(1-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11*((R1600-1)*IF(Skills!H11&gt;0,Skills!I11/Skills!H11,1)+IF(Skills!H11&gt;0,MIN(Skills!I11,MAX(0,MAX(0,Inputs!$B$43-B1629)-((R1600-1)*(IF(Inputs!$B$38="pvp",15,MAX(0.1,Skills!D11-IF(Skills!E11=TRUE,Inputs!$B$32,0)))*(1-IF(AND(ArtifactsInput!$M$27,Inputs!$B$4="Chapter Hunt"),CHOOSE(ArtifactsInput!$N$27+1,20,24,28,32,36,40),0)/100)))))/Skills!H11,1)))/Inputs!$B$43),G1600*Q1600))*IF(Inputs!$B$38="pvp",1,(1+(Inputs!$B$21+Skills!Q11+(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Skills!A12</f>
        <v/>
      </c>
      <c r="B1601">
        <f>Skills!B12</f>
        <v/>
      </c>
      <c r="C1601">
        <f>Inputs!$B$3&gt;=110</f>
        <v/>
      </c>
      <c r="D1601">
        <f>IF(Skills!C12=1,60+Inputs!$B$25+Inputs!$B$29,IF(Skills!C12=2,90+Inputs!$B$26+Inputs!$B$29,IF(Skills!C12=3,120+Inputs!$B$27+Inputs!$B$29,MAX(0,(Inputs!$B$3-100)*3)+Inputs!$B$28+Inputs!$B$29)))</f>
        <v/>
      </c>
      <c r="E1601">
        <f>INDEX(FactorTable!$B$2:$Y$301, MATCH(ROUND(MIN(300,MAX(1,D1601)),0), FactorTable!$A$2:$A$301,0), Skills!M12+1)</f>
        <v/>
      </c>
      <c r="F1601">
        <f>IF(Skills!N12=TRUE,(Skills!L12/10)*(E1601/1000),Skills!L12/10)+Skills!O12</f>
        <v/>
      </c>
      <c r="G1601" t="inlineStr"/>
      <c r="H1601" t="inlineStr"/>
      <c r="I1601" t="inlineStr">
        <is>
          <t>1</t>
        </is>
      </c>
      <c r="J1601" t="inlineStr"/>
      <c r="K1601" t="inlineStr"/>
      <c r="L1601" t="inlineStr"/>
      <c r="M1601" t="inlineStr"/>
      <c r="N1601" t="inlineStr"/>
      <c r="O1601" t="inlineStr"/>
      <c r="P1601" t="inlineStr"/>
      <c r="Q1601" t="inlineStr"/>
      <c r="R1601" t="inlineStr"/>
      <c r="S1601" t="inlineStr"/>
      <c r="T1601" t="inlineStr"/>
      <c r="V1601" t="inlineStr"/>
    </row>
    <row r="1602">
      <c r="A1602">
        <f>Skills!A13</f>
        <v/>
      </c>
      <c r="B1602">
        <f>Skills!B13</f>
        <v/>
      </c>
      <c r="C1602">
        <f>Inputs!$B$3&gt;=74</f>
        <v/>
      </c>
      <c r="D1602">
        <f>IF(Skills!C13=1,60+Inputs!$B$25+Inputs!$B$29,IF(Skills!C13=2,90+Inputs!$B$26+Inputs!$B$29,IF(Skills!C13=3,120+Inputs!$B$27+Inputs!$B$29,MAX(0,(Inputs!$B$3-100)*3)+Inputs!$B$28+Inputs!$B$29)))</f>
        <v/>
      </c>
      <c r="E1602">
        <f>INDEX(FactorTable!$B$2:$Y$301, MATCH(ROUND(MIN(300,MAX(1,D1602)),0), FactorTable!$A$2:$A$301,0), Skills!M13+1)</f>
        <v/>
      </c>
      <c r="F1602">
        <f>IF(Skills!N13=TRUE,(Skills!L13/10)*(E1602/1000),Skills!L13/10)+Skills!O13</f>
        <v/>
      </c>
      <c r="G1602">
        <f>Skills!G13*IF(Skills!H13&gt;0,Skills!I13/Skills!H13,1)</f>
        <v/>
      </c>
      <c r="H1602">
        <f>1-(1-Skills!J13/100)^Skills!K13</f>
        <v/>
      </c>
      <c r="I1602" t="inlineStr">
        <is>
          <t>1</t>
        </is>
      </c>
      <c r="J1602" t="inlineStr"/>
      <c r="K1602" t="inlineStr"/>
      <c r="L1602" t="inlineStr"/>
      <c r="M1602" t="inlineStr"/>
      <c r="N1602" t="inlineStr"/>
      <c r="O1602">
        <f>(1-Summary!$B$11)*T1602+Summary!$B$11*V1602</f>
        <v/>
      </c>
      <c r="P1602">
        <f>IF(B1632=0,0,O1602/B1632)</f>
        <v/>
      </c>
      <c r="Q1602" t="n">
        <v>0</v>
      </c>
      <c r="R1602" t="n">
        <v>0</v>
      </c>
      <c r="S1602">
        <f>IFERROR(O1602/N1602,0)</f>
        <v/>
      </c>
      <c r="T1602" t="n">
        <v>0</v>
      </c>
      <c r="V1602" t="n">
        <v>0</v>
      </c>
    </row>
    <row r="1603">
      <c r="A1603">
        <f>Skills!A14</f>
        <v/>
      </c>
      <c r="B1603">
        <f>Skills!B14</f>
        <v/>
      </c>
      <c r="C1603">
        <f>Inputs!$B$3&gt;=74</f>
        <v/>
      </c>
      <c r="D1603">
        <f>IF(Skills!C14=1,60+Inputs!$B$25+Inputs!$B$29,IF(Skills!C14=2,90+Inputs!$B$26+Inputs!$B$29,IF(Skills!C14=3,120+Inputs!$B$27+Inputs!$B$29,MAX(0,(Inputs!$B$3-100)*3)+Inputs!$B$28+Inputs!$B$29)))</f>
        <v/>
      </c>
      <c r="E1603">
        <f>INDEX(FactorTable!$B$2:$Y$301, MATCH(ROUND(MIN(300,MAX(1,D1603)),0), FactorTable!$A$2:$A$301,0), Skills!M14+1)</f>
        <v/>
      </c>
      <c r="F1603">
        <f>IF(Skills!N14=TRUE,(Skills!L14/10)*(E1603/1000),Skills!L14/10)+Skills!O14</f>
        <v/>
      </c>
      <c r="G1603">
        <f>Skills!G14*IF(Skills!H14&gt;0,Skills!I14/Skills!H14,1)</f>
        <v/>
      </c>
      <c r="H1603">
        <f>1-(1-Skills!J14/100)^Skills!K14</f>
        <v/>
      </c>
      <c r="I1603" t="inlineStr">
        <is>
          <t>1</t>
        </is>
      </c>
      <c r="J1603" t="inlineStr"/>
      <c r="K1603" t="inlineStr"/>
      <c r="L1603" t="inlineStr"/>
      <c r="M1603" t="inlineStr"/>
      <c r="N1603" t="inlineStr"/>
      <c r="O1603">
        <f>(1-Summary!$B$11)*T1603+Summary!$B$11*V1603</f>
        <v/>
      </c>
      <c r="P1603">
        <f>IF(B1632=0,0,O1603/B1632)</f>
        <v/>
      </c>
      <c r="Q1603" t="n">
        <v>0</v>
      </c>
      <c r="R1603" t="n">
        <v>0</v>
      </c>
      <c r="S1603">
        <f>IFERROR(O1603/N1603,0)</f>
        <v/>
      </c>
      <c r="T1603" t="n">
        <v>0</v>
      </c>
      <c r="V1603" t="n">
        <v>0</v>
      </c>
    </row>
    <row r="1604">
      <c r="A1604">
        <f>Skills!A15</f>
        <v/>
      </c>
      <c r="B1604">
        <f>Skills!B15</f>
        <v/>
      </c>
      <c r="C1604">
        <f>Inputs!$B$3&gt;=117</f>
        <v/>
      </c>
      <c r="D1604">
        <f>IF(Skills!C15=1,60+Inputs!$B$25+Inputs!$B$29,IF(Skills!C15=2,90+Inputs!$B$26+Inputs!$B$29,IF(Skills!C15=3,120+Inputs!$B$27+Inputs!$B$29,MAX(0,(Inputs!$B$3-100)*3)+Inputs!$B$28+Inputs!$B$29)))</f>
        <v/>
      </c>
      <c r="E1604">
        <f>INDEX(FactorTable!$B$2:$Y$301, MATCH(ROUND(MIN(300,MAX(1,D1604)),0), FactorTable!$A$2:$A$301,0), Skills!M15+1)</f>
        <v/>
      </c>
      <c r="F1604">
        <f>IF(Skills!N15=TRUE,(Skills!L15/10)*(E1604/1000),Skills!L15/10)+Skills!O15</f>
        <v/>
      </c>
      <c r="G1604">
        <f>Skills!G15*IF(Skills!H15&gt;0,Skills!I15/Skills!H15,1)</f>
        <v/>
      </c>
      <c r="H1604">
        <f>1-(1-Skills!J15/100)^Skills!K15</f>
        <v/>
      </c>
      <c r="I1604" t="inlineStr">
        <is>
          <t>1</t>
        </is>
      </c>
      <c r="J1604" t="inlineStr"/>
      <c r="K1604" t="inlineStr"/>
      <c r="L1604" t="inlineStr"/>
      <c r="M1604" t="inlineStr"/>
      <c r="N1604" t="inlineStr"/>
      <c r="O1604">
        <f>(1-Summary!$B$11)*T1604+Summary!$B$11*V1604</f>
        <v/>
      </c>
      <c r="P1604">
        <f>IF(B1632=0,0,O1604/B1632)</f>
        <v/>
      </c>
      <c r="Q1604">
        <f>IFERROR(1/(IF(Inputs!$B$38="pvp",15,MAX(0.1,Skills!D15-IF(Skills!E15=TRUE,Inputs!$B$32,0)))*(1-IF(AND(ArtifactsInput!$M$27,Inputs!$B$4="Chapter Hunt"),CHOOSE(ArtifactsInput!$N$27+1,20,24,28,32,36,40),0)/100)),0)</f>
        <v/>
      </c>
      <c r="R1604">
        <f>IF(AND(Inputs!$B$38&lt;&gt;"pvp",Inputs!$B$43&gt;0),IF(Inputs!$B$43&lt;=0,0,(INT(Inputs!$B$43/(IF(Inputs!$B$38="pvp",15,MAX(0.1,Skills!D15-IF(Skills!E15=TRUE,Inputs!$B$32,0)))*(1-IF(AND(ArtifactsInput!$M$27,Inputs!$B$4="Chapter Hunt"),CHOOSE(ArtifactsInput!$N$27+1,20,24,28,32,36,40),0)/100)))+1)),0)</f>
        <v/>
      </c>
      <c r="S1604">
        <f>IFERROR(O1604/N1604,0)</f>
        <v/>
      </c>
      <c r="T1604" t="n">
        <v>0</v>
      </c>
      <c r="V1604" t="n">
        <v>0</v>
      </c>
    </row>
    <row r="1605">
      <c r="A1605">
        <f>Skills!A16</f>
        <v/>
      </c>
      <c r="B1605">
        <f>Skills!B16</f>
        <v/>
      </c>
      <c r="C1605">
        <f>Inputs!$B$3&gt;=115</f>
        <v/>
      </c>
      <c r="D1605">
        <f>IF(Skills!C16=1,60+Inputs!$B$25+Inputs!$B$29,IF(Skills!C16=2,90+Inputs!$B$26+Inputs!$B$29,IF(Skills!C16=3,120+Inputs!$B$27+Inputs!$B$29,MAX(0,(Inputs!$B$3-100)*3)+Inputs!$B$28+Inputs!$B$29)))</f>
        <v/>
      </c>
      <c r="E1605">
        <f>INDEX(FactorTable!$B$2:$Y$301, MATCH(ROUND(MIN(300,MAX(1,D1605)),0), FactorTable!$A$2:$A$301,0), Skills!M16+1)</f>
        <v/>
      </c>
      <c r="F1605">
        <f>IF(Skills!N16=TRUE,(Skills!L16/10)*(E1605/1000),Skills!L16/10)+Skills!O16</f>
        <v/>
      </c>
      <c r="G1605">
        <f>Skills!G16*IF(Skills!H16&gt;0,Skills!I16/Skills!H16,1)</f>
        <v/>
      </c>
      <c r="H1605">
        <f>1-(1-Skills!J16/100)^Skills!K16</f>
        <v/>
      </c>
      <c r="I1605" t="inlineStr">
        <is>
          <t>1</t>
        </is>
      </c>
      <c r="J1605" t="inlineStr"/>
      <c r="K1605" t="inlineStr"/>
      <c r="L1605" t="inlineStr"/>
      <c r="M1605" t="inlineStr"/>
      <c r="N1605" t="inlineStr"/>
      <c r="O1605">
        <f>(1-Summary!$B$11)*T1605+Summary!$B$11*V1605</f>
        <v/>
      </c>
      <c r="P1605">
        <f>IF(B1632=0,0,O1605/B1632)</f>
        <v/>
      </c>
      <c r="Q1605">
        <f>IFERROR(1/(IF(Inputs!$B$38="pvp",15,MAX(0.1,Skills!D16-IF(Skills!E16=TRUE,Inputs!$B$32,0)))*(1-IF(AND(ArtifactsInput!$M$27,Inputs!$B$4="Chapter Hunt"),CHOOSE(ArtifactsInput!$N$27+1,20,24,28,32,36,40),0)/100)),0)</f>
        <v/>
      </c>
      <c r="R1605">
        <f>IF(AND(Inputs!$B$38&lt;&gt;"pvp",Inputs!$B$43&gt;0),IF(Inputs!$B$43&lt;=0,0,(INT(Inputs!$B$43/(IF(Inputs!$B$38="pvp",15,MAX(0.1,Skills!D16-IF(Skills!E16=TRUE,Inputs!$B$32,0)))*(1-IF(AND(ArtifactsInput!$M$27,Inputs!$B$4="Chapter Hunt"),CHOOSE(ArtifactsInput!$N$27+1,20,24,28,32,36,40),0)/100)))+1)),0)</f>
        <v/>
      </c>
      <c r="S1605">
        <f>IFERROR(O1605/N1605,0)</f>
        <v/>
      </c>
      <c r="T1605" t="n">
        <v>0</v>
      </c>
      <c r="V1605" t="n">
        <v>0</v>
      </c>
    </row>
    <row r="1606">
      <c r="A1606">
        <f>Skills!A17</f>
        <v/>
      </c>
      <c r="B1606">
        <f>Skills!B17</f>
        <v/>
      </c>
      <c r="C1606">
        <f>Inputs!$B$3&gt;=66</f>
        <v/>
      </c>
      <c r="D1606">
        <f>IF(Skills!C17=1,60+Inputs!$B$25+Inputs!$B$29,IF(Skills!C17=2,90+Inputs!$B$26+Inputs!$B$29,IF(Skills!C17=3,120+Inputs!$B$27+Inputs!$B$29,MAX(0,(Inputs!$B$3-100)*3)+Inputs!$B$28+Inputs!$B$29)))</f>
        <v/>
      </c>
      <c r="E1606">
        <f>INDEX(FactorTable!$B$2:$Y$301, MATCH(ROUND(MIN(300,MAX(1,D1606)),0), FactorTable!$A$2:$A$301,0), Skills!M17+1)</f>
        <v/>
      </c>
      <c r="F1606">
        <f>IF(Skills!N17=TRUE,(Skills!L17/10)*(E1606/1000),Skills!L17/10)+Skills!O17</f>
        <v/>
      </c>
      <c r="G1606">
        <f>Skills!G17*IF(Skills!H17&gt;0,Skills!I17/Skills!H17,1)</f>
        <v/>
      </c>
      <c r="H1606">
        <f>1-(1-Skills!J17/100)^Skills!K17</f>
        <v/>
      </c>
      <c r="I1606" t="inlineStr">
        <is>
          <t>1</t>
        </is>
      </c>
      <c r="J1606" t="inlineStr"/>
      <c r="K1606" t="inlineStr"/>
      <c r="L1606" t="inlineStr"/>
      <c r="M1606" t="inlineStr"/>
      <c r="N1606" t="inlineStr"/>
      <c r="O1606">
        <f>(1-Summary!$B$11)*T1606+Summary!$B$11*V1606</f>
        <v/>
      </c>
      <c r="P1606">
        <f>IF(B1632=0,0,O1606/B1632)</f>
        <v/>
      </c>
      <c r="Q1606" t="n">
        <v>0</v>
      </c>
      <c r="R1606" t="n">
        <v>0</v>
      </c>
      <c r="S1606">
        <f>IFERROR(O1606/N1606,0)</f>
        <v/>
      </c>
      <c r="T1606" t="n">
        <v>0</v>
      </c>
      <c r="V1606" t="n">
        <v>0</v>
      </c>
    </row>
    <row r="1607">
      <c r="A1607">
        <f>Skills!A18</f>
        <v/>
      </c>
      <c r="B1607">
        <f>Skills!B18</f>
        <v/>
      </c>
      <c r="C1607">
        <f>Inputs!$B$3&gt;=72</f>
        <v/>
      </c>
      <c r="D1607">
        <f>IF(Skills!C18=1,60+Inputs!$B$25+Inputs!$B$29,IF(Skills!C18=2,90+Inputs!$B$26+Inputs!$B$29,IF(Skills!C18=3,120+Inputs!$B$27+Inputs!$B$29,MAX(0,(Inputs!$B$3-100)*3)+Inputs!$B$28+Inputs!$B$29)))</f>
        <v/>
      </c>
      <c r="E1607">
        <f>INDEX(FactorTable!$B$2:$Y$301, MATCH(ROUND(MIN(300,MAX(1,D1607)),0), FactorTable!$A$2:$A$301,0), Skills!M18+1)</f>
        <v/>
      </c>
      <c r="F1607">
        <f>IF(Skills!N18=TRUE,(Skills!L18/10)*(E1607/1000),Skills!L18/10)+Skills!O18</f>
        <v/>
      </c>
      <c r="G1607">
        <f>Skills!G18*IF(Skills!H18&gt;0,Skills!I18/Skills!H18,1)</f>
        <v/>
      </c>
      <c r="H1607">
        <f>1-(1-Skills!J18/100)^Skills!K18</f>
        <v/>
      </c>
      <c r="I1607" t="inlineStr">
        <is>
          <t>1</t>
        </is>
      </c>
      <c r="J1607" t="inlineStr"/>
      <c r="K1607" t="inlineStr"/>
      <c r="L1607" t="inlineStr"/>
      <c r="M1607" t="inlineStr"/>
      <c r="N1607" t="inlineStr"/>
      <c r="O1607">
        <f>(1-Summary!$B$11)*T1607+Summary!$B$11*V1607</f>
        <v/>
      </c>
      <c r="P1607">
        <f>IF(B1632=0,0,O1607/B1632)</f>
        <v/>
      </c>
      <c r="Q1607" t="n">
        <v>0</v>
      </c>
      <c r="R1607" t="n">
        <v>0</v>
      </c>
      <c r="S1607">
        <f>IFERROR(O1607/N1607,0)</f>
        <v/>
      </c>
      <c r="T1607" t="n">
        <v>0</v>
      </c>
      <c r="V1607" t="n">
        <v>0</v>
      </c>
    </row>
    <row r="1608">
      <c r="A1608">
        <f>Skills!A19</f>
        <v/>
      </c>
      <c r="B1608">
        <f>Skills!B19</f>
        <v/>
      </c>
      <c r="C1608">
        <f>TRUE</f>
        <v/>
      </c>
      <c r="D1608">
        <f>IF(Skills!C19=1,60+Inputs!$B$25+Inputs!$B$29,IF(Skills!C19=2,90+Inputs!$B$26+Inputs!$B$29,IF(Skills!C19=3,120+Inputs!$B$27+Inputs!$B$29,MAX(0,(Inputs!$B$3-100)*3)+Inputs!$B$28+Inputs!$B$29)))</f>
        <v/>
      </c>
      <c r="E1608">
        <f>INDEX(FactorTable!$B$2:$Y$301, MATCH(ROUND(MIN(300,MAX(1,D1608)),0), FactorTable!$A$2:$A$301,0), Skills!M19+1)</f>
        <v/>
      </c>
      <c r="F1608">
        <f>IF(Skills!N19=TRUE,(Skills!L19/10)*(E1608/1000),Skills!L19/10)+Skills!O19</f>
        <v/>
      </c>
      <c r="G1608">
        <f>Skills!G19*IF(Skills!H19&gt;0,Skills!I19/Skills!H19,1)</f>
        <v/>
      </c>
      <c r="H1608">
        <f>1-(1-Skills!J19/100)^Skills!K19</f>
        <v/>
      </c>
      <c r="I1608" t="inlineStr">
        <is>
          <t>1</t>
        </is>
      </c>
      <c r="J1608" t="inlineStr"/>
      <c r="K1608" t="inlineStr"/>
      <c r="L1608" t="inlineStr"/>
      <c r="M1608" t="inlineStr"/>
      <c r="N1608" t="inlineStr"/>
      <c r="O1608">
        <f>(1-Summary!$B$11)*T1608+Summary!$B$11*V1608</f>
        <v/>
      </c>
      <c r="P1608">
        <f>IF(B1632=0,0,O1608/B1632)</f>
        <v/>
      </c>
      <c r="Q1608">
        <f>IFERROR(1/(IF(Inputs!$B$38="pvp",15,MAX(0.1,Skills!D19-IF(Skills!E19=TRUE,Inputs!$B$32,0)))*(1-IF(AND(ArtifactsInput!$M$27,Inputs!$B$4="Chapter Hunt"),CHOOSE(ArtifactsInput!$N$27+1,20,24,28,32,36,40),0)/100)),0)</f>
        <v/>
      </c>
      <c r="R1608">
        <f>IF(AND(Inputs!$B$38&lt;&gt;"pvp",Inputs!$B$43&gt;0),IF(Inputs!$B$43&lt;=0,0,(INT(Inputs!$B$43/(IF(Inputs!$B$38="pvp",15,MAX(0.1,Skills!D19-IF(Skills!E19=TRUE,Inputs!$B$32,0)))*(1-IF(AND(ArtifactsInput!$M$27,Inputs!$B$4="Chapter Hunt"),CHOOSE(ArtifactsInput!$N$27+1,20,24,28,32,36,40),0)/100)))+1)),0)</f>
        <v/>
      </c>
      <c r="S1608">
        <f>IFERROR(O1608/N1608,0)</f>
        <v/>
      </c>
      <c r="T1608" t="n">
        <v>0</v>
      </c>
      <c r="V1608" t="n">
        <v>0</v>
      </c>
    </row>
    <row r="1609">
      <c r="A1609">
        <f>Skills!A20</f>
        <v/>
      </c>
      <c r="B1609">
        <f>Skills!B20</f>
        <v/>
      </c>
      <c r="C1609">
        <f>Inputs!$B$3&gt;=15</f>
        <v/>
      </c>
      <c r="D1609">
        <f>IF(Skills!C20=1,60+Inputs!$B$25+Inputs!$B$29,IF(Skills!C20=2,90+Inputs!$B$26+Inputs!$B$29,IF(Skills!C20=3,120+Inputs!$B$27+Inputs!$B$29,MAX(0,(Inputs!$B$3-100)*3)+Inputs!$B$28+Inputs!$B$29)))</f>
        <v/>
      </c>
      <c r="E1609">
        <f>INDEX(FactorTable!$B$2:$Y$301, MATCH(ROUND(MIN(300,MAX(1,D1609)),0), FactorTable!$A$2:$A$301,0), Skills!M20+1)</f>
        <v/>
      </c>
      <c r="F1609">
        <f>IF(Skills!N20=TRUE,(Skills!L20/10)*(E1609/1000),Skills!L20/10)+Skills!O20</f>
        <v/>
      </c>
      <c r="G1609">
        <f>Skills!G20*IF(Skills!H20&gt;0,Skills!I20/Skills!H20,1)</f>
        <v/>
      </c>
      <c r="H1609">
        <f>1-(1-Skills!J20/100)^Skills!K20</f>
        <v/>
      </c>
      <c r="I1609" t="inlineStr">
        <is>
          <t>1</t>
        </is>
      </c>
      <c r="J1609" t="inlineStr"/>
      <c r="K1609" t="inlineStr"/>
      <c r="L1609" t="inlineStr"/>
      <c r="M1609" t="inlineStr"/>
      <c r="N1609" t="inlineStr"/>
      <c r="O1609">
        <f>(1-Summary!$B$11)*T1609+Summary!$B$11*V1609</f>
        <v/>
      </c>
      <c r="P1609">
        <f>IF(B1632=0,0,O1609/B1632)</f>
        <v/>
      </c>
      <c r="Q1609" t="n">
        <v>0</v>
      </c>
      <c r="R1609" t="n">
        <v>0</v>
      </c>
      <c r="S1609">
        <f>IFERROR(O1609/N1609,0)</f>
        <v/>
      </c>
      <c r="T1609" t="n">
        <v>0</v>
      </c>
      <c r="V1609" t="n">
        <v>0</v>
      </c>
    </row>
    <row r="1610">
      <c r="A1610">
        <f>Skills!A21</f>
        <v/>
      </c>
      <c r="B1610">
        <f>Skills!B21</f>
        <v/>
      </c>
      <c r="C1610">
        <f>Inputs!$B$3&gt;=10</f>
        <v/>
      </c>
      <c r="D1610">
        <f>IF(Skills!C21=1,60+Inputs!$B$25+Inputs!$B$29,IF(Skills!C21=2,90+Inputs!$B$26+Inputs!$B$29,IF(Skills!C21=3,120+Inputs!$B$27+Inputs!$B$29,MAX(0,(Inputs!$B$3-100)*3)+Inputs!$B$28+Inputs!$B$29)))</f>
        <v/>
      </c>
      <c r="E1610">
        <f>INDEX(FactorTable!$B$2:$Y$301, MATCH(ROUND(MIN(300,MAX(1,D1610)),0), FactorTable!$A$2:$A$301,0), Skills!M21+1)</f>
        <v/>
      </c>
      <c r="F1610">
        <f>IF(Skills!N21=TRUE,(Skills!L21/10)*(E1610/1000),Skills!L21/10)+Skills!O21</f>
        <v/>
      </c>
      <c r="G1610">
        <f>Skills!G21*IF(Skills!H21&gt;0,Skills!I21/Skills!H21,1)</f>
        <v/>
      </c>
      <c r="H1610">
        <f>1-(1-Skills!J21/100)^Skills!K21</f>
        <v/>
      </c>
      <c r="I1610" t="inlineStr">
        <is>
          <t>1</t>
        </is>
      </c>
      <c r="J1610" t="inlineStr"/>
      <c r="K1610" t="inlineStr"/>
      <c r="L1610" t="inlineStr"/>
      <c r="M1610" t="inlineStr"/>
      <c r="N1610" t="inlineStr"/>
      <c r="O1610">
        <f>(1-Summary!$B$11)*T1610+Summary!$B$11*V1610</f>
        <v/>
      </c>
      <c r="P1610">
        <f>IF(B1632=0,0,O1610/B1632)</f>
        <v/>
      </c>
      <c r="Q1610" t="n">
        <v>0</v>
      </c>
      <c r="R1610" t="n">
        <v>0</v>
      </c>
      <c r="S1610">
        <f>IFERROR(O1610/N1610,0)</f>
        <v/>
      </c>
      <c r="T1610" t="n">
        <v>0</v>
      </c>
      <c r="V1610" t="n">
        <v>0</v>
      </c>
    </row>
    <row r="1611">
      <c r="A1611">
        <f>Skills!A22</f>
        <v/>
      </c>
      <c r="B1611">
        <f>Skills!B22</f>
        <v/>
      </c>
      <c r="C1611">
        <f>Inputs!$B$3&gt;=33</f>
        <v/>
      </c>
      <c r="D1611">
        <f>IF(Skills!C22=1,60+Inputs!$B$25+Inputs!$B$29,IF(Skills!C22=2,90+Inputs!$B$26+Inputs!$B$29,IF(Skills!C22=3,120+Inputs!$B$27+Inputs!$B$29,MAX(0,(Inputs!$B$3-100)*3)+Inputs!$B$28+Inputs!$B$29)))</f>
        <v/>
      </c>
      <c r="E1611">
        <f>INDEX(FactorTable!$B$2:$Y$301, MATCH(ROUND(MIN(300,MAX(1,D1611)),0), FactorTable!$A$2:$A$301,0), Skills!M22+1)</f>
        <v/>
      </c>
      <c r="F1611">
        <f>IF(Skills!N22=TRUE,(Skills!L22/10)*(E1611/1000),Skills!L22/10)+Skills!O22</f>
        <v/>
      </c>
      <c r="G1611">
        <f>Skills!G22*IF(Skills!H22&gt;0,Skills!I22/Skills!H22,1)</f>
        <v/>
      </c>
      <c r="H1611">
        <f>1-(1-Skills!J22/100)^Skills!K22</f>
        <v/>
      </c>
      <c r="I1611" t="inlineStr">
        <is>
          <t>1</t>
        </is>
      </c>
      <c r="J1611" t="inlineStr"/>
      <c r="K1611" t="inlineStr"/>
      <c r="L1611" t="inlineStr"/>
      <c r="M1611" t="inlineStr"/>
      <c r="N1611" t="inlineStr"/>
      <c r="O1611">
        <f>(1-Summary!$B$11)*T1611+Summary!$B$11*V1611</f>
        <v/>
      </c>
      <c r="P1611">
        <f>IF(B1632=0,0,O1611/B1632)</f>
        <v/>
      </c>
      <c r="Q1611" t="n">
        <v>0</v>
      </c>
      <c r="R1611" t="n">
        <v>0</v>
      </c>
      <c r="S1611">
        <f>IFERROR(O1611/N1611,0)</f>
        <v/>
      </c>
      <c r="T1611" t="n">
        <v>0</v>
      </c>
      <c r="V1611" t="n">
        <v>0</v>
      </c>
    </row>
    <row r="1612">
      <c r="A1612">
        <f>Skills!A23</f>
        <v/>
      </c>
      <c r="B1612">
        <f>Skills!B23</f>
        <v/>
      </c>
      <c r="C1612">
        <f>Inputs!$B$3&gt;=38</f>
        <v/>
      </c>
      <c r="D1612">
        <f>IF(Skills!C23=1,60+Inputs!$B$25+Inputs!$B$29,IF(Skills!C23=2,90+Inputs!$B$26+Inputs!$B$29,IF(Skills!C23=3,120+Inputs!$B$27+Inputs!$B$29,MAX(0,(Inputs!$B$3-100)*3)+Inputs!$B$28+Inputs!$B$29)))</f>
        <v/>
      </c>
      <c r="E1612">
        <f>INDEX(FactorTable!$B$2:$Y$301, MATCH(ROUND(MIN(300,MAX(1,D1612)),0), FactorTable!$A$2:$A$301,0), Skills!M23+1)</f>
        <v/>
      </c>
      <c r="F1612">
        <f>IF(Skills!N23=TRUE,(Skills!L23/10)*(E1612/1000),Skills!L23/10)+Skills!O23</f>
        <v/>
      </c>
      <c r="G1612">
        <f>Skills!G23*IF(Skills!H23&gt;0,Skills!I23/Skills!H23,1)</f>
        <v/>
      </c>
      <c r="H1612">
        <f>1-(1-Skills!J23/100)^Skills!K23</f>
        <v/>
      </c>
      <c r="I1612" t="inlineStr">
        <is>
          <t>1</t>
        </is>
      </c>
      <c r="J1612" t="inlineStr"/>
      <c r="K1612" t="inlineStr"/>
      <c r="L1612" t="inlineStr"/>
      <c r="M1612" t="inlineStr"/>
      <c r="N1612" t="inlineStr"/>
      <c r="O1612">
        <f>(1-Summary!$B$11)*T1612+Summary!$B$11*V1612</f>
        <v/>
      </c>
      <c r="P1612">
        <f>IF(B1632=0,0,O1612/B1632)</f>
        <v/>
      </c>
      <c r="Q1612" t="n">
        <v>0</v>
      </c>
      <c r="R1612" t="n">
        <v>0</v>
      </c>
      <c r="S1612">
        <f>IFERROR(O1612/N1612,0)</f>
        <v/>
      </c>
      <c r="T1612" t="n">
        <v>0</v>
      </c>
      <c r="V1612" t="n">
        <v>0</v>
      </c>
    </row>
    <row r="1613">
      <c r="A1613">
        <f>Skills!A24</f>
        <v/>
      </c>
      <c r="B1613">
        <f>Skills!B24</f>
        <v/>
      </c>
      <c r="C1613">
        <f>Inputs!$B$3&gt;=43</f>
        <v/>
      </c>
      <c r="D1613">
        <f>IF(Skills!C24=1,60+Inputs!$B$25+Inputs!$B$29,IF(Skills!C24=2,90+Inputs!$B$26+Inputs!$B$29,IF(Skills!C24=3,120+Inputs!$B$27+Inputs!$B$29,MAX(0,(Inputs!$B$3-100)*3)+Inputs!$B$28+Inputs!$B$29)))</f>
        <v/>
      </c>
      <c r="E1613">
        <f>INDEX(FactorTable!$B$2:$Y$301, MATCH(ROUND(MIN(300,MAX(1,D1613)),0), FactorTable!$A$2:$A$301,0), Skills!M24+1)</f>
        <v/>
      </c>
      <c r="F1613">
        <f>IF(Skills!N24=TRUE,(Skills!L24/10)*(E1613/1000),Skills!L24/10)+Skills!O24</f>
        <v/>
      </c>
      <c r="G1613">
        <f>Skills!G24*IF(Skills!H24&gt;0,Skills!I24/Skills!H24,1)</f>
        <v/>
      </c>
      <c r="H1613">
        <f>1-(1-Skills!J24/100)^Skills!K24</f>
        <v/>
      </c>
      <c r="I1613" t="inlineStr">
        <is>
          <t>1</t>
        </is>
      </c>
      <c r="J1613" t="inlineStr"/>
      <c r="K1613" t="inlineStr"/>
      <c r="L1613" t="inlineStr"/>
      <c r="M1613" t="inlineStr"/>
      <c r="N1613" t="inlineStr"/>
      <c r="O1613">
        <f>(1-Summary!$B$11)*T1613+Summary!$B$11*V1613</f>
        <v/>
      </c>
      <c r="P1613">
        <f>IF(B1632=0,0,O1613/B1632)</f>
        <v/>
      </c>
      <c r="Q1613" t="n">
        <v>0</v>
      </c>
      <c r="R1613" t="n">
        <v>0</v>
      </c>
      <c r="S1613">
        <f>IFERROR(O1613/N1613,0)</f>
        <v/>
      </c>
      <c r="T1613" t="n">
        <v>0</v>
      </c>
      <c r="V1613" t="n">
        <v>0</v>
      </c>
    </row>
    <row r="1614">
      <c r="A1614">
        <f>Skills!A25</f>
        <v/>
      </c>
      <c r="B1614">
        <f>Skills!B25</f>
        <v/>
      </c>
      <c r="C1614">
        <f>Inputs!$B$3&gt;=75</f>
        <v/>
      </c>
      <c r="D1614">
        <f>IF(Skills!C25=1,60+Inputs!$B$25+Inputs!$B$29,IF(Skills!C25=2,90+Inputs!$B$26+Inputs!$B$29,IF(Skills!C25=3,120+Inputs!$B$27+Inputs!$B$29,MAX(0,(Inputs!$B$3-100)*3)+Inputs!$B$28+Inputs!$B$29)))</f>
        <v/>
      </c>
      <c r="E1614">
        <f>INDEX(FactorTable!$B$2:$Y$301, MATCH(ROUND(MIN(300,MAX(1,D1614)),0), FactorTable!$A$2:$A$301,0), Skills!M25+1)</f>
        <v/>
      </c>
      <c r="F1614">
        <f>IF(Skills!N25=TRUE,(Skills!L25/10)*(E1614/1000),Skills!L25/10)+Skills!O25</f>
        <v/>
      </c>
      <c r="G1614">
        <f>Skills!G25*IF(Skills!H25&gt;0,Skills!I25/Skills!H25,1)</f>
        <v/>
      </c>
      <c r="H1614">
        <f>1-(1-Skills!J25/100)^Skills!K25</f>
        <v/>
      </c>
      <c r="I1614" t="inlineStr">
        <is>
          <t>1</t>
        </is>
      </c>
      <c r="J1614" t="inlineStr"/>
      <c r="K1614" t="inlineStr"/>
      <c r="L1614" t="inlineStr"/>
      <c r="M1614" t="inlineStr"/>
      <c r="N1614" t="inlineStr"/>
      <c r="O1614">
        <f>(1-Summary!$B$11)*T1614+Summary!$B$11*V1614</f>
        <v/>
      </c>
      <c r="P1614">
        <f>IF(B1632=0,0,O1614/B1632)</f>
        <v/>
      </c>
      <c r="Q1614" t="n">
        <v>0</v>
      </c>
      <c r="R1614" t="n">
        <v>0</v>
      </c>
      <c r="S1614">
        <f>IFERROR(O1614/N1614,0)</f>
        <v/>
      </c>
      <c r="T1614" t="n">
        <v>0</v>
      </c>
      <c r="V1614" t="n">
        <v>0</v>
      </c>
    </row>
    <row r="1615">
      <c r="A1615">
        <f>Skills!A26</f>
        <v/>
      </c>
      <c r="B1615">
        <f>Skills!B26</f>
        <v/>
      </c>
      <c r="C1615">
        <f>Inputs!$B$3&gt;=125</f>
        <v/>
      </c>
      <c r="D1615">
        <f>IF(Skills!C26=1,60+Inputs!$B$25+Inputs!$B$29,IF(Skills!C26=2,90+Inputs!$B$26+Inputs!$B$29,IF(Skills!C26=3,120+Inputs!$B$27+Inputs!$B$29,MAX(0,(Inputs!$B$3-100)*3)+Inputs!$B$28+Inputs!$B$29)))</f>
        <v/>
      </c>
      <c r="E1615">
        <f>INDEX(FactorTable!$B$2:$Y$301, MATCH(ROUND(MIN(300,MAX(1,D1615)),0), FactorTable!$A$2:$A$301,0), Skills!M26+1)</f>
        <v/>
      </c>
      <c r="F1615">
        <f>IF(Skills!N26=TRUE,(Skills!L26/10)*(E1615/1000),Skills!L26/10)+Skills!O26</f>
        <v/>
      </c>
      <c r="G1615">
        <f>Skills!G26*IF(Skills!H26&gt;0,Skills!I26/Skills!H26,1)</f>
        <v/>
      </c>
      <c r="H1615">
        <f>1-(1-Skills!J26/100)^Skills!K26</f>
        <v/>
      </c>
      <c r="I1615" t="inlineStr">
        <is>
          <t>1</t>
        </is>
      </c>
      <c r="J1615" t="inlineStr"/>
      <c r="K1615" t="inlineStr"/>
      <c r="L1615" t="inlineStr"/>
      <c r="M1615" t="inlineStr"/>
      <c r="N1615" t="inlineStr"/>
      <c r="O1615">
        <f>(1-Summary!$B$11)*T1615+Summary!$B$11*V1615</f>
        <v/>
      </c>
      <c r="P1615">
        <f>IF(B1632=0,0,O1615/B1632)</f>
        <v/>
      </c>
      <c r="Q1615" t="n">
        <v>0</v>
      </c>
      <c r="R1615" t="n">
        <v>0</v>
      </c>
      <c r="S1615">
        <f>IFERROR(O1615/N1615,0)</f>
        <v/>
      </c>
      <c r="T1615" t="n">
        <v>0</v>
      </c>
      <c r="V1615" t="n">
        <v>0</v>
      </c>
    </row>
    <row r="1616">
      <c r="A1616">
        <f>Skills!A27</f>
        <v/>
      </c>
      <c r="B1616">
        <f>Skills!B27</f>
        <v/>
      </c>
      <c r="C1616">
        <f>Inputs!$B$3&gt;=125</f>
        <v/>
      </c>
      <c r="D1616">
        <f>IF(Skills!C27=1,60+Inputs!$B$25+Inputs!$B$29,IF(Skills!C27=2,90+Inputs!$B$26+Inputs!$B$29,IF(Skills!C27=3,120+Inputs!$B$27+Inputs!$B$29,MAX(0,(Inputs!$B$3-100)*3)+Inputs!$B$28+Inputs!$B$29)))</f>
        <v/>
      </c>
      <c r="E1616">
        <f>INDEX(FactorTable!$B$2:$Y$301, MATCH(ROUND(MIN(300,MAX(1,D1616)),0), FactorTable!$A$2:$A$301,0), Skills!M27+1)</f>
        <v/>
      </c>
      <c r="F1616">
        <f>IF(Skills!N27=TRUE,(Skills!L27/10)*(E1616/1000),Skills!L27/10)+Skills!O27</f>
        <v/>
      </c>
      <c r="G1616">
        <f>Skills!G27*IF(Skills!H27&gt;0,Skills!I27/Skills!H27,1)</f>
        <v/>
      </c>
      <c r="H1616">
        <f>1-(1-Skills!J27/100)^Skills!K27</f>
        <v/>
      </c>
      <c r="I1616" t="inlineStr">
        <is>
          <t>1</t>
        </is>
      </c>
      <c r="J1616" t="inlineStr"/>
      <c r="K1616" t="inlineStr"/>
      <c r="L1616" t="inlineStr"/>
      <c r="M1616" t="inlineStr"/>
      <c r="N1616" t="inlineStr"/>
      <c r="O1616">
        <f>(1-Summary!$B$11)*T1616+Summary!$B$11*V1616</f>
        <v/>
      </c>
      <c r="P1616">
        <f>IF(B1632=0,0,O1616/B1632)</f>
        <v/>
      </c>
      <c r="Q1616" t="n">
        <v>0</v>
      </c>
      <c r="R1616" t="n">
        <v>0</v>
      </c>
      <c r="S1616">
        <f>IFERROR(O1616/N1616,0)</f>
        <v/>
      </c>
      <c r="T1616" t="n">
        <v>0</v>
      </c>
      <c r="V1616" t="n">
        <v>0</v>
      </c>
    </row>
    <row r="1617">
      <c r="A1617">
        <f>Skills!A28</f>
        <v/>
      </c>
      <c r="B1617">
        <f>Skills!B28</f>
        <v/>
      </c>
      <c r="C1617">
        <f>Inputs!$B$3&gt;=120</f>
        <v/>
      </c>
      <c r="D1617">
        <f>IF(Skills!C28=1,60+Inputs!$B$25+Inputs!$B$29,IF(Skills!C28=2,90+Inputs!$B$26+Inputs!$B$29,IF(Skills!C28=3,120+Inputs!$B$27+Inputs!$B$29,MAX(0,(Inputs!$B$3-100)*3)+Inputs!$B$28+Inputs!$B$29)))</f>
        <v/>
      </c>
      <c r="E1617">
        <f>INDEX(FactorTable!$B$2:$Y$301, MATCH(ROUND(MIN(300,MAX(1,D1617)),0), FactorTable!$A$2:$A$301,0), Skills!M28+1)</f>
        <v/>
      </c>
      <c r="F1617">
        <f>IF(Skills!N28=TRUE,(Skills!L28/10)*(E1617/1000),Skills!L28/10)+Skills!O28</f>
        <v/>
      </c>
      <c r="G1617">
        <f>Skills!G28*IF(Skills!H28&gt;0,Skills!I28/Skills!H28,1)</f>
        <v/>
      </c>
      <c r="H1617">
        <f>1-(1-Skills!J28/100)^Skills!K28</f>
        <v/>
      </c>
      <c r="I1617" t="inlineStr">
        <is>
          <t>1</t>
        </is>
      </c>
      <c r="J1617" t="inlineStr"/>
      <c r="K1617" t="inlineStr"/>
      <c r="L1617" t="inlineStr"/>
      <c r="M1617" t="inlineStr"/>
      <c r="N1617" t="inlineStr"/>
      <c r="O1617">
        <f>(1-Summary!$B$11)*T1617+Summary!$B$11*V1617</f>
        <v/>
      </c>
      <c r="P1617">
        <f>IF(B1632=0,0,O1617/B1632)</f>
        <v/>
      </c>
      <c r="Q1617" t="n">
        <v>0</v>
      </c>
      <c r="R1617" t="n">
        <v>0</v>
      </c>
      <c r="S1617">
        <f>IFERROR(O1617/N1617,0)</f>
        <v/>
      </c>
      <c r="T1617" t="n">
        <v>0</v>
      </c>
      <c r="V1617" t="n">
        <v>0</v>
      </c>
    </row>
    <row r="1618">
      <c r="A1618">
        <f>Skills!A29</f>
        <v/>
      </c>
      <c r="B1618">
        <f>Skills!B29</f>
        <v/>
      </c>
      <c r="C1618">
        <f>Inputs!$B$3&gt;=120</f>
        <v/>
      </c>
      <c r="D1618">
        <f>IF(Skills!C29=1,60+Inputs!$B$25+Inputs!$B$29,IF(Skills!C29=2,90+Inputs!$B$26+Inputs!$B$29,IF(Skills!C29=3,120+Inputs!$B$27+Inputs!$B$29,MAX(0,(Inputs!$B$3-100)*3)+Inputs!$B$28+Inputs!$B$29)))</f>
        <v/>
      </c>
      <c r="E1618">
        <f>INDEX(FactorTable!$B$2:$Y$301, MATCH(ROUND(MIN(300,MAX(1,D1618)),0), FactorTable!$A$2:$A$301,0), Skills!M29+1)</f>
        <v/>
      </c>
      <c r="F1618">
        <f>IF(Skills!N29=TRUE,(Skills!L29/10)*(E1618/1000),Skills!L29/10)+Skills!O29</f>
        <v/>
      </c>
      <c r="G1618">
        <f>Skills!G29*IF(Skills!H29&gt;0,Skills!I29/Skills!H29,1)</f>
        <v/>
      </c>
      <c r="H1618">
        <f>1-(1-Skills!J29/100)^Skills!K29</f>
        <v/>
      </c>
      <c r="I1618" t="inlineStr">
        <is>
          <t>1</t>
        </is>
      </c>
      <c r="J1618" t="inlineStr"/>
      <c r="K1618" t="inlineStr"/>
      <c r="L1618" t="inlineStr"/>
      <c r="M1618" t="inlineStr"/>
      <c r="N1618" t="inlineStr"/>
      <c r="O1618">
        <f>(1-Summary!$B$11)*T1618+Summary!$B$11*V1618</f>
        <v/>
      </c>
      <c r="P1618">
        <f>IF(B1632=0,0,O1618/B1632)</f>
        <v/>
      </c>
      <c r="Q1618" t="n">
        <v>0</v>
      </c>
      <c r="R1618" t="n">
        <v>0</v>
      </c>
      <c r="S1618">
        <f>IFERROR(O1618/N1618,0)</f>
        <v/>
      </c>
      <c r="T1618" t="n">
        <v>0</v>
      </c>
      <c r="V1618" t="n">
        <v>0</v>
      </c>
    </row>
    <row r="1619">
      <c r="A1619">
        <f>Skills!A30</f>
        <v/>
      </c>
      <c r="B1619">
        <f>Skills!B30</f>
        <v/>
      </c>
      <c r="C1619">
        <f>Inputs!$B$3&gt;=45</f>
        <v/>
      </c>
      <c r="D1619">
        <f>IF(Skills!C30=1,60+Inputs!$B$25+Inputs!$B$29,IF(Skills!C30=2,90+Inputs!$B$26+Inputs!$B$29,IF(Skills!C30=3,120+Inputs!$B$27+Inputs!$B$29,MAX(0,(Inputs!$B$3-100)*3)+Inputs!$B$28+Inputs!$B$29)))</f>
        <v/>
      </c>
      <c r="E1619">
        <f>INDEX(FactorTable!$B$2:$Y$301, MATCH(ROUND(MIN(300,MAX(1,D1619)),0), FactorTable!$A$2:$A$301,0), Skills!M30+1)</f>
        <v/>
      </c>
      <c r="F1619">
        <f>IF(Skills!N30=TRUE,(Skills!L30/10)*(E1619/1000),Skills!L30/10)+Skills!O30</f>
        <v/>
      </c>
      <c r="G1619">
        <f>Skills!G30*IF(Skills!H30&gt;0,Skills!I30/Skills!H30,1)</f>
        <v/>
      </c>
      <c r="H1619">
        <f>1-(1-Skills!J30/100)^Skills!K30</f>
        <v/>
      </c>
      <c r="I1619" t="inlineStr">
        <is>
          <t>1</t>
        </is>
      </c>
      <c r="J1619" t="inlineStr"/>
      <c r="K1619" t="inlineStr"/>
      <c r="L1619" t="inlineStr"/>
      <c r="M1619" t="inlineStr"/>
      <c r="N1619" t="inlineStr"/>
      <c r="O1619">
        <f>(1-Summary!$B$11)*T1619+Summary!$B$11*V1619</f>
        <v/>
      </c>
      <c r="P1619">
        <f>IF(B1632=0,0,O1619/B1632)</f>
        <v/>
      </c>
      <c r="Q1619" t="n">
        <v>0</v>
      </c>
      <c r="R1619" t="n">
        <v>0</v>
      </c>
      <c r="S1619">
        <f>IFERROR(O1619/N1619,0)</f>
        <v/>
      </c>
      <c r="T1619" t="n">
        <v>0</v>
      </c>
      <c r="V1619" t="n">
        <v>0</v>
      </c>
    </row>
    <row r="1621">
      <c r="A1621" t="inlineStr">
        <is>
          <t>Attack% Bucket Multiplier</t>
        </is>
      </c>
      <c r="B1621">
        <f>(1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22">
      <c r="A1622" t="inlineStr">
        <is>
          <t>Global Crit Rate Bonus %</t>
        </is>
      </c>
      <c r="B1622">
        <f>(C1605=TRUE)*20*IF(AND(Inputs!$B$38&lt;&gt;"pvp",Inputs!$B$43&gt;0),(((R1605-1)*(Skills!T16*(1+Inputs!$B$34/100))+MIN((Skills!T16*(1+Inputs!$B$34/100)),MAX(0,Inputs!$B$43-((R1605-1)*Skills!D16))))/Inputs!$B$43),IF(Inputs!$B$38="pvp",MIN((Skills!T16*(1+Inputs!$B$34/100)),15)/15,(Skills!T16*(1+Inputs!$B$34/100))/Skills!D16))</f>
        <v/>
      </c>
    </row>
    <row r="1623">
      <c r="A1623" t="inlineStr">
        <is>
          <t>Attack Speed Buff Bonus %</t>
        </is>
      </c>
      <c r="B1623">
        <f>((C1608=TRUE)*F1608*IF(AND(Inputs!$B$38&lt;&gt;"pvp",Inputs!$B$43&gt;0),(((R1608-1)*(Skills!T19*(1+Inputs!$B$34/100))+MIN((Skills!T19*(1+Inputs!$B$34/100)),MAX(0,Inputs!$B$43-((R1608-1)*Skills!D19))))/Inputs!$B$43),IF(Inputs!$B$38="pvp",MIN((Skills!T19*(1+Inputs!$B$34/100)),15)/15,(Skills!T19*(1+Inputs!$B$34/100))/Skills!D19)))</f>
        <v/>
      </c>
    </row>
    <row r="1624">
      <c r="A1624" t="inlineStr">
        <is>
          <t>Actions Per Second</t>
        </is>
      </c>
      <c r="B1624">
        <f>1+MIN(150,150*(1-(1-(Inputs!$B$11+((C1610=TRUE)*(F1610-Calc!F21))+((C1611=TRUE)*(F1611-Calc!F22)))/150)*(1-B1623/150)))/100</f>
        <v/>
      </c>
    </row>
    <row r="1625">
      <c r="A1625" t="inlineStr">
        <is>
          <t>Skill + Buff Cast Rate</t>
        </is>
      </c>
      <c r="B1625">
        <f>IF(AND(Inputs!$B$38&lt;&gt;"pvp",Inputs!$B$43&gt;0),SUMPRODUCT((Skills!E2:E30=TRUE)*(C1591:C1619=TRUE)*R1591:R1619*Skills!F2:F30)/Inputs!$B$43,SUMPRODUCT((Skills!E2:E30=TRUE)*(C1591:C1619=TRUE)*Q1591:Q1619*Skills!F2:F30))</f>
        <v/>
      </c>
    </row>
    <row r="1626">
      <c r="A1626" t="inlineStr">
        <is>
          <t>Arrow Stream Casts Per Second</t>
        </is>
      </c>
      <c r="B1626">
        <f>MAX(0,B1624-B1625)</f>
        <v/>
      </c>
    </row>
    <row r="1627">
      <c r="A1627" t="inlineStr">
        <is>
          <t>Global Critical Damage Bonus % (Sharp Eyes + Concentration)</t>
        </is>
      </c>
      <c r="B1627">
        <f>(C1605=TRUE)*F1605*IF(AND(Inputs!$B$38&lt;&gt;"pvp",Inputs!$B$43&gt;0),(((R1605-1)*(Skills!T16*(1+Inputs!$B$34/100))+MIN((Skills!T16*(1+Inputs!$B$34/100)),MAX(0,Inputs!$B$43-((R1605-1)*Skills!D16))))/Inputs!$B$43),IF(Inputs!$B$38="pvp",MIN((Skills!T16*(1+Inputs!$B$34/100)),15)/15,(Skills!T16*(1+Inputs!$B$34/100))/Skills!D16))+(C1606=TRUE)*30</f>
        <v/>
      </c>
    </row>
    <row r="1628">
      <c r="A1628" t="inlineStr">
        <is>
          <t>Global Final Damage Bonus % (Mortal Blow)</t>
        </is>
      </c>
      <c r="B1628">
        <f>(C1607=TRUE)*F1607</f>
        <v/>
      </c>
    </row>
    <row r="1629">
      <c r="A1629" t="inlineStr">
        <is>
          <t>Buff-Casting Startup Delay (s, fixed-duration only)</t>
        </is>
      </c>
      <c r="B1629">
        <f>IF(AND(Inputs!$B$38&lt;&gt;"pvp",Inputs!$B$43&gt;0),SUMPRODUCT((Skills!T2:T30&gt;0)*(Skills!E2:E30=TRUE)*(C1591:C1619=TRUE))/B1624,0)</f>
        <v/>
      </c>
    </row>
    <row r="1630">
      <c r="A1630" t="inlineStr">
        <is>
          <t>Boss-Only Total DPS (this block's swept value)</t>
        </is>
      </c>
      <c r="B1630">
        <f>SUM(T1591:T1619)</f>
        <v/>
      </c>
    </row>
    <row r="1631">
      <c r="A1631" t="inlineStr">
        <is>
          <t>Normal-Only Total DPS (this block's swept value)</t>
        </is>
      </c>
      <c r="B1631">
        <f>SUM(V1591:V1619)</f>
        <v/>
      </c>
    </row>
    <row r="1632">
      <c r="A1632" s="6" t="inlineStr">
        <is>
          <t>TOTAL DPS</t>
        </is>
      </c>
      <c r="B1632" s="6">
        <f>SUM(O1591:O1619)</f>
        <v/>
      </c>
    </row>
    <row r="1635">
      <c r="A1635" s="6" t="inlineStr">
        <is>
          <t>Stat: Clear Spring Water (Equip)</t>
        </is>
      </c>
    </row>
    <row r="1636">
      <c r="A1636" s="5" t="inlineStr">
        <is>
          <t>Key</t>
        </is>
      </c>
      <c r="B1636" s="5" t="inlineStr">
        <is>
          <t>Name</t>
        </is>
      </c>
      <c r="C1636" s="5" t="inlineStr">
        <is>
          <t>Unlocked</t>
        </is>
      </c>
      <c r="D1636" s="5" t="inlineStr">
        <is>
          <t>InputLevel</t>
        </is>
      </c>
      <c r="E1636" s="5" t="inlineStr">
        <is>
          <t>Factor</t>
        </is>
      </c>
      <c r="F1636" s="5" t="inlineStr">
        <is>
          <t>CoefficientPercent</t>
        </is>
      </c>
      <c r="G1636" s="5" t="inlineStr">
        <is>
          <t>EffectiveHits</t>
        </is>
      </c>
      <c r="H1636" s="5" t="inlineStr">
        <is>
          <t>ProcProbability</t>
        </is>
      </c>
      <c r="I1636" s="5" t="inlineStr">
        <is>
          <t>MapleHeroMultiplier</t>
        </is>
      </c>
      <c r="J1636" s="5" t="inlineStr">
        <is>
          <t>BaseDamage</t>
        </is>
      </c>
      <c r="K1636" s="5" t="inlineStr">
        <is>
          <t>BaseHitDamage</t>
        </is>
      </c>
      <c r="L1636" s="5" t="inlineStr">
        <is>
          <t>NonCritAvg</t>
        </is>
      </c>
      <c r="M1636" s="5" t="inlineStr">
        <is>
          <t>CritAvg</t>
        </is>
      </c>
      <c r="N1636" s="5" t="inlineStr">
        <is>
          <t>ExpectedDamage(perHit)</t>
        </is>
      </c>
      <c r="O1636" s="5" t="inlineStr">
        <is>
          <t>DPS</t>
        </is>
      </c>
      <c r="P1636" s="5" t="inlineStr">
        <is>
          <t>% of Total</t>
        </is>
      </c>
      <c r="Q1636" s="5" t="inlineStr">
        <is>
          <t>InvCooldown</t>
        </is>
      </c>
      <c r="R1636" s="5" t="inlineStr">
        <is>
          <t>CastsInFight</t>
        </is>
      </c>
      <c r="S1636" s="5" t="inlineStr">
        <is>
          <t>HitRate(perSec)</t>
        </is>
      </c>
      <c r="U1636" t="inlineStr">
        <is>
          <t>helpers</t>
        </is>
      </c>
    </row>
    <row r="1637">
      <c r="A1637">
        <f>Skills!A2</f>
        <v/>
      </c>
      <c r="B1637">
        <f>Skills!B2</f>
        <v/>
      </c>
      <c r="C1637">
        <f>Inputs!$B$3&gt;=100</f>
        <v/>
      </c>
      <c r="D1637" t="inlineStr"/>
      <c r="E1637" t="inlineStr"/>
      <c r="F1637">
        <f>U1639+Skills!O2</f>
        <v/>
      </c>
      <c r="G1637">
        <f>Skills!G2*IF(Skills!H2&gt;0,Skills!I2/Skills!H2,1)</f>
        <v/>
      </c>
      <c r="H1637">
        <f>1-(1-Skills!J2/100)^Skills!K2</f>
        <v/>
      </c>
      <c r="I1637" t="inlineStr">
        <is>
          <t>1</t>
        </is>
      </c>
      <c r="J1637">
        <f>((Inputs!$B$6*(1+Inputs!$B$7/100))+(((Inputs!$B$12*(1+Inputs!$B$13/100))-(Inputs!$B$12*(1+Inputs!$B$13/100)))+0.25*(Inputs!$B$14-Inputs!$B$14))*(1+Inputs!$B$7/100))*(F1637/100)</f>
        <v/>
      </c>
      <c r="K1637">
        <f>J1637*(1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1659=TRUE)*(F1659-Calc!F24)),(Inputs!$B$23+((C1664=TRUE)*(F1664-Calc!F29))+(IF(ArtifactsInput!$M$15,CHOOSE(ArtifactsInput!$N$15+1,25,30,35,40,45,50)/100*(Inputs!$B$11-Inputs!$B$11),0))))/100+(Inputs!$B$23+((C1664=TRUE)*(F1664-Calc!F29))+(IF(ArtifactsInput!$M$15,CHOOSE(ArtifactsInput!$N$15+1,25,30,35,40,45,50)/100*(Inputs!$B$11-Inputs!$B$11),0)))/100)/2</f>
        <v/>
      </c>
      <c r="M1637">
        <f>L1637*(1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IF(B1678=0,0,O1637/B1678)</f>
        <v/>
      </c>
      <c r="Q1637" t="n">
        <v>0</v>
      </c>
      <c r="R1637" t="n">
        <v>0</v>
      </c>
      <c r="S1637">
        <f>IFERROR(O1637/N1637,0)</f>
        <v/>
      </c>
      <c r="T1637">
        <f>IF(C1637,(Skills!G2*N1637*B1672)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1637*(1-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MAX(0,(Inputs!$B$3-100)*3)+Inputs!$B$28+Inputs!$B$29</f>
        <v/>
      </c>
      <c r="V1637">
        <f>IF(C1637,(Skills!G2*N1637*B1672)*IF(Inputs!$B$38="pvp",1,(1+(Inputs!$B$21+Skills!Q2+(IF(ArtifactsInput!$M$33,CHOOSE(ArtifactsInput!$N$33+1,30,36,42,48,54,60),0))+(IF(AND(ArtifactsInput!$M$35,Inputs!$B$4&lt;&gt;"Chapter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Skills!A3</f>
        <v/>
      </c>
      <c r="B1638">
        <f>Skills!B3</f>
        <v/>
      </c>
      <c r="C1638">
        <f>Inputs!$B$3&gt;=50</f>
        <v/>
      </c>
      <c r="D1638">
        <f>IF(Skills!C3=1,60+Inputs!$B$25+Inputs!$B$29,IF(Skills!C3=2,90+Inputs!$B$26+Inputs!$B$29,IF(Skills!C3=3,120+Inputs!$B$27+Inputs!$B$29,MAX(0,(Inputs!$B$3-100)*3)+Inputs!$B$28+Inputs!$B$29)))</f>
        <v/>
      </c>
      <c r="E1638">
        <f>INDEX(FactorTable!$B$2:$Y$301, MATCH(ROUND(MIN(300,MAX(1,D1638)),0), FactorTable!$A$2:$A$301,0), Skills!M3+1)</f>
        <v/>
      </c>
      <c r="F1638">
        <f>IF(Skills!N3=TRUE,(Skills!L3/10)*(E1638/1000),Skills!L3/10)+Skills!O3</f>
        <v/>
      </c>
      <c r="G1638" t="inlineStr"/>
      <c r="H1638" t="inlineStr"/>
      <c r="I1638" t="inlineStr">
        <is>
          <t>1</t>
        </is>
      </c>
      <c r="J1638" t="inlineStr"/>
      <c r="K1638" t="inlineStr"/>
      <c r="L1638" t="inlineStr"/>
      <c r="M1638" t="inlineStr"/>
      <c r="N1638" t="inlineStr"/>
      <c r="O1638" t="inlineStr"/>
      <c r="P1638" t="inlineStr"/>
      <c r="Q1638" t="inlineStr"/>
      <c r="R1638" t="inlineStr"/>
      <c r="S1638" t="inlineStr"/>
      <c r="T1638" t="inlineStr"/>
      <c r="U1638">
        <f>INDEX(FactorTable!$B$2:$Y$301, MATCH(ROUND(MIN(300,MAX(1,U1637)),0), FactorTable!$A$2:$A$301,0), 22)</f>
        <v/>
      </c>
      <c r="V1638" t="inlineStr"/>
    </row>
    <row r="1639">
      <c r="A1639">
        <f>Skills!A4</f>
        <v/>
      </c>
      <c r="B1639">
        <f>Skills!B4</f>
        <v/>
      </c>
      <c r="C1639">
        <f>Inputs!$B$3&gt;=105</f>
        <v/>
      </c>
      <c r="D1639">
        <f>IF(Skills!C4=1,60+Inputs!$B$25+Inputs!$B$29,IF(Skills!C4=2,90+Inputs!$B$26+Inputs!$B$29,IF(Skills!C4=3,120+Inputs!$B$27+Inputs!$B$29,MAX(0,(Inputs!$B$3-100)*3)+Inputs!$B$28+Inputs!$B$29)))</f>
        <v/>
      </c>
      <c r="E1639">
        <f>INDEX(FactorTable!$B$2:$Y$301, MATCH(ROUND(MIN(300,MAX(1,D1639)),0), FactorTable!$A$2:$A$301,0), Skills!M4+1)</f>
        <v/>
      </c>
      <c r="F1639">
        <f>IF(Skills!N4=TRUE,(Skills!L4/10)*(E1639/1000),Skills!L4/10)+Skills!O4</f>
        <v/>
      </c>
      <c r="G1639" t="inlineStr"/>
      <c r="H1639" t="inlineStr"/>
      <c r="I1639" t="inlineStr">
        <is>
          <t>1</t>
        </is>
      </c>
      <c r="J1639" t="inlineStr"/>
      <c r="K1639" t="inlineStr"/>
      <c r="L1639" t="inlineStr"/>
      <c r="M1639" t="inlineStr"/>
      <c r="N1639" t="inlineStr"/>
      <c r="O1639" t="inlineStr"/>
      <c r="P1639" t="inlineStr"/>
      <c r="Q1639" t="inlineStr"/>
      <c r="R1639" t="inlineStr"/>
      <c r="S1639" t="inlineStr"/>
      <c r="T1639" t="inlineStr"/>
      <c r="U1639">
        <f>290*U1638/1000</f>
        <v/>
      </c>
      <c r="V1639" t="inlineStr"/>
    </row>
    <row r="1640">
      <c r="A1640">
        <f>Skills!A5</f>
        <v/>
      </c>
      <c r="B1640">
        <f>Skills!B5</f>
        <v/>
      </c>
      <c r="C1640">
        <f>Inputs!$B$3&gt;=35</f>
        <v/>
      </c>
      <c r="D1640">
        <f>IF(Skills!C5=1,60+Inputs!$B$25+Inputs!$B$29,IF(Skills!C5=2,90+Inputs!$B$26+Inputs!$B$29,IF(Skills!C5=3,120+Inputs!$B$27+Inputs!$B$29,MAX(0,(Inputs!$B$3-100)*3)+Inputs!$B$28+Inputs!$B$29)))</f>
        <v/>
      </c>
      <c r="E1640">
        <f>INDEX(FactorTable!$B$2:$Y$301, MATCH(ROUND(MIN(300,MAX(1,D1640)),0), FactorTable!$A$2:$A$301,0), Skills!M5+1)</f>
        <v/>
      </c>
      <c r="F1640">
        <f>IF(Skills!N5=TRUE,(Skills!L5/10)*(E1640/1000),Skills!L5/10)+Skills!O5</f>
        <v/>
      </c>
      <c r="G1640">
        <f>Skills!G5*IF(Skills!H5&gt;0,Skills!I5/Skills!H5,1)</f>
        <v/>
      </c>
      <c r="H1640">
        <f>1-(1-Skills!J5/100)^Skills!K5</f>
        <v/>
      </c>
      <c r="I1640" t="inlineStr">
        <is>
          <t>1</t>
        </is>
      </c>
      <c r="J1640">
        <f>((Inputs!$B$6*(1+Inputs!$B$7/100))+(((Inputs!$B$12*(1+Inputs!$B$13/100))-(Inputs!$B$12*(1+Inputs!$B$13/100)))+0.25*(Inputs!$B$14-Inputs!$B$14))*(1+Inputs!$B$7/100))*(F1640/100)</f>
        <v/>
      </c>
      <c r="K1640">
        <f>J1640*(1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1645=TRUE,F1645,0)/100)*(1+(IF(Skills!A5="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1659=TRUE)*(F1659-Calc!F24)),(Inputs!$B$23+((C1664=TRUE)*(F1664-Calc!F29))+(IF(ArtifactsInput!$M$15,CHOOSE(ArtifactsInput!$N$15+1,25,30,35,40,45,50)/100*(Inputs!$B$11-Inputs!$B$11),0))))/100+(Inputs!$B$23+((C1664=TRUE)*(F1664-Calc!F29))+(IF(ArtifactsInput!$M$15,CHOOSE(ArtifactsInput!$N$15+1,25,30,35,40,45,50)/100*(Inputs!$B$11-Inputs!$B$11),0)))/100)/2</f>
        <v/>
      </c>
      <c r="M1640">
        <f>L1640*(1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IF(B1678=0,0,O1640/B1678)</f>
        <v/>
      </c>
      <c r="Q1640">
        <f>IFERROR(1/(IF(Inputs!$B$38="pvp",15,MAX(0.1,Skills!D5-IF(Skills!E5=TRUE,Inputs!$B$32,0)))*(1-IF(AND(ArtifactsInput!$M$27,Inputs!$B$4="Chapter Hunt"),CHOOSE(ArtifactsInput!$N$27+1,20,24,28,32,36,40),0)/100)),0)</f>
        <v/>
      </c>
      <c r="R1640">
        <f>IF(AND(Inputs!$B$38&lt;&gt;"pvp",Inputs!$B$43&gt;0),IF(MAX(0,Inputs!$B$43-B1675)&lt;=0,0,(INT(MAX(0,Inputs!$B$43-B1675)/(IF(Inputs!$B$38="pvp",15,MAX(0.1,Skills!D5-IF(Skills!E5=TRUE,Inputs!$B$32,0)))*(1-IF(AND(ArtifactsInput!$M$27,Inputs!$B$4="Chapter Hunt"),CHOOSE(ArtifactsInput!$N$27+1,20,24,28,32,36,40),0)/100)))+1)),0)</f>
        <v/>
      </c>
      <c r="S1640">
        <f>IFERROR(O1640/N1640,0)</f>
        <v/>
      </c>
      <c r="T1640">
        <f>IF(C1640,(H1640*N1640*IF(AND(Inputs!$B$38&lt;&gt;"pvp",Inputs!$B$43&gt;0),((Skills!G5*((R1640-1)*IF(Skills!H5&gt;0,Skills!I5/Skills!H5,1)+IF(Skills!H5&gt;0,MIN(Skills!I5,MAX(0,MAX(0,Inputs!$B$43-B1675)-((R1640-1)*(IF(Inputs!$B$38="pvp",15,MAX(0.1,Skills!D5-IF(Skills!E5=TRUE,Inputs!$B$32,0)))*(1-IF(AND(ArtifactsInput!$M$27,Inputs!$B$4="Chapter Hunt"),CHOOSE(ArtifactsInput!$N$27+1,20,24,28,32,36,40),0)/100)))))/Skills!H5,1)))/Inputs!$B$43),G1640*Q1640)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1640*(1-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5*((R1640-1)*IF(Skills!H5&gt;0,Skills!I5/Skills!H5,1)+IF(Skills!H5&gt;0,MIN(Skills!I5,MAX(0,MAX(0,Inputs!$B$43-B1675)-((R1640-1)*(IF(Inputs!$B$38="pvp",15,MAX(0.1,Skills!D5-IF(Skills!E5=TRUE,Inputs!$B$32,0)))*(1-IF(AND(ArtifactsInput!$M$27,Inputs!$B$4="Chapter Hunt"),CHOOSE(ArtifactsInput!$N$27+1,20,24,28,32,36,40),0)/100)))))/Skills!H5,1)))/Inputs!$B$43),G1640*Q1640))*IF(Inputs!$B$38="pvp",1,(1+(Inputs!$B$21+Skills!Q5+(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Skills!A6</f>
        <v/>
      </c>
      <c r="B1641">
        <f>Skills!B6</f>
        <v/>
      </c>
      <c r="C1641">
        <f>Inputs!$B$3&gt;=40</f>
        <v/>
      </c>
      <c r="D1641">
        <f>IF(Skills!C6=1,60+Inputs!$B$25+Inputs!$B$29,IF(Skills!C6=2,90+Inputs!$B$26+Inputs!$B$29,IF(Skills!C6=3,120+Inputs!$B$27+Inputs!$B$29,MAX(0,(Inputs!$B$3-100)*3)+Inputs!$B$28+Inputs!$B$29)))</f>
        <v/>
      </c>
      <c r="E1641">
        <f>INDEX(FactorTable!$B$2:$Y$301, MATCH(ROUND(MIN(300,MAX(1,D1641)),0), FactorTable!$A$2:$A$301,0), Skills!M6+1)</f>
        <v/>
      </c>
      <c r="F1641">
        <f>IF(Skills!N6=TRUE,(Skills!L6/10)*(E1641/1000),Skills!L6/10)+Skills!O6</f>
        <v/>
      </c>
      <c r="G1641">
        <f>Skills!G6*IF(Skills!H6&gt;0,Skills!I6/Skills!H6,1)</f>
        <v/>
      </c>
      <c r="H1641">
        <f>1-(1-Skills!J6/100)^Skills!K6</f>
        <v/>
      </c>
      <c r="I1641" t="inlineStr">
        <is>
          <t>1</t>
        </is>
      </c>
      <c r="J1641">
        <f>((Inputs!$B$6*(1+Inputs!$B$7/100))+(((Inputs!$B$12*(1+Inputs!$B$13/100))-(Inputs!$B$12*(1+Inputs!$B$13/100)))+0.25*(Inputs!$B$14-Inputs!$B$14))*(1+Inputs!$B$7/100))*(F1641/100)</f>
        <v/>
      </c>
      <c r="K1641">
        <f>J1641*(1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1642=TRUE,F1642,0)/100)*(1+(IF(Skills!A6="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1659=TRUE)*(F1659-Calc!F24)),(Inputs!$B$23+((C1664=TRUE)*(F1664-Calc!F29))+(IF(ArtifactsInput!$M$15,CHOOSE(ArtifactsInput!$N$15+1,25,30,35,40,45,50)/100*(Inputs!$B$11-Inputs!$B$11),0))))/100+(Inputs!$B$23+((C1664=TRUE)*(F1664-Calc!F29))+(IF(ArtifactsInput!$M$15,CHOOSE(ArtifactsInput!$N$15+1,25,30,35,40,45,50)/100*(Inputs!$B$11-Inputs!$B$11),0)))/100)/2</f>
        <v/>
      </c>
      <c r="M1641">
        <f>L1641*(1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IF(B1678=0,0,O1641/B1678)</f>
        <v/>
      </c>
      <c r="Q1641">
        <f>IFERROR(1/(IF(Inputs!$B$38="pvp",15,MAX(0.1,Skills!D6-IF(Skills!E6=TRUE,Inputs!$B$32,0)))*(1-IF(AND(ArtifactsInput!$M$27,Inputs!$B$4="Chapter Hunt"),CHOOSE(ArtifactsInput!$N$27+1,20,24,28,32,36,40),0)/100)),0)</f>
        <v/>
      </c>
      <c r="R1641">
        <f>IF(AND(Inputs!$B$38&lt;&gt;"pvp",Inputs!$B$43&gt;0),IF(MAX(0,Inputs!$B$43-B1675)&lt;=0,0,(INT(MAX(0,Inputs!$B$43-B1675)/(IF(Inputs!$B$38="pvp",15,MAX(0.1,Skills!D6-IF(Skills!E6=TRUE,Inputs!$B$32,0)))*(1-IF(AND(ArtifactsInput!$M$27,Inputs!$B$4="Chapter Hunt"),CHOOSE(ArtifactsInput!$N$27+1,20,24,28,32,36,40),0)/100)))+1)),0)</f>
        <v/>
      </c>
      <c r="S1641">
        <f>IFERROR(O1641/N1641,0)</f>
        <v/>
      </c>
      <c r="T1641">
        <f>IF(C1641,(H1641*N1641*IF(AND(Inputs!$B$38&lt;&gt;"pvp",Inputs!$B$43&gt;0),((Skills!G6*((R1641-1)*IF(Skills!H6&gt;0,Skills!I6/Skills!H6,1)+IF(Skills!H6&gt;0,MIN(Skills!I6,MAX(0,MAX(0,Inputs!$B$43-B1675)-((R1641-1)*(IF(Inputs!$B$38="pvp",15,MAX(0.1,Skills!D6-IF(Skills!E6=TRUE,Inputs!$B$32,0)))*(1-IF(AND(ArtifactsInput!$M$27,Inputs!$B$4="Chapter Hunt"),CHOOSE(ArtifactsInput!$N$27+1,20,24,28,32,36,40),0)/100)))))/Skills!H6,1)))/Inputs!$B$43),G1641*Q1641)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1641*(1-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6*((R1641-1)*IF(Skills!H6&gt;0,Skills!I6/Skills!H6,1)+IF(Skills!H6&gt;0,MIN(Skills!I6,MAX(0,MAX(0,Inputs!$B$43-B1675)-((R1641-1)*(IF(Inputs!$B$38="pvp",15,MAX(0.1,Skills!D6-IF(Skills!E6=TRUE,Inputs!$B$32,0)))*(1-IF(AND(ArtifactsInput!$M$27,Inputs!$B$4="Chapter Hunt"),CHOOSE(ArtifactsInput!$N$27+1,20,24,28,32,36,40),0)/100)))))/Skills!H6,1)))/Inputs!$B$43),G1641*Q1641))*IF(Inputs!$B$38="pvp",1,(1+(Inputs!$B$21+Skills!Q6+(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Skills!A7</f>
        <v/>
      </c>
      <c r="B1642">
        <f>Skills!B7</f>
        <v/>
      </c>
      <c r="C1642">
        <f>Inputs!$B$3&gt;=107</f>
        <v/>
      </c>
      <c r="D1642">
        <f>IF(Skills!C7=1,60+Inputs!$B$25+Inputs!$B$29,IF(Skills!C7=2,90+Inputs!$B$26+Inputs!$B$29,IF(Skills!C7=3,120+Inputs!$B$27+Inputs!$B$29,MAX(0,(Inputs!$B$3-100)*3)+Inputs!$B$28+Inputs!$B$29)))</f>
        <v/>
      </c>
      <c r="E1642">
        <f>INDEX(FactorTable!$B$2:$Y$301, MATCH(ROUND(MIN(300,MAX(1,D1642)),0), FactorTable!$A$2:$A$301,0), Skills!M7+1)</f>
        <v/>
      </c>
      <c r="F1642">
        <f>IF(Skills!N7=TRUE,(Skills!L7/10)*(E1642/1000),Skills!L7/10)+Skills!O7</f>
        <v/>
      </c>
      <c r="G1642" t="inlineStr"/>
      <c r="H1642" t="inlineStr"/>
      <c r="I1642" t="inlineStr">
        <is>
          <t>1</t>
        </is>
      </c>
      <c r="J1642" t="inlineStr"/>
      <c r="K1642" t="inlineStr"/>
      <c r="L1642" t="inlineStr"/>
      <c r="M1642" t="inlineStr"/>
      <c r="N1642" t="inlineStr"/>
      <c r="O1642" t="inlineStr"/>
      <c r="P1642" t="inlineStr"/>
      <c r="Q1642" t="inlineStr"/>
      <c r="R1642" t="inlineStr"/>
      <c r="S1642" t="inlineStr"/>
      <c r="T1642" t="inlineStr"/>
      <c r="V1642" t="inlineStr"/>
    </row>
    <row r="1643">
      <c r="A1643">
        <f>Skills!A8</f>
        <v/>
      </c>
      <c r="B1643">
        <f>Skills!B8</f>
        <v/>
      </c>
      <c r="C1643">
        <f>Inputs!$B$3&gt;=69</f>
        <v/>
      </c>
      <c r="D1643">
        <f>IF(Skills!C8=1,60+Inputs!$B$25+Inputs!$B$29,IF(Skills!C8=2,90+Inputs!$B$26+Inputs!$B$29,IF(Skills!C8=3,120+Inputs!$B$27+Inputs!$B$29,MAX(0,(Inputs!$B$3-100)*3)+Inputs!$B$28+Inputs!$B$29)))</f>
        <v/>
      </c>
      <c r="E1643">
        <f>INDEX(FactorTable!$B$2:$Y$301, MATCH(ROUND(MIN(300,MAX(1,D1643)),0), FactorTable!$A$2:$A$301,0), Skills!M8+1)</f>
        <v/>
      </c>
      <c r="F1643">
        <f>IF(Skills!N8=TRUE,(Skills!L8/10)*(E1643/1000),Skills!L8/10)+Skills!O8</f>
        <v/>
      </c>
      <c r="G1643">
        <f>Skills!G8*IF(Skills!H8&gt;0,Skills!I8/Skills!H8,1)</f>
        <v/>
      </c>
      <c r="H1643">
        <f>1-(1-Skills!J8/100)^Skills!K8</f>
        <v/>
      </c>
      <c r="I1643" t="inlineStr">
        <is>
          <t>1</t>
        </is>
      </c>
      <c r="J1643">
        <f>((Inputs!$B$6*(1+Inputs!$B$7/100))+(((Inputs!$B$12*(1+Inputs!$B$13/100))-(Inputs!$B$12*(1+Inputs!$B$13/100)))+0.25*(Inputs!$B$14-Inputs!$B$14))*(1+Inputs!$B$7/100))*(F1643/100)</f>
        <v/>
      </c>
      <c r="K1643">
        <f>J1643*(1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1645=TRUE,F1645,0)/100)*(1+(IF(Skills!A8="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1643)</f>
        <v/>
      </c>
      <c r="L1643">
        <f>K1643*(MIN(Inputs!$B$22+((C1659=TRUE)*(F1659-Calc!F24)),(Inputs!$B$23+((C1664=TRUE)*(F1664-Calc!F29))+(IF(ArtifactsInput!$M$15,CHOOSE(ArtifactsInput!$N$15+1,25,30,35,40,45,50)/100*(Inputs!$B$11-Inputs!$B$11),0))))/100+(Inputs!$B$23+((C1664=TRUE)*(F1664-Calc!F29))+(IF(ArtifactsInput!$M$15,CHOOSE(ArtifactsInput!$N$15+1,25,30,35,40,45,50)/100*(Inputs!$B$11-Inputs!$B$11),0)))/100)/2</f>
        <v/>
      </c>
      <c r="M1643">
        <f>L1643*(1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3">
        <f>L1643*(1-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1643*(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3">
        <f>(1-Summary!$B$11)*T1643+Summary!$B$11*V1643</f>
        <v/>
      </c>
      <c r="P1643">
        <f>IF(B1678=0,0,O1643/B1678)</f>
        <v/>
      </c>
      <c r="Q1643">
        <f>IFERROR(1/(IF(Inputs!$B$38="pvp",15,MAX(0.1,Skills!D8-IF(Skills!E8=TRUE,Inputs!$B$32,0)))*(1-IF(AND(ArtifactsInput!$M$27,Inputs!$B$4="Chapter Hunt"),CHOOSE(ArtifactsInput!$N$27+1,20,24,28,32,36,40),0)/100)),0)</f>
        <v/>
      </c>
      <c r="R1643">
        <f>IF(AND(Inputs!$B$38&lt;&gt;"pvp",Inputs!$B$43&gt;0),IF(MAX(0,Inputs!$B$43-B1675)&lt;=0,0,(INT(MAX(0,Inputs!$B$43-B1675)/(IF(Inputs!$B$38="pvp",15,MAX(0.1,Skills!D8-IF(Skills!E8=TRUE,Inputs!$B$32,0)))*(1-IF(AND(ArtifactsInput!$M$27,Inputs!$B$4="Chapter Hunt"),CHOOSE(ArtifactsInput!$N$27+1,20,24,28,32,36,40),0)/100)))+1)),0)</f>
        <v/>
      </c>
      <c r="S1643">
        <f>IFERROR(O1643/N1643,0)</f>
        <v/>
      </c>
      <c r="T1643">
        <f>IF(C1643,(H1643*N1643*IF(AND(Inputs!$B$38&lt;&gt;"pvp",Inputs!$B$43&gt;0),((Skills!G8*((R1643-1)*IF(Skills!H8&gt;0,Skills!I8/Skills!H8,1)+IF(Skills!H8&gt;0,MIN(Skills!I8,MAX(0,MAX(0,Inputs!$B$43-B1675)-((R1643-1)*(IF(Inputs!$B$38="pvp",15,MAX(0.1,Skills!D8-IF(Skills!E8=TRUE,Inputs!$B$32,0)))*(1-IF(AND(ArtifactsInput!$M$27,Inputs!$B$4="Chapter Hunt"),CHOOSE(ArtifactsInput!$N$27+1,20,24,28,32,36,40),0)/100)))))/Skills!H8,1)))/Inputs!$B$43),G1643*Q1643)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1643*(1-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1643*(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1643*(1-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1643*(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3">
        <f>IF(C1643,(H1643*N1643*IF(AND(Inputs!$B$38&lt;&gt;"pvp",Inputs!$B$43&gt;0),((Skills!G8*((R1643-1)*IF(Skills!H8&gt;0,Skills!I8/Skills!H8,1)+IF(Skills!H8&gt;0,MIN(Skills!I8,MAX(0,MAX(0,Inputs!$B$43-B1675)-((R1643-1)*(IF(Inputs!$B$38="pvp",15,MAX(0.1,Skills!D8-IF(Skills!E8=TRUE,Inputs!$B$32,0)))*(1-IF(AND(ArtifactsInput!$M$27,Inputs!$B$4="Chapter Hunt"),CHOOSE(ArtifactsInput!$N$27+1,20,24,28,32,36,40),0)/100)))))/Skills!H8,1)))/Inputs!$B$43),G1643*Q1643))*IF(Inputs!$B$38="pvp",1,(1+(Inputs!$B$21+Skills!Q8+(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4">
      <c r="A1644">
        <f>Skills!A9</f>
        <v/>
      </c>
      <c r="B1644">
        <f>Skills!B9</f>
        <v/>
      </c>
      <c r="C1644">
        <f>Inputs!$B$3&gt;=63</f>
        <v/>
      </c>
      <c r="D1644">
        <f>IF(Skills!C9=1,60+Inputs!$B$25+Inputs!$B$29,IF(Skills!C9=2,90+Inputs!$B$26+Inputs!$B$29,IF(Skills!C9=3,120+Inputs!$B$27+Inputs!$B$29,MAX(0,(Inputs!$B$3-100)*3)+Inputs!$B$28+Inputs!$B$29)))</f>
        <v/>
      </c>
      <c r="E1644">
        <f>INDEX(FactorTable!$B$2:$Y$301, MATCH(ROUND(MIN(300,MAX(1,D1644)),0), FactorTable!$A$2:$A$301,0), Skills!M9+1)</f>
        <v/>
      </c>
      <c r="F1644">
        <f>IF(Skills!N9=TRUE,(Skills!L9/10)*(E1644/1000),Skills!L9/10)+Skills!O9</f>
        <v/>
      </c>
      <c r="G1644">
        <f>Skills!G9*IF(Skills!H9&gt;0,Skills!I9/Skills!H9,1)</f>
        <v/>
      </c>
      <c r="H1644">
        <f>1-(1-Skills!J9/100)^Skills!K9</f>
        <v/>
      </c>
      <c r="I1644" t="inlineStr">
        <is>
          <t>1</t>
        </is>
      </c>
      <c r="J1644">
        <f>((Inputs!$B$6*(1+Inputs!$B$7/100))+(((Inputs!$B$12*(1+Inputs!$B$13/100))-(Inputs!$B$12*(1+Inputs!$B$13/100)))+0.25*(Inputs!$B$14-Inputs!$B$14))*(1+Inputs!$B$7/100))*(F1644/100)</f>
        <v/>
      </c>
      <c r="K1644">
        <f>J1644*(1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1645=TRUE,F1645,0)/100)*(1+(IF(Skills!A9="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1644)</f>
        <v/>
      </c>
      <c r="L1644">
        <f>K1644*(MIN(Inputs!$B$22+((C1659=TRUE)*(F1659-Calc!F24)),(Inputs!$B$23+((C1664=TRUE)*(F1664-Calc!F29))+(IF(ArtifactsInput!$M$15,CHOOSE(ArtifactsInput!$N$15+1,25,30,35,40,45,50)/100*(Inputs!$B$11-Inputs!$B$11),0))))/100+(Inputs!$B$23+((C1664=TRUE)*(F1664-Calc!F29))+(IF(ArtifactsInput!$M$15,CHOOSE(ArtifactsInput!$N$15+1,25,30,35,40,45,50)/100*(Inputs!$B$11-Inputs!$B$11),0)))/100)/2</f>
        <v/>
      </c>
      <c r="M1644">
        <f>L1644*(1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4">
        <f>L1644*(1-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1644*(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4">
        <f>(1-Summary!$B$11)*T1644+Summary!$B$11*V1644</f>
        <v/>
      </c>
      <c r="P1644">
        <f>IF(B1678=0,0,O1644/B1678)</f>
        <v/>
      </c>
      <c r="Q1644">
        <f>IFERROR(1/(IF(Inputs!$B$38="pvp",15,MAX(0.1,Skills!D9-IF(Skills!E9=TRUE,Inputs!$B$32,0)))*(1-IF(AND(ArtifactsInput!$M$27,Inputs!$B$4="Chapter Hunt"),CHOOSE(ArtifactsInput!$N$27+1,20,24,28,32,36,40),0)/100)),0)</f>
        <v/>
      </c>
      <c r="R1644">
        <f>IF(AND(Inputs!$B$38&lt;&gt;"pvp",Inputs!$B$43&gt;0),IF(MAX(0,Inputs!$B$43-B1675)&lt;=0,0,(INT(MAX(0,Inputs!$B$43-B1675)/(IF(Inputs!$B$38="pvp",15,MAX(0.1,Skills!D9-IF(Skills!E9=TRUE,Inputs!$B$32,0)))*(1-IF(AND(ArtifactsInput!$M$27,Inputs!$B$4="Chapter Hunt"),CHOOSE(ArtifactsInput!$N$27+1,20,24,28,32,36,40),0)/100)))+1)),0)</f>
        <v/>
      </c>
      <c r="S1644">
        <f>IFERROR(O1644/N1644,0)</f>
        <v/>
      </c>
      <c r="T1644">
        <f>IF(C1644,(H1644*N1644*IF(AND(Inputs!$B$38&lt;&gt;"pvp",Inputs!$B$43&gt;0),((Skills!G9*((R1644-1)*IF(Skills!H9&gt;0,Skills!I9/Skills!H9,1)+IF(Skills!H9&gt;0,MIN(Skills!I9,MAX(0,MAX(0,Inputs!$B$43-B1675)-((R1644-1)*(IF(Inputs!$B$38="pvp",15,MAX(0.1,Skills!D9-IF(Skills!E9=TRUE,Inputs!$B$32,0)))*(1-IF(AND(ArtifactsInput!$M$27,Inputs!$B$4="Chapter Hunt"),CHOOSE(ArtifactsInput!$N$27+1,20,24,28,32,36,40),0)/100)))))/Skills!H9,1)))/Inputs!$B$43),G1644*Q1644)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1644*(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1644*(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4">
        <f>IF(C1644,(H1644*N1644*IF(AND(Inputs!$B$38&lt;&gt;"pvp",Inputs!$B$43&gt;0),((Skills!G9*((R1644-1)*IF(Skills!H9&gt;0,Skills!I9/Skills!H9,1)+IF(Skills!H9&gt;0,MIN(Skills!I9,MAX(0,MAX(0,Inputs!$B$43-B1675)-((R1644-1)*(IF(Inputs!$B$38="pvp",15,MAX(0.1,Skills!D9-IF(Skills!E9=TRUE,Inputs!$B$32,0)))*(1-IF(AND(ArtifactsInput!$M$27,Inputs!$B$4="Chapter Hunt"),CHOOSE(ArtifactsInput!$N$27+1,20,24,28,32,36,40),0)/100)))))/Skills!H9,1)))/Inputs!$B$43),G1644*Q1644))*IF(Inputs!$B$38="pvp",1,(1+(Inputs!$B$21+Skills!Q9+(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5">
      <c r="A1645">
        <f>Skills!A10</f>
        <v/>
      </c>
      <c r="B1645">
        <f>Skills!B10</f>
        <v/>
      </c>
      <c r="C1645">
        <f>Inputs!$B$3&gt;=100</f>
        <v/>
      </c>
      <c r="D1645">
        <f>IF(Skills!C10=1,60+Inputs!$B$25+Inputs!$B$29,IF(Skills!C10=2,90+Inputs!$B$26+Inputs!$B$29,IF(Skills!C10=3,120+Inputs!$B$27+Inputs!$B$29,MAX(0,(Inputs!$B$3-100)*3)+Inputs!$B$28+Inputs!$B$29)))</f>
        <v/>
      </c>
      <c r="E1645">
        <f>INDEX(FactorTable!$B$2:$Y$301, MATCH(ROUND(MIN(300,MAX(1,D1645)),0), FactorTable!$A$2:$A$301,0), Skills!M10+1)</f>
        <v/>
      </c>
      <c r="F1645">
        <f>IF(Skills!N10=TRUE,(Skills!L10/10)*(E1645/1000),Skills!L10/10)+Skills!O10</f>
        <v/>
      </c>
      <c r="G1645" t="inlineStr"/>
      <c r="H1645" t="inlineStr"/>
      <c r="I1645" t="inlineStr">
        <is>
          <t>1</t>
        </is>
      </c>
      <c r="J1645" t="inlineStr"/>
      <c r="K1645" t="inlineStr"/>
      <c r="L1645" t="inlineStr"/>
      <c r="M1645" t="inlineStr"/>
      <c r="N1645" t="inlineStr"/>
      <c r="O1645" t="inlineStr"/>
      <c r="P1645" t="inlineStr"/>
      <c r="Q1645" t="inlineStr"/>
      <c r="R1645" t="inlineStr"/>
      <c r="S1645" t="inlineStr"/>
      <c r="T1645" t="inlineStr"/>
      <c r="V1645" t="inlineStr"/>
    </row>
    <row r="1646">
      <c r="A1646">
        <f>Skills!A11</f>
        <v/>
      </c>
      <c r="B1646">
        <f>Skills!B11</f>
        <v/>
      </c>
      <c r="C1646">
        <f>Inputs!$B$3&gt;=60</f>
        <v/>
      </c>
      <c r="D1646">
        <f>IF(Skills!C11=1,60+Inputs!$B$25+Inputs!$B$29,IF(Skills!C11=2,90+Inputs!$B$26+Inputs!$B$29,IF(Skills!C11=3,120+Inputs!$B$27+Inputs!$B$29,MAX(0,(Inputs!$B$3-100)*3)+Inputs!$B$28+Inputs!$B$29)))</f>
        <v/>
      </c>
      <c r="E1646">
        <f>INDEX(FactorTable!$B$2:$Y$301, MATCH(ROUND(MIN(300,MAX(1,D1646)),0), FactorTable!$A$2:$A$301,0), Skills!M11+1)</f>
        <v/>
      </c>
      <c r="F1646">
        <f>IF(Skills!N11=TRUE,(Skills!L11/10)*(E1646/1000),Skills!L11/10)+Skills!O11</f>
        <v/>
      </c>
      <c r="G1646">
        <f>Skills!G11*IF(Skills!H11&gt;0,Skills!I11/Skills!H11,1)</f>
        <v/>
      </c>
      <c r="H1646">
        <f>1-(1-Skills!J11/100)^Skills!K11</f>
        <v/>
      </c>
      <c r="I1646" t="inlineStr">
        <is>
          <t>1</t>
        </is>
      </c>
      <c r="J1646">
        <f>((Inputs!$B$6*(1+Inputs!$B$7/100))+(((Inputs!$B$12*(1+Inputs!$B$13/100))-(Inputs!$B$12*(1+Inputs!$B$13/100)))+0.25*(Inputs!$B$14-Inputs!$B$14))*(1+Inputs!$B$7/100))*(F1646/100)</f>
        <v/>
      </c>
      <c r="K1646">
        <f>J1646*(1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1647=TRUE,F1647,0)/100)*(1+(IF(Skills!A11="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1646)</f>
        <v/>
      </c>
      <c r="L1646">
        <f>K1646*(MIN(Inputs!$B$22+((C1659=TRUE)*(F1659-Calc!F24)),(Inputs!$B$23+((C1664=TRUE)*(F1664-Calc!F29))+(IF(ArtifactsInput!$M$15,CHOOSE(ArtifactsInput!$N$15+1,25,30,35,40,45,50)/100*(Inputs!$B$11-Inputs!$B$11),0))))/100+(Inputs!$B$23+((C1664=TRUE)*(F1664-Calc!F29))+(IF(ArtifactsInput!$M$15,CHOOSE(ArtifactsInput!$N$15+1,25,30,35,40,45,50)/100*(Inputs!$B$11-Inputs!$B$11),0)))/100)/2</f>
        <v/>
      </c>
      <c r="M1646">
        <f>L1646*(1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6">
        <f>L1646*(1-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1646*(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6">
        <f>(1-Summary!$B$11)*T1646+Summary!$B$11*V1646</f>
        <v/>
      </c>
      <c r="P1646">
        <f>IF(B1678=0,0,O1646/B1678)</f>
        <v/>
      </c>
      <c r="Q1646">
        <f>IFERROR(1/(IF(Inputs!$B$38="pvp",15,MAX(0.1,Skills!D11-IF(Skills!E11=TRUE,Inputs!$B$32,0)))*(1-IF(AND(ArtifactsInput!$M$27,Inputs!$B$4="Chapter Hunt"),CHOOSE(ArtifactsInput!$N$27+1,20,24,28,32,36,40),0)/100)),0)</f>
        <v/>
      </c>
      <c r="R1646">
        <f>IF(AND(Inputs!$B$38&lt;&gt;"pvp",Inputs!$B$43&gt;0),IF(MAX(0,Inputs!$B$43-B1675)&lt;=0,0,(INT(MAX(0,Inputs!$B$43-B1675)/(IF(Inputs!$B$38="pvp",15,MAX(0.1,Skills!D11-IF(Skills!E11=TRUE,Inputs!$B$32,0)))*(1-IF(AND(ArtifactsInput!$M$27,Inputs!$B$4="Chapter Hunt"),CHOOSE(ArtifactsInput!$N$27+1,20,24,28,32,36,40),0)/100)))+1)),0)</f>
        <v/>
      </c>
      <c r="S1646">
        <f>IFERROR(O1646/N1646,0)</f>
        <v/>
      </c>
      <c r="T1646">
        <f>IF(C1646,(H1646*N1646*IF(AND(Inputs!$B$38&lt;&gt;"pvp",Inputs!$B$43&gt;0),((Skills!G11*((R1646-1)*IF(Skills!H11&gt;0,Skills!I11/Skills!H11,1)+IF(Skills!H11&gt;0,MIN(Skills!I11,MAX(0,MAX(0,Inputs!$B$43-B1675)-((R1646-1)*(IF(Inputs!$B$38="pvp",15,MAX(0.1,Skills!D11-IF(Skills!E11=TRUE,Inputs!$B$32,0)))*(1-IF(AND(ArtifactsInput!$M$27,Inputs!$B$4="Chapter Hunt"),CHOOSE(ArtifactsInput!$N$27+1,20,24,28,32,36,40),0)/100)))))/Skills!H11,1)))/Inputs!$B$43),G1646*Q1646)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1646*(1-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1646*(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1646*(1-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1646*(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6">
        <f>IF(C1646,(H1646*N1646*IF(AND(Inputs!$B$38&lt;&gt;"pvp",Inputs!$B$43&gt;0),((Skills!G11*((R1646-1)*IF(Skills!H11&gt;0,Skills!I11/Skills!H11,1)+IF(Skills!H11&gt;0,MIN(Skills!I11,MAX(0,MAX(0,Inputs!$B$43-B1675)-((R1646-1)*(IF(Inputs!$B$38="pvp",15,MAX(0.1,Skills!D11-IF(Skills!E11=TRUE,Inputs!$B$32,0)))*(1-IF(AND(ArtifactsInput!$M$27,Inputs!$B$4="Chapter Hunt"),CHOOSE(ArtifactsInput!$N$27+1,20,24,28,32,36,40),0)/100)))))/Skills!H11,1)))/Inputs!$B$43),G1646*Q1646))*IF(Inputs!$B$38="pvp",1,(1+(Inputs!$B$21+Skills!Q11+(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7">
      <c r="A1647">
        <f>Skills!A12</f>
        <v/>
      </c>
      <c r="B1647">
        <f>Skills!B12</f>
        <v/>
      </c>
      <c r="C1647">
        <f>Inputs!$B$3&gt;=110</f>
        <v/>
      </c>
      <c r="D1647">
        <f>IF(Skills!C12=1,60+Inputs!$B$25+Inputs!$B$29,IF(Skills!C12=2,90+Inputs!$B$26+Inputs!$B$29,IF(Skills!C12=3,120+Inputs!$B$27+Inputs!$B$29,MAX(0,(Inputs!$B$3-100)*3)+Inputs!$B$28+Inputs!$B$29)))</f>
        <v/>
      </c>
      <c r="E1647">
        <f>INDEX(FactorTable!$B$2:$Y$301, MATCH(ROUND(MIN(300,MAX(1,D1647)),0), FactorTable!$A$2:$A$301,0), Skills!M12+1)</f>
        <v/>
      </c>
      <c r="F1647">
        <f>IF(Skills!N12=TRUE,(Skills!L12/10)*(E1647/1000),Skills!L12/10)+Skills!O12</f>
        <v/>
      </c>
      <c r="G1647" t="inlineStr"/>
      <c r="H1647" t="inlineStr"/>
      <c r="I1647" t="inlineStr">
        <is>
          <t>1</t>
        </is>
      </c>
      <c r="J1647" t="inlineStr"/>
      <c r="K1647" t="inlineStr"/>
      <c r="L1647" t="inlineStr"/>
      <c r="M1647" t="inlineStr"/>
      <c r="N1647" t="inlineStr"/>
      <c r="O1647" t="inlineStr"/>
      <c r="P1647" t="inlineStr"/>
      <c r="Q1647" t="inlineStr"/>
      <c r="R1647" t="inlineStr"/>
      <c r="S1647" t="inlineStr"/>
      <c r="T1647" t="inlineStr"/>
      <c r="V1647" t="inlineStr"/>
    </row>
    <row r="1648">
      <c r="A1648">
        <f>Skills!A13</f>
        <v/>
      </c>
      <c r="B1648">
        <f>Skills!B13</f>
        <v/>
      </c>
      <c r="C1648">
        <f>Inputs!$B$3&gt;=74</f>
        <v/>
      </c>
      <c r="D1648">
        <f>IF(Skills!C13=1,60+Inputs!$B$25+Inputs!$B$29,IF(Skills!C13=2,90+Inputs!$B$26+Inputs!$B$29,IF(Skills!C13=3,120+Inputs!$B$27+Inputs!$B$29,MAX(0,(Inputs!$B$3-100)*3)+Inputs!$B$28+Inputs!$B$29)))</f>
        <v/>
      </c>
      <c r="E1648">
        <f>INDEX(FactorTable!$B$2:$Y$301, MATCH(ROUND(MIN(300,MAX(1,D1648)),0), FactorTable!$A$2:$A$301,0), Skills!M13+1)</f>
        <v/>
      </c>
      <c r="F1648">
        <f>IF(Skills!N13=TRUE,(Skills!L13/10)*(E1648/1000),Skills!L13/10)+Skills!O13</f>
        <v/>
      </c>
      <c r="G1648">
        <f>Skills!G13*IF(Skills!H13&gt;0,Skills!I13/Skills!H13,1)</f>
        <v/>
      </c>
      <c r="H1648">
        <f>1-(1-Skills!J13/100)^Skills!K13</f>
        <v/>
      </c>
      <c r="I1648" t="inlineStr">
        <is>
          <t>1</t>
        </is>
      </c>
      <c r="J1648" t="inlineStr"/>
      <c r="K1648" t="inlineStr"/>
      <c r="L1648" t="inlineStr"/>
      <c r="M1648" t="inlineStr"/>
      <c r="N1648" t="inlineStr"/>
      <c r="O1648">
        <f>(1-Summary!$B$11)*T1648+Summary!$B$11*V1648</f>
        <v/>
      </c>
      <c r="P1648">
        <f>IF(B1678=0,0,O1648/B1678)</f>
        <v/>
      </c>
      <c r="Q1648" t="n">
        <v>0</v>
      </c>
      <c r="R1648" t="n">
        <v>0</v>
      </c>
      <c r="S1648">
        <f>IFERROR(O1648/N1648,0)</f>
        <v/>
      </c>
      <c r="T1648" t="n">
        <v>0</v>
      </c>
      <c r="V1648" t="n">
        <v>0</v>
      </c>
    </row>
    <row r="1649">
      <c r="A1649">
        <f>Skills!A14</f>
        <v/>
      </c>
      <c r="B1649">
        <f>Skills!B14</f>
        <v/>
      </c>
      <c r="C1649">
        <f>Inputs!$B$3&gt;=74</f>
        <v/>
      </c>
      <c r="D1649">
        <f>IF(Skills!C14=1,60+Inputs!$B$25+Inputs!$B$29,IF(Skills!C14=2,90+Inputs!$B$26+Inputs!$B$29,IF(Skills!C14=3,120+Inputs!$B$27+Inputs!$B$29,MAX(0,(Inputs!$B$3-100)*3)+Inputs!$B$28+Inputs!$B$29)))</f>
        <v/>
      </c>
      <c r="E1649">
        <f>INDEX(FactorTable!$B$2:$Y$301, MATCH(ROUND(MIN(300,MAX(1,D1649)),0), FactorTable!$A$2:$A$301,0), Skills!M14+1)</f>
        <v/>
      </c>
      <c r="F1649">
        <f>IF(Skills!N14=TRUE,(Skills!L14/10)*(E1649/1000),Skills!L14/10)+Skills!O14</f>
        <v/>
      </c>
      <c r="G1649">
        <f>Skills!G14*IF(Skills!H14&gt;0,Skills!I14/Skills!H14,1)</f>
        <v/>
      </c>
      <c r="H1649">
        <f>1-(1-Skills!J14/100)^Skills!K14</f>
        <v/>
      </c>
      <c r="I1649" t="inlineStr">
        <is>
          <t>1</t>
        </is>
      </c>
      <c r="J1649" t="inlineStr"/>
      <c r="K1649" t="inlineStr"/>
      <c r="L1649" t="inlineStr"/>
      <c r="M1649" t="inlineStr"/>
      <c r="N1649" t="inlineStr"/>
      <c r="O1649">
        <f>(1-Summary!$B$11)*T1649+Summary!$B$11*V1649</f>
        <v/>
      </c>
      <c r="P1649">
        <f>IF(B1678=0,0,O1649/B1678)</f>
        <v/>
      </c>
      <c r="Q1649" t="n">
        <v>0</v>
      </c>
      <c r="R1649" t="n">
        <v>0</v>
      </c>
      <c r="S1649">
        <f>IFERROR(O1649/N1649,0)</f>
        <v/>
      </c>
      <c r="T1649" t="n">
        <v>0</v>
      </c>
      <c r="V1649" t="n">
        <v>0</v>
      </c>
    </row>
    <row r="1650">
      <c r="A1650">
        <f>Skills!A15</f>
        <v/>
      </c>
      <c r="B1650">
        <f>Skills!B15</f>
        <v/>
      </c>
      <c r="C1650">
        <f>Inputs!$B$3&gt;=117</f>
        <v/>
      </c>
      <c r="D1650">
        <f>IF(Skills!C15=1,60+Inputs!$B$25+Inputs!$B$29,IF(Skills!C15=2,90+Inputs!$B$26+Inputs!$B$29,IF(Skills!C15=3,120+Inputs!$B$27+Inputs!$B$29,MAX(0,(Inputs!$B$3-100)*3)+Inputs!$B$28+Inputs!$B$29)))</f>
        <v/>
      </c>
      <c r="E1650">
        <f>INDEX(FactorTable!$B$2:$Y$301, MATCH(ROUND(MIN(300,MAX(1,D1650)),0), FactorTable!$A$2:$A$301,0), Skills!M15+1)</f>
        <v/>
      </c>
      <c r="F1650">
        <f>IF(Skills!N15=TRUE,(Skills!L15/10)*(E1650/1000),Skills!L15/10)+Skills!O15</f>
        <v/>
      </c>
      <c r="G1650">
        <f>Skills!G15*IF(Skills!H15&gt;0,Skills!I15/Skills!H15,1)</f>
        <v/>
      </c>
      <c r="H1650">
        <f>1-(1-Skills!J15/100)^Skills!K15</f>
        <v/>
      </c>
      <c r="I1650" t="inlineStr">
        <is>
          <t>1</t>
        </is>
      </c>
      <c r="J1650" t="inlineStr"/>
      <c r="K1650" t="inlineStr"/>
      <c r="L1650" t="inlineStr"/>
      <c r="M1650" t="inlineStr"/>
      <c r="N1650" t="inlineStr"/>
      <c r="O1650">
        <f>(1-Summary!$B$11)*T1650+Summary!$B$11*V1650</f>
        <v/>
      </c>
      <c r="P1650">
        <f>IF(B1678=0,0,O1650/B1678)</f>
        <v/>
      </c>
      <c r="Q1650">
        <f>IFERROR(1/(IF(Inputs!$B$38="pvp",15,MAX(0.1,Skills!D15-IF(Skills!E15=TRUE,Inputs!$B$32,0)))*(1-IF(AND(ArtifactsInput!$M$27,Inputs!$B$4="Chapter Hunt"),CHOOSE(ArtifactsInput!$N$27+1,20,24,28,32,36,40),0)/100)),0)</f>
        <v/>
      </c>
      <c r="R1650">
        <f>IF(AND(Inputs!$B$38&lt;&gt;"pvp",Inputs!$B$43&gt;0),IF(Inputs!$B$43&lt;=0,0,(INT(Inputs!$B$43/(IF(Inputs!$B$38="pvp",15,MAX(0.1,Skills!D15-IF(Skills!E15=TRUE,Inputs!$B$32,0)))*(1-IF(AND(ArtifactsInput!$M$27,Inputs!$B$4="Chapter Hunt"),CHOOSE(ArtifactsInput!$N$27+1,20,24,28,32,36,40),0)/100)))+1)),0)</f>
        <v/>
      </c>
      <c r="S1650">
        <f>IFERROR(O1650/N1650,0)</f>
        <v/>
      </c>
      <c r="T1650" t="n">
        <v>0</v>
      </c>
      <c r="V1650" t="n">
        <v>0</v>
      </c>
    </row>
    <row r="1651">
      <c r="A1651">
        <f>Skills!A16</f>
        <v/>
      </c>
      <c r="B1651">
        <f>Skills!B16</f>
        <v/>
      </c>
      <c r="C1651">
        <f>Inputs!$B$3&gt;=115</f>
        <v/>
      </c>
      <c r="D1651">
        <f>IF(Skills!C16=1,60+Inputs!$B$25+Inputs!$B$29,IF(Skills!C16=2,90+Inputs!$B$26+Inputs!$B$29,IF(Skills!C16=3,120+Inputs!$B$27+Inputs!$B$29,MAX(0,(Inputs!$B$3-100)*3)+Inputs!$B$28+Inputs!$B$29)))</f>
        <v/>
      </c>
      <c r="E1651">
        <f>INDEX(FactorTable!$B$2:$Y$301, MATCH(ROUND(MIN(300,MAX(1,D1651)),0), FactorTable!$A$2:$A$301,0), Skills!M16+1)</f>
        <v/>
      </c>
      <c r="F1651">
        <f>IF(Skills!N16=TRUE,(Skills!L16/10)*(E1651/1000),Skills!L16/10)+Skills!O16</f>
        <v/>
      </c>
      <c r="G1651">
        <f>Skills!G16*IF(Skills!H16&gt;0,Skills!I16/Skills!H16,1)</f>
        <v/>
      </c>
      <c r="H1651">
        <f>1-(1-Skills!J16/100)^Skills!K16</f>
        <v/>
      </c>
      <c r="I1651" t="inlineStr">
        <is>
          <t>1</t>
        </is>
      </c>
      <c r="J1651" t="inlineStr"/>
      <c r="K1651" t="inlineStr"/>
      <c r="L1651" t="inlineStr"/>
      <c r="M1651" t="inlineStr"/>
      <c r="N1651" t="inlineStr"/>
      <c r="O1651">
        <f>(1-Summary!$B$11)*T1651+Summary!$B$11*V1651</f>
        <v/>
      </c>
      <c r="P1651">
        <f>IF(B1678=0,0,O1651/B1678)</f>
        <v/>
      </c>
      <c r="Q1651">
        <f>IFERROR(1/(IF(Inputs!$B$38="pvp",15,MAX(0.1,Skills!D16-IF(Skills!E16=TRUE,Inputs!$B$32,0)))*(1-IF(AND(ArtifactsInput!$M$27,Inputs!$B$4="Chapter Hunt"),CHOOSE(ArtifactsInput!$N$27+1,20,24,28,32,36,40),0)/100)),0)</f>
        <v/>
      </c>
      <c r="R1651">
        <f>IF(AND(Inputs!$B$38&lt;&gt;"pvp",Inputs!$B$43&gt;0),IF(Inputs!$B$43&lt;=0,0,(INT(Inputs!$B$43/(IF(Inputs!$B$38="pvp",15,MAX(0.1,Skills!D16-IF(Skills!E16=TRUE,Inputs!$B$32,0)))*(1-IF(AND(ArtifactsInput!$M$27,Inputs!$B$4="Chapter Hunt"),CHOOSE(ArtifactsInput!$N$27+1,20,24,28,32,36,40),0)/100)))+1)),0)</f>
        <v/>
      </c>
      <c r="S1651">
        <f>IFERROR(O1651/N1651,0)</f>
        <v/>
      </c>
      <c r="T1651" t="n">
        <v>0</v>
      </c>
      <c r="V1651" t="n">
        <v>0</v>
      </c>
    </row>
    <row r="1652">
      <c r="A1652">
        <f>Skills!A17</f>
        <v/>
      </c>
      <c r="B1652">
        <f>Skills!B17</f>
        <v/>
      </c>
      <c r="C1652">
        <f>Inputs!$B$3&gt;=66</f>
        <v/>
      </c>
      <c r="D1652">
        <f>IF(Skills!C17=1,60+Inputs!$B$25+Inputs!$B$29,IF(Skills!C17=2,90+Inputs!$B$26+Inputs!$B$29,IF(Skills!C17=3,120+Inputs!$B$27+Inputs!$B$29,MAX(0,(Inputs!$B$3-100)*3)+Inputs!$B$28+Inputs!$B$29)))</f>
        <v/>
      </c>
      <c r="E1652">
        <f>INDEX(FactorTable!$B$2:$Y$301, MATCH(ROUND(MIN(300,MAX(1,D1652)),0), FactorTable!$A$2:$A$301,0), Skills!M17+1)</f>
        <v/>
      </c>
      <c r="F1652">
        <f>IF(Skills!N17=TRUE,(Skills!L17/10)*(E1652/1000),Skills!L17/10)+Skills!O17</f>
        <v/>
      </c>
      <c r="G1652">
        <f>Skills!G17*IF(Skills!H17&gt;0,Skills!I17/Skills!H17,1)</f>
        <v/>
      </c>
      <c r="H1652">
        <f>1-(1-Skills!J17/100)^Skills!K17</f>
        <v/>
      </c>
      <c r="I1652" t="inlineStr">
        <is>
          <t>1</t>
        </is>
      </c>
      <c r="J1652" t="inlineStr"/>
      <c r="K1652" t="inlineStr"/>
      <c r="L1652" t="inlineStr"/>
      <c r="M1652" t="inlineStr"/>
      <c r="N1652" t="inlineStr"/>
      <c r="O1652">
        <f>(1-Summary!$B$11)*T1652+Summary!$B$11*V1652</f>
        <v/>
      </c>
      <c r="P1652">
        <f>IF(B1678=0,0,O1652/B1678)</f>
        <v/>
      </c>
      <c r="Q1652" t="n">
        <v>0</v>
      </c>
      <c r="R1652" t="n">
        <v>0</v>
      </c>
      <c r="S1652">
        <f>IFERROR(O1652/N1652,0)</f>
        <v/>
      </c>
      <c r="T1652" t="n">
        <v>0</v>
      </c>
      <c r="V1652" t="n">
        <v>0</v>
      </c>
    </row>
    <row r="1653">
      <c r="A1653">
        <f>Skills!A18</f>
        <v/>
      </c>
      <c r="B1653">
        <f>Skills!B18</f>
        <v/>
      </c>
      <c r="C1653">
        <f>Inputs!$B$3&gt;=72</f>
        <v/>
      </c>
      <c r="D1653">
        <f>IF(Skills!C18=1,60+Inputs!$B$25+Inputs!$B$29,IF(Skills!C18=2,90+Inputs!$B$26+Inputs!$B$29,IF(Skills!C18=3,120+Inputs!$B$27+Inputs!$B$29,MAX(0,(Inputs!$B$3-100)*3)+Inputs!$B$28+Inputs!$B$29)))</f>
        <v/>
      </c>
      <c r="E1653">
        <f>INDEX(FactorTable!$B$2:$Y$301, MATCH(ROUND(MIN(300,MAX(1,D1653)),0), FactorTable!$A$2:$A$301,0), Skills!M18+1)</f>
        <v/>
      </c>
      <c r="F1653">
        <f>IF(Skills!N18=TRUE,(Skills!L18/10)*(E1653/1000),Skills!L18/10)+Skills!O18</f>
        <v/>
      </c>
      <c r="G1653">
        <f>Skills!G18*IF(Skills!H18&gt;0,Skills!I18/Skills!H18,1)</f>
        <v/>
      </c>
      <c r="H1653">
        <f>1-(1-Skills!J18/100)^Skills!K18</f>
        <v/>
      </c>
      <c r="I1653" t="inlineStr">
        <is>
          <t>1</t>
        </is>
      </c>
      <c r="J1653" t="inlineStr"/>
      <c r="K1653" t="inlineStr"/>
      <c r="L1653" t="inlineStr"/>
      <c r="M1653" t="inlineStr"/>
      <c r="N1653" t="inlineStr"/>
      <c r="O1653">
        <f>(1-Summary!$B$11)*T1653+Summary!$B$11*V1653</f>
        <v/>
      </c>
      <c r="P1653">
        <f>IF(B1678=0,0,O1653/B1678)</f>
        <v/>
      </c>
      <c r="Q1653" t="n">
        <v>0</v>
      </c>
      <c r="R1653" t="n">
        <v>0</v>
      </c>
      <c r="S1653">
        <f>IFERROR(O1653/N1653,0)</f>
        <v/>
      </c>
      <c r="T1653" t="n">
        <v>0</v>
      </c>
      <c r="V1653" t="n">
        <v>0</v>
      </c>
    </row>
    <row r="1654">
      <c r="A1654">
        <f>Skills!A19</f>
        <v/>
      </c>
      <c r="B1654">
        <f>Skills!B19</f>
        <v/>
      </c>
      <c r="C1654">
        <f>TRUE</f>
        <v/>
      </c>
      <c r="D1654">
        <f>IF(Skills!C19=1,60+Inputs!$B$25+Inputs!$B$29,IF(Skills!C19=2,90+Inputs!$B$26+Inputs!$B$29,IF(Skills!C19=3,120+Inputs!$B$27+Inputs!$B$29,MAX(0,(Inputs!$B$3-100)*3)+Inputs!$B$28+Inputs!$B$29)))</f>
        <v/>
      </c>
      <c r="E1654">
        <f>INDEX(FactorTable!$B$2:$Y$301, MATCH(ROUND(MIN(300,MAX(1,D1654)),0), FactorTable!$A$2:$A$301,0), Skills!M19+1)</f>
        <v/>
      </c>
      <c r="F1654">
        <f>IF(Skills!N19=TRUE,(Skills!L19/10)*(E1654/1000),Skills!L19/10)+Skills!O19</f>
        <v/>
      </c>
      <c r="G1654">
        <f>Skills!G19*IF(Skills!H19&gt;0,Skills!I19/Skills!H19,1)</f>
        <v/>
      </c>
      <c r="H1654">
        <f>1-(1-Skills!J19/100)^Skills!K19</f>
        <v/>
      </c>
      <c r="I1654" t="inlineStr">
        <is>
          <t>1</t>
        </is>
      </c>
      <c r="J1654" t="inlineStr"/>
      <c r="K1654" t="inlineStr"/>
      <c r="L1654" t="inlineStr"/>
      <c r="M1654" t="inlineStr"/>
      <c r="N1654" t="inlineStr"/>
      <c r="O1654">
        <f>(1-Summary!$B$11)*T1654+Summary!$B$11*V1654</f>
        <v/>
      </c>
      <c r="P1654">
        <f>IF(B1678=0,0,O1654/B1678)</f>
        <v/>
      </c>
      <c r="Q1654">
        <f>IFERROR(1/(IF(Inputs!$B$38="pvp",15,MAX(0.1,Skills!D19-IF(Skills!E19=TRUE,Inputs!$B$32,0)))*(1-IF(AND(ArtifactsInput!$M$27,Inputs!$B$4="Chapter Hunt"),CHOOSE(ArtifactsInput!$N$27+1,20,24,28,32,36,40),0)/100)),0)</f>
        <v/>
      </c>
      <c r="R1654">
        <f>IF(AND(Inputs!$B$38&lt;&gt;"pvp",Inputs!$B$43&gt;0),IF(Inputs!$B$43&lt;=0,0,(INT(Inputs!$B$43/(IF(Inputs!$B$38="pvp",15,MAX(0.1,Skills!D19-IF(Skills!E19=TRUE,Inputs!$B$32,0)))*(1-IF(AND(ArtifactsInput!$M$27,Inputs!$B$4="Chapter Hunt"),CHOOSE(ArtifactsInput!$N$27+1,20,24,28,32,36,40),0)/100)))+1)),0)</f>
        <v/>
      </c>
      <c r="S1654">
        <f>IFERROR(O1654/N1654,0)</f>
        <v/>
      </c>
      <c r="T1654" t="n">
        <v>0</v>
      </c>
      <c r="V1654" t="n">
        <v>0</v>
      </c>
    </row>
    <row r="1655">
      <c r="A1655">
        <f>Skills!A20</f>
        <v/>
      </c>
      <c r="B1655">
        <f>Skills!B20</f>
        <v/>
      </c>
      <c r="C1655">
        <f>Inputs!$B$3&gt;=15</f>
        <v/>
      </c>
      <c r="D1655">
        <f>IF(Skills!C20=1,60+Inputs!$B$25+Inputs!$B$29,IF(Skills!C20=2,90+Inputs!$B$26+Inputs!$B$29,IF(Skills!C20=3,120+Inputs!$B$27+Inputs!$B$29,MAX(0,(Inputs!$B$3-100)*3)+Inputs!$B$28+Inputs!$B$29)))</f>
        <v/>
      </c>
      <c r="E1655">
        <f>INDEX(FactorTable!$B$2:$Y$301, MATCH(ROUND(MIN(300,MAX(1,D1655)),0), FactorTable!$A$2:$A$301,0), Skills!M20+1)</f>
        <v/>
      </c>
      <c r="F1655">
        <f>IF(Skills!N20=TRUE,(Skills!L20/10)*(E1655/1000),Skills!L20/10)+Skills!O20</f>
        <v/>
      </c>
      <c r="G1655">
        <f>Skills!G20*IF(Skills!H20&gt;0,Skills!I20/Skills!H20,1)</f>
        <v/>
      </c>
      <c r="H1655">
        <f>1-(1-Skills!J20/100)^Skills!K20</f>
        <v/>
      </c>
      <c r="I1655" t="inlineStr">
        <is>
          <t>1</t>
        </is>
      </c>
      <c r="J1655" t="inlineStr"/>
      <c r="K1655" t="inlineStr"/>
      <c r="L1655" t="inlineStr"/>
      <c r="M1655" t="inlineStr"/>
      <c r="N1655" t="inlineStr"/>
      <c r="O1655">
        <f>(1-Summary!$B$11)*T1655+Summary!$B$11*V1655</f>
        <v/>
      </c>
      <c r="P1655">
        <f>IF(B1678=0,0,O1655/B1678)</f>
        <v/>
      </c>
      <c r="Q1655" t="n">
        <v>0</v>
      </c>
      <c r="R1655" t="n">
        <v>0</v>
      </c>
      <c r="S1655">
        <f>IFERROR(O1655/N1655,0)</f>
        <v/>
      </c>
      <c r="T1655" t="n">
        <v>0</v>
      </c>
      <c r="V1655" t="n">
        <v>0</v>
      </c>
    </row>
    <row r="1656">
      <c r="A1656">
        <f>Skills!A21</f>
        <v/>
      </c>
      <c r="B1656">
        <f>Skills!B21</f>
        <v/>
      </c>
      <c r="C1656">
        <f>Inputs!$B$3&gt;=10</f>
        <v/>
      </c>
      <c r="D1656">
        <f>IF(Skills!C21=1,60+Inputs!$B$25+Inputs!$B$29,IF(Skills!C21=2,90+Inputs!$B$26+Inputs!$B$29,IF(Skills!C21=3,120+Inputs!$B$27+Inputs!$B$29,MAX(0,(Inputs!$B$3-100)*3)+Inputs!$B$28+Inputs!$B$29)))</f>
        <v/>
      </c>
      <c r="E1656">
        <f>INDEX(FactorTable!$B$2:$Y$301, MATCH(ROUND(MIN(300,MAX(1,D1656)),0), FactorTable!$A$2:$A$301,0), Skills!M21+1)</f>
        <v/>
      </c>
      <c r="F1656">
        <f>IF(Skills!N21=TRUE,(Skills!L21/10)*(E1656/1000),Skills!L21/10)+Skills!O21</f>
        <v/>
      </c>
      <c r="G1656">
        <f>Skills!G21*IF(Skills!H21&gt;0,Skills!I21/Skills!H21,1)</f>
        <v/>
      </c>
      <c r="H1656">
        <f>1-(1-Skills!J21/100)^Skills!K21</f>
        <v/>
      </c>
      <c r="I1656" t="inlineStr">
        <is>
          <t>1</t>
        </is>
      </c>
      <c r="J1656" t="inlineStr"/>
      <c r="K1656" t="inlineStr"/>
      <c r="L1656" t="inlineStr"/>
      <c r="M1656" t="inlineStr"/>
      <c r="N1656" t="inlineStr"/>
      <c r="O1656">
        <f>(1-Summary!$B$11)*T1656+Summary!$B$11*V1656</f>
        <v/>
      </c>
      <c r="P1656">
        <f>IF(B1678=0,0,O1656/B1678)</f>
        <v/>
      </c>
      <c r="Q1656" t="n">
        <v>0</v>
      </c>
      <c r="R1656" t="n">
        <v>0</v>
      </c>
      <c r="S1656">
        <f>IFERROR(O1656/N1656,0)</f>
        <v/>
      </c>
      <c r="T1656" t="n">
        <v>0</v>
      </c>
      <c r="V1656" t="n">
        <v>0</v>
      </c>
    </row>
    <row r="1657">
      <c r="A1657">
        <f>Skills!A22</f>
        <v/>
      </c>
      <c r="B1657">
        <f>Skills!B22</f>
        <v/>
      </c>
      <c r="C1657">
        <f>Inputs!$B$3&gt;=33</f>
        <v/>
      </c>
      <c r="D1657">
        <f>IF(Skills!C22=1,60+Inputs!$B$25+Inputs!$B$29,IF(Skills!C22=2,90+Inputs!$B$26+Inputs!$B$29,IF(Skills!C22=3,120+Inputs!$B$27+Inputs!$B$29,MAX(0,(Inputs!$B$3-100)*3)+Inputs!$B$28+Inputs!$B$29)))</f>
        <v/>
      </c>
      <c r="E1657">
        <f>INDEX(FactorTable!$B$2:$Y$301, MATCH(ROUND(MIN(300,MAX(1,D1657)),0), FactorTable!$A$2:$A$301,0), Skills!M22+1)</f>
        <v/>
      </c>
      <c r="F1657">
        <f>IF(Skills!N22=TRUE,(Skills!L22/10)*(E1657/1000),Skills!L22/10)+Skills!O22</f>
        <v/>
      </c>
      <c r="G1657">
        <f>Skills!G22*IF(Skills!H22&gt;0,Skills!I22/Skills!H22,1)</f>
        <v/>
      </c>
      <c r="H1657">
        <f>1-(1-Skills!J22/100)^Skills!K22</f>
        <v/>
      </c>
      <c r="I1657" t="inlineStr">
        <is>
          <t>1</t>
        </is>
      </c>
      <c r="J1657" t="inlineStr"/>
      <c r="K1657" t="inlineStr"/>
      <c r="L1657" t="inlineStr"/>
      <c r="M1657" t="inlineStr"/>
      <c r="N1657" t="inlineStr"/>
      <c r="O1657">
        <f>(1-Summary!$B$11)*T1657+Summary!$B$11*V1657</f>
        <v/>
      </c>
      <c r="P1657">
        <f>IF(B1678=0,0,O1657/B1678)</f>
        <v/>
      </c>
      <c r="Q1657" t="n">
        <v>0</v>
      </c>
      <c r="R1657" t="n">
        <v>0</v>
      </c>
      <c r="S1657">
        <f>IFERROR(O1657/N1657,0)</f>
        <v/>
      </c>
      <c r="T1657" t="n">
        <v>0</v>
      </c>
      <c r="V1657" t="n">
        <v>0</v>
      </c>
    </row>
    <row r="1658">
      <c r="A1658">
        <f>Skills!A23</f>
        <v/>
      </c>
      <c r="B1658">
        <f>Skills!B23</f>
        <v/>
      </c>
      <c r="C1658">
        <f>Inputs!$B$3&gt;=38</f>
        <v/>
      </c>
      <c r="D1658">
        <f>IF(Skills!C23=1,60+Inputs!$B$25+Inputs!$B$29,IF(Skills!C23=2,90+Inputs!$B$26+Inputs!$B$29,IF(Skills!C23=3,120+Inputs!$B$27+Inputs!$B$29,MAX(0,(Inputs!$B$3-100)*3)+Inputs!$B$28+Inputs!$B$29)))</f>
        <v/>
      </c>
      <c r="E1658">
        <f>INDEX(FactorTable!$B$2:$Y$301, MATCH(ROUND(MIN(300,MAX(1,D1658)),0), FactorTable!$A$2:$A$301,0), Skills!M23+1)</f>
        <v/>
      </c>
      <c r="F1658">
        <f>IF(Skills!N23=TRUE,(Skills!L23/10)*(E1658/1000),Skills!L23/10)+Skills!O23</f>
        <v/>
      </c>
      <c r="G1658">
        <f>Skills!G23*IF(Skills!H23&gt;0,Skills!I23/Skills!H23,1)</f>
        <v/>
      </c>
      <c r="H1658">
        <f>1-(1-Skills!J23/100)^Skills!K23</f>
        <v/>
      </c>
      <c r="I1658" t="inlineStr">
        <is>
          <t>1</t>
        </is>
      </c>
      <c r="J1658" t="inlineStr"/>
      <c r="K1658" t="inlineStr"/>
      <c r="L1658" t="inlineStr"/>
      <c r="M1658" t="inlineStr"/>
      <c r="N1658" t="inlineStr"/>
      <c r="O1658">
        <f>(1-Summary!$B$11)*T1658+Summary!$B$11*V1658</f>
        <v/>
      </c>
      <c r="P1658">
        <f>IF(B1678=0,0,O1658/B1678)</f>
        <v/>
      </c>
      <c r="Q1658" t="n">
        <v>0</v>
      </c>
      <c r="R1658" t="n">
        <v>0</v>
      </c>
      <c r="S1658">
        <f>IFERROR(O1658/N1658,0)</f>
        <v/>
      </c>
      <c r="T1658" t="n">
        <v>0</v>
      </c>
      <c r="V1658" t="n">
        <v>0</v>
      </c>
    </row>
    <row r="1659">
      <c r="A1659">
        <f>Skills!A24</f>
        <v/>
      </c>
      <c r="B1659">
        <f>Skills!B24</f>
        <v/>
      </c>
      <c r="C1659">
        <f>Inputs!$B$3&gt;=43</f>
        <v/>
      </c>
      <c r="D1659">
        <f>IF(Skills!C24=1,60+Inputs!$B$25+Inputs!$B$29,IF(Skills!C24=2,90+Inputs!$B$26+Inputs!$B$29,IF(Skills!C24=3,120+Inputs!$B$27+Inputs!$B$29,MAX(0,(Inputs!$B$3-100)*3)+Inputs!$B$28+Inputs!$B$29)))</f>
        <v/>
      </c>
      <c r="E1659">
        <f>INDEX(FactorTable!$B$2:$Y$301, MATCH(ROUND(MIN(300,MAX(1,D1659)),0), FactorTable!$A$2:$A$301,0), Skills!M24+1)</f>
        <v/>
      </c>
      <c r="F1659">
        <f>IF(Skills!N24=TRUE,(Skills!L24/10)*(E1659/1000),Skills!L24/10)+Skills!O24</f>
        <v/>
      </c>
      <c r="G1659">
        <f>Skills!G24*IF(Skills!H24&gt;0,Skills!I24/Skills!H24,1)</f>
        <v/>
      </c>
      <c r="H1659">
        <f>1-(1-Skills!J24/100)^Skills!K24</f>
        <v/>
      </c>
      <c r="I1659" t="inlineStr">
        <is>
          <t>1</t>
        </is>
      </c>
      <c r="J1659" t="inlineStr"/>
      <c r="K1659" t="inlineStr"/>
      <c r="L1659" t="inlineStr"/>
      <c r="M1659" t="inlineStr"/>
      <c r="N1659" t="inlineStr"/>
      <c r="O1659">
        <f>(1-Summary!$B$11)*T1659+Summary!$B$11*V1659</f>
        <v/>
      </c>
      <c r="P1659">
        <f>IF(B1678=0,0,O1659/B1678)</f>
        <v/>
      </c>
      <c r="Q1659" t="n">
        <v>0</v>
      </c>
      <c r="R1659" t="n">
        <v>0</v>
      </c>
      <c r="S1659">
        <f>IFERROR(O1659/N1659,0)</f>
        <v/>
      </c>
      <c r="T1659" t="n">
        <v>0</v>
      </c>
      <c r="V1659" t="n">
        <v>0</v>
      </c>
    </row>
    <row r="1660">
      <c r="A1660">
        <f>Skills!A25</f>
        <v/>
      </c>
      <c r="B1660">
        <f>Skills!B25</f>
        <v/>
      </c>
      <c r="C1660">
        <f>Inputs!$B$3&gt;=75</f>
        <v/>
      </c>
      <c r="D1660">
        <f>IF(Skills!C25=1,60+Inputs!$B$25+Inputs!$B$29,IF(Skills!C25=2,90+Inputs!$B$26+Inputs!$B$29,IF(Skills!C25=3,120+Inputs!$B$27+Inputs!$B$29,MAX(0,(Inputs!$B$3-100)*3)+Inputs!$B$28+Inputs!$B$29)))</f>
        <v/>
      </c>
      <c r="E1660">
        <f>INDEX(FactorTable!$B$2:$Y$301, MATCH(ROUND(MIN(300,MAX(1,D1660)),0), FactorTable!$A$2:$A$301,0), Skills!M25+1)</f>
        <v/>
      </c>
      <c r="F1660">
        <f>IF(Skills!N25=TRUE,(Skills!L25/10)*(E1660/1000),Skills!L25/10)+Skills!O25</f>
        <v/>
      </c>
      <c r="G1660">
        <f>Skills!G25*IF(Skills!H25&gt;0,Skills!I25/Skills!H25,1)</f>
        <v/>
      </c>
      <c r="H1660">
        <f>1-(1-Skills!J25/100)^Skills!K25</f>
        <v/>
      </c>
      <c r="I1660" t="inlineStr">
        <is>
          <t>1</t>
        </is>
      </c>
      <c r="J1660" t="inlineStr"/>
      <c r="K1660" t="inlineStr"/>
      <c r="L1660" t="inlineStr"/>
      <c r="M1660" t="inlineStr"/>
      <c r="N1660" t="inlineStr"/>
      <c r="O1660">
        <f>(1-Summary!$B$11)*T1660+Summary!$B$11*V1660</f>
        <v/>
      </c>
      <c r="P1660">
        <f>IF(B1678=0,0,O1660/B1678)</f>
        <v/>
      </c>
      <c r="Q1660" t="n">
        <v>0</v>
      </c>
      <c r="R1660" t="n">
        <v>0</v>
      </c>
      <c r="S1660">
        <f>IFERROR(O1660/N1660,0)</f>
        <v/>
      </c>
      <c r="T1660" t="n">
        <v>0</v>
      </c>
      <c r="V1660" t="n">
        <v>0</v>
      </c>
    </row>
    <row r="1661">
      <c r="A1661">
        <f>Skills!A26</f>
        <v/>
      </c>
      <c r="B1661">
        <f>Skills!B26</f>
        <v/>
      </c>
      <c r="C1661">
        <f>Inputs!$B$3&gt;=125</f>
        <v/>
      </c>
      <c r="D1661">
        <f>IF(Skills!C26=1,60+Inputs!$B$25+Inputs!$B$29,IF(Skills!C26=2,90+Inputs!$B$26+Inputs!$B$29,IF(Skills!C26=3,120+Inputs!$B$27+Inputs!$B$29,MAX(0,(Inputs!$B$3-100)*3)+Inputs!$B$28+Inputs!$B$29)))</f>
        <v/>
      </c>
      <c r="E1661">
        <f>INDEX(FactorTable!$B$2:$Y$301, MATCH(ROUND(MIN(300,MAX(1,D1661)),0), FactorTable!$A$2:$A$301,0), Skills!M26+1)</f>
        <v/>
      </c>
      <c r="F1661">
        <f>IF(Skills!N26=TRUE,(Skills!L26/10)*(E1661/1000),Skills!L26/10)+Skills!O26</f>
        <v/>
      </c>
      <c r="G1661">
        <f>Skills!G26*IF(Skills!H26&gt;0,Skills!I26/Skills!H26,1)</f>
        <v/>
      </c>
      <c r="H1661">
        <f>1-(1-Skills!J26/100)^Skills!K26</f>
        <v/>
      </c>
      <c r="I1661" t="inlineStr">
        <is>
          <t>1</t>
        </is>
      </c>
      <c r="J1661" t="inlineStr"/>
      <c r="K1661" t="inlineStr"/>
      <c r="L1661" t="inlineStr"/>
      <c r="M1661" t="inlineStr"/>
      <c r="N1661" t="inlineStr"/>
      <c r="O1661">
        <f>(1-Summary!$B$11)*T1661+Summary!$B$11*V1661</f>
        <v/>
      </c>
      <c r="P1661">
        <f>IF(B1678=0,0,O1661/B1678)</f>
        <v/>
      </c>
      <c r="Q1661" t="n">
        <v>0</v>
      </c>
      <c r="R1661" t="n">
        <v>0</v>
      </c>
      <c r="S1661">
        <f>IFERROR(O1661/N1661,0)</f>
        <v/>
      </c>
      <c r="T1661" t="n">
        <v>0</v>
      </c>
      <c r="V1661" t="n">
        <v>0</v>
      </c>
    </row>
    <row r="1662">
      <c r="A1662">
        <f>Skills!A27</f>
        <v/>
      </c>
      <c r="B1662">
        <f>Skills!B27</f>
        <v/>
      </c>
      <c r="C1662">
        <f>Inputs!$B$3&gt;=125</f>
        <v/>
      </c>
      <c r="D1662">
        <f>IF(Skills!C27=1,60+Inputs!$B$25+Inputs!$B$29,IF(Skills!C27=2,90+Inputs!$B$26+Inputs!$B$29,IF(Skills!C27=3,120+Inputs!$B$27+Inputs!$B$29,MAX(0,(Inputs!$B$3-100)*3)+Inputs!$B$28+Inputs!$B$29)))</f>
        <v/>
      </c>
      <c r="E1662">
        <f>INDEX(FactorTable!$B$2:$Y$301, MATCH(ROUND(MIN(300,MAX(1,D1662)),0), FactorTable!$A$2:$A$301,0), Skills!M27+1)</f>
        <v/>
      </c>
      <c r="F1662">
        <f>IF(Skills!N27=TRUE,(Skills!L27/10)*(E1662/1000),Skills!L27/10)+Skills!O27</f>
        <v/>
      </c>
      <c r="G1662">
        <f>Skills!G27*IF(Skills!H27&gt;0,Skills!I27/Skills!H27,1)</f>
        <v/>
      </c>
      <c r="H1662">
        <f>1-(1-Skills!J27/100)^Skills!K27</f>
        <v/>
      </c>
      <c r="I1662" t="inlineStr">
        <is>
          <t>1</t>
        </is>
      </c>
      <c r="J1662" t="inlineStr"/>
      <c r="K1662" t="inlineStr"/>
      <c r="L1662" t="inlineStr"/>
      <c r="M1662" t="inlineStr"/>
      <c r="N1662" t="inlineStr"/>
      <c r="O1662">
        <f>(1-Summary!$B$11)*T1662+Summary!$B$11*V1662</f>
        <v/>
      </c>
      <c r="P1662">
        <f>IF(B1678=0,0,O1662/B1678)</f>
        <v/>
      </c>
      <c r="Q1662" t="n">
        <v>0</v>
      </c>
      <c r="R1662" t="n">
        <v>0</v>
      </c>
      <c r="S1662">
        <f>IFERROR(O1662/N1662,0)</f>
        <v/>
      </c>
      <c r="T1662" t="n">
        <v>0</v>
      </c>
      <c r="V1662" t="n">
        <v>0</v>
      </c>
    </row>
    <row r="1663">
      <c r="A1663">
        <f>Skills!A28</f>
        <v/>
      </c>
      <c r="B1663">
        <f>Skills!B28</f>
        <v/>
      </c>
      <c r="C1663">
        <f>Inputs!$B$3&gt;=120</f>
        <v/>
      </c>
      <c r="D1663">
        <f>IF(Skills!C28=1,60+Inputs!$B$25+Inputs!$B$29,IF(Skills!C28=2,90+Inputs!$B$26+Inputs!$B$29,IF(Skills!C28=3,120+Inputs!$B$27+Inputs!$B$29,MAX(0,(Inputs!$B$3-100)*3)+Inputs!$B$28+Inputs!$B$29)))</f>
        <v/>
      </c>
      <c r="E1663">
        <f>INDEX(FactorTable!$B$2:$Y$301, MATCH(ROUND(MIN(300,MAX(1,D1663)),0), FactorTable!$A$2:$A$301,0), Skills!M28+1)</f>
        <v/>
      </c>
      <c r="F1663">
        <f>IF(Skills!N28=TRUE,(Skills!L28/10)*(E1663/1000),Skills!L28/10)+Skills!O28</f>
        <v/>
      </c>
      <c r="G1663">
        <f>Skills!G28*IF(Skills!H28&gt;0,Skills!I28/Skills!H28,1)</f>
        <v/>
      </c>
      <c r="H1663">
        <f>1-(1-Skills!J28/100)^Skills!K28</f>
        <v/>
      </c>
      <c r="I1663" t="inlineStr">
        <is>
          <t>1</t>
        </is>
      </c>
      <c r="J1663" t="inlineStr"/>
      <c r="K1663" t="inlineStr"/>
      <c r="L1663" t="inlineStr"/>
      <c r="M1663" t="inlineStr"/>
      <c r="N1663" t="inlineStr"/>
      <c r="O1663">
        <f>(1-Summary!$B$11)*T1663+Summary!$B$11*V1663</f>
        <v/>
      </c>
      <c r="P1663">
        <f>IF(B1678=0,0,O1663/B1678)</f>
        <v/>
      </c>
      <c r="Q1663" t="n">
        <v>0</v>
      </c>
      <c r="R1663" t="n">
        <v>0</v>
      </c>
      <c r="S1663">
        <f>IFERROR(O1663/N1663,0)</f>
        <v/>
      </c>
      <c r="T1663" t="n">
        <v>0</v>
      </c>
      <c r="V1663" t="n">
        <v>0</v>
      </c>
    </row>
    <row r="1664">
      <c r="A1664">
        <f>Skills!A29</f>
        <v/>
      </c>
      <c r="B1664">
        <f>Skills!B29</f>
        <v/>
      </c>
      <c r="C1664">
        <f>Inputs!$B$3&gt;=120</f>
        <v/>
      </c>
      <c r="D1664">
        <f>IF(Skills!C29=1,60+Inputs!$B$25+Inputs!$B$29,IF(Skills!C29=2,90+Inputs!$B$26+Inputs!$B$29,IF(Skills!C29=3,120+Inputs!$B$27+Inputs!$B$29,MAX(0,(Inputs!$B$3-100)*3)+Inputs!$B$28+Inputs!$B$29)))</f>
        <v/>
      </c>
      <c r="E1664">
        <f>INDEX(FactorTable!$B$2:$Y$301, MATCH(ROUND(MIN(300,MAX(1,D1664)),0), FactorTable!$A$2:$A$301,0), Skills!M29+1)</f>
        <v/>
      </c>
      <c r="F1664">
        <f>IF(Skills!N29=TRUE,(Skills!L29/10)*(E1664/1000),Skills!L29/10)+Skills!O29</f>
        <v/>
      </c>
      <c r="G1664">
        <f>Skills!G29*IF(Skills!H29&gt;0,Skills!I29/Skills!H29,1)</f>
        <v/>
      </c>
      <c r="H1664">
        <f>1-(1-Skills!J29/100)^Skills!K29</f>
        <v/>
      </c>
      <c r="I1664" t="inlineStr">
        <is>
          <t>1</t>
        </is>
      </c>
      <c r="J1664" t="inlineStr"/>
      <c r="K1664" t="inlineStr"/>
      <c r="L1664" t="inlineStr"/>
      <c r="M1664" t="inlineStr"/>
      <c r="N1664" t="inlineStr"/>
      <c r="O1664">
        <f>(1-Summary!$B$11)*T1664+Summary!$B$11*V1664</f>
        <v/>
      </c>
      <c r="P1664">
        <f>IF(B1678=0,0,O1664/B1678)</f>
        <v/>
      </c>
      <c r="Q1664" t="n">
        <v>0</v>
      </c>
      <c r="R1664" t="n">
        <v>0</v>
      </c>
      <c r="S1664">
        <f>IFERROR(O1664/N1664,0)</f>
        <v/>
      </c>
      <c r="T1664" t="n">
        <v>0</v>
      </c>
      <c r="V1664" t="n">
        <v>0</v>
      </c>
    </row>
    <row r="1665">
      <c r="A1665">
        <f>Skills!A30</f>
        <v/>
      </c>
      <c r="B1665">
        <f>Skills!B30</f>
        <v/>
      </c>
      <c r="C1665">
        <f>Inputs!$B$3&gt;=45</f>
        <v/>
      </c>
      <c r="D1665">
        <f>IF(Skills!C30=1,60+Inputs!$B$25+Inputs!$B$29,IF(Skills!C30=2,90+Inputs!$B$26+Inputs!$B$29,IF(Skills!C30=3,120+Inputs!$B$27+Inputs!$B$29,MAX(0,(Inputs!$B$3-100)*3)+Inputs!$B$28+Inputs!$B$29)))</f>
        <v/>
      </c>
      <c r="E1665">
        <f>INDEX(FactorTable!$B$2:$Y$301, MATCH(ROUND(MIN(300,MAX(1,D1665)),0), FactorTable!$A$2:$A$301,0), Skills!M30+1)</f>
        <v/>
      </c>
      <c r="F1665">
        <f>IF(Skills!N30=TRUE,(Skills!L30/10)*(E1665/1000),Skills!L30/10)+Skills!O30</f>
        <v/>
      </c>
      <c r="G1665">
        <f>Skills!G30*IF(Skills!H30&gt;0,Skills!I30/Skills!H30,1)</f>
        <v/>
      </c>
      <c r="H1665">
        <f>1-(1-Skills!J30/100)^Skills!K30</f>
        <v/>
      </c>
      <c r="I1665" t="inlineStr">
        <is>
          <t>1</t>
        </is>
      </c>
      <c r="J1665" t="inlineStr"/>
      <c r="K1665" t="inlineStr"/>
      <c r="L1665" t="inlineStr"/>
      <c r="M1665" t="inlineStr"/>
      <c r="N1665" t="inlineStr"/>
      <c r="O1665">
        <f>(1-Summary!$B$11)*T1665+Summary!$B$11*V1665</f>
        <v/>
      </c>
      <c r="P1665">
        <f>IF(B1678=0,0,O1665/B1678)</f>
        <v/>
      </c>
      <c r="Q1665" t="n">
        <v>0</v>
      </c>
      <c r="R1665" t="n">
        <v>0</v>
      </c>
      <c r="S1665">
        <f>IFERROR(O1665/N1665,0)</f>
        <v/>
      </c>
      <c r="T1665" t="n">
        <v>0</v>
      </c>
      <c r="V1665" t="n">
        <v>0</v>
      </c>
    </row>
    <row r="1667">
      <c r="A1667" t="inlineStr">
        <is>
          <t>Attack% Bucket Multiplier</t>
        </is>
      </c>
      <c r="B1667">
        <f>(1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68">
      <c r="A1668" t="inlineStr">
        <is>
          <t>Global Crit Rate Bonus %</t>
        </is>
      </c>
      <c r="B1668">
        <f>(C1651=TRUE)*20*IF(AND(Inputs!$B$38&lt;&gt;"pvp",Inputs!$B$43&gt;0),(((R1651-1)*(Skills!T16*(1+Inputs!$B$34/100))+MIN((Skills!T16*(1+Inputs!$B$34/100)),MAX(0,Inputs!$B$43-((R1651-1)*Skills!D16))))/Inputs!$B$43),IF(Inputs!$B$38="pvp",MIN((Skills!T16*(1+Inputs!$B$34/100)),15)/15,(Skills!T16*(1+Inputs!$B$34/100))/Skills!D16))</f>
        <v/>
      </c>
    </row>
    <row r="1669">
      <c r="A1669" t="inlineStr">
        <is>
          <t>Attack Speed Buff Bonus %</t>
        </is>
      </c>
      <c r="B1669">
        <f>((C1654=TRUE)*F1654*IF(AND(Inputs!$B$38&lt;&gt;"pvp",Inputs!$B$43&gt;0),(((R1654-1)*(Skills!T19*(1+Inputs!$B$34/100))+MIN((Skills!T19*(1+Inputs!$B$34/100)),MAX(0,Inputs!$B$43-((R1654-1)*Skills!D19))))/Inputs!$B$43),IF(Inputs!$B$38="pvp",MIN((Skills!T19*(1+Inputs!$B$34/100)),15)/15,(Skills!T19*(1+Inputs!$B$34/100))/Skills!D19)))</f>
        <v/>
      </c>
    </row>
    <row r="1670">
      <c r="A1670" t="inlineStr">
        <is>
          <t>Actions Per Second</t>
        </is>
      </c>
      <c r="B1670">
        <f>1+MIN(150,150*(1-(1-(Inputs!$B$11+((C1656=TRUE)*(F1656-Calc!F21))+((C1657=TRUE)*(F1657-Calc!F22)))/150)*(1-B1669/150)))/100</f>
        <v/>
      </c>
    </row>
    <row r="1671">
      <c r="A1671" t="inlineStr">
        <is>
          <t>Skill + Buff Cast Rate</t>
        </is>
      </c>
      <c r="B1671">
        <f>IF(AND(Inputs!$B$38&lt;&gt;"pvp",Inputs!$B$43&gt;0),SUMPRODUCT((Skills!E2:E30=TRUE)*(C1637:C1665=TRUE)*R1637:R1665*Skills!F2:F30)/Inputs!$B$43,SUMPRODUCT((Skills!E2:E30=TRUE)*(C1637:C1665=TRUE)*Q1637:Q1665*Skills!F2:F30))</f>
        <v/>
      </c>
    </row>
    <row r="1672">
      <c r="A1672" t="inlineStr">
        <is>
          <t>Arrow Stream Casts Per Second</t>
        </is>
      </c>
      <c r="B1672">
        <f>MAX(0,B1670-B1671)</f>
        <v/>
      </c>
    </row>
    <row r="1673">
      <c r="A1673" t="inlineStr">
        <is>
          <t>Global Critical Damage Bonus % (Sharp Eyes + Concentration)</t>
        </is>
      </c>
      <c r="B1673">
        <f>(C1651=TRUE)*F1651*IF(AND(Inputs!$B$38&lt;&gt;"pvp",Inputs!$B$43&gt;0),(((R1651-1)*(Skills!T16*(1+Inputs!$B$34/100))+MIN((Skills!T16*(1+Inputs!$B$34/100)),MAX(0,Inputs!$B$43-((R1651-1)*Skills!D16))))/Inputs!$B$43),IF(Inputs!$B$38="pvp",MIN((Skills!T16*(1+Inputs!$B$34/100)),15)/15,(Skills!T16*(1+Inputs!$B$34/100))/Skills!D16))+(C1652=TRUE)*30</f>
        <v/>
      </c>
    </row>
    <row r="1674">
      <c r="A1674" t="inlineStr">
        <is>
          <t>Global Final Damage Bonus % (Mortal Blow)</t>
        </is>
      </c>
      <c r="B1674">
        <f>(C1653=TRUE)*F1653</f>
        <v/>
      </c>
    </row>
    <row r="1675">
      <c r="A1675" t="inlineStr">
        <is>
          <t>Buff-Casting Startup Delay (s, fixed-duration only)</t>
        </is>
      </c>
      <c r="B1675">
        <f>IF(AND(Inputs!$B$38&lt;&gt;"pvp",Inputs!$B$43&gt;0),SUMPRODUCT((Skills!T2:T30&gt;0)*(Skills!E2:E30=TRUE)*(C1637:C1665=TRUE))/B1670,0)</f>
        <v/>
      </c>
    </row>
    <row r="1676">
      <c r="A1676" t="inlineStr">
        <is>
          <t>Boss-Only Total DPS (this block's swept value)</t>
        </is>
      </c>
      <c r="B1676">
        <f>SUM(T1637:T1665)</f>
        <v/>
      </c>
    </row>
    <row r="1677">
      <c r="A1677" t="inlineStr">
        <is>
          <t>Normal-Only Total DPS (this block's swept value)</t>
        </is>
      </c>
      <c r="B1677">
        <f>SUM(V1637:V1665)</f>
        <v/>
      </c>
    </row>
    <row r="1678">
      <c r="A1678" s="6" t="inlineStr">
        <is>
          <t>TOTAL DPS</t>
        </is>
      </c>
      <c r="B1678" s="6">
        <f>SUM(O1637:O1665)</f>
        <v/>
      </c>
    </row>
    <row r="1681">
      <c r="A1681" s="6" t="inlineStr">
        <is>
          <t>Stat: Athena Pierce's Old Gloves (Equip)</t>
        </is>
      </c>
    </row>
    <row r="1682">
      <c r="A1682" s="5" t="inlineStr">
        <is>
          <t>Key</t>
        </is>
      </c>
      <c r="B1682" s="5" t="inlineStr">
        <is>
          <t>Name</t>
        </is>
      </c>
      <c r="C1682" s="5" t="inlineStr">
        <is>
          <t>Unlocked</t>
        </is>
      </c>
      <c r="D1682" s="5" t="inlineStr">
        <is>
          <t>InputLevel</t>
        </is>
      </c>
      <c r="E1682" s="5" t="inlineStr">
        <is>
          <t>Factor</t>
        </is>
      </c>
      <c r="F1682" s="5" t="inlineStr">
        <is>
          <t>CoefficientPercent</t>
        </is>
      </c>
      <c r="G1682" s="5" t="inlineStr">
        <is>
          <t>EffectiveHits</t>
        </is>
      </c>
      <c r="H1682" s="5" t="inlineStr">
        <is>
          <t>ProcProbability</t>
        </is>
      </c>
      <c r="I1682" s="5" t="inlineStr">
        <is>
          <t>MapleHeroMultiplier</t>
        </is>
      </c>
      <c r="J1682" s="5" t="inlineStr">
        <is>
          <t>BaseDamage</t>
        </is>
      </c>
      <c r="K1682" s="5" t="inlineStr">
        <is>
          <t>BaseHitDamage</t>
        </is>
      </c>
      <c r="L1682" s="5" t="inlineStr">
        <is>
          <t>NonCritAvg</t>
        </is>
      </c>
      <c r="M1682" s="5" t="inlineStr">
        <is>
          <t>CritAvg</t>
        </is>
      </c>
      <c r="N1682" s="5" t="inlineStr">
        <is>
          <t>ExpectedDamage(perHit)</t>
        </is>
      </c>
      <c r="O1682" s="5" t="inlineStr">
        <is>
          <t>DPS</t>
        </is>
      </c>
      <c r="P1682" s="5" t="inlineStr">
        <is>
          <t>% of Total</t>
        </is>
      </c>
      <c r="Q1682" s="5" t="inlineStr">
        <is>
          <t>InvCooldown</t>
        </is>
      </c>
      <c r="R1682" s="5" t="inlineStr">
        <is>
          <t>CastsInFight</t>
        </is>
      </c>
      <c r="S1682" s="5" t="inlineStr">
        <is>
          <t>HitRate(perSec)</t>
        </is>
      </c>
      <c r="U1682" t="inlineStr">
        <is>
          <t>helpers</t>
        </is>
      </c>
    </row>
    <row r="1683">
      <c r="A1683">
        <f>Skills!A2</f>
        <v/>
      </c>
      <c r="B1683">
        <f>Skills!B2</f>
        <v/>
      </c>
      <c r="C1683">
        <f>Inputs!$B$3&gt;=100</f>
        <v/>
      </c>
      <c r="D1683" t="inlineStr"/>
      <c r="E1683" t="inlineStr"/>
      <c r="F1683">
        <f>U1685+Skills!O2</f>
        <v/>
      </c>
      <c r="G1683">
        <f>Skills!G2*IF(Skills!H2&gt;0,Skills!I2/Skills!H2,1)</f>
        <v/>
      </c>
      <c r="H1683">
        <f>1-(1-Skills!J2/100)^Skills!K2</f>
        <v/>
      </c>
      <c r="I1683" t="inlineStr">
        <is>
          <t>1</t>
        </is>
      </c>
      <c r="J1683">
        <f>((Inputs!$B$6*(1+Inputs!$B$7/100))+(((Inputs!$B$12*(1+Inputs!$B$13/100))-(Inputs!$B$12*(1+Inputs!$B$13/100)))+0.25*(Inputs!$B$14-Inputs!$B$14))*(1+Inputs!$B$7/100))*(F1683/100)</f>
        <v/>
      </c>
      <c r="K1683">
        <f>J1683*(1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1683)</f>
        <v/>
      </c>
      <c r="L1683">
        <f>K1683*(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3">
        <f>L1683*(1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3">
        <f>L1683*(1-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1683*(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3">
        <f>(1-Summary!$B$11)*T1683+Summary!$B$11*V1683</f>
        <v/>
      </c>
      <c r="P1683">
        <f>IF(B1724=0,0,O1683/B1724)</f>
        <v/>
      </c>
      <c r="Q1683" t="n">
        <v>0</v>
      </c>
      <c r="R1683" t="n">
        <v>0</v>
      </c>
      <c r="S1683">
        <f>IFERROR(O1683/N1683,0)</f>
        <v/>
      </c>
      <c r="T1683">
        <f>IF(C1683,(Skills!G2*N1683*B1718)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1683*(1-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1683*(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1683*(1-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1683*(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3">
        <f>MAX(0,(Inputs!$B$3-100)*3)+Inputs!$B$28+Inputs!$B$29</f>
        <v/>
      </c>
      <c r="V1683">
        <f>IF(C1683,(Skills!G2*N1683*B1718)*IF(Inputs!$B$38="pvp",1,(1+(Inputs!$B$21+Skills!Q2+(IF(ArtifactsInput!$M$33,CHOOSE(ArtifactsInput!$N$33+1,30,36,42,48,54,60),0))+(IF(AND(ArtifactsInput!$M$35,Inputs!$B$4&lt;&gt;"Chapter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f>Skills!A3</f>
        <v/>
      </c>
      <c r="B1684">
        <f>Skills!B3</f>
        <v/>
      </c>
      <c r="C1684">
        <f>Inputs!$B$3&gt;=50</f>
        <v/>
      </c>
      <c r="D1684">
        <f>IF(Skills!C3=1,60+Inputs!$B$25+Inputs!$B$29,IF(Skills!C3=2,90+Inputs!$B$26+Inputs!$B$29,IF(Skills!C3=3,120+Inputs!$B$27+Inputs!$B$29,MAX(0,(Inputs!$B$3-100)*3)+Inputs!$B$28+Inputs!$B$29)))</f>
        <v/>
      </c>
      <c r="E1684">
        <f>INDEX(FactorTable!$B$2:$Y$301, MATCH(ROUND(MIN(300,MAX(1,D1684)),0), FactorTable!$A$2:$A$301,0), Skills!M3+1)</f>
        <v/>
      </c>
      <c r="F1684">
        <f>IF(Skills!N3=TRUE,(Skills!L3/10)*(E1684/1000),Skills!L3/10)+Skills!O3</f>
        <v/>
      </c>
      <c r="G1684" t="inlineStr"/>
      <c r="H1684" t="inlineStr"/>
      <c r="I1684" t="inlineStr">
        <is>
          <t>1</t>
        </is>
      </c>
      <c r="J1684" t="inlineStr"/>
      <c r="K1684" t="inlineStr"/>
      <c r="L1684" t="inlineStr"/>
      <c r="M1684" t="inlineStr"/>
      <c r="N1684" t="inlineStr"/>
      <c r="O1684" t="inlineStr"/>
      <c r="P1684" t="inlineStr"/>
      <c r="Q1684" t="inlineStr"/>
      <c r="R1684" t="inlineStr"/>
      <c r="S1684" t="inlineStr"/>
      <c r="T1684" t="inlineStr"/>
      <c r="U1684">
        <f>INDEX(FactorTable!$B$2:$Y$301, MATCH(ROUND(MIN(300,MAX(1,U1683)),0), FactorTable!$A$2:$A$301,0), 22)</f>
        <v/>
      </c>
      <c r="V1684" t="inlineStr"/>
    </row>
    <row r="1685">
      <c r="A1685">
        <f>Skills!A4</f>
        <v/>
      </c>
      <c r="B1685">
        <f>Skills!B4</f>
        <v/>
      </c>
      <c r="C1685">
        <f>Inputs!$B$3&gt;=105</f>
        <v/>
      </c>
      <c r="D1685">
        <f>IF(Skills!C4=1,60+Inputs!$B$25+Inputs!$B$29,IF(Skills!C4=2,90+Inputs!$B$26+Inputs!$B$29,IF(Skills!C4=3,120+Inputs!$B$27+Inputs!$B$29,MAX(0,(Inputs!$B$3-100)*3)+Inputs!$B$28+Inputs!$B$29)))</f>
        <v/>
      </c>
      <c r="E1685">
        <f>INDEX(FactorTable!$B$2:$Y$301, MATCH(ROUND(MIN(300,MAX(1,D1685)),0), FactorTable!$A$2:$A$301,0), Skills!M4+1)</f>
        <v/>
      </c>
      <c r="F1685">
        <f>IF(Skills!N4=TRUE,(Skills!L4/10)*(E1685/1000),Skills!L4/10)+Skills!O4</f>
        <v/>
      </c>
      <c r="G1685" t="inlineStr"/>
      <c r="H1685" t="inlineStr"/>
      <c r="I1685" t="inlineStr">
        <is>
          <t>1</t>
        </is>
      </c>
      <c r="J1685" t="inlineStr"/>
      <c r="K1685" t="inlineStr"/>
      <c r="L1685" t="inlineStr"/>
      <c r="M1685" t="inlineStr"/>
      <c r="N1685" t="inlineStr"/>
      <c r="O1685" t="inlineStr"/>
      <c r="P1685" t="inlineStr"/>
      <c r="Q1685" t="inlineStr"/>
      <c r="R1685" t="inlineStr"/>
      <c r="S1685" t="inlineStr"/>
      <c r="T1685" t="inlineStr"/>
      <c r="U1685">
        <f>290*U1684/1000</f>
        <v/>
      </c>
      <c r="V1685" t="inlineStr"/>
    </row>
    <row r="1686">
      <c r="A1686">
        <f>Skills!A5</f>
        <v/>
      </c>
      <c r="B1686">
        <f>Skills!B5</f>
        <v/>
      </c>
      <c r="C1686">
        <f>Inputs!$B$3&gt;=35</f>
        <v/>
      </c>
      <c r="D1686">
        <f>IF(Skills!C5=1,60+Inputs!$B$25+Inputs!$B$29,IF(Skills!C5=2,90+Inputs!$B$26+Inputs!$B$29,IF(Skills!C5=3,120+Inputs!$B$27+Inputs!$B$29,MAX(0,(Inputs!$B$3-100)*3)+Inputs!$B$28+Inputs!$B$29)))</f>
        <v/>
      </c>
      <c r="E1686">
        <f>INDEX(FactorTable!$B$2:$Y$301, MATCH(ROUND(MIN(300,MAX(1,D1686)),0), FactorTable!$A$2:$A$301,0), Skills!M5+1)</f>
        <v/>
      </c>
      <c r="F1686">
        <f>IF(Skills!N5=TRUE,(Skills!L5/10)*(E1686/1000),Skills!L5/10)+Skills!O5</f>
        <v/>
      </c>
      <c r="G1686">
        <f>Skills!G5*IF(Skills!H5&gt;0,Skills!I5/Skills!H5,1)</f>
        <v/>
      </c>
      <c r="H1686">
        <f>1-(1-Skills!J5/100)^Skills!K5</f>
        <v/>
      </c>
      <c r="I1686" t="inlineStr">
        <is>
          <t>1</t>
        </is>
      </c>
      <c r="J1686">
        <f>((Inputs!$B$6*(1+Inputs!$B$7/100))+(((Inputs!$B$12*(1+Inputs!$B$13/100))-(Inputs!$B$12*(1+Inputs!$B$13/100)))+0.25*(Inputs!$B$14-Inputs!$B$14))*(1+Inputs!$B$7/100))*(F1686/100)</f>
        <v/>
      </c>
      <c r="K1686">
        <f>J1686*(1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1691=TRUE,F1691,0)/100)*(1+(IF(Skills!A5="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1686)</f>
        <v/>
      </c>
      <c r="L1686">
        <f>K1686*(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6">
        <f>L1686*(1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6">
        <f>L1686*(1-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1686*(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6">
        <f>(1-Summary!$B$11)*T1686+Summary!$B$11*V1686</f>
        <v/>
      </c>
      <c r="P1686">
        <f>IF(B1724=0,0,O1686/B1724)</f>
        <v/>
      </c>
      <c r="Q1686">
        <f>IFERROR(1/(IF(Inputs!$B$38="pvp",15,MAX(0.1,Skills!D5-IF(Skills!E5=TRUE,Inputs!$B$32,0)))*(1-IF(AND(ArtifactsInput!$M$27,Inputs!$B$4="Chapter Hunt"),CHOOSE(ArtifactsInput!$N$27+1,20,24,28,32,36,40),0)/100)),0)</f>
        <v/>
      </c>
      <c r="R1686">
        <f>IF(AND(Inputs!$B$38&lt;&gt;"pvp",Inputs!$B$43&gt;0),IF(MAX(0,Inputs!$B$43-B1721)&lt;=0,0,(INT(MAX(0,Inputs!$B$43-B1721)/(IF(Inputs!$B$38="pvp",15,MAX(0.1,Skills!D5-IF(Skills!E5=TRUE,Inputs!$B$32,0)))*(1-IF(AND(ArtifactsInput!$M$27,Inputs!$B$4="Chapter Hunt"),CHOOSE(ArtifactsInput!$N$27+1,20,24,28,32,36,40),0)/100)))+1)),0)</f>
        <v/>
      </c>
      <c r="S1686">
        <f>IFERROR(O1686/N1686,0)</f>
        <v/>
      </c>
      <c r="T1686">
        <f>IF(C1686,(H1686*N1686*IF(AND(Inputs!$B$38&lt;&gt;"pvp",Inputs!$B$43&gt;0),((Skills!G5*((R1686-1)*IF(Skills!H5&gt;0,Skills!I5/Skills!H5,1)+IF(Skills!H5&gt;0,MIN(Skills!I5,MAX(0,MAX(0,Inputs!$B$43-B1721)-((R1686-1)*(IF(Inputs!$B$38="pvp",15,MAX(0.1,Skills!D5-IF(Skills!E5=TRUE,Inputs!$B$32,0)))*(1-IF(AND(ArtifactsInput!$M$27,Inputs!$B$4="Chapter Hunt"),CHOOSE(ArtifactsInput!$N$27+1,20,24,28,32,36,40),0)/100)))))/Skills!H5,1)))/Inputs!$B$43),G1686*Q1686)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1686*(1-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1686*(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1686*(1-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1686*(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6">
        <f>IF(C1686,(H1686*N1686*IF(AND(Inputs!$B$38&lt;&gt;"pvp",Inputs!$B$43&gt;0),((Skills!G5*((R1686-1)*IF(Skills!H5&gt;0,Skills!I5/Skills!H5,1)+IF(Skills!H5&gt;0,MIN(Skills!I5,MAX(0,MAX(0,Inputs!$B$43-B1721)-((R1686-1)*(IF(Inputs!$B$38="pvp",15,MAX(0.1,Skills!D5-IF(Skills!E5=TRUE,Inputs!$B$32,0)))*(1-IF(AND(ArtifactsInput!$M$27,Inputs!$B$4="Chapter Hunt"),CHOOSE(ArtifactsInput!$N$27+1,20,24,28,32,36,40),0)/100)))))/Skills!H5,1)))/Inputs!$B$43),G1686*Q1686))*IF(Inputs!$B$38="pvp",1,(1+(Inputs!$B$21+Skills!Q5+(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7">
      <c r="A1687">
        <f>Skills!A6</f>
        <v/>
      </c>
      <c r="B1687">
        <f>Skills!B6</f>
        <v/>
      </c>
      <c r="C1687">
        <f>Inputs!$B$3&gt;=40</f>
        <v/>
      </c>
      <c r="D1687">
        <f>IF(Skills!C6=1,60+Inputs!$B$25+Inputs!$B$29,IF(Skills!C6=2,90+Inputs!$B$26+Inputs!$B$29,IF(Skills!C6=3,120+Inputs!$B$27+Inputs!$B$29,MAX(0,(Inputs!$B$3-100)*3)+Inputs!$B$28+Inputs!$B$29)))</f>
        <v/>
      </c>
      <c r="E1687">
        <f>INDEX(FactorTable!$B$2:$Y$301, MATCH(ROUND(MIN(300,MAX(1,D1687)),0), FactorTable!$A$2:$A$301,0), Skills!M6+1)</f>
        <v/>
      </c>
      <c r="F1687">
        <f>IF(Skills!N6=TRUE,(Skills!L6/10)*(E1687/1000),Skills!L6/10)+Skills!O6</f>
        <v/>
      </c>
      <c r="G1687">
        <f>Skills!G6*IF(Skills!H6&gt;0,Skills!I6/Skills!H6,1)</f>
        <v/>
      </c>
      <c r="H1687">
        <f>1-(1-Skills!J6/100)^Skills!K6</f>
        <v/>
      </c>
      <c r="I1687" t="inlineStr">
        <is>
          <t>1</t>
        </is>
      </c>
      <c r="J1687">
        <f>((Inputs!$B$6*(1+Inputs!$B$7/100))+(((Inputs!$B$12*(1+Inputs!$B$13/100))-(Inputs!$B$12*(1+Inputs!$B$13/100)))+0.25*(Inputs!$B$14-Inputs!$B$14))*(1+Inputs!$B$7/100))*(F1687/100)</f>
        <v/>
      </c>
      <c r="K1687">
        <f>J1687*(1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1688=TRUE,F1688,0)/100)*(1+(IF(Skills!A6="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1687)</f>
        <v/>
      </c>
      <c r="L1687">
        <f>K1687*(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7">
        <f>L1687*(1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7">
        <f>L1687*(1-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1687*(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7">
        <f>(1-Summary!$B$11)*T1687+Summary!$B$11*V1687</f>
        <v/>
      </c>
      <c r="P1687">
        <f>IF(B1724=0,0,O1687/B1724)</f>
        <v/>
      </c>
      <c r="Q1687">
        <f>IFERROR(1/(IF(Inputs!$B$38="pvp",15,MAX(0.1,Skills!D6-IF(Skills!E6=TRUE,Inputs!$B$32,0)))*(1-IF(AND(ArtifactsInput!$M$27,Inputs!$B$4="Chapter Hunt"),CHOOSE(ArtifactsInput!$N$27+1,20,24,28,32,36,40),0)/100)),0)</f>
        <v/>
      </c>
      <c r="R1687">
        <f>IF(AND(Inputs!$B$38&lt;&gt;"pvp",Inputs!$B$43&gt;0),IF(MAX(0,Inputs!$B$43-B1721)&lt;=0,0,(INT(MAX(0,Inputs!$B$43-B1721)/(IF(Inputs!$B$38="pvp",15,MAX(0.1,Skills!D6-IF(Skills!E6=TRUE,Inputs!$B$32,0)))*(1-IF(AND(ArtifactsInput!$M$27,Inputs!$B$4="Chapter Hunt"),CHOOSE(ArtifactsInput!$N$27+1,20,24,28,32,36,40),0)/100)))+1)),0)</f>
        <v/>
      </c>
      <c r="S1687">
        <f>IFERROR(O1687/N1687,0)</f>
        <v/>
      </c>
      <c r="T1687">
        <f>IF(C1687,(H1687*N1687*IF(AND(Inputs!$B$38&lt;&gt;"pvp",Inputs!$B$43&gt;0),((Skills!G6*((R1687-1)*IF(Skills!H6&gt;0,Skills!I6/Skills!H6,1)+IF(Skills!H6&gt;0,MIN(Skills!I6,MAX(0,MAX(0,Inputs!$B$43-B1721)-((R1687-1)*(IF(Inputs!$B$38="pvp",15,MAX(0.1,Skills!D6-IF(Skills!E6=TRUE,Inputs!$B$32,0)))*(1-IF(AND(ArtifactsInput!$M$27,Inputs!$B$4="Chapter Hunt"),CHOOSE(ArtifactsInput!$N$27+1,20,24,28,32,36,40),0)/100)))))/Skills!H6,1)))/Inputs!$B$43),G1687*Q1687)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1687*(1-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1687*(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1687*(1-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1687*(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7">
        <f>IF(C1687,(H1687*N1687*IF(AND(Inputs!$B$38&lt;&gt;"pvp",Inputs!$B$43&gt;0),((Skills!G6*((R1687-1)*IF(Skills!H6&gt;0,Skills!I6/Skills!H6,1)+IF(Skills!H6&gt;0,MIN(Skills!I6,MAX(0,MAX(0,Inputs!$B$43-B1721)-((R1687-1)*(IF(Inputs!$B$38="pvp",15,MAX(0.1,Skills!D6-IF(Skills!E6=TRUE,Inputs!$B$32,0)))*(1-IF(AND(ArtifactsInput!$M$27,Inputs!$B$4="Chapter Hunt"),CHOOSE(ArtifactsInput!$N$27+1,20,24,28,32,36,40),0)/100)))))/Skills!H6,1)))/Inputs!$B$43),G1687*Q1687))*IF(Inputs!$B$38="pvp",1,(1+(Inputs!$B$21+Skills!Q6+(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8">
      <c r="A1688">
        <f>Skills!A7</f>
        <v/>
      </c>
      <c r="B1688">
        <f>Skills!B7</f>
        <v/>
      </c>
      <c r="C1688">
        <f>Inputs!$B$3&gt;=107</f>
        <v/>
      </c>
      <c r="D1688">
        <f>IF(Skills!C7=1,60+Inputs!$B$25+Inputs!$B$29,IF(Skills!C7=2,90+Inputs!$B$26+Inputs!$B$29,IF(Skills!C7=3,120+Inputs!$B$27+Inputs!$B$29,MAX(0,(Inputs!$B$3-100)*3)+Inputs!$B$28+Inputs!$B$29)))</f>
        <v/>
      </c>
      <c r="E1688">
        <f>INDEX(FactorTable!$B$2:$Y$301, MATCH(ROUND(MIN(300,MAX(1,D1688)),0), FactorTable!$A$2:$A$301,0), Skills!M7+1)</f>
        <v/>
      </c>
      <c r="F1688">
        <f>IF(Skills!N7=TRUE,(Skills!L7/10)*(E1688/1000),Skills!L7/10)+Skills!O7</f>
        <v/>
      </c>
      <c r="G1688" t="inlineStr"/>
      <c r="H1688" t="inlineStr"/>
      <c r="I1688" t="inlineStr">
        <is>
          <t>1</t>
        </is>
      </c>
      <c r="J1688" t="inlineStr"/>
      <c r="K1688" t="inlineStr"/>
      <c r="L1688" t="inlineStr"/>
      <c r="M1688" t="inlineStr"/>
      <c r="N1688" t="inlineStr"/>
      <c r="O1688" t="inlineStr"/>
      <c r="P1688" t="inlineStr"/>
      <c r="Q1688" t="inlineStr"/>
      <c r="R1688" t="inlineStr"/>
      <c r="S1688" t="inlineStr"/>
      <c r="T1688" t="inlineStr"/>
      <c r="V1688" t="inlineStr"/>
    </row>
    <row r="1689">
      <c r="A1689">
        <f>Skills!A8</f>
        <v/>
      </c>
      <c r="B1689">
        <f>Skills!B8</f>
        <v/>
      </c>
      <c r="C1689">
        <f>Inputs!$B$3&gt;=69</f>
        <v/>
      </c>
      <c r="D1689">
        <f>IF(Skills!C8=1,60+Inputs!$B$25+Inputs!$B$29,IF(Skills!C8=2,90+Inputs!$B$26+Inputs!$B$29,IF(Skills!C8=3,120+Inputs!$B$27+Inputs!$B$29,MAX(0,(Inputs!$B$3-100)*3)+Inputs!$B$28+Inputs!$B$29)))</f>
        <v/>
      </c>
      <c r="E1689">
        <f>INDEX(FactorTable!$B$2:$Y$301, MATCH(ROUND(MIN(300,MAX(1,D1689)),0), FactorTable!$A$2:$A$301,0), Skills!M8+1)</f>
        <v/>
      </c>
      <c r="F1689">
        <f>IF(Skills!N8=TRUE,(Skills!L8/10)*(E1689/1000),Skills!L8/10)+Skills!O8</f>
        <v/>
      </c>
      <c r="G1689">
        <f>Skills!G8*IF(Skills!H8&gt;0,Skills!I8/Skills!H8,1)</f>
        <v/>
      </c>
      <c r="H1689">
        <f>1-(1-Skills!J8/100)^Skills!K8</f>
        <v/>
      </c>
      <c r="I1689" t="inlineStr">
        <is>
          <t>1</t>
        </is>
      </c>
      <c r="J1689">
        <f>((Inputs!$B$6*(1+Inputs!$B$7/100))+(((Inputs!$B$12*(1+Inputs!$B$13/100))-(Inputs!$B$12*(1+Inputs!$B$13/100)))+0.25*(Inputs!$B$14-Inputs!$B$14))*(1+Inputs!$B$7/100))*(F1689/100)</f>
        <v/>
      </c>
      <c r="K1689">
        <f>J1689*(1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1691=TRUE,F1691,0)/100)*(1+(IF(Skills!A8="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1689)</f>
        <v/>
      </c>
      <c r="L1689">
        <f>K1689*(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9">
        <f>L1689*(1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9">
        <f>L1689*(1-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1689*(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9">
        <f>(1-Summary!$B$11)*T1689+Summary!$B$11*V1689</f>
        <v/>
      </c>
      <c r="P1689">
        <f>IF(B1724=0,0,O1689/B1724)</f>
        <v/>
      </c>
      <c r="Q1689">
        <f>IFERROR(1/(IF(Inputs!$B$38="pvp",15,MAX(0.1,Skills!D8-IF(Skills!E8=TRUE,Inputs!$B$32,0)))*(1-IF(AND(ArtifactsInput!$M$27,Inputs!$B$4="Chapter Hunt"),CHOOSE(ArtifactsInput!$N$27+1,20,24,28,32,36,40),0)/100)),0)</f>
        <v/>
      </c>
      <c r="R1689">
        <f>IF(AND(Inputs!$B$38&lt;&gt;"pvp",Inputs!$B$43&gt;0),IF(MAX(0,Inputs!$B$43-B1721)&lt;=0,0,(INT(MAX(0,Inputs!$B$43-B1721)/(IF(Inputs!$B$38="pvp",15,MAX(0.1,Skills!D8-IF(Skills!E8=TRUE,Inputs!$B$32,0)))*(1-IF(AND(ArtifactsInput!$M$27,Inputs!$B$4="Chapter Hunt"),CHOOSE(ArtifactsInput!$N$27+1,20,24,28,32,36,40),0)/100)))+1)),0)</f>
        <v/>
      </c>
      <c r="S1689">
        <f>IFERROR(O1689/N1689,0)</f>
        <v/>
      </c>
      <c r="T1689">
        <f>IF(C1689,(H1689*N1689*IF(AND(Inputs!$B$38&lt;&gt;"pvp",Inputs!$B$43&gt;0),((Skills!G8*((R1689-1)*IF(Skills!H8&gt;0,Skills!I8/Skills!H8,1)+IF(Skills!H8&gt;0,MIN(Skills!I8,MAX(0,MAX(0,Inputs!$B$43-B1721)-((R1689-1)*(IF(Inputs!$B$38="pvp",15,MAX(0.1,Skills!D8-IF(Skills!E8=TRUE,Inputs!$B$32,0)))*(1-IF(AND(ArtifactsInput!$M$27,Inputs!$B$4="Chapter Hunt"),CHOOSE(ArtifactsInput!$N$27+1,20,24,28,32,36,40),0)/100)))))/Skills!H8,1)))/Inputs!$B$43),G1689*Q1689)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1689*(1-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1689*(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1689*(1-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1689*(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9">
        <f>IF(C1689,(H1689*N1689*IF(AND(Inputs!$B$38&lt;&gt;"pvp",Inputs!$B$43&gt;0),((Skills!G8*((R1689-1)*IF(Skills!H8&gt;0,Skills!I8/Skills!H8,1)+IF(Skills!H8&gt;0,MIN(Skills!I8,MAX(0,MAX(0,Inputs!$B$43-B1721)-((R1689-1)*(IF(Inputs!$B$38="pvp",15,MAX(0.1,Skills!D8-IF(Skills!E8=TRUE,Inputs!$B$32,0)))*(1-IF(AND(ArtifactsInput!$M$27,Inputs!$B$4="Chapter Hunt"),CHOOSE(ArtifactsInput!$N$27+1,20,24,28,32,36,40),0)/100)))))/Skills!H8,1)))/Inputs!$B$43),G1689*Q1689))*IF(Inputs!$B$38="pvp",1,(1+(Inputs!$B$21+Skills!Q8+(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0">
      <c r="A1690">
        <f>Skills!A9</f>
        <v/>
      </c>
      <c r="B1690">
        <f>Skills!B9</f>
        <v/>
      </c>
      <c r="C1690">
        <f>Inputs!$B$3&gt;=63</f>
        <v/>
      </c>
      <c r="D1690">
        <f>IF(Skills!C9=1,60+Inputs!$B$25+Inputs!$B$29,IF(Skills!C9=2,90+Inputs!$B$26+Inputs!$B$29,IF(Skills!C9=3,120+Inputs!$B$27+Inputs!$B$29,MAX(0,(Inputs!$B$3-100)*3)+Inputs!$B$28+Inputs!$B$29)))</f>
        <v/>
      </c>
      <c r="E1690">
        <f>INDEX(FactorTable!$B$2:$Y$301, MATCH(ROUND(MIN(300,MAX(1,D1690)),0), FactorTable!$A$2:$A$301,0), Skills!M9+1)</f>
        <v/>
      </c>
      <c r="F1690">
        <f>IF(Skills!N9=TRUE,(Skills!L9/10)*(E1690/1000),Skills!L9/10)+Skills!O9</f>
        <v/>
      </c>
      <c r="G1690">
        <f>Skills!G9*IF(Skills!H9&gt;0,Skills!I9/Skills!H9,1)</f>
        <v/>
      </c>
      <c r="H1690">
        <f>1-(1-Skills!J9/100)^Skills!K9</f>
        <v/>
      </c>
      <c r="I1690" t="inlineStr">
        <is>
          <t>1</t>
        </is>
      </c>
      <c r="J1690">
        <f>((Inputs!$B$6*(1+Inputs!$B$7/100))+(((Inputs!$B$12*(1+Inputs!$B$13/100))-(Inputs!$B$12*(1+Inputs!$B$13/100)))+0.25*(Inputs!$B$14-Inputs!$B$14))*(1+Inputs!$B$7/100))*(F1690/100)</f>
        <v/>
      </c>
      <c r="K1690">
        <f>J1690*(1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1691=TRUE,F1691,0)/100)*(1+(IF(Skills!A9="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1690)</f>
        <v/>
      </c>
      <c r="L1690">
        <f>K1690*(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90">
        <f>L1690*(1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0">
        <f>L1690*(1-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1690*(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0">
        <f>(1-Summary!$B$11)*T1690+Summary!$B$11*V1690</f>
        <v/>
      </c>
      <c r="P1690">
        <f>IF(B1724=0,0,O1690/B1724)</f>
        <v/>
      </c>
      <c r="Q1690">
        <f>IFERROR(1/(IF(Inputs!$B$38="pvp",15,MAX(0.1,Skills!D9-IF(Skills!E9=TRUE,Inputs!$B$32,0)))*(1-IF(AND(ArtifactsInput!$M$27,Inputs!$B$4="Chapter Hunt"),CHOOSE(ArtifactsInput!$N$27+1,20,24,28,32,36,40),0)/100)),0)</f>
        <v/>
      </c>
      <c r="R1690">
        <f>IF(AND(Inputs!$B$38&lt;&gt;"pvp",Inputs!$B$43&gt;0),IF(MAX(0,Inputs!$B$43-B1721)&lt;=0,0,(INT(MAX(0,Inputs!$B$43-B1721)/(IF(Inputs!$B$38="pvp",15,MAX(0.1,Skills!D9-IF(Skills!E9=TRUE,Inputs!$B$32,0)))*(1-IF(AND(ArtifactsInput!$M$27,Inputs!$B$4="Chapter Hunt"),CHOOSE(ArtifactsInput!$N$27+1,20,24,28,32,36,40),0)/100)))+1)),0)</f>
        <v/>
      </c>
      <c r="S1690">
        <f>IFERROR(O1690/N1690,0)</f>
        <v/>
      </c>
      <c r="T1690">
        <f>IF(C1690,(H1690*N1690*IF(AND(Inputs!$B$38&lt;&gt;"pvp",Inputs!$B$43&gt;0),((Skills!G9*((R1690-1)*IF(Skills!H9&gt;0,Skills!I9/Skills!H9,1)+IF(Skills!H9&gt;0,MIN(Skills!I9,MAX(0,MAX(0,Inputs!$B$43-B1721)-((R1690-1)*(IF(Inputs!$B$38="pvp",15,MAX(0.1,Skills!D9-IF(Skills!E9=TRUE,Inputs!$B$32,0)))*(1-IF(AND(ArtifactsInput!$M$27,Inputs!$B$4="Chapter Hunt"),CHOOSE(ArtifactsInput!$N$27+1,20,24,28,32,36,40),0)/100)))))/Skills!H9,1)))/Inputs!$B$43),G1690*Q1690)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1690*(1-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1690*(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1690*(1-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1690*(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0">
        <f>IF(C1690,(H1690*N1690*IF(AND(Inputs!$B$38&lt;&gt;"pvp",Inputs!$B$43&gt;0),((Skills!G9*((R1690-1)*IF(Skills!H9&gt;0,Skills!I9/Skills!H9,1)+IF(Skills!H9&gt;0,MIN(Skills!I9,MAX(0,MAX(0,Inputs!$B$43-B1721)-((R1690-1)*(IF(Inputs!$B$38="pvp",15,MAX(0.1,Skills!D9-IF(Skills!E9=TRUE,Inputs!$B$32,0)))*(1-IF(AND(ArtifactsInput!$M$27,Inputs!$B$4="Chapter Hunt"),CHOOSE(ArtifactsInput!$N$27+1,20,24,28,32,36,40),0)/100)))))/Skills!H9,1)))/Inputs!$B$43),G1690*Q1690))*IF(Inputs!$B$38="pvp",1,(1+(Inputs!$B$21+Skills!Q9+(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1">
      <c r="A1691">
        <f>Skills!A10</f>
        <v/>
      </c>
      <c r="B1691">
        <f>Skills!B10</f>
        <v/>
      </c>
      <c r="C1691">
        <f>Inputs!$B$3&gt;=100</f>
        <v/>
      </c>
      <c r="D1691">
        <f>IF(Skills!C10=1,60+Inputs!$B$25+Inputs!$B$29,IF(Skills!C10=2,90+Inputs!$B$26+Inputs!$B$29,IF(Skills!C10=3,120+Inputs!$B$27+Inputs!$B$29,MAX(0,(Inputs!$B$3-100)*3)+Inputs!$B$28+Inputs!$B$29)))</f>
        <v/>
      </c>
      <c r="E1691">
        <f>INDEX(FactorTable!$B$2:$Y$301, MATCH(ROUND(MIN(300,MAX(1,D1691)),0), FactorTable!$A$2:$A$301,0), Skills!M10+1)</f>
        <v/>
      </c>
      <c r="F1691">
        <f>IF(Skills!N10=TRUE,(Skills!L10/10)*(E1691/1000),Skills!L10/10)+Skills!O10</f>
        <v/>
      </c>
      <c r="G1691" t="inlineStr"/>
      <c r="H1691" t="inlineStr"/>
      <c r="I1691" t="inlineStr">
        <is>
          <t>1</t>
        </is>
      </c>
      <c r="J1691" t="inlineStr"/>
      <c r="K1691" t="inlineStr"/>
      <c r="L1691" t="inlineStr"/>
      <c r="M1691" t="inlineStr"/>
      <c r="N1691" t="inlineStr"/>
      <c r="O1691" t="inlineStr"/>
      <c r="P1691" t="inlineStr"/>
      <c r="Q1691" t="inlineStr"/>
      <c r="R1691" t="inlineStr"/>
      <c r="S1691" t="inlineStr"/>
      <c r="T1691" t="inlineStr"/>
      <c r="V1691" t="inlineStr"/>
    </row>
    <row r="1692">
      <c r="A1692">
        <f>Skills!A11</f>
        <v/>
      </c>
      <c r="B1692">
        <f>Skills!B11</f>
        <v/>
      </c>
      <c r="C1692">
        <f>Inputs!$B$3&gt;=60</f>
        <v/>
      </c>
      <c r="D1692">
        <f>IF(Skills!C11=1,60+Inputs!$B$25+Inputs!$B$29,IF(Skills!C11=2,90+Inputs!$B$26+Inputs!$B$29,IF(Skills!C11=3,120+Inputs!$B$27+Inputs!$B$29,MAX(0,(Inputs!$B$3-100)*3)+Inputs!$B$28+Inputs!$B$29)))</f>
        <v/>
      </c>
      <c r="E1692">
        <f>INDEX(FactorTable!$B$2:$Y$301, MATCH(ROUND(MIN(300,MAX(1,D1692)),0), FactorTable!$A$2:$A$301,0), Skills!M11+1)</f>
        <v/>
      </c>
      <c r="F1692">
        <f>IF(Skills!N11=TRUE,(Skills!L11/10)*(E1692/1000),Skills!L11/10)+Skills!O11</f>
        <v/>
      </c>
      <c r="G1692">
        <f>Skills!G11*IF(Skills!H11&gt;0,Skills!I11/Skills!H11,1)</f>
        <v/>
      </c>
      <c r="H1692">
        <f>1-(1-Skills!J11/100)^Skills!K11</f>
        <v/>
      </c>
      <c r="I1692" t="inlineStr">
        <is>
          <t>1</t>
        </is>
      </c>
      <c r="J1692">
        <f>((Inputs!$B$6*(1+Inputs!$B$7/100))+(((Inputs!$B$12*(1+Inputs!$B$13/100))-(Inputs!$B$12*(1+Inputs!$B$13/100)))+0.25*(Inputs!$B$14-Inputs!$B$14))*(1+Inputs!$B$7/100))*(F1692/100)</f>
        <v/>
      </c>
      <c r="K1692">
        <f>J1692*(1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1693=TRUE,F1693,0)/100)*(1+(IF(Skills!A11="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1692)</f>
        <v/>
      </c>
      <c r="L1692">
        <f>K1692*(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92">
        <f>L1692*(1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2">
        <f>L1692*(1-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1692*(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2">
        <f>(1-Summary!$B$11)*T1692+Summary!$B$11*V1692</f>
        <v/>
      </c>
      <c r="P1692">
        <f>IF(B1724=0,0,O1692/B1724)</f>
        <v/>
      </c>
      <c r="Q1692">
        <f>IFERROR(1/(IF(Inputs!$B$38="pvp",15,MAX(0.1,Skills!D11-IF(Skills!E11=TRUE,Inputs!$B$32,0)))*(1-IF(AND(ArtifactsInput!$M$27,Inputs!$B$4="Chapter Hunt"),CHOOSE(ArtifactsInput!$N$27+1,20,24,28,32,36,40),0)/100)),0)</f>
        <v/>
      </c>
      <c r="R1692">
        <f>IF(AND(Inputs!$B$38&lt;&gt;"pvp",Inputs!$B$43&gt;0),IF(MAX(0,Inputs!$B$43-B1721)&lt;=0,0,(INT(MAX(0,Inputs!$B$43-B1721)/(IF(Inputs!$B$38="pvp",15,MAX(0.1,Skills!D11-IF(Skills!E11=TRUE,Inputs!$B$32,0)))*(1-IF(AND(ArtifactsInput!$M$27,Inputs!$B$4="Chapter Hunt"),CHOOSE(ArtifactsInput!$N$27+1,20,24,28,32,36,40),0)/100)))+1)),0)</f>
        <v/>
      </c>
      <c r="S1692">
        <f>IFERROR(O1692/N1692,0)</f>
        <v/>
      </c>
      <c r="T1692">
        <f>IF(C1692,(H1692*N1692*IF(AND(Inputs!$B$38&lt;&gt;"pvp",Inputs!$B$43&gt;0),((Skills!G11*((R1692-1)*IF(Skills!H11&gt;0,Skills!I11/Skills!H11,1)+IF(Skills!H11&gt;0,MIN(Skills!I11,MAX(0,MAX(0,Inputs!$B$43-B1721)-((R1692-1)*(IF(Inputs!$B$38="pvp",15,MAX(0.1,Skills!D11-IF(Skills!E11=TRUE,Inputs!$B$32,0)))*(1-IF(AND(ArtifactsInput!$M$27,Inputs!$B$4="Chapter Hunt"),CHOOSE(ArtifactsInput!$N$27+1,20,24,28,32,36,40),0)/100)))))/Skills!H11,1)))/Inputs!$B$43),G1692*Q1692)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1692*(1-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1692*(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1692*(1-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1692*(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2">
        <f>IF(C1692,(H1692*N1692*IF(AND(Inputs!$B$38&lt;&gt;"pvp",Inputs!$B$43&gt;0),((Skills!G11*((R1692-1)*IF(Skills!H11&gt;0,Skills!I11/Skills!H11,1)+IF(Skills!H11&gt;0,MIN(Skills!I11,MAX(0,MAX(0,Inputs!$B$43-B1721)-((R1692-1)*(IF(Inputs!$B$38="pvp",15,MAX(0.1,Skills!D11-IF(Skills!E11=TRUE,Inputs!$B$32,0)))*(1-IF(AND(ArtifactsInput!$M$27,Inputs!$B$4="Chapter Hunt"),CHOOSE(ArtifactsInput!$N$27+1,20,24,28,32,36,40),0)/100)))))/Skills!H11,1)))/Inputs!$B$43),G1692*Q1692))*IF(Inputs!$B$38="pvp",1,(1+(Inputs!$B$21+Skills!Q11+(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3">
      <c r="A1693">
        <f>Skills!A12</f>
        <v/>
      </c>
      <c r="B1693">
        <f>Skills!B12</f>
        <v/>
      </c>
      <c r="C1693">
        <f>Inputs!$B$3&gt;=110</f>
        <v/>
      </c>
      <c r="D1693">
        <f>IF(Skills!C12=1,60+Inputs!$B$25+Inputs!$B$29,IF(Skills!C12=2,90+Inputs!$B$26+Inputs!$B$29,IF(Skills!C12=3,120+Inputs!$B$27+Inputs!$B$29,MAX(0,(Inputs!$B$3-100)*3)+Inputs!$B$28+Inputs!$B$29)))</f>
        <v/>
      </c>
      <c r="E1693">
        <f>INDEX(FactorTable!$B$2:$Y$301, MATCH(ROUND(MIN(300,MAX(1,D1693)),0), FactorTable!$A$2:$A$301,0), Skills!M12+1)</f>
        <v/>
      </c>
      <c r="F1693">
        <f>IF(Skills!N12=TRUE,(Skills!L12/10)*(E1693/1000),Skills!L12/10)+Skills!O12</f>
        <v/>
      </c>
      <c r="G1693" t="inlineStr"/>
      <c r="H1693" t="inlineStr"/>
      <c r="I1693" t="inlineStr">
        <is>
          <t>1</t>
        </is>
      </c>
      <c r="J1693" t="inlineStr"/>
      <c r="K1693" t="inlineStr"/>
      <c r="L1693" t="inlineStr"/>
      <c r="M1693" t="inlineStr"/>
      <c r="N1693" t="inlineStr"/>
      <c r="O1693" t="inlineStr"/>
      <c r="P1693" t="inlineStr"/>
      <c r="Q1693" t="inlineStr"/>
      <c r="R1693" t="inlineStr"/>
      <c r="S1693" t="inlineStr"/>
      <c r="T1693" t="inlineStr"/>
      <c r="V1693" t="inlineStr"/>
    </row>
    <row r="1694">
      <c r="A1694">
        <f>Skills!A13</f>
        <v/>
      </c>
      <c r="B1694">
        <f>Skills!B13</f>
        <v/>
      </c>
      <c r="C1694">
        <f>Inputs!$B$3&gt;=74</f>
        <v/>
      </c>
      <c r="D1694">
        <f>IF(Skills!C13=1,60+Inputs!$B$25+Inputs!$B$29,IF(Skills!C13=2,90+Inputs!$B$26+Inputs!$B$29,IF(Skills!C13=3,120+Inputs!$B$27+Inputs!$B$29,MAX(0,(Inputs!$B$3-100)*3)+Inputs!$B$28+Inputs!$B$29)))</f>
        <v/>
      </c>
      <c r="E1694">
        <f>INDEX(FactorTable!$B$2:$Y$301, MATCH(ROUND(MIN(300,MAX(1,D1694)),0), FactorTable!$A$2:$A$301,0), Skills!M13+1)</f>
        <v/>
      </c>
      <c r="F1694">
        <f>IF(Skills!N13=TRUE,(Skills!L13/10)*(E1694/1000),Skills!L13/10)+Skills!O13</f>
        <v/>
      </c>
      <c r="G1694">
        <f>Skills!G13*IF(Skills!H13&gt;0,Skills!I13/Skills!H13,1)</f>
        <v/>
      </c>
      <c r="H1694">
        <f>1-(1-Skills!J13/100)^Skills!K13</f>
        <v/>
      </c>
      <c r="I1694" t="inlineStr">
        <is>
          <t>1</t>
        </is>
      </c>
      <c r="J1694" t="inlineStr"/>
      <c r="K1694" t="inlineStr"/>
      <c r="L1694" t="inlineStr"/>
      <c r="M1694" t="inlineStr"/>
      <c r="N1694" t="inlineStr"/>
      <c r="O1694">
        <f>(1-Summary!$B$11)*T1694+Summary!$B$11*V1694</f>
        <v/>
      </c>
      <c r="P1694">
        <f>IF(B1724=0,0,O1694/B1724)</f>
        <v/>
      </c>
      <c r="Q1694" t="n">
        <v>0</v>
      </c>
      <c r="R1694" t="n">
        <v>0</v>
      </c>
      <c r="S1694">
        <f>IFERROR(O1694/N1694,0)</f>
        <v/>
      </c>
      <c r="T1694" t="n">
        <v>0</v>
      </c>
      <c r="V1694" t="n">
        <v>0</v>
      </c>
    </row>
    <row r="1695">
      <c r="A1695">
        <f>Skills!A14</f>
        <v/>
      </c>
      <c r="B1695">
        <f>Skills!B14</f>
        <v/>
      </c>
      <c r="C1695">
        <f>Inputs!$B$3&gt;=74</f>
        <v/>
      </c>
      <c r="D1695">
        <f>IF(Skills!C14=1,60+Inputs!$B$25+Inputs!$B$29,IF(Skills!C14=2,90+Inputs!$B$26+Inputs!$B$29,IF(Skills!C14=3,120+Inputs!$B$27+Inputs!$B$29,MAX(0,(Inputs!$B$3-100)*3)+Inputs!$B$28+Inputs!$B$29)))</f>
        <v/>
      </c>
      <c r="E1695">
        <f>INDEX(FactorTable!$B$2:$Y$301, MATCH(ROUND(MIN(300,MAX(1,D1695)),0), FactorTable!$A$2:$A$301,0), Skills!M14+1)</f>
        <v/>
      </c>
      <c r="F1695">
        <f>IF(Skills!N14=TRUE,(Skills!L14/10)*(E1695/1000),Skills!L14/10)+Skills!O14</f>
        <v/>
      </c>
      <c r="G1695">
        <f>Skills!G14*IF(Skills!H14&gt;0,Skills!I14/Skills!H14,1)</f>
        <v/>
      </c>
      <c r="H1695">
        <f>1-(1-Skills!J14/100)^Skills!K14</f>
        <v/>
      </c>
      <c r="I1695" t="inlineStr">
        <is>
          <t>1</t>
        </is>
      </c>
      <c r="J1695" t="inlineStr"/>
      <c r="K1695" t="inlineStr"/>
      <c r="L1695" t="inlineStr"/>
      <c r="M1695" t="inlineStr"/>
      <c r="N1695" t="inlineStr"/>
      <c r="O1695">
        <f>(1-Summary!$B$11)*T1695+Summary!$B$11*V1695</f>
        <v/>
      </c>
      <c r="P1695">
        <f>IF(B1724=0,0,O1695/B1724)</f>
        <v/>
      </c>
      <c r="Q1695" t="n">
        <v>0</v>
      </c>
      <c r="R1695" t="n">
        <v>0</v>
      </c>
      <c r="S1695">
        <f>IFERROR(O1695/N1695,0)</f>
        <v/>
      </c>
      <c r="T1695" t="n">
        <v>0</v>
      </c>
      <c r="V1695" t="n">
        <v>0</v>
      </c>
    </row>
    <row r="1696">
      <c r="A1696">
        <f>Skills!A15</f>
        <v/>
      </c>
      <c r="B1696">
        <f>Skills!B15</f>
        <v/>
      </c>
      <c r="C1696">
        <f>Inputs!$B$3&gt;=117</f>
        <v/>
      </c>
      <c r="D1696">
        <f>IF(Skills!C15=1,60+Inputs!$B$25+Inputs!$B$29,IF(Skills!C15=2,90+Inputs!$B$26+Inputs!$B$29,IF(Skills!C15=3,120+Inputs!$B$27+Inputs!$B$29,MAX(0,(Inputs!$B$3-100)*3)+Inputs!$B$28+Inputs!$B$29)))</f>
        <v/>
      </c>
      <c r="E1696">
        <f>INDEX(FactorTable!$B$2:$Y$301, MATCH(ROUND(MIN(300,MAX(1,D1696)),0), FactorTable!$A$2:$A$301,0), Skills!M15+1)</f>
        <v/>
      </c>
      <c r="F1696">
        <f>IF(Skills!N15=TRUE,(Skills!L15/10)*(E1696/1000),Skills!L15/10)+Skills!O15</f>
        <v/>
      </c>
      <c r="G1696">
        <f>Skills!G15*IF(Skills!H15&gt;0,Skills!I15/Skills!H15,1)</f>
        <v/>
      </c>
      <c r="H1696">
        <f>1-(1-Skills!J15/100)^Skills!K15</f>
        <v/>
      </c>
      <c r="I1696" t="inlineStr">
        <is>
          <t>1</t>
        </is>
      </c>
      <c r="J1696" t="inlineStr"/>
      <c r="K1696" t="inlineStr"/>
      <c r="L1696" t="inlineStr"/>
      <c r="M1696" t="inlineStr"/>
      <c r="N1696" t="inlineStr"/>
      <c r="O1696">
        <f>(1-Summary!$B$11)*T1696+Summary!$B$11*V1696</f>
        <v/>
      </c>
      <c r="P1696">
        <f>IF(B1724=0,0,O1696/B1724)</f>
        <v/>
      </c>
      <c r="Q1696">
        <f>IFERROR(1/(IF(Inputs!$B$38="pvp",15,MAX(0.1,Skills!D15-IF(Skills!E15=TRUE,Inputs!$B$32,0)))*(1-IF(AND(ArtifactsInput!$M$27,Inputs!$B$4="Chapter Hunt"),CHOOSE(ArtifactsInput!$N$27+1,20,24,28,32,36,40),0)/100)),0)</f>
        <v/>
      </c>
      <c r="R1696">
        <f>IF(AND(Inputs!$B$38&lt;&gt;"pvp",Inputs!$B$43&gt;0),IF(Inputs!$B$43&lt;=0,0,(INT(Inputs!$B$43/(IF(Inputs!$B$38="pvp",15,MAX(0.1,Skills!D15-IF(Skills!E15=TRUE,Inputs!$B$32,0)))*(1-IF(AND(ArtifactsInput!$M$27,Inputs!$B$4="Chapter Hunt"),CHOOSE(ArtifactsInput!$N$27+1,20,24,28,32,36,40),0)/100)))+1)),0)</f>
        <v/>
      </c>
      <c r="S1696">
        <f>IFERROR(O1696/N1696,0)</f>
        <v/>
      </c>
      <c r="T1696" t="n">
        <v>0</v>
      </c>
      <c r="V1696" t="n">
        <v>0</v>
      </c>
    </row>
    <row r="1697">
      <c r="A1697">
        <f>Skills!A16</f>
        <v/>
      </c>
      <c r="B1697">
        <f>Skills!B16</f>
        <v/>
      </c>
      <c r="C1697">
        <f>Inputs!$B$3&gt;=115</f>
        <v/>
      </c>
      <c r="D1697">
        <f>IF(Skills!C16=1,60+Inputs!$B$25+Inputs!$B$29,IF(Skills!C16=2,90+Inputs!$B$26+Inputs!$B$29,IF(Skills!C16=3,120+Inputs!$B$27+Inputs!$B$29,MAX(0,(Inputs!$B$3-100)*3)+Inputs!$B$28+Inputs!$B$29)))</f>
        <v/>
      </c>
      <c r="E1697">
        <f>INDEX(FactorTable!$B$2:$Y$301, MATCH(ROUND(MIN(300,MAX(1,D1697)),0), FactorTable!$A$2:$A$301,0), Skills!M16+1)</f>
        <v/>
      </c>
      <c r="F1697">
        <f>IF(Skills!N16=TRUE,(Skills!L16/10)*(E1697/1000),Skills!L16/10)+Skills!O16</f>
        <v/>
      </c>
      <c r="G1697">
        <f>Skills!G16*IF(Skills!H16&gt;0,Skills!I16/Skills!H16,1)</f>
        <v/>
      </c>
      <c r="H1697">
        <f>1-(1-Skills!J16/100)^Skills!K16</f>
        <v/>
      </c>
      <c r="I1697" t="inlineStr">
        <is>
          <t>1</t>
        </is>
      </c>
      <c r="J1697" t="inlineStr"/>
      <c r="K1697" t="inlineStr"/>
      <c r="L1697" t="inlineStr"/>
      <c r="M1697" t="inlineStr"/>
      <c r="N1697" t="inlineStr"/>
      <c r="O1697">
        <f>(1-Summary!$B$11)*T1697+Summary!$B$11*V1697</f>
        <v/>
      </c>
      <c r="P1697">
        <f>IF(B1724=0,0,O1697/B1724)</f>
        <v/>
      </c>
      <c r="Q1697">
        <f>IFERROR(1/(IF(Inputs!$B$38="pvp",15,MAX(0.1,Skills!D16-IF(Skills!E16=TRUE,Inputs!$B$32,0)))*(1-IF(AND(ArtifactsInput!$M$27,Inputs!$B$4="Chapter Hunt"),CHOOSE(ArtifactsInput!$N$27+1,20,24,28,32,36,40),0)/100)),0)</f>
        <v/>
      </c>
      <c r="R1697">
        <f>IF(AND(Inputs!$B$38&lt;&gt;"pvp",Inputs!$B$43&gt;0),IF(Inputs!$B$43&lt;=0,0,(INT(Inputs!$B$43/(IF(Inputs!$B$38="pvp",15,MAX(0.1,Skills!D16-IF(Skills!E16=TRUE,Inputs!$B$32,0)))*(1-IF(AND(ArtifactsInput!$M$27,Inputs!$B$4="Chapter Hunt"),CHOOSE(ArtifactsInput!$N$27+1,20,24,28,32,36,40),0)/100)))+1)),0)</f>
        <v/>
      </c>
      <c r="S1697">
        <f>IFERROR(O1697/N1697,0)</f>
        <v/>
      </c>
      <c r="T1697" t="n">
        <v>0</v>
      </c>
      <c r="V1697" t="n">
        <v>0</v>
      </c>
    </row>
    <row r="1698">
      <c r="A1698">
        <f>Skills!A17</f>
        <v/>
      </c>
      <c r="B1698">
        <f>Skills!B17</f>
        <v/>
      </c>
      <c r="C1698">
        <f>Inputs!$B$3&gt;=66</f>
        <v/>
      </c>
      <c r="D1698">
        <f>IF(Skills!C17=1,60+Inputs!$B$25+Inputs!$B$29,IF(Skills!C17=2,90+Inputs!$B$26+Inputs!$B$29,IF(Skills!C17=3,120+Inputs!$B$27+Inputs!$B$29,MAX(0,(Inputs!$B$3-100)*3)+Inputs!$B$28+Inputs!$B$29)))</f>
        <v/>
      </c>
      <c r="E1698">
        <f>INDEX(FactorTable!$B$2:$Y$301, MATCH(ROUND(MIN(300,MAX(1,D1698)),0), FactorTable!$A$2:$A$301,0), Skills!M17+1)</f>
        <v/>
      </c>
      <c r="F1698">
        <f>IF(Skills!N17=TRUE,(Skills!L17/10)*(E1698/1000),Skills!L17/10)+Skills!O17</f>
        <v/>
      </c>
      <c r="G1698">
        <f>Skills!G17*IF(Skills!H17&gt;0,Skills!I17/Skills!H17,1)</f>
        <v/>
      </c>
      <c r="H1698">
        <f>1-(1-Skills!J17/100)^Skills!K17</f>
        <v/>
      </c>
      <c r="I1698" t="inlineStr">
        <is>
          <t>1</t>
        </is>
      </c>
      <c r="J1698" t="inlineStr"/>
      <c r="K1698" t="inlineStr"/>
      <c r="L1698" t="inlineStr"/>
      <c r="M1698" t="inlineStr"/>
      <c r="N1698" t="inlineStr"/>
      <c r="O1698">
        <f>(1-Summary!$B$11)*T1698+Summary!$B$11*V1698</f>
        <v/>
      </c>
      <c r="P1698">
        <f>IF(B1724=0,0,O1698/B1724)</f>
        <v/>
      </c>
      <c r="Q1698" t="n">
        <v>0</v>
      </c>
      <c r="R1698" t="n">
        <v>0</v>
      </c>
      <c r="S1698">
        <f>IFERROR(O1698/N1698,0)</f>
        <v/>
      </c>
      <c r="T1698" t="n">
        <v>0</v>
      </c>
      <c r="V1698" t="n">
        <v>0</v>
      </c>
    </row>
    <row r="1699">
      <c r="A1699">
        <f>Skills!A18</f>
        <v/>
      </c>
      <c r="B1699">
        <f>Skills!B18</f>
        <v/>
      </c>
      <c r="C1699">
        <f>Inputs!$B$3&gt;=72</f>
        <v/>
      </c>
      <c r="D1699">
        <f>IF(Skills!C18=1,60+Inputs!$B$25+Inputs!$B$29,IF(Skills!C18=2,90+Inputs!$B$26+Inputs!$B$29,IF(Skills!C18=3,120+Inputs!$B$27+Inputs!$B$29,MAX(0,(Inputs!$B$3-100)*3)+Inputs!$B$28+Inputs!$B$29)))</f>
        <v/>
      </c>
      <c r="E1699">
        <f>INDEX(FactorTable!$B$2:$Y$301, MATCH(ROUND(MIN(300,MAX(1,D1699)),0), FactorTable!$A$2:$A$301,0), Skills!M18+1)</f>
        <v/>
      </c>
      <c r="F1699">
        <f>IF(Skills!N18=TRUE,(Skills!L18/10)*(E1699/1000),Skills!L18/10)+Skills!O18</f>
        <v/>
      </c>
      <c r="G1699">
        <f>Skills!G18*IF(Skills!H18&gt;0,Skills!I18/Skills!H18,1)</f>
        <v/>
      </c>
      <c r="H1699">
        <f>1-(1-Skills!J18/100)^Skills!K18</f>
        <v/>
      </c>
      <c r="I1699" t="inlineStr">
        <is>
          <t>1</t>
        </is>
      </c>
      <c r="J1699" t="inlineStr"/>
      <c r="K1699" t="inlineStr"/>
      <c r="L1699" t="inlineStr"/>
      <c r="M1699" t="inlineStr"/>
      <c r="N1699" t="inlineStr"/>
      <c r="O1699">
        <f>(1-Summary!$B$11)*T1699+Summary!$B$11*V1699</f>
        <v/>
      </c>
      <c r="P1699">
        <f>IF(B1724=0,0,O1699/B1724)</f>
        <v/>
      </c>
      <c r="Q1699" t="n">
        <v>0</v>
      </c>
      <c r="R1699" t="n">
        <v>0</v>
      </c>
      <c r="S1699">
        <f>IFERROR(O1699/N1699,0)</f>
        <v/>
      </c>
      <c r="T1699" t="n">
        <v>0</v>
      </c>
      <c r="V1699" t="n">
        <v>0</v>
      </c>
    </row>
    <row r="1700">
      <c r="A1700">
        <f>Skills!A19</f>
        <v/>
      </c>
      <c r="B1700">
        <f>Skills!B19</f>
        <v/>
      </c>
      <c r="C1700">
        <f>TRUE</f>
        <v/>
      </c>
      <c r="D1700">
        <f>IF(Skills!C19=1,60+Inputs!$B$25+Inputs!$B$29,IF(Skills!C19=2,90+Inputs!$B$26+Inputs!$B$29,IF(Skills!C19=3,120+Inputs!$B$27+Inputs!$B$29,MAX(0,(Inputs!$B$3-100)*3)+Inputs!$B$28+Inputs!$B$29)))</f>
        <v/>
      </c>
      <c r="E1700">
        <f>INDEX(FactorTable!$B$2:$Y$301, MATCH(ROUND(MIN(300,MAX(1,D1700)),0), FactorTable!$A$2:$A$301,0), Skills!M19+1)</f>
        <v/>
      </c>
      <c r="F1700">
        <f>IF(Skills!N19=TRUE,(Skills!L19/10)*(E1700/1000),Skills!L19/10)+Skills!O19</f>
        <v/>
      </c>
      <c r="G1700">
        <f>Skills!G19*IF(Skills!H19&gt;0,Skills!I19/Skills!H19,1)</f>
        <v/>
      </c>
      <c r="H1700">
        <f>1-(1-Skills!J19/100)^Skills!K19</f>
        <v/>
      </c>
      <c r="I1700" t="inlineStr">
        <is>
          <t>1</t>
        </is>
      </c>
      <c r="J1700" t="inlineStr"/>
      <c r="K1700" t="inlineStr"/>
      <c r="L1700" t="inlineStr"/>
      <c r="M1700" t="inlineStr"/>
      <c r="N1700" t="inlineStr"/>
      <c r="O1700">
        <f>(1-Summary!$B$11)*T1700+Summary!$B$11*V1700</f>
        <v/>
      </c>
      <c r="P1700">
        <f>IF(B1724=0,0,O1700/B1724)</f>
        <v/>
      </c>
      <c r="Q1700">
        <f>IFERROR(1/(IF(Inputs!$B$38="pvp",15,MAX(0.1,Skills!D19-IF(Skills!E19=TRUE,Inputs!$B$32,0)))*(1-IF(AND(ArtifactsInput!$M$27,Inputs!$B$4="Chapter Hunt"),CHOOSE(ArtifactsInput!$N$27+1,20,24,28,32,36,40),0)/100)),0)</f>
        <v/>
      </c>
      <c r="R1700">
        <f>IF(AND(Inputs!$B$38&lt;&gt;"pvp",Inputs!$B$43&gt;0),IF(Inputs!$B$43&lt;=0,0,(INT(Inputs!$B$43/(IF(Inputs!$B$38="pvp",15,MAX(0.1,Skills!D19-IF(Skills!E19=TRUE,Inputs!$B$32,0)))*(1-IF(AND(ArtifactsInput!$M$27,Inputs!$B$4="Chapter Hunt"),CHOOSE(ArtifactsInput!$N$27+1,20,24,28,32,36,40),0)/100)))+1)),0)</f>
        <v/>
      </c>
      <c r="S1700">
        <f>IFERROR(O1700/N1700,0)</f>
        <v/>
      </c>
      <c r="T1700" t="n">
        <v>0</v>
      </c>
      <c r="V1700" t="n">
        <v>0</v>
      </c>
    </row>
    <row r="1701">
      <c r="A1701">
        <f>Skills!A20</f>
        <v/>
      </c>
      <c r="B1701">
        <f>Skills!B20</f>
        <v/>
      </c>
      <c r="C1701">
        <f>Inputs!$B$3&gt;=15</f>
        <v/>
      </c>
      <c r="D1701">
        <f>IF(Skills!C20=1,60+Inputs!$B$25+Inputs!$B$29,IF(Skills!C20=2,90+Inputs!$B$26+Inputs!$B$29,IF(Skills!C20=3,120+Inputs!$B$27+Inputs!$B$29,MAX(0,(Inputs!$B$3-100)*3)+Inputs!$B$28+Inputs!$B$29)))</f>
        <v/>
      </c>
      <c r="E1701">
        <f>INDEX(FactorTable!$B$2:$Y$301, MATCH(ROUND(MIN(300,MAX(1,D1701)),0), FactorTable!$A$2:$A$301,0), Skills!M20+1)</f>
        <v/>
      </c>
      <c r="F1701">
        <f>IF(Skills!N20=TRUE,(Skills!L20/10)*(E1701/1000),Skills!L20/10)+Skills!O20</f>
        <v/>
      </c>
      <c r="G1701">
        <f>Skills!G20*IF(Skills!H20&gt;0,Skills!I20/Skills!H20,1)</f>
        <v/>
      </c>
      <c r="H1701">
        <f>1-(1-Skills!J20/100)^Skills!K20</f>
        <v/>
      </c>
      <c r="I1701" t="inlineStr">
        <is>
          <t>1</t>
        </is>
      </c>
      <c r="J1701" t="inlineStr"/>
      <c r="K1701" t="inlineStr"/>
      <c r="L1701" t="inlineStr"/>
      <c r="M1701" t="inlineStr"/>
      <c r="N1701" t="inlineStr"/>
      <c r="O1701">
        <f>(1-Summary!$B$11)*T1701+Summary!$B$11*V1701</f>
        <v/>
      </c>
      <c r="P1701">
        <f>IF(B1724=0,0,O1701/B1724)</f>
        <v/>
      </c>
      <c r="Q1701" t="n">
        <v>0</v>
      </c>
      <c r="R1701" t="n">
        <v>0</v>
      </c>
      <c r="S1701">
        <f>IFERROR(O1701/N1701,0)</f>
        <v/>
      </c>
      <c r="T1701" t="n">
        <v>0</v>
      </c>
      <c r="V1701" t="n">
        <v>0</v>
      </c>
    </row>
    <row r="1702">
      <c r="A1702">
        <f>Skills!A21</f>
        <v/>
      </c>
      <c r="B1702">
        <f>Skills!B21</f>
        <v/>
      </c>
      <c r="C1702">
        <f>Inputs!$B$3&gt;=10</f>
        <v/>
      </c>
      <c r="D1702">
        <f>IF(Skills!C21=1,60+Inputs!$B$25+Inputs!$B$29,IF(Skills!C21=2,90+Inputs!$B$26+Inputs!$B$29,IF(Skills!C21=3,120+Inputs!$B$27+Inputs!$B$29,MAX(0,(Inputs!$B$3-100)*3)+Inputs!$B$28+Inputs!$B$29)))</f>
        <v/>
      </c>
      <c r="E1702">
        <f>INDEX(FactorTable!$B$2:$Y$301, MATCH(ROUND(MIN(300,MAX(1,D1702)),0), FactorTable!$A$2:$A$301,0), Skills!M21+1)</f>
        <v/>
      </c>
      <c r="F1702">
        <f>IF(Skills!N21=TRUE,(Skills!L21/10)*(E1702/1000),Skills!L21/10)+Skills!O21</f>
        <v/>
      </c>
      <c r="G1702">
        <f>Skills!G21*IF(Skills!H21&gt;0,Skills!I21/Skills!H21,1)</f>
        <v/>
      </c>
      <c r="H1702">
        <f>1-(1-Skills!J21/100)^Skills!K21</f>
        <v/>
      </c>
      <c r="I1702" t="inlineStr">
        <is>
          <t>1</t>
        </is>
      </c>
      <c r="J1702" t="inlineStr"/>
      <c r="K1702" t="inlineStr"/>
      <c r="L1702" t="inlineStr"/>
      <c r="M1702" t="inlineStr"/>
      <c r="N1702" t="inlineStr"/>
      <c r="O1702">
        <f>(1-Summary!$B$11)*T1702+Summary!$B$11*V1702</f>
        <v/>
      </c>
      <c r="P1702">
        <f>IF(B1724=0,0,O1702/B1724)</f>
        <v/>
      </c>
      <c r="Q1702" t="n">
        <v>0</v>
      </c>
      <c r="R1702" t="n">
        <v>0</v>
      </c>
      <c r="S1702">
        <f>IFERROR(O1702/N1702,0)</f>
        <v/>
      </c>
      <c r="T1702" t="n">
        <v>0</v>
      </c>
      <c r="V1702" t="n">
        <v>0</v>
      </c>
    </row>
    <row r="1703">
      <c r="A1703">
        <f>Skills!A22</f>
        <v/>
      </c>
      <c r="B1703">
        <f>Skills!B22</f>
        <v/>
      </c>
      <c r="C1703">
        <f>Inputs!$B$3&gt;=33</f>
        <v/>
      </c>
      <c r="D1703">
        <f>IF(Skills!C22=1,60+Inputs!$B$25+Inputs!$B$29,IF(Skills!C22=2,90+Inputs!$B$26+Inputs!$B$29,IF(Skills!C22=3,120+Inputs!$B$27+Inputs!$B$29,MAX(0,(Inputs!$B$3-100)*3)+Inputs!$B$28+Inputs!$B$29)))</f>
        <v/>
      </c>
      <c r="E1703">
        <f>INDEX(FactorTable!$B$2:$Y$301, MATCH(ROUND(MIN(300,MAX(1,D1703)),0), FactorTable!$A$2:$A$301,0), Skills!M22+1)</f>
        <v/>
      </c>
      <c r="F1703">
        <f>IF(Skills!N22=TRUE,(Skills!L22/10)*(E1703/1000),Skills!L22/10)+Skills!O22</f>
        <v/>
      </c>
      <c r="G1703">
        <f>Skills!G22*IF(Skills!H22&gt;0,Skills!I22/Skills!H22,1)</f>
        <v/>
      </c>
      <c r="H1703">
        <f>1-(1-Skills!J22/100)^Skills!K22</f>
        <v/>
      </c>
      <c r="I1703" t="inlineStr">
        <is>
          <t>1</t>
        </is>
      </c>
      <c r="J1703" t="inlineStr"/>
      <c r="K1703" t="inlineStr"/>
      <c r="L1703" t="inlineStr"/>
      <c r="M1703" t="inlineStr"/>
      <c r="N1703" t="inlineStr"/>
      <c r="O1703">
        <f>(1-Summary!$B$11)*T1703+Summary!$B$11*V1703</f>
        <v/>
      </c>
      <c r="P1703">
        <f>IF(B1724=0,0,O1703/B1724)</f>
        <v/>
      </c>
      <c r="Q1703" t="n">
        <v>0</v>
      </c>
      <c r="R1703" t="n">
        <v>0</v>
      </c>
      <c r="S1703">
        <f>IFERROR(O1703/N1703,0)</f>
        <v/>
      </c>
      <c r="T1703" t="n">
        <v>0</v>
      </c>
      <c r="V1703" t="n">
        <v>0</v>
      </c>
    </row>
    <row r="1704">
      <c r="A1704">
        <f>Skills!A23</f>
        <v/>
      </c>
      <c r="B1704">
        <f>Skills!B23</f>
        <v/>
      </c>
      <c r="C1704">
        <f>Inputs!$B$3&gt;=38</f>
        <v/>
      </c>
      <c r="D1704">
        <f>IF(Skills!C23=1,60+Inputs!$B$25+Inputs!$B$29,IF(Skills!C23=2,90+Inputs!$B$26+Inputs!$B$29,IF(Skills!C23=3,120+Inputs!$B$27+Inputs!$B$29,MAX(0,(Inputs!$B$3-100)*3)+Inputs!$B$28+Inputs!$B$29)))</f>
        <v/>
      </c>
      <c r="E1704">
        <f>INDEX(FactorTable!$B$2:$Y$301, MATCH(ROUND(MIN(300,MAX(1,D1704)),0), FactorTable!$A$2:$A$301,0), Skills!M23+1)</f>
        <v/>
      </c>
      <c r="F1704">
        <f>IF(Skills!N23=TRUE,(Skills!L23/10)*(E1704/1000),Skills!L23/10)+Skills!O23</f>
        <v/>
      </c>
      <c r="G1704">
        <f>Skills!G23*IF(Skills!H23&gt;0,Skills!I23/Skills!H23,1)</f>
        <v/>
      </c>
      <c r="H1704">
        <f>1-(1-Skills!J23/100)^Skills!K23</f>
        <v/>
      </c>
      <c r="I1704" t="inlineStr">
        <is>
          <t>1</t>
        </is>
      </c>
      <c r="J1704" t="inlineStr"/>
      <c r="K1704" t="inlineStr"/>
      <c r="L1704" t="inlineStr"/>
      <c r="M1704" t="inlineStr"/>
      <c r="N1704" t="inlineStr"/>
      <c r="O1704">
        <f>(1-Summary!$B$11)*T1704+Summary!$B$11*V1704</f>
        <v/>
      </c>
      <c r="P1704">
        <f>IF(B1724=0,0,O1704/B1724)</f>
        <v/>
      </c>
      <c r="Q1704" t="n">
        <v>0</v>
      </c>
      <c r="R1704" t="n">
        <v>0</v>
      </c>
      <c r="S1704">
        <f>IFERROR(O1704/N1704,0)</f>
        <v/>
      </c>
      <c r="T1704" t="n">
        <v>0</v>
      </c>
      <c r="V1704" t="n">
        <v>0</v>
      </c>
    </row>
    <row r="1705">
      <c r="A1705">
        <f>Skills!A24</f>
        <v/>
      </c>
      <c r="B1705">
        <f>Skills!B24</f>
        <v/>
      </c>
      <c r="C1705">
        <f>Inputs!$B$3&gt;=43</f>
        <v/>
      </c>
      <c r="D1705">
        <f>IF(Skills!C24=1,60+Inputs!$B$25+Inputs!$B$29,IF(Skills!C24=2,90+Inputs!$B$26+Inputs!$B$29,IF(Skills!C24=3,120+Inputs!$B$27+Inputs!$B$29,MAX(0,(Inputs!$B$3-100)*3)+Inputs!$B$28+Inputs!$B$29)))</f>
        <v/>
      </c>
      <c r="E1705">
        <f>INDEX(FactorTable!$B$2:$Y$301, MATCH(ROUND(MIN(300,MAX(1,D1705)),0), FactorTable!$A$2:$A$301,0), Skills!M24+1)</f>
        <v/>
      </c>
      <c r="F1705">
        <f>IF(Skills!N24=TRUE,(Skills!L24/10)*(E1705/1000),Skills!L24/10)+Skills!O24</f>
        <v/>
      </c>
      <c r="G1705">
        <f>Skills!G24*IF(Skills!H24&gt;0,Skills!I24/Skills!H24,1)</f>
        <v/>
      </c>
      <c r="H1705">
        <f>1-(1-Skills!J24/100)^Skills!K24</f>
        <v/>
      </c>
      <c r="I1705" t="inlineStr">
        <is>
          <t>1</t>
        </is>
      </c>
      <c r="J1705" t="inlineStr"/>
      <c r="K1705" t="inlineStr"/>
      <c r="L1705" t="inlineStr"/>
      <c r="M1705" t="inlineStr"/>
      <c r="N1705" t="inlineStr"/>
      <c r="O1705">
        <f>(1-Summary!$B$11)*T1705+Summary!$B$11*V1705</f>
        <v/>
      </c>
      <c r="P1705">
        <f>IF(B1724=0,0,O1705/B1724)</f>
        <v/>
      </c>
      <c r="Q1705" t="n">
        <v>0</v>
      </c>
      <c r="R1705" t="n">
        <v>0</v>
      </c>
      <c r="S1705">
        <f>IFERROR(O1705/N1705,0)</f>
        <v/>
      </c>
      <c r="T1705" t="n">
        <v>0</v>
      </c>
      <c r="V1705" t="n">
        <v>0</v>
      </c>
    </row>
    <row r="1706">
      <c r="A1706">
        <f>Skills!A25</f>
        <v/>
      </c>
      <c r="B1706">
        <f>Skills!B25</f>
        <v/>
      </c>
      <c r="C1706">
        <f>Inputs!$B$3&gt;=75</f>
        <v/>
      </c>
      <c r="D1706">
        <f>IF(Skills!C25=1,60+Inputs!$B$25+Inputs!$B$29,IF(Skills!C25=2,90+Inputs!$B$26+Inputs!$B$29,IF(Skills!C25=3,120+Inputs!$B$27+Inputs!$B$29,MAX(0,(Inputs!$B$3-100)*3)+Inputs!$B$28+Inputs!$B$29)))</f>
        <v/>
      </c>
      <c r="E1706">
        <f>INDEX(FactorTable!$B$2:$Y$301, MATCH(ROUND(MIN(300,MAX(1,D1706)),0), FactorTable!$A$2:$A$301,0), Skills!M25+1)</f>
        <v/>
      </c>
      <c r="F1706">
        <f>IF(Skills!N25=TRUE,(Skills!L25/10)*(E1706/1000),Skills!L25/10)+Skills!O25</f>
        <v/>
      </c>
      <c r="G1706">
        <f>Skills!G25*IF(Skills!H25&gt;0,Skills!I25/Skills!H25,1)</f>
        <v/>
      </c>
      <c r="H1706">
        <f>1-(1-Skills!J25/100)^Skills!K25</f>
        <v/>
      </c>
      <c r="I1706" t="inlineStr">
        <is>
          <t>1</t>
        </is>
      </c>
      <c r="J1706" t="inlineStr"/>
      <c r="K1706" t="inlineStr"/>
      <c r="L1706" t="inlineStr"/>
      <c r="M1706" t="inlineStr"/>
      <c r="N1706" t="inlineStr"/>
      <c r="O1706">
        <f>(1-Summary!$B$11)*T1706+Summary!$B$11*V1706</f>
        <v/>
      </c>
      <c r="P1706">
        <f>IF(B1724=0,0,O1706/B1724)</f>
        <v/>
      </c>
      <c r="Q1706" t="n">
        <v>0</v>
      </c>
      <c r="R1706" t="n">
        <v>0</v>
      </c>
      <c r="S1706">
        <f>IFERROR(O1706/N1706,0)</f>
        <v/>
      </c>
      <c r="T1706" t="n">
        <v>0</v>
      </c>
      <c r="V1706" t="n">
        <v>0</v>
      </c>
    </row>
    <row r="1707">
      <c r="A1707">
        <f>Skills!A26</f>
        <v/>
      </c>
      <c r="B1707">
        <f>Skills!B26</f>
        <v/>
      </c>
      <c r="C1707">
        <f>Inputs!$B$3&gt;=125</f>
        <v/>
      </c>
      <c r="D1707">
        <f>IF(Skills!C26=1,60+Inputs!$B$25+Inputs!$B$29,IF(Skills!C26=2,90+Inputs!$B$26+Inputs!$B$29,IF(Skills!C26=3,120+Inputs!$B$27+Inputs!$B$29,MAX(0,(Inputs!$B$3-100)*3)+Inputs!$B$28+Inputs!$B$29)))</f>
        <v/>
      </c>
      <c r="E1707">
        <f>INDEX(FactorTable!$B$2:$Y$301, MATCH(ROUND(MIN(300,MAX(1,D1707)),0), FactorTable!$A$2:$A$301,0), Skills!M26+1)</f>
        <v/>
      </c>
      <c r="F1707">
        <f>IF(Skills!N26=TRUE,(Skills!L26/10)*(E1707/1000),Skills!L26/10)+Skills!O26</f>
        <v/>
      </c>
      <c r="G1707">
        <f>Skills!G26*IF(Skills!H26&gt;0,Skills!I26/Skills!H26,1)</f>
        <v/>
      </c>
      <c r="H1707">
        <f>1-(1-Skills!J26/100)^Skills!K26</f>
        <v/>
      </c>
      <c r="I1707" t="inlineStr">
        <is>
          <t>1</t>
        </is>
      </c>
      <c r="J1707" t="inlineStr"/>
      <c r="K1707" t="inlineStr"/>
      <c r="L1707" t="inlineStr"/>
      <c r="M1707" t="inlineStr"/>
      <c r="N1707" t="inlineStr"/>
      <c r="O1707">
        <f>(1-Summary!$B$11)*T1707+Summary!$B$11*V1707</f>
        <v/>
      </c>
      <c r="P1707">
        <f>IF(B1724=0,0,O1707/B1724)</f>
        <v/>
      </c>
      <c r="Q1707" t="n">
        <v>0</v>
      </c>
      <c r="R1707" t="n">
        <v>0</v>
      </c>
      <c r="S1707">
        <f>IFERROR(O1707/N1707,0)</f>
        <v/>
      </c>
      <c r="T1707" t="n">
        <v>0</v>
      </c>
      <c r="V1707" t="n">
        <v>0</v>
      </c>
    </row>
    <row r="1708">
      <c r="A1708">
        <f>Skills!A27</f>
        <v/>
      </c>
      <c r="B1708">
        <f>Skills!B27</f>
        <v/>
      </c>
      <c r="C1708">
        <f>Inputs!$B$3&gt;=125</f>
        <v/>
      </c>
      <c r="D1708">
        <f>IF(Skills!C27=1,60+Inputs!$B$25+Inputs!$B$29,IF(Skills!C27=2,90+Inputs!$B$26+Inputs!$B$29,IF(Skills!C27=3,120+Inputs!$B$27+Inputs!$B$29,MAX(0,(Inputs!$B$3-100)*3)+Inputs!$B$28+Inputs!$B$29)))</f>
        <v/>
      </c>
      <c r="E1708">
        <f>INDEX(FactorTable!$B$2:$Y$301, MATCH(ROUND(MIN(300,MAX(1,D1708)),0), FactorTable!$A$2:$A$301,0), Skills!M27+1)</f>
        <v/>
      </c>
      <c r="F1708">
        <f>IF(Skills!N27=TRUE,(Skills!L27/10)*(E1708/1000),Skills!L27/10)+Skills!O27</f>
        <v/>
      </c>
      <c r="G1708">
        <f>Skills!G27*IF(Skills!H27&gt;0,Skills!I27/Skills!H27,1)</f>
        <v/>
      </c>
      <c r="H1708">
        <f>1-(1-Skills!J27/100)^Skills!K27</f>
        <v/>
      </c>
      <c r="I1708" t="inlineStr">
        <is>
          <t>1</t>
        </is>
      </c>
      <c r="J1708" t="inlineStr"/>
      <c r="K1708" t="inlineStr"/>
      <c r="L1708" t="inlineStr"/>
      <c r="M1708" t="inlineStr"/>
      <c r="N1708" t="inlineStr"/>
      <c r="O1708">
        <f>(1-Summary!$B$11)*T1708+Summary!$B$11*V1708</f>
        <v/>
      </c>
      <c r="P1708">
        <f>IF(B1724=0,0,O1708/B1724)</f>
        <v/>
      </c>
      <c r="Q1708" t="n">
        <v>0</v>
      </c>
      <c r="R1708" t="n">
        <v>0</v>
      </c>
      <c r="S1708">
        <f>IFERROR(O1708/N1708,0)</f>
        <v/>
      </c>
      <c r="T1708" t="n">
        <v>0</v>
      </c>
      <c r="V1708" t="n">
        <v>0</v>
      </c>
    </row>
    <row r="1709">
      <c r="A1709">
        <f>Skills!A28</f>
        <v/>
      </c>
      <c r="B1709">
        <f>Skills!B28</f>
        <v/>
      </c>
      <c r="C1709">
        <f>Inputs!$B$3&gt;=120</f>
        <v/>
      </c>
      <c r="D1709">
        <f>IF(Skills!C28=1,60+Inputs!$B$25+Inputs!$B$29,IF(Skills!C28=2,90+Inputs!$B$26+Inputs!$B$29,IF(Skills!C28=3,120+Inputs!$B$27+Inputs!$B$29,MAX(0,(Inputs!$B$3-100)*3)+Inputs!$B$28+Inputs!$B$29)))</f>
        <v/>
      </c>
      <c r="E1709">
        <f>INDEX(FactorTable!$B$2:$Y$301, MATCH(ROUND(MIN(300,MAX(1,D1709)),0), FactorTable!$A$2:$A$301,0), Skills!M28+1)</f>
        <v/>
      </c>
      <c r="F1709">
        <f>IF(Skills!N28=TRUE,(Skills!L28/10)*(E1709/1000),Skills!L28/10)+Skills!O28</f>
        <v/>
      </c>
      <c r="G1709">
        <f>Skills!G28*IF(Skills!H28&gt;0,Skills!I28/Skills!H28,1)</f>
        <v/>
      </c>
      <c r="H1709">
        <f>1-(1-Skills!J28/100)^Skills!K28</f>
        <v/>
      </c>
      <c r="I1709" t="inlineStr">
        <is>
          <t>1</t>
        </is>
      </c>
      <c r="J1709" t="inlineStr"/>
      <c r="K1709" t="inlineStr"/>
      <c r="L1709" t="inlineStr"/>
      <c r="M1709" t="inlineStr"/>
      <c r="N1709" t="inlineStr"/>
      <c r="O1709">
        <f>(1-Summary!$B$11)*T1709+Summary!$B$11*V1709</f>
        <v/>
      </c>
      <c r="P1709">
        <f>IF(B1724=0,0,O1709/B1724)</f>
        <v/>
      </c>
      <c r="Q1709" t="n">
        <v>0</v>
      </c>
      <c r="R1709" t="n">
        <v>0</v>
      </c>
      <c r="S1709">
        <f>IFERROR(O1709/N1709,0)</f>
        <v/>
      </c>
      <c r="T1709" t="n">
        <v>0</v>
      </c>
      <c r="V1709" t="n">
        <v>0</v>
      </c>
    </row>
    <row r="1710">
      <c r="A1710">
        <f>Skills!A29</f>
        <v/>
      </c>
      <c r="B1710">
        <f>Skills!B29</f>
        <v/>
      </c>
      <c r="C1710">
        <f>Inputs!$B$3&gt;=120</f>
        <v/>
      </c>
      <c r="D1710">
        <f>IF(Skills!C29=1,60+Inputs!$B$25+Inputs!$B$29,IF(Skills!C29=2,90+Inputs!$B$26+Inputs!$B$29,IF(Skills!C29=3,120+Inputs!$B$27+Inputs!$B$29,MAX(0,(Inputs!$B$3-100)*3)+Inputs!$B$28+Inputs!$B$29)))</f>
        <v/>
      </c>
      <c r="E1710">
        <f>INDEX(FactorTable!$B$2:$Y$301, MATCH(ROUND(MIN(300,MAX(1,D1710)),0), FactorTable!$A$2:$A$301,0), Skills!M29+1)</f>
        <v/>
      </c>
      <c r="F1710">
        <f>IF(Skills!N29=TRUE,(Skills!L29/10)*(E1710/1000),Skills!L29/10)+Skills!O29</f>
        <v/>
      </c>
      <c r="G1710">
        <f>Skills!G29*IF(Skills!H29&gt;0,Skills!I29/Skills!H29,1)</f>
        <v/>
      </c>
      <c r="H1710">
        <f>1-(1-Skills!J29/100)^Skills!K29</f>
        <v/>
      </c>
      <c r="I1710" t="inlineStr">
        <is>
          <t>1</t>
        </is>
      </c>
      <c r="J1710" t="inlineStr"/>
      <c r="K1710" t="inlineStr"/>
      <c r="L1710" t="inlineStr"/>
      <c r="M1710" t="inlineStr"/>
      <c r="N1710" t="inlineStr"/>
      <c r="O1710">
        <f>(1-Summary!$B$11)*T1710+Summary!$B$11*V1710</f>
        <v/>
      </c>
      <c r="P1710">
        <f>IF(B1724=0,0,O1710/B1724)</f>
        <v/>
      </c>
      <c r="Q1710" t="n">
        <v>0</v>
      </c>
      <c r="R1710" t="n">
        <v>0</v>
      </c>
      <c r="S1710">
        <f>IFERROR(O1710/N1710,0)</f>
        <v/>
      </c>
      <c r="T1710" t="n">
        <v>0</v>
      </c>
      <c r="V1710" t="n">
        <v>0</v>
      </c>
    </row>
    <row r="1711">
      <c r="A1711">
        <f>Skills!A30</f>
        <v/>
      </c>
      <c r="B1711">
        <f>Skills!B30</f>
        <v/>
      </c>
      <c r="C1711">
        <f>Inputs!$B$3&gt;=45</f>
        <v/>
      </c>
      <c r="D1711">
        <f>IF(Skills!C30=1,60+Inputs!$B$25+Inputs!$B$29,IF(Skills!C30=2,90+Inputs!$B$26+Inputs!$B$29,IF(Skills!C30=3,120+Inputs!$B$27+Inputs!$B$29,MAX(0,(Inputs!$B$3-100)*3)+Inputs!$B$28+Inputs!$B$29)))</f>
        <v/>
      </c>
      <c r="E1711">
        <f>INDEX(FactorTable!$B$2:$Y$301, MATCH(ROUND(MIN(300,MAX(1,D1711)),0), FactorTable!$A$2:$A$301,0), Skills!M30+1)</f>
        <v/>
      </c>
      <c r="F1711">
        <f>IF(Skills!N30=TRUE,(Skills!L30/10)*(E1711/1000),Skills!L30/10)+Skills!O30</f>
        <v/>
      </c>
      <c r="G1711">
        <f>Skills!G30*IF(Skills!H30&gt;0,Skills!I30/Skills!H30,1)</f>
        <v/>
      </c>
      <c r="H1711">
        <f>1-(1-Skills!J30/100)^Skills!K30</f>
        <v/>
      </c>
      <c r="I1711" t="inlineStr">
        <is>
          <t>1</t>
        </is>
      </c>
      <c r="J1711" t="inlineStr"/>
      <c r="K1711" t="inlineStr"/>
      <c r="L1711" t="inlineStr"/>
      <c r="M1711" t="inlineStr"/>
      <c r="N1711" t="inlineStr"/>
      <c r="O1711">
        <f>(1-Summary!$B$11)*T1711+Summary!$B$11*V1711</f>
        <v/>
      </c>
      <c r="P1711">
        <f>IF(B1724=0,0,O1711/B1724)</f>
        <v/>
      </c>
      <c r="Q1711" t="n">
        <v>0</v>
      </c>
      <c r="R1711" t="n">
        <v>0</v>
      </c>
      <c r="S1711">
        <f>IFERROR(O1711/N1711,0)</f>
        <v/>
      </c>
      <c r="T1711" t="n">
        <v>0</v>
      </c>
      <c r="V1711" t="n">
        <v>0</v>
      </c>
    </row>
    <row r="1713">
      <c r="A1713" t="inlineStr">
        <is>
          <t>Attack% Bucket Multiplier</t>
        </is>
      </c>
      <c r="B1713">
        <f>(1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14">
      <c r="A1714" t="inlineStr">
        <is>
          <t>Global Crit Rate Bonus %</t>
        </is>
      </c>
      <c r="B1714">
        <f>(C1697=TRUE)*20*IF(AND(Inputs!$B$38&lt;&gt;"pvp",Inputs!$B$43&gt;0),(((R1697-1)*(Skills!T16*(1+Inputs!$B$34/100))+MIN((Skills!T16*(1+Inputs!$B$34/100)),MAX(0,Inputs!$B$43-((R1697-1)*Skills!D16))))/Inputs!$B$43),IF(Inputs!$B$38="pvp",MIN((Skills!T16*(1+Inputs!$B$34/100)),15)/15,(Skills!T16*(1+Inputs!$B$34/100))/Skills!D16))</f>
        <v/>
      </c>
    </row>
    <row r="1715">
      <c r="A1715" t="inlineStr">
        <is>
          <t>Attack Speed Buff Bonus %</t>
        </is>
      </c>
      <c r="B1715">
        <f>((C1700=TRUE)*F1700*IF(AND(Inputs!$B$38&lt;&gt;"pvp",Inputs!$B$43&gt;0),(((R1700-1)*(Skills!T19*(1+Inputs!$B$34/100))+MIN((Skills!T19*(1+Inputs!$B$34/100)),MAX(0,Inputs!$B$43-((R1700-1)*Skills!D19))))/Inputs!$B$43),IF(Inputs!$B$38="pvp",MIN((Skills!T19*(1+Inputs!$B$34/100)),15)/15,(Skills!T19*(1+Inputs!$B$34/100))/Skills!D19)))</f>
        <v/>
      </c>
    </row>
    <row r="1716">
      <c r="A1716" t="inlineStr">
        <is>
          <t>Actions Per Second</t>
        </is>
      </c>
      <c r="B1716">
        <f>1+MIN(150,150*(1-(1-(Inputs!$B$11+((C1702=TRUE)*(F1702-Calc!F21))+((C1703=TRUE)*(F1703-Calc!F22)))/150)*(1-B1715/150)))/100</f>
        <v/>
      </c>
    </row>
    <row r="1717">
      <c r="A1717" t="inlineStr">
        <is>
          <t>Skill + Buff Cast Rate</t>
        </is>
      </c>
      <c r="B1717">
        <f>IF(AND(Inputs!$B$38&lt;&gt;"pvp",Inputs!$B$43&gt;0),SUMPRODUCT((Skills!E2:E30=TRUE)*(C1683:C1711=TRUE)*R1683:R1711*Skills!F2:F30)/Inputs!$B$43,SUMPRODUCT((Skills!E2:E30=TRUE)*(C1683:C1711=TRUE)*Q1683:Q1711*Skills!F2:F30))</f>
        <v/>
      </c>
    </row>
    <row r="1718">
      <c r="A1718" t="inlineStr">
        <is>
          <t>Arrow Stream Casts Per Second</t>
        </is>
      </c>
      <c r="B1718">
        <f>MAX(0,B1716-B1717)</f>
        <v/>
      </c>
    </row>
    <row r="1719">
      <c r="A1719" t="inlineStr">
        <is>
          <t>Global Critical Damage Bonus % (Sharp Eyes + Concentration)</t>
        </is>
      </c>
      <c r="B1719">
        <f>(C1697=TRUE)*F1697*IF(AND(Inputs!$B$38&lt;&gt;"pvp",Inputs!$B$43&gt;0),(((R1697-1)*(Skills!T16*(1+Inputs!$B$34/100))+MIN((Skills!T16*(1+Inputs!$B$34/100)),MAX(0,Inputs!$B$43-((R1697-1)*Skills!D16))))/Inputs!$B$43),IF(Inputs!$B$38="pvp",MIN((Skills!T16*(1+Inputs!$B$34/100)),15)/15,(Skills!T16*(1+Inputs!$B$34/100))/Skills!D16))+(C1698=TRUE)*30</f>
        <v/>
      </c>
    </row>
    <row r="1720">
      <c r="A1720" t="inlineStr">
        <is>
          <t>Global Final Damage Bonus % (Mortal Blow)</t>
        </is>
      </c>
      <c r="B1720">
        <f>(C1699=TRUE)*F1699</f>
        <v/>
      </c>
    </row>
    <row r="1721">
      <c r="A1721" t="inlineStr">
        <is>
          <t>Buff-Casting Startup Delay (s, fixed-duration only)</t>
        </is>
      </c>
      <c r="B1721">
        <f>IF(AND(Inputs!$B$38&lt;&gt;"pvp",Inputs!$B$43&gt;0),SUMPRODUCT((Skills!T2:T30&gt;0)*(Skills!E2:E30=TRUE)*(C1683:C1711=TRUE))/B1716,0)</f>
        <v/>
      </c>
    </row>
    <row r="1722">
      <c r="A1722" t="inlineStr">
        <is>
          <t>Boss-Only Total DPS (this block's swept value)</t>
        </is>
      </c>
      <c r="B1722">
        <f>SUM(T1683:T1711)</f>
        <v/>
      </c>
    </row>
    <row r="1723">
      <c r="A1723" t="inlineStr">
        <is>
          <t>Normal-Only Total DPS (this block's swept value)</t>
        </is>
      </c>
      <c r="B1723">
        <f>SUM(V1683:V1711)</f>
        <v/>
      </c>
    </row>
    <row r="1724">
      <c r="A1724" s="6" t="inlineStr">
        <is>
          <t>TOTAL DPS</t>
        </is>
      </c>
      <c r="B1724" s="6">
        <f>SUM(O1683:O1711)</f>
        <v/>
      </c>
    </row>
    <row r="1727">
      <c r="A1727" s="6" t="inlineStr">
        <is>
          <t>Stat: Zakum's Stone Piece (Equip)</t>
        </is>
      </c>
    </row>
    <row r="1728">
      <c r="A1728" s="5" t="inlineStr">
        <is>
          <t>Key</t>
        </is>
      </c>
      <c r="B1728" s="5" t="inlineStr">
        <is>
          <t>Name</t>
        </is>
      </c>
      <c r="C1728" s="5" t="inlineStr">
        <is>
          <t>Unlocked</t>
        </is>
      </c>
      <c r="D1728" s="5" t="inlineStr">
        <is>
          <t>InputLevel</t>
        </is>
      </c>
      <c r="E1728" s="5" t="inlineStr">
        <is>
          <t>Factor</t>
        </is>
      </c>
      <c r="F1728" s="5" t="inlineStr">
        <is>
          <t>CoefficientPercent</t>
        </is>
      </c>
      <c r="G1728" s="5" t="inlineStr">
        <is>
          <t>EffectiveHits</t>
        </is>
      </c>
      <c r="H1728" s="5" t="inlineStr">
        <is>
          <t>ProcProbability</t>
        </is>
      </c>
      <c r="I1728" s="5" t="inlineStr">
        <is>
          <t>MapleHeroMultiplier</t>
        </is>
      </c>
      <c r="J1728" s="5" t="inlineStr">
        <is>
          <t>BaseDamage</t>
        </is>
      </c>
      <c r="K1728" s="5" t="inlineStr">
        <is>
          <t>BaseHitDamage</t>
        </is>
      </c>
      <c r="L1728" s="5" t="inlineStr">
        <is>
          <t>NonCritAvg</t>
        </is>
      </c>
      <c r="M1728" s="5" t="inlineStr">
        <is>
          <t>CritAvg</t>
        </is>
      </c>
      <c r="N1728" s="5" t="inlineStr">
        <is>
          <t>ExpectedDamage(perHit)</t>
        </is>
      </c>
      <c r="O1728" s="5" t="inlineStr">
        <is>
          <t>DPS</t>
        </is>
      </c>
      <c r="P1728" s="5" t="inlineStr">
        <is>
          <t>% of Total</t>
        </is>
      </c>
      <c r="Q1728" s="5" t="inlineStr">
        <is>
          <t>InvCooldown</t>
        </is>
      </c>
      <c r="R1728" s="5" t="inlineStr">
        <is>
          <t>CastsInFight</t>
        </is>
      </c>
      <c r="S1728" s="5" t="inlineStr">
        <is>
          <t>HitRate(perSec)</t>
        </is>
      </c>
      <c r="U1728" t="inlineStr">
        <is>
          <t>helpers</t>
        </is>
      </c>
    </row>
    <row r="1729">
      <c r="A1729">
        <f>Skills!A2</f>
        <v/>
      </c>
      <c r="B1729">
        <f>Skills!B2</f>
        <v/>
      </c>
      <c r="C1729">
        <f>Inputs!$B$3&gt;=100</f>
        <v/>
      </c>
      <c r="D1729" t="inlineStr"/>
      <c r="E1729" t="inlineStr"/>
      <c r="F1729">
        <f>U1731+Skills!O2</f>
        <v/>
      </c>
      <c r="G1729">
        <f>Skills!G2*IF(Skills!H2&gt;0,Skills!I2/Skills!H2,1)</f>
        <v/>
      </c>
      <c r="H1729">
        <f>1-(1-Skills!J2/100)^Skills!K2</f>
        <v/>
      </c>
      <c r="I1729" t="inlineStr">
        <is>
          <t>1</t>
        </is>
      </c>
      <c r="J1729">
        <f>((Inputs!$B$6*(1+Inputs!$B$7/100))+(((Inputs!$B$12*(1+Inputs!$B$13/100))-(Inputs!$B$12*(1+Inputs!$B$13/100)))+0.25*(Inputs!$B$14-Inputs!$B$14))*(1+Inputs!$B$7/100))*(F1729/100)</f>
        <v/>
      </c>
      <c r="K1729">
        <f>J1729*(1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1729)</f>
        <v/>
      </c>
      <c r="L1729">
        <f>K1729*(MIN(Inputs!$B$22+((C1751=TRUE)*(F1751-Calc!F24)),(Inputs!$B$23+((C1756=TRUE)*(F1756-Calc!F29))+(IF(ArtifactsInput!$M$15,CHOOSE(ArtifactsInput!$N$15+1,25,30,35,40,45,50)/100*(Inputs!$B$11-Inputs!$B$11),0))))/100+(Inputs!$B$23+((C1756=TRUE)*(F1756-Calc!F29))+(IF(ArtifactsInput!$M$15,CHOOSE(ArtifactsInput!$N$15+1,25,30,35,40,45,50)/100*(Inputs!$B$11-Inputs!$B$11),0)))/100)/2</f>
        <v/>
      </c>
      <c r="M1729">
        <f>L1729*(1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9">
        <f>L1729*(1-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1729*(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9">
        <f>(1-Summary!$B$11)*T1729+Summary!$B$11*V1729</f>
        <v/>
      </c>
      <c r="P1729">
        <f>IF(B1770=0,0,O1729/B1770)</f>
        <v/>
      </c>
      <c r="Q1729" t="n">
        <v>0</v>
      </c>
      <c r="R1729" t="n">
        <v>0</v>
      </c>
      <c r="S1729">
        <f>IFERROR(O1729/N1729,0)</f>
        <v/>
      </c>
      <c r="T1729">
        <f>IF(C1729,(Skills!G2*N1729*B1764)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1729*(1-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1729*(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1729*(1-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1729*(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9">
        <f>MAX(0,(Inputs!$B$3-100)*3)+Inputs!$B$28+Inputs!$B$29</f>
        <v/>
      </c>
      <c r="V1729">
        <f>IF(C1729,(Skills!G2*N1729*B1764)*IF(Inputs!$B$38="pvp",1,(1+(Inputs!$B$21+Skills!Q2+(IF(ArtifactsInput!$M$33,CHOOSE(ArtifactsInput!$N$33+1,30,36,42,48,54,60),0))+(IF(AND(ArtifactsInput!$M$35,Inputs!$B$4&lt;&gt;"Chapter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0">
      <c r="A1730">
        <f>Skills!A3</f>
        <v/>
      </c>
      <c r="B1730">
        <f>Skills!B3</f>
        <v/>
      </c>
      <c r="C1730">
        <f>Inputs!$B$3&gt;=50</f>
        <v/>
      </c>
      <c r="D1730">
        <f>IF(Skills!C3=1,60+Inputs!$B$25+Inputs!$B$29,IF(Skills!C3=2,90+Inputs!$B$26+Inputs!$B$29,IF(Skills!C3=3,120+Inputs!$B$27+Inputs!$B$29,MAX(0,(Inputs!$B$3-100)*3)+Inputs!$B$28+Inputs!$B$29)))</f>
        <v/>
      </c>
      <c r="E1730">
        <f>INDEX(FactorTable!$B$2:$Y$301, MATCH(ROUND(MIN(300,MAX(1,D1730)),0), FactorTable!$A$2:$A$301,0), Skills!M3+1)</f>
        <v/>
      </c>
      <c r="F1730">
        <f>IF(Skills!N3=TRUE,(Skills!L3/10)*(E1730/1000),Skills!L3/10)+Skills!O3</f>
        <v/>
      </c>
      <c r="G1730" t="inlineStr"/>
      <c r="H1730" t="inlineStr"/>
      <c r="I1730" t="inlineStr">
        <is>
          <t>1</t>
        </is>
      </c>
      <c r="J1730" t="inlineStr"/>
      <c r="K1730" t="inlineStr"/>
      <c r="L1730" t="inlineStr"/>
      <c r="M1730" t="inlineStr"/>
      <c r="N1730" t="inlineStr"/>
      <c r="O1730" t="inlineStr"/>
      <c r="P1730" t="inlineStr"/>
      <c r="Q1730" t="inlineStr"/>
      <c r="R1730" t="inlineStr"/>
      <c r="S1730" t="inlineStr"/>
      <c r="T1730" t="inlineStr"/>
      <c r="U1730">
        <f>INDEX(FactorTable!$B$2:$Y$301, MATCH(ROUND(MIN(300,MAX(1,U1729)),0), FactorTable!$A$2:$A$301,0), 22)</f>
        <v/>
      </c>
      <c r="V1730" t="inlineStr"/>
    </row>
    <row r="1731">
      <c r="A1731">
        <f>Skills!A4</f>
        <v/>
      </c>
      <c r="B1731">
        <f>Skills!B4</f>
        <v/>
      </c>
      <c r="C1731">
        <f>Inputs!$B$3&gt;=105</f>
        <v/>
      </c>
      <c r="D1731">
        <f>IF(Skills!C4=1,60+Inputs!$B$25+Inputs!$B$29,IF(Skills!C4=2,90+Inputs!$B$26+Inputs!$B$29,IF(Skills!C4=3,120+Inputs!$B$27+Inputs!$B$29,MAX(0,(Inputs!$B$3-100)*3)+Inputs!$B$28+Inputs!$B$29)))</f>
        <v/>
      </c>
      <c r="E1731">
        <f>INDEX(FactorTable!$B$2:$Y$301, MATCH(ROUND(MIN(300,MAX(1,D1731)),0), FactorTable!$A$2:$A$301,0), Skills!M4+1)</f>
        <v/>
      </c>
      <c r="F1731">
        <f>IF(Skills!N4=TRUE,(Skills!L4/10)*(E1731/1000),Skills!L4/10)+Skills!O4</f>
        <v/>
      </c>
      <c r="G1731" t="inlineStr"/>
      <c r="H1731" t="inlineStr"/>
      <c r="I1731" t="inlineStr">
        <is>
          <t>1</t>
        </is>
      </c>
      <c r="J1731" t="inlineStr"/>
      <c r="K1731" t="inlineStr"/>
      <c r="L1731" t="inlineStr"/>
      <c r="M1731" t="inlineStr"/>
      <c r="N1731" t="inlineStr"/>
      <c r="O1731" t="inlineStr"/>
      <c r="P1731" t="inlineStr"/>
      <c r="Q1731" t="inlineStr"/>
      <c r="R1731" t="inlineStr"/>
      <c r="S1731" t="inlineStr"/>
      <c r="T1731" t="inlineStr"/>
      <c r="U1731">
        <f>290*U1730/1000</f>
        <v/>
      </c>
      <c r="V1731" t="inlineStr"/>
    </row>
    <row r="1732">
      <c r="A1732">
        <f>Skills!A5</f>
        <v/>
      </c>
      <c r="B1732">
        <f>Skills!B5</f>
        <v/>
      </c>
      <c r="C1732">
        <f>Inputs!$B$3&gt;=35</f>
        <v/>
      </c>
      <c r="D1732">
        <f>IF(Skills!C5=1,60+Inputs!$B$25+Inputs!$B$29,IF(Skills!C5=2,90+Inputs!$B$26+Inputs!$B$29,IF(Skills!C5=3,120+Inputs!$B$27+Inputs!$B$29,MAX(0,(Inputs!$B$3-100)*3)+Inputs!$B$28+Inputs!$B$29)))</f>
        <v/>
      </c>
      <c r="E1732">
        <f>INDEX(FactorTable!$B$2:$Y$301, MATCH(ROUND(MIN(300,MAX(1,D1732)),0), FactorTable!$A$2:$A$301,0), Skills!M5+1)</f>
        <v/>
      </c>
      <c r="F1732">
        <f>IF(Skills!N5=TRUE,(Skills!L5/10)*(E1732/1000),Skills!L5/10)+Skills!O5</f>
        <v/>
      </c>
      <c r="G1732">
        <f>Skills!G5*IF(Skills!H5&gt;0,Skills!I5/Skills!H5,1)</f>
        <v/>
      </c>
      <c r="H1732">
        <f>1-(1-Skills!J5/100)^Skills!K5</f>
        <v/>
      </c>
      <c r="I1732" t="inlineStr">
        <is>
          <t>1</t>
        </is>
      </c>
      <c r="J1732">
        <f>((Inputs!$B$6*(1+Inputs!$B$7/100))+(((Inputs!$B$12*(1+Inputs!$B$13/100))-(Inputs!$B$12*(1+Inputs!$B$13/100)))+0.25*(Inputs!$B$14-Inputs!$B$14))*(1+Inputs!$B$7/100))*(F1732/100)</f>
        <v/>
      </c>
      <c r="K1732">
        <f>J1732*(1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1737=TRUE,F1737,0)/100)*(1+(IF(Skills!A5="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1732)</f>
        <v/>
      </c>
      <c r="L1732">
        <f>K1732*(MIN(Inputs!$B$22+((C1751=TRUE)*(F1751-Calc!F24)),(Inputs!$B$23+((C1756=TRUE)*(F1756-Calc!F29))+(IF(ArtifactsInput!$M$15,CHOOSE(ArtifactsInput!$N$15+1,25,30,35,40,45,50)/100*(Inputs!$B$11-Inputs!$B$11),0))))/100+(Inputs!$B$23+((C1756=TRUE)*(F1756-Calc!F29))+(IF(ArtifactsInput!$M$15,CHOOSE(ArtifactsInput!$N$15+1,25,30,35,40,45,50)/100*(Inputs!$B$11-Inputs!$B$11),0)))/100)/2</f>
        <v/>
      </c>
      <c r="M1732">
        <f>L1732*(1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2">
        <f>L1732*(1-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1732*(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2">
        <f>(1-Summary!$B$11)*T1732+Summary!$B$11*V1732</f>
        <v/>
      </c>
      <c r="P1732">
        <f>IF(B1770=0,0,O1732/B1770)</f>
        <v/>
      </c>
      <c r="Q1732">
        <f>IFERROR(1/(IF(Inputs!$B$38="pvp",15,MAX(0.1,Skills!D5-IF(Skills!E5=TRUE,Inputs!$B$32,0)))*(1-IF(AND(ArtifactsInput!$M$27,Inputs!$B$4="Chapter Hunt"),CHOOSE(ArtifactsInput!$N$27+1,20,24,28,32,36,40),0)/100)),0)</f>
        <v/>
      </c>
      <c r="R1732">
        <f>IF(AND(Inputs!$B$38&lt;&gt;"pvp",Inputs!$B$43&gt;0),IF(MAX(0,Inputs!$B$43-B1767)&lt;=0,0,(INT(MAX(0,Inputs!$B$43-B1767)/(IF(Inputs!$B$38="pvp",15,MAX(0.1,Skills!D5-IF(Skills!E5=TRUE,Inputs!$B$32,0)))*(1-IF(AND(ArtifactsInput!$M$27,Inputs!$B$4="Chapter Hunt"),CHOOSE(ArtifactsInput!$N$27+1,20,24,28,32,36,40),0)/100)))+1)),0)</f>
        <v/>
      </c>
      <c r="S1732">
        <f>IFERROR(O1732/N1732,0)</f>
        <v/>
      </c>
      <c r="T1732">
        <f>IF(C1732,(H1732*N1732*IF(AND(Inputs!$B$38&lt;&gt;"pvp",Inputs!$B$43&gt;0),((Skills!G5*((R1732-1)*IF(Skills!H5&gt;0,Skills!I5/Skills!H5,1)+IF(Skills!H5&gt;0,MIN(Skills!I5,MAX(0,MAX(0,Inputs!$B$43-B1767)-((R1732-1)*(IF(Inputs!$B$38="pvp",15,MAX(0.1,Skills!D5-IF(Skills!E5=TRUE,Inputs!$B$32,0)))*(1-IF(AND(ArtifactsInput!$M$27,Inputs!$B$4="Chapter Hunt"),CHOOSE(ArtifactsInput!$N$27+1,20,24,28,32,36,40),0)/100)))))/Skills!H5,1)))/Inputs!$B$43),G1732*Q1732)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1732*(1-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1732*(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1732*(1-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1732*(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2">
        <f>IF(C1732,(H1732*N1732*IF(AND(Inputs!$B$38&lt;&gt;"pvp",Inputs!$B$43&gt;0),((Skills!G5*((R1732-1)*IF(Skills!H5&gt;0,Skills!I5/Skills!H5,1)+IF(Skills!H5&gt;0,MIN(Skills!I5,MAX(0,MAX(0,Inputs!$B$43-B1767)-((R1732-1)*(IF(Inputs!$B$38="pvp",15,MAX(0.1,Skills!D5-IF(Skills!E5=TRUE,Inputs!$B$32,0)))*(1-IF(AND(ArtifactsInput!$M$27,Inputs!$B$4="Chapter Hunt"),CHOOSE(ArtifactsInput!$N$27+1,20,24,28,32,36,40),0)/100)))))/Skills!H5,1)))/Inputs!$B$43),G1732*Q1732))*IF(Inputs!$B$38="pvp",1,(1+(Inputs!$B$21+Skills!Q5+(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3">
      <c r="A1733">
        <f>Skills!A6</f>
        <v/>
      </c>
      <c r="B1733">
        <f>Skills!B6</f>
        <v/>
      </c>
      <c r="C1733">
        <f>Inputs!$B$3&gt;=40</f>
        <v/>
      </c>
      <c r="D1733">
        <f>IF(Skills!C6=1,60+Inputs!$B$25+Inputs!$B$29,IF(Skills!C6=2,90+Inputs!$B$26+Inputs!$B$29,IF(Skills!C6=3,120+Inputs!$B$27+Inputs!$B$29,MAX(0,(Inputs!$B$3-100)*3)+Inputs!$B$28+Inputs!$B$29)))</f>
        <v/>
      </c>
      <c r="E1733">
        <f>INDEX(FactorTable!$B$2:$Y$301, MATCH(ROUND(MIN(300,MAX(1,D1733)),0), FactorTable!$A$2:$A$301,0), Skills!M6+1)</f>
        <v/>
      </c>
      <c r="F1733">
        <f>IF(Skills!N6=TRUE,(Skills!L6/10)*(E1733/1000),Skills!L6/10)+Skills!O6</f>
        <v/>
      </c>
      <c r="G1733">
        <f>Skills!G6*IF(Skills!H6&gt;0,Skills!I6/Skills!H6,1)</f>
        <v/>
      </c>
      <c r="H1733">
        <f>1-(1-Skills!J6/100)^Skills!K6</f>
        <v/>
      </c>
      <c r="I1733" t="inlineStr">
        <is>
          <t>1</t>
        </is>
      </c>
      <c r="J1733">
        <f>((Inputs!$B$6*(1+Inputs!$B$7/100))+(((Inputs!$B$12*(1+Inputs!$B$13/100))-(Inputs!$B$12*(1+Inputs!$B$13/100)))+0.25*(Inputs!$B$14-Inputs!$B$14))*(1+Inputs!$B$7/100))*(F1733/100)</f>
        <v/>
      </c>
      <c r="K1733">
        <f>J1733*(1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1734=TRUE,F1734,0)/100)*(1+(IF(Skills!A6="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1733)</f>
        <v/>
      </c>
      <c r="L1733">
        <f>K1733*(MIN(Inputs!$B$22+((C1751=TRUE)*(F1751-Calc!F24)),(Inputs!$B$23+((C1756=TRUE)*(F1756-Calc!F29))+(IF(ArtifactsInput!$M$15,CHOOSE(ArtifactsInput!$N$15+1,25,30,35,40,45,50)/100*(Inputs!$B$11-Inputs!$B$11),0))))/100+(Inputs!$B$23+((C1756=TRUE)*(F1756-Calc!F29))+(IF(ArtifactsInput!$M$15,CHOOSE(ArtifactsInput!$N$15+1,25,30,35,40,45,50)/100*(Inputs!$B$11-Inputs!$B$11),0)))/100)/2</f>
        <v/>
      </c>
      <c r="M1733">
        <f>L1733*(1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3">
        <f>L1733*(1-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1733*(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3">
        <f>(1-Summary!$B$11)*T1733+Summary!$B$11*V1733</f>
        <v/>
      </c>
      <c r="P1733">
        <f>IF(B1770=0,0,O1733/B1770)</f>
        <v/>
      </c>
      <c r="Q1733">
        <f>IFERROR(1/(IF(Inputs!$B$38="pvp",15,MAX(0.1,Skills!D6-IF(Skills!E6=TRUE,Inputs!$B$32,0)))*(1-IF(AND(ArtifactsInput!$M$27,Inputs!$B$4="Chapter Hunt"),CHOOSE(ArtifactsInput!$N$27+1,20,24,28,32,36,40),0)/100)),0)</f>
        <v/>
      </c>
      <c r="R1733">
        <f>IF(AND(Inputs!$B$38&lt;&gt;"pvp",Inputs!$B$43&gt;0),IF(MAX(0,Inputs!$B$43-B1767)&lt;=0,0,(INT(MAX(0,Inputs!$B$43-B1767)/(IF(Inputs!$B$38="pvp",15,MAX(0.1,Skills!D6-IF(Skills!E6=TRUE,Inputs!$B$32,0)))*(1-IF(AND(ArtifactsInput!$M$27,Inputs!$B$4="Chapter Hunt"),CHOOSE(ArtifactsInput!$N$27+1,20,24,28,32,36,40),0)/100)))+1)),0)</f>
        <v/>
      </c>
      <c r="S1733">
        <f>IFERROR(O1733/N1733,0)</f>
        <v/>
      </c>
      <c r="T1733">
        <f>IF(C1733,(H1733*N1733*IF(AND(Inputs!$B$38&lt;&gt;"pvp",Inputs!$B$43&gt;0),((Skills!G6*((R1733-1)*IF(Skills!H6&gt;0,Skills!I6/Skills!H6,1)+IF(Skills!H6&gt;0,MIN(Skills!I6,MAX(0,MAX(0,Inputs!$B$43-B1767)-((R1733-1)*(IF(Inputs!$B$38="pvp",15,MAX(0.1,Skills!D6-IF(Skills!E6=TRUE,Inputs!$B$32,0)))*(1-IF(AND(ArtifactsInput!$M$27,Inputs!$B$4="Chapter Hunt"),CHOOSE(ArtifactsInput!$N$27+1,20,24,28,32,36,40),0)/100)))))/Skills!H6,1)))/Inputs!$B$43),G1733*Q1733)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1733*(1-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1733*(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1733*(1-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1733*(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3">
        <f>IF(C1733,(H1733*N1733*IF(AND(Inputs!$B$38&lt;&gt;"pvp",Inputs!$B$43&gt;0),((Skills!G6*((R1733-1)*IF(Skills!H6&gt;0,Skills!I6/Skills!H6,1)+IF(Skills!H6&gt;0,MIN(Skills!I6,MAX(0,MAX(0,Inputs!$B$43-B1767)-((R1733-1)*(IF(Inputs!$B$38="pvp",15,MAX(0.1,Skills!D6-IF(Skills!E6=TRUE,Inputs!$B$32,0)))*(1-IF(AND(ArtifactsInput!$M$27,Inputs!$B$4="Chapter Hunt"),CHOOSE(ArtifactsInput!$N$27+1,20,24,28,32,36,40),0)/100)))))/Skills!H6,1)))/Inputs!$B$43),G1733*Q1733))*IF(Inputs!$B$38="pvp",1,(1+(Inputs!$B$21+Skills!Q6+(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4">
      <c r="A1734">
        <f>Skills!A7</f>
        <v/>
      </c>
      <c r="B1734">
        <f>Skills!B7</f>
        <v/>
      </c>
      <c r="C1734">
        <f>Inputs!$B$3&gt;=107</f>
        <v/>
      </c>
      <c r="D1734">
        <f>IF(Skills!C7=1,60+Inputs!$B$25+Inputs!$B$29,IF(Skills!C7=2,90+Inputs!$B$26+Inputs!$B$29,IF(Skills!C7=3,120+Inputs!$B$27+Inputs!$B$29,MAX(0,(Inputs!$B$3-100)*3)+Inputs!$B$28+Inputs!$B$29)))</f>
        <v/>
      </c>
      <c r="E1734">
        <f>INDEX(FactorTable!$B$2:$Y$301, MATCH(ROUND(MIN(300,MAX(1,D1734)),0), FactorTable!$A$2:$A$301,0), Skills!M7+1)</f>
        <v/>
      </c>
      <c r="F1734">
        <f>IF(Skills!N7=TRUE,(Skills!L7/10)*(E1734/1000),Skills!L7/10)+Skills!O7</f>
        <v/>
      </c>
      <c r="G1734" t="inlineStr"/>
      <c r="H1734" t="inlineStr"/>
      <c r="I1734" t="inlineStr">
        <is>
          <t>1</t>
        </is>
      </c>
      <c r="J1734" t="inlineStr"/>
      <c r="K1734" t="inlineStr"/>
      <c r="L1734" t="inlineStr"/>
      <c r="M1734" t="inlineStr"/>
      <c r="N1734" t="inlineStr"/>
      <c r="O1734" t="inlineStr"/>
      <c r="P1734" t="inlineStr"/>
      <c r="Q1734" t="inlineStr"/>
      <c r="R1734" t="inlineStr"/>
      <c r="S1734" t="inlineStr"/>
      <c r="T1734" t="inlineStr"/>
      <c r="V1734" t="inlineStr"/>
    </row>
    <row r="1735">
      <c r="A1735">
        <f>Skills!A8</f>
        <v/>
      </c>
      <c r="B1735">
        <f>Skills!B8</f>
        <v/>
      </c>
      <c r="C1735">
        <f>Inputs!$B$3&gt;=69</f>
        <v/>
      </c>
      <c r="D1735">
        <f>IF(Skills!C8=1,60+Inputs!$B$25+Inputs!$B$29,IF(Skills!C8=2,90+Inputs!$B$26+Inputs!$B$29,IF(Skills!C8=3,120+Inputs!$B$27+Inputs!$B$29,MAX(0,(Inputs!$B$3-100)*3)+Inputs!$B$28+Inputs!$B$29)))</f>
        <v/>
      </c>
      <c r="E1735">
        <f>INDEX(FactorTable!$B$2:$Y$301, MATCH(ROUND(MIN(300,MAX(1,D1735)),0), FactorTable!$A$2:$A$301,0), Skills!M8+1)</f>
        <v/>
      </c>
      <c r="F1735">
        <f>IF(Skills!N8=TRUE,(Skills!L8/10)*(E1735/1000),Skills!L8/10)+Skills!O8</f>
        <v/>
      </c>
      <c r="G1735">
        <f>Skills!G8*IF(Skills!H8&gt;0,Skills!I8/Skills!H8,1)</f>
        <v/>
      </c>
      <c r="H1735">
        <f>1-(1-Skills!J8/100)^Skills!K8</f>
        <v/>
      </c>
      <c r="I1735" t="inlineStr">
        <is>
          <t>1</t>
        </is>
      </c>
      <c r="J1735">
        <f>((Inputs!$B$6*(1+Inputs!$B$7/100))+(((Inputs!$B$12*(1+Inputs!$B$13/100))-(Inputs!$B$12*(1+Inputs!$B$13/100)))+0.25*(Inputs!$B$14-Inputs!$B$14))*(1+Inputs!$B$7/100))*(F1735/100)</f>
        <v/>
      </c>
      <c r="K1735">
        <f>J1735*(1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1737=TRUE,F1737,0)/100)*(1+(IF(Skills!A8="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1735)</f>
        <v/>
      </c>
      <c r="L1735">
        <f>K1735*(MIN(Inputs!$B$22+((C1751=TRUE)*(F1751-Calc!F24)),(Inputs!$B$23+((C1756=TRUE)*(F1756-Calc!F29))+(IF(ArtifactsInput!$M$15,CHOOSE(ArtifactsInput!$N$15+1,25,30,35,40,45,50)/100*(Inputs!$B$11-Inputs!$B$11),0))))/100+(Inputs!$B$23+((C1756=TRUE)*(F1756-Calc!F29))+(IF(ArtifactsInput!$M$15,CHOOSE(ArtifactsInput!$N$15+1,25,30,35,40,45,50)/100*(Inputs!$B$11-Inputs!$B$11),0)))/100)/2</f>
        <v/>
      </c>
      <c r="M1735">
        <f>L1735*(1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5">
        <f>L1735*(1-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1735*(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5">
        <f>(1-Summary!$B$11)*T1735+Summary!$B$11*V1735</f>
        <v/>
      </c>
      <c r="P1735">
        <f>IF(B1770=0,0,O1735/B1770)</f>
        <v/>
      </c>
      <c r="Q1735">
        <f>IFERROR(1/(IF(Inputs!$B$38="pvp",15,MAX(0.1,Skills!D8-IF(Skills!E8=TRUE,Inputs!$B$32,0)))*(1-IF(AND(ArtifactsInput!$M$27,Inputs!$B$4="Chapter Hunt"),CHOOSE(ArtifactsInput!$N$27+1,20,24,28,32,36,40),0)/100)),0)</f>
        <v/>
      </c>
      <c r="R1735">
        <f>IF(AND(Inputs!$B$38&lt;&gt;"pvp",Inputs!$B$43&gt;0),IF(MAX(0,Inputs!$B$43-B1767)&lt;=0,0,(INT(MAX(0,Inputs!$B$43-B1767)/(IF(Inputs!$B$38="pvp",15,MAX(0.1,Skills!D8-IF(Skills!E8=TRUE,Inputs!$B$32,0)))*(1-IF(AND(ArtifactsInput!$M$27,Inputs!$B$4="Chapter Hunt"),CHOOSE(ArtifactsInput!$N$27+1,20,24,28,32,36,40),0)/100)))+1)),0)</f>
        <v/>
      </c>
      <c r="S1735">
        <f>IFERROR(O1735/N1735,0)</f>
        <v/>
      </c>
      <c r="T1735">
        <f>IF(C1735,(H1735*N1735*IF(AND(Inputs!$B$38&lt;&gt;"pvp",Inputs!$B$43&gt;0),((Skills!G8*((R1735-1)*IF(Skills!H8&gt;0,Skills!I8/Skills!H8,1)+IF(Skills!H8&gt;0,MIN(Skills!I8,MAX(0,MAX(0,Inputs!$B$43-B1767)-((R1735-1)*(IF(Inputs!$B$38="pvp",15,MAX(0.1,Skills!D8-IF(Skills!E8=TRUE,Inputs!$B$32,0)))*(1-IF(AND(ArtifactsInput!$M$27,Inputs!$B$4="Chapter Hunt"),CHOOSE(ArtifactsInput!$N$27+1,20,24,28,32,36,40),0)/100)))))/Skills!H8,1)))/Inputs!$B$43),G1735*Q1735)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1735*(1-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1735*(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1735*(1-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1735*(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5">
        <f>IF(C1735,(H1735*N1735*IF(AND(Inputs!$B$38&lt;&gt;"pvp",Inputs!$B$43&gt;0),((Skills!G8*((R1735-1)*IF(Skills!H8&gt;0,Skills!I8/Skills!H8,1)+IF(Skills!H8&gt;0,MIN(Skills!I8,MAX(0,MAX(0,Inputs!$B$43-B1767)-((R1735-1)*(IF(Inputs!$B$38="pvp",15,MAX(0.1,Skills!D8-IF(Skills!E8=TRUE,Inputs!$B$32,0)))*(1-IF(AND(ArtifactsInput!$M$27,Inputs!$B$4="Chapter Hunt"),CHOOSE(ArtifactsInput!$N$27+1,20,24,28,32,36,40),0)/100)))))/Skills!H8,1)))/Inputs!$B$43),G1735*Q1735))*IF(Inputs!$B$38="pvp",1,(1+(Inputs!$B$21+Skills!Q8+(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6">
      <c r="A1736">
        <f>Skills!A9</f>
        <v/>
      </c>
      <c r="B1736">
        <f>Skills!B9</f>
        <v/>
      </c>
      <c r="C1736">
        <f>Inputs!$B$3&gt;=63</f>
        <v/>
      </c>
      <c r="D1736">
        <f>IF(Skills!C9=1,60+Inputs!$B$25+Inputs!$B$29,IF(Skills!C9=2,90+Inputs!$B$26+Inputs!$B$29,IF(Skills!C9=3,120+Inputs!$B$27+Inputs!$B$29,MAX(0,(Inputs!$B$3-100)*3)+Inputs!$B$28+Inputs!$B$29)))</f>
        <v/>
      </c>
      <c r="E1736">
        <f>INDEX(FactorTable!$B$2:$Y$301, MATCH(ROUND(MIN(300,MAX(1,D1736)),0), FactorTable!$A$2:$A$301,0), Skills!M9+1)</f>
        <v/>
      </c>
      <c r="F1736">
        <f>IF(Skills!N9=TRUE,(Skills!L9/10)*(E1736/1000),Skills!L9/10)+Skills!O9</f>
        <v/>
      </c>
      <c r="G1736">
        <f>Skills!G9*IF(Skills!H9&gt;0,Skills!I9/Skills!H9,1)</f>
        <v/>
      </c>
      <c r="H1736">
        <f>1-(1-Skills!J9/100)^Skills!K9</f>
        <v/>
      </c>
      <c r="I1736" t="inlineStr">
        <is>
          <t>1</t>
        </is>
      </c>
      <c r="J1736">
        <f>((Inputs!$B$6*(1+Inputs!$B$7/100))+(((Inputs!$B$12*(1+Inputs!$B$13/100))-(Inputs!$B$12*(1+Inputs!$B$13/100)))+0.25*(Inputs!$B$14-Inputs!$B$14))*(1+Inputs!$B$7/100))*(F1736/100)</f>
        <v/>
      </c>
      <c r="K1736">
        <f>J1736*(1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1737=TRUE,F1737,0)/100)*(1+(IF(Skills!A9="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1736)</f>
        <v/>
      </c>
      <c r="L1736">
        <f>K1736*(MIN(Inputs!$B$22+((C1751=TRUE)*(F1751-Calc!F24)),(Inputs!$B$23+((C1756=TRUE)*(F1756-Calc!F29))+(IF(ArtifactsInput!$M$15,CHOOSE(ArtifactsInput!$N$15+1,25,30,35,40,45,50)/100*(Inputs!$B$11-Inputs!$B$11),0))))/100+(Inputs!$B$23+((C1756=TRUE)*(F1756-Calc!F29))+(IF(ArtifactsInput!$M$15,CHOOSE(ArtifactsInput!$N$15+1,25,30,35,40,45,50)/100*(Inputs!$B$11-Inputs!$B$11),0)))/100)/2</f>
        <v/>
      </c>
      <c r="M1736">
        <f>L1736*(1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6">
        <f>L1736*(1-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1736*(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6">
        <f>(1-Summary!$B$11)*T1736+Summary!$B$11*V1736</f>
        <v/>
      </c>
      <c r="P1736">
        <f>IF(B1770=0,0,O1736/B1770)</f>
        <v/>
      </c>
      <c r="Q1736">
        <f>IFERROR(1/(IF(Inputs!$B$38="pvp",15,MAX(0.1,Skills!D9-IF(Skills!E9=TRUE,Inputs!$B$32,0)))*(1-IF(AND(ArtifactsInput!$M$27,Inputs!$B$4="Chapter Hunt"),CHOOSE(ArtifactsInput!$N$27+1,20,24,28,32,36,40),0)/100)),0)</f>
        <v/>
      </c>
      <c r="R1736">
        <f>IF(AND(Inputs!$B$38&lt;&gt;"pvp",Inputs!$B$43&gt;0),IF(MAX(0,Inputs!$B$43-B1767)&lt;=0,0,(INT(MAX(0,Inputs!$B$43-B1767)/(IF(Inputs!$B$38="pvp",15,MAX(0.1,Skills!D9-IF(Skills!E9=TRUE,Inputs!$B$32,0)))*(1-IF(AND(ArtifactsInput!$M$27,Inputs!$B$4="Chapter Hunt"),CHOOSE(ArtifactsInput!$N$27+1,20,24,28,32,36,40),0)/100)))+1)),0)</f>
        <v/>
      </c>
      <c r="S1736">
        <f>IFERROR(O1736/N1736,0)</f>
        <v/>
      </c>
      <c r="T1736">
        <f>IF(C1736,(H1736*N1736*IF(AND(Inputs!$B$38&lt;&gt;"pvp",Inputs!$B$43&gt;0),((Skills!G9*((R1736-1)*IF(Skills!H9&gt;0,Skills!I9/Skills!H9,1)+IF(Skills!H9&gt;0,MIN(Skills!I9,MAX(0,MAX(0,Inputs!$B$43-B1767)-((R1736-1)*(IF(Inputs!$B$38="pvp",15,MAX(0.1,Skills!D9-IF(Skills!E9=TRUE,Inputs!$B$32,0)))*(1-IF(AND(ArtifactsInput!$M$27,Inputs!$B$4="Chapter Hunt"),CHOOSE(ArtifactsInput!$N$27+1,20,24,28,32,36,40),0)/100)))))/Skills!H9,1)))/Inputs!$B$43),G1736*Q1736)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1736*(1-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1736*(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1736*(1-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1736*(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6">
        <f>IF(C1736,(H1736*N1736*IF(AND(Inputs!$B$38&lt;&gt;"pvp",Inputs!$B$43&gt;0),((Skills!G9*((R1736-1)*IF(Skills!H9&gt;0,Skills!I9/Skills!H9,1)+IF(Skills!H9&gt;0,MIN(Skills!I9,MAX(0,MAX(0,Inputs!$B$43-B1767)-((R1736-1)*(IF(Inputs!$B$38="pvp",15,MAX(0.1,Skills!D9-IF(Skills!E9=TRUE,Inputs!$B$32,0)))*(1-IF(AND(ArtifactsInput!$M$27,Inputs!$B$4="Chapter Hunt"),CHOOSE(ArtifactsInput!$N$27+1,20,24,28,32,36,40),0)/100)))))/Skills!H9,1)))/Inputs!$B$43),G1736*Q1736))*IF(Inputs!$B$38="pvp",1,(1+(Inputs!$B$21+Skills!Q9+(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7">
      <c r="A1737">
        <f>Skills!A10</f>
        <v/>
      </c>
      <c r="B1737">
        <f>Skills!B10</f>
        <v/>
      </c>
      <c r="C1737">
        <f>Inputs!$B$3&gt;=100</f>
        <v/>
      </c>
      <c r="D1737">
        <f>IF(Skills!C10=1,60+Inputs!$B$25+Inputs!$B$29,IF(Skills!C10=2,90+Inputs!$B$26+Inputs!$B$29,IF(Skills!C10=3,120+Inputs!$B$27+Inputs!$B$29,MAX(0,(Inputs!$B$3-100)*3)+Inputs!$B$28+Inputs!$B$29)))</f>
        <v/>
      </c>
      <c r="E1737">
        <f>INDEX(FactorTable!$B$2:$Y$301, MATCH(ROUND(MIN(300,MAX(1,D1737)),0), FactorTable!$A$2:$A$301,0), Skills!M10+1)</f>
        <v/>
      </c>
      <c r="F1737">
        <f>IF(Skills!N10=TRUE,(Skills!L10/10)*(E1737/1000),Skills!L10/10)+Skills!O10</f>
        <v/>
      </c>
      <c r="G1737" t="inlineStr"/>
      <c r="H1737" t="inlineStr"/>
      <c r="I1737" t="inlineStr">
        <is>
          <t>1</t>
        </is>
      </c>
      <c r="J1737" t="inlineStr"/>
      <c r="K1737" t="inlineStr"/>
      <c r="L1737" t="inlineStr"/>
      <c r="M1737" t="inlineStr"/>
      <c r="N1737" t="inlineStr"/>
      <c r="O1737" t="inlineStr"/>
      <c r="P1737" t="inlineStr"/>
      <c r="Q1737" t="inlineStr"/>
      <c r="R1737" t="inlineStr"/>
      <c r="S1737" t="inlineStr"/>
      <c r="T1737" t="inlineStr"/>
      <c r="V1737" t="inlineStr"/>
    </row>
    <row r="1738">
      <c r="A1738">
        <f>Skills!A11</f>
        <v/>
      </c>
      <c r="B1738">
        <f>Skills!B11</f>
        <v/>
      </c>
      <c r="C1738">
        <f>Inputs!$B$3&gt;=60</f>
        <v/>
      </c>
      <c r="D1738">
        <f>IF(Skills!C11=1,60+Inputs!$B$25+Inputs!$B$29,IF(Skills!C11=2,90+Inputs!$B$26+Inputs!$B$29,IF(Skills!C11=3,120+Inputs!$B$27+Inputs!$B$29,MAX(0,(Inputs!$B$3-100)*3)+Inputs!$B$28+Inputs!$B$29)))</f>
        <v/>
      </c>
      <c r="E1738">
        <f>INDEX(FactorTable!$B$2:$Y$301, MATCH(ROUND(MIN(300,MAX(1,D1738)),0), FactorTable!$A$2:$A$301,0), Skills!M11+1)</f>
        <v/>
      </c>
      <c r="F1738">
        <f>IF(Skills!N11=TRUE,(Skills!L11/10)*(E1738/1000),Skills!L11/10)+Skills!O11</f>
        <v/>
      </c>
      <c r="G1738">
        <f>Skills!G11*IF(Skills!H11&gt;0,Skills!I11/Skills!H11,1)</f>
        <v/>
      </c>
      <c r="H1738">
        <f>1-(1-Skills!J11/100)^Skills!K11</f>
        <v/>
      </c>
      <c r="I1738" t="inlineStr">
        <is>
          <t>1</t>
        </is>
      </c>
      <c r="J1738">
        <f>((Inputs!$B$6*(1+Inputs!$B$7/100))+(((Inputs!$B$12*(1+Inputs!$B$13/100))-(Inputs!$B$12*(1+Inputs!$B$13/100)))+0.25*(Inputs!$B$14-Inputs!$B$14))*(1+Inputs!$B$7/100))*(F1738/100)</f>
        <v/>
      </c>
      <c r="K1738">
        <f>J1738*(1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1739=TRUE,F1739,0)/100)*(1+(IF(Skills!A11="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1751=TRUE)*(F1751-Calc!F24)),(Inputs!$B$23+((C1756=TRUE)*(F1756-Calc!F29))+(IF(ArtifactsInput!$M$15,CHOOSE(ArtifactsInput!$N$15+1,25,30,35,40,45,50)/100*(Inputs!$B$11-Inputs!$B$11),0))))/100+(Inputs!$B$23+((C1756=TRUE)*(F1756-Calc!F29))+(IF(ArtifactsInput!$M$15,CHOOSE(ArtifactsInput!$N$15+1,25,30,35,40,45,50)/100*(Inputs!$B$11-Inputs!$B$11),0)))/100)/2</f>
        <v/>
      </c>
      <c r="M1738">
        <f>L1738*(1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IF(B1770=0,0,O1738/B1770)</f>
        <v/>
      </c>
      <c r="Q1738">
        <f>IFERROR(1/(IF(Inputs!$B$38="pvp",15,MAX(0.1,Skills!D11-IF(Skills!E11=TRUE,Inputs!$B$32,0)))*(1-IF(AND(ArtifactsInput!$M$27,Inputs!$B$4="Chapter Hunt"),CHOOSE(ArtifactsInput!$N$27+1,20,24,28,32,36,40),0)/100)),0)</f>
        <v/>
      </c>
      <c r="R1738">
        <f>IF(AND(Inputs!$B$38&lt;&gt;"pvp",Inputs!$B$43&gt;0),IF(MAX(0,Inputs!$B$43-B1767)&lt;=0,0,(INT(MAX(0,Inputs!$B$43-B1767)/(IF(Inputs!$B$38="pvp",15,MAX(0.1,Skills!D11-IF(Skills!E11=TRUE,Inputs!$B$32,0)))*(1-IF(AND(ArtifactsInput!$M$27,Inputs!$B$4="Chapter Hunt"),CHOOSE(ArtifactsInput!$N$27+1,20,24,28,32,36,40),0)/100)))+1)),0)</f>
        <v/>
      </c>
      <c r="S1738">
        <f>IFERROR(O1738/N1738,0)</f>
        <v/>
      </c>
      <c r="T1738">
        <f>IF(C1738,(H1738*N1738*IF(AND(Inputs!$B$38&lt;&gt;"pvp",Inputs!$B$43&gt;0),((Skills!G11*((R1738-1)*IF(Skills!H11&gt;0,Skills!I11/Skills!H11,1)+IF(Skills!H11&gt;0,MIN(Skills!I11,MAX(0,MAX(0,Inputs!$B$43-B1767)-((R1738-1)*(IF(Inputs!$B$38="pvp",15,MAX(0.1,Skills!D11-IF(Skills!E11=TRUE,Inputs!$B$32,0)))*(1-IF(AND(ArtifactsInput!$M$27,Inputs!$B$4="Chapter Hunt"),CHOOSE(ArtifactsInput!$N$27+1,20,24,28,32,36,40),0)/100)))))/Skills!H11,1)))/Inputs!$B$43),G1738*Q1738)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1738*(1-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8">
        <f>IF(C1738,(H1738*N1738*IF(AND(Inputs!$B$38&lt;&gt;"pvp",Inputs!$B$43&gt;0),((Skills!G11*((R1738-1)*IF(Skills!H11&gt;0,Skills!I11/Skills!H11,1)+IF(Skills!H11&gt;0,MIN(Skills!I11,MAX(0,MAX(0,Inputs!$B$43-B1767)-((R1738-1)*(IF(Inputs!$B$38="pvp",15,MAX(0.1,Skills!D11-IF(Skills!E11=TRUE,Inputs!$B$32,0)))*(1-IF(AND(ArtifactsInput!$M$27,Inputs!$B$4="Chapter Hunt"),CHOOSE(ArtifactsInput!$N$27+1,20,24,28,32,36,40),0)/100)))))/Skills!H11,1)))/Inputs!$B$43),G1738*Q1738))*IF(Inputs!$B$38="pvp",1,(1+(Inputs!$B$21+Skills!Q11+(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Skills!A12</f>
        <v/>
      </c>
      <c r="B1739">
        <f>Skills!B12</f>
        <v/>
      </c>
      <c r="C1739">
        <f>Inputs!$B$3&gt;=110</f>
        <v/>
      </c>
      <c r="D1739">
        <f>IF(Skills!C12=1,60+Inputs!$B$25+Inputs!$B$29,IF(Skills!C12=2,90+Inputs!$B$26+Inputs!$B$29,IF(Skills!C12=3,120+Inputs!$B$27+Inputs!$B$29,MAX(0,(Inputs!$B$3-100)*3)+Inputs!$B$28+Inputs!$B$29)))</f>
        <v/>
      </c>
      <c r="E1739">
        <f>INDEX(FactorTable!$B$2:$Y$301, MATCH(ROUND(MIN(300,MAX(1,D1739)),0), FactorTable!$A$2:$A$301,0), Skills!M12+1)</f>
        <v/>
      </c>
      <c r="F1739">
        <f>IF(Skills!N12=TRUE,(Skills!L12/10)*(E1739/1000),Skills!L12/10)+Skills!O12</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V1739" t="inlineStr"/>
    </row>
    <row r="1740">
      <c r="A1740">
        <f>Skills!A13</f>
        <v/>
      </c>
      <c r="B1740">
        <f>Skills!B13</f>
        <v/>
      </c>
      <c r="C1740">
        <f>Inputs!$B$3&gt;=74</f>
        <v/>
      </c>
      <c r="D1740">
        <f>IF(Skills!C13=1,60+Inputs!$B$25+Inputs!$B$29,IF(Skills!C13=2,90+Inputs!$B$26+Inputs!$B$29,IF(Skills!C13=3,120+Inputs!$B$27+Inputs!$B$29,MAX(0,(Inputs!$B$3-100)*3)+Inputs!$B$28+Inputs!$B$29)))</f>
        <v/>
      </c>
      <c r="E1740">
        <f>INDEX(FactorTable!$B$2:$Y$301, MATCH(ROUND(MIN(300,MAX(1,D1740)),0), FactorTable!$A$2:$A$301,0), Skills!M13+1)</f>
        <v/>
      </c>
      <c r="F1740">
        <f>IF(Skills!N13=TRUE,(Skills!L13/10)*(E1740/1000),Skills!L13/10)+Skills!O13</f>
        <v/>
      </c>
      <c r="G1740">
        <f>Skills!G13*IF(Skills!H13&gt;0,Skills!I13/Skills!H13,1)</f>
        <v/>
      </c>
      <c r="H1740">
        <f>1-(1-Skills!J13/100)^Skills!K13</f>
        <v/>
      </c>
      <c r="I1740" t="inlineStr">
        <is>
          <t>1</t>
        </is>
      </c>
      <c r="J1740" t="inlineStr"/>
      <c r="K1740" t="inlineStr"/>
      <c r="L1740" t="inlineStr"/>
      <c r="M1740" t="inlineStr"/>
      <c r="N1740" t="inlineStr"/>
      <c r="O1740">
        <f>(1-Summary!$B$11)*T1740+Summary!$B$11*V1740</f>
        <v/>
      </c>
      <c r="P1740">
        <f>IF(B1770=0,0,O1740/B1770)</f>
        <v/>
      </c>
      <c r="Q1740" t="n">
        <v>0</v>
      </c>
      <c r="R1740" t="n">
        <v>0</v>
      </c>
      <c r="S1740">
        <f>IFERROR(O1740/N1740,0)</f>
        <v/>
      </c>
      <c r="T1740" t="n">
        <v>0</v>
      </c>
      <c r="V1740" t="n">
        <v>0</v>
      </c>
    </row>
    <row r="1741">
      <c r="A1741">
        <f>Skills!A14</f>
        <v/>
      </c>
      <c r="B1741">
        <f>Skills!B14</f>
        <v/>
      </c>
      <c r="C1741">
        <f>Inputs!$B$3&gt;=74</f>
        <v/>
      </c>
      <c r="D1741">
        <f>IF(Skills!C14=1,60+Inputs!$B$25+Inputs!$B$29,IF(Skills!C14=2,90+Inputs!$B$26+Inputs!$B$29,IF(Skills!C14=3,120+Inputs!$B$27+Inputs!$B$29,MAX(0,(Inputs!$B$3-100)*3)+Inputs!$B$28+Inputs!$B$29)))</f>
        <v/>
      </c>
      <c r="E1741">
        <f>INDEX(FactorTable!$B$2:$Y$301, MATCH(ROUND(MIN(300,MAX(1,D1741)),0), FactorTable!$A$2:$A$301,0), Skills!M14+1)</f>
        <v/>
      </c>
      <c r="F1741">
        <f>IF(Skills!N14=TRUE,(Skills!L14/10)*(E1741/1000),Skills!L14/10)+Skills!O14</f>
        <v/>
      </c>
      <c r="G1741">
        <f>Skills!G14*IF(Skills!H14&gt;0,Skills!I14/Skills!H14,1)</f>
        <v/>
      </c>
      <c r="H1741">
        <f>1-(1-Skills!J14/100)^Skills!K14</f>
        <v/>
      </c>
      <c r="I1741" t="inlineStr">
        <is>
          <t>1</t>
        </is>
      </c>
      <c r="J1741" t="inlineStr"/>
      <c r="K1741" t="inlineStr"/>
      <c r="L1741" t="inlineStr"/>
      <c r="M1741" t="inlineStr"/>
      <c r="N1741" t="inlineStr"/>
      <c r="O1741">
        <f>(1-Summary!$B$11)*T1741+Summary!$B$11*V1741</f>
        <v/>
      </c>
      <c r="P1741">
        <f>IF(B1770=0,0,O1741/B1770)</f>
        <v/>
      </c>
      <c r="Q1741" t="n">
        <v>0</v>
      </c>
      <c r="R1741" t="n">
        <v>0</v>
      </c>
      <c r="S1741">
        <f>IFERROR(O1741/N1741,0)</f>
        <v/>
      </c>
      <c r="T1741" t="n">
        <v>0</v>
      </c>
      <c r="V1741" t="n">
        <v>0</v>
      </c>
    </row>
    <row r="1742">
      <c r="A1742">
        <f>Skills!A15</f>
        <v/>
      </c>
      <c r="B1742">
        <f>Skills!B15</f>
        <v/>
      </c>
      <c r="C1742">
        <f>Inputs!$B$3&gt;=117</f>
        <v/>
      </c>
      <c r="D1742">
        <f>IF(Skills!C15=1,60+Inputs!$B$25+Inputs!$B$29,IF(Skills!C15=2,90+Inputs!$B$26+Inputs!$B$29,IF(Skills!C15=3,120+Inputs!$B$27+Inputs!$B$29,MAX(0,(Inputs!$B$3-100)*3)+Inputs!$B$28+Inputs!$B$29)))</f>
        <v/>
      </c>
      <c r="E1742">
        <f>INDEX(FactorTable!$B$2:$Y$301, MATCH(ROUND(MIN(300,MAX(1,D1742)),0), FactorTable!$A$2:$A$301,0), Skills!M15+1)</f>
        <v/>
      </c>
      <c r="F1742">
        <f>IF(Skills!N15=TRUE,(Skills!L15/10)*(E1742/1000),Skills!L15/10)+Skills!O15</f>
        <v/>
      </c>
      <c r="G1742">
        <f>Skills!G15*IF(Skills!H15&gt;0,Skills!I15/Skills!H15,1)</f>
        <v/>
      </c>
      <c r="H1742">
        <f>1-(1-Skills!J15/100)^Skills!K15</f>
        <v/>
      </c>
      <c r="I1742" t="inlineStr">
        <is>
          <t>1</t>
        </is>
      </c>
      <c r="J1742" t="inlineStr"/>
      <c r="K1742" t="inlineStr"/>
      <c r="L1742" t="inlineStr"/>
      <c r="M1742" t="inlineStr"/>
      <c r="N1742" t="inlineStr"/>
      <c r="O1742">
        <f>(1-Summary!$B$11)*T1742+Summary!$B$11*V1742</f>
        <v/>
      </c>
      <c r="P1742">
        <f>IF(B1770=0,0,O1742/B1770)</f>
        <v/>
      </c>
      <c r="Q1742">
        <f>IFERROR(1/(IF(Inputs!$B$38="pvp",15,MAX(0.1,Skills!D15-IF(Skills!E15=TRUE,Inputs!$B$32,0)))*(1-IF(AND(ArtifactsInput!$M$27,Inputs!$B$4="Chapter Hunt"),CHOOSE(ArtifactsInput!$N$27+1,20,24,28,32,36,40),0)/100)),0)</f>
        <v/>
      </c>
      <c r="R1742">
        <f>IF(AND(Inputs!$B$38&lt;&gt;"pvp",Inputs!$B$43&gt;0),IF(Inputs!$B$43&lt;=0,0,(INT(Inputs!$B$43/(IF(Inputs!$B$38="pvp",15,MAX(0.1,Skills!D15-IF(Skills!E15=TRUE,Inputs!$B$32,0)))*(1-IF(AND(ArtifactsInput!$M$27,Inputs!$B$4="Chapter Hunt"),CHOOSE(ArtifactsInput!$N$27+1,20,24,28,32,36,40),0)/100)))+1)),0)</f>
        <v/>
      </c>
      <c r="S1742">
        <f>IFERROR(O1742/N1742,0)</f>
        <v/>
      </c>
      <c r="T1742" t="n">
        <v>0</v>
      </c>
      <c r="V1742" t="n">
        <v>0</v>
      </c>
    </row>
    <row r="1743">
      <c r="A1743">
        <f>Skills!A16</f>
        <v/>
      </c>
      <c r="B1743">
        <f>Skills!B16</f>
        <v/>
      </c>
      <c r="C1743">
        <f>Inputs!$B$3&gt;=115</f>
        <v/>
      </c>
      <c r="D1743">
        <f>IF(Skills!C16=1,60+Inputs!$B$25+Inputs!$B$29,IF(Skills!C16=2,90+Inputs!$B$26+Inputs!$B$29,IF(Skills!C16=3,120+Inputs!$B$27+Inputs!$B$29,MAX(0,(Inputs!$B$3-100)*3)+Inputs!$B$28+Inputs!$B$29)))</f>
        <v/>
      </c>
      <c r="E1743">
        <f>INDEX(FactorTable!$B$2:$Y$301, MATCH(ROUND(MIN(300,MAX(1,D1743)),0), FactorTable!$A$2:$A$301,0), Skills!M16+1)</f>
        <v/>
      </c>
      <c r="F1743">
        <f>IF(Skills!N16=TRUE,(Skills!L16/10)*(E1743/1000),Skills!L16/10)+Skills!O16</f>
        <v/>
      </c>
      <c r="G1743">
        <f>Skills!G16*IF(Skills!H16&gt;0,Skills!I16/Skills!H16,1)</f>
        <v/>
      </c>
      <c r="H1743">
        <f>1-(1-Skills!J16/100)^Skills!K16</f>
        <v/>
      </c>
      <c r="I1743" t="inlineStr">
        <is>
          <t>1</t>
        </is>
      </c>
      <c r="J1743" t="inlineStr"/>
      <c r="K1743" t="inlineStr"/>
      <c r="L1743" t="inlineStr"/>
      <c r="M1743" t="inlineStr"/>
      <c r="N1743" t="inlineStr"/>
      <c r="O1743">
        <f>(1-Summary!$B$11)*T1743+Summary!$B$11*V1743</f>
        <v/>
      </c>
      <c r="P1743">
        <f>IF(B1770=0,0,O1743/B1770)</f>
        <v/>
      </c>
      <c r="Q1743">
        <f>IFERROR(1/(IF(Inputs!$B$38="pvp",15,MAX(0.1,Skills!D16-IF(Skills!E16=TRUE,Inputs!$B$32,0)))*(1-IF(AND(ArtifactsInput!$M$27,Inputs!$B$4="Chapter Hunt"),CHOOSE(ArtifactsInput!$N$27+1,20,24,28,32,36,40),0)/100)),0)</f>
        <v/>
      </c>
      <c r="R1743">
        <f>IF(AND(Inputs!$B$38&lt;&gt;"pvp",Inputs!$B$43&gt;0),IF(Inputs!$B$43&lt;=0,0,(INT(Inputs!$B$43/(IF(Inputs!$B$38="pvp",15,MAX(0.1,Skills!D16-IF(Skills!E16=TRUE,Inputs!$B$32,0)))*(1-IF(AND(ArtifactsInput!$M$27,Inputs!$B$4="Chapter Hunt"),CHOOSE(ArtifactsInput!$N$27+1,20,24,28,32,36,40),0)/100)))+1)),0)</f>
        <v/>
      </c>
      <c r="S1743">
        <f>IFERROR(O1743/N1743,0)</f>
        <v/>
      </c>
      <c r="T1743" t="n">
        <v>0</v>
      </c>
      <c r="V1743" t="n">
        <v>0</v>
      </c>
    </row>
    <row r="1744">
      <c r="A1744">
        <f>Skills!A17</f>
        <v/>
      </c>
      <c r="B1744">
        <f>Skills!B17</f>
        <v/>
      </c>
      <c r="C1744">
        <f>Inputs!$B$3&gt;=66</f>
        <v/>
      </c>
      <c r="D1744">
        <f>IF(Skills!C17=1,60+Inputs!$B$25+Inputs!$B$29,IF(Skills!C17=2,90+Inputs!$B$26+Inputs!$B$29,IF(Skills!C17=3,120+Inputs!$B$27+Inputs!$B$29,MAX(0,(Inputs!$B$3-100)*3)+Inputs!$B$28+Inputs!$B$29)))</f>
        <v/>
      </c>
      <c r="E1744">
        <f>INDEX(FactorTable!$B$2:$Y$301, MATCH(ROUND(MIN(300,MAX(1,D1744)),0), FactorTable!$A$2:$A$301,0), Skills!M17+1)</f>
        <v/>
      </c>
      <c r="F1744">
        <f>IF(Skills!N17=TRUE,(Skills!L17/10)*(E1744/1000),Skills!L17/10)+Skills!O17</f>
        <v/>
      </c>
      <c r="G1744">
        <f>Skills!G17*IF(Skills!H17&gt;0,Skills!I17/Skills!H17,1)</f>
        <v/>
      </c>
      <c r="H1744">
        <f>1-(1-Skills!J17/100)^Skills!K17</f>
        <v/>
      </c>
      <c r="I1744" t="inlineStr">
        <is>
          <t>1</t>
        </is>
      </c>
      <c r="J1744" t="inlineStr"/>
      <c r="K1744" t="inlineStr"/>
      <c r="L1744" t="inlineStr"/>
      <c r="M1744" t="inlineStr"/>
      <c r="N1744" t="inlineStr"/>
      <c r="O1744">
        <f>(1-Summary!$B$11)*T1744+Summary!$B$11*V1744</f>
        <v/>
      </c>
      <c r="P1744">
        <f>IF(B1770=0,0,O1744/B1770)</f>
        <v/>
      </c>
      <c r="Q1744" t="n">
        <v>0</v>
      </c>
      <c r="R1744" t="n">
        <v>0</v>
      </c>
      <c r="S1744">
        <f>IFERROR(O1744/N1744,0)</f>
        <v/>
      </c>
      <c r="T1744" t="n">
        <v>0</v>
      </c>
      <c r="V1744" t="n">
        <v>0</v>
      </c>
    </row>
    <row r="1745">
      <c r="A1745">
        <f>Skills!A18</f>
        <v/>
      </c>
      <c r="B1745">
        <f>Skills!B18</f>
        <v/>
      </c>
      <c r="C1745">
        <f>Inputs!$B$3&gt;=72</f>
        <v/>
      </c>
      <c r="D1745">
        <f>IF(Skills!C18=1,60+Inputs!$B$25+Inputs!$B$29,IF(Skills!C18=2,90+Inputs!$B$26+Inputs!$B$29,IF(Skills!C18=3,120+Inputs!$B$27+Inputs!$B$29,MAX(0,(Inputs!$B$3-100)*3)+Inputs!$B$28+Inputs!$B$29)))</f>
        <v/>
      </c>
      <c r="E1745">
        <f>INDEX(FactorTable!$B$2:$Y$301, MATCH(ROUND(MIN(300,MAX(1,D1745)),0), FactorTable!$A$2:$A$301,0), Skills!M18+1)</f>
        <v/>
      </c>
      <c r="F1745">
        <f>IF(Skills!N18=TRUE,(Skills!L18/10)*(E1745/1000),Skills!L18/10)+Skills!O18</f>
        <v/>
      </c>
      <c r="G1745">
        <f>Skills!G18*IF(Skills!H18&gt;0,Skills!I18/Skills!H18,1)</f>
        <v/>
      </c>
      <c r="H1745">
        <f>1-(1-Skills!J18/100)^Skills!K18</f>
        <v/>
      </c>
      <c r="I1745" t="inlineStr">
        <is>
          <t>1</t>
        </is>
      </c>
      <c r="J1745" t="inlineStr"/>
      <c r="K1745" t="inlineStr"/>
      <c r="L1745" t="inlineStr"/>
      <c r="M1745" t="inlineStr"/>
      <c r="N1745" t="inlineStr"/>
      <c r="O1745">
        <f>(1-Summary!$B$11)*T1745+Summary!$B$11*V1745</f>
        <v/>
      </c>
      <c r="P1745">
        <f>IF(B1770=0,0,O1745/B1770)</f>
        <v/>
      </c>
      <c r="Q1745" t="n">
        <v>0</v>
      </c>
      <c r="R1745" t="n">
        <v>0</v>
      </c>
      <c r="S1745">
        <f>IFERROR(O1745/N1745,0)</f>
        <v/>
      </c>
      <c r="T1745" t="n">
        <v>0</v>
      </c>
      <c r="V1745" t="n">
        <v>0</v>
      </c>
    </row>
    <row r="1746">
      <c r="A1746">
        <f>Skills!A19</f>
        <v/>
      </c>
      <c r="B1746">
        <f>Skills!B19</f>
        <v/>
      </c>
      <c r="C1746">
        <f>TRUE</f>
        <v/>
      </c>
      <c r="D1746">
        <f>IF(Skills!C19=1,60+Inputs!$B$25+Inputs!$B$29,IF(Skills!C19=2,90+Inputs!$B$26+Inputs!$B$29,IF(Skills!C19=3,120+Inputs!$B$27+Inputs!$B$29,MAX(0,(Inputs!$B$3-100)*3)+Inputs!$B$28+Inputs!$B$29)))</f>
        <v/>
      </c>
      <c r="E1746">
        <f>INDEX(FactorTable!$B$2:$Y$301, MATCH(ROUND(MIN(300,MAX(1,D1746)),0), FactorTable!$A$2:$A$301,0), Skills!M19+1)</f>
        <v/>
      </c>
      <c r="F1746">
        <f>IF(Skills!N19=TRUE,(Skills!L19/10)*(E1746/1000),Skills!L19/10)+Skills!O19</f>
        <v/>
      </c>
      <c r="G1746">
        <f>Skills!G19*IF(Skills!H19&gt;0,Skills!I19/Skills!H19,1)</f>
        <v/>
      </c>
      <c r="H1746">
        <f>1-(1-Skills!J19/100)^Skills!K19</f>
        <v/>
      </c>
      <c r="I1746" t="inlineStr">
        <is>
          <t>1</t>
        </is>
      </c>
      <c r="J1746" t="inlineStr"/>
      <c r="K1746" t="inlineStr"/>
      <c r="L1746" t="inlineStr"/>
      <c r="M1746" t="inlineStr"/>
      <c r="N1746" t="inlineStr"/>
      <c r="O1746">
        <f>(1-Summary!$B$11)*T1746+Summary!$B$11*V1746</f>
        <v/>
      </c>
      <c r="P1746">
        <f>IF(B1770=0,0,O1746/B1770)</f>
        <v/>
      </c>
      <c r="Q1746">
        <f>IFERROR(1/(IF(Inputs!$B$38="pvp",15,MAX(0.1,Skills!D19-IF(Skills!E19=TRUE,Inputs!$B$32,0)))*(1-IF(AND(ArtifactsInput!$M$27,Inputs!$B$4="Chapter Hunt"),CHOOSE(ArtifactsInput!$N$27+1,20,24,28,32,36,40),0)/100)),0)</f>
        <v/>
      </c>
      <c r="R1746">
        <f>IF(AND(Inputs!$B$38&lt;&gt;"pvp",Inputs!$B$43&gt;0),IF(Inputs!$B$43&lt;=0,0,(INT(Inputs!$B$43/(IF(Inputs!$B$38="pvp",15,MAX(0.1,Skills!D19-IF(Skills!E19=TRUE,Inputs!$B$32,0)))*(1-IF(AND(ArtifactsInput!$M$27,Inputs!$B$4="Chapter Hunt"),CHOOSE(ArtifactsInput!$N$27+1,20,24,28,32,36,40),0)/100)))+1)),0)</f>
        <v/>
      </c>
      <c r="S1746">
        <f>IFERROR(O1746/N1746,0)</f>
        <v/>
      </c>
      <c r="T1746" t="n">
        <v>0</v>
      </c>
      <c r="V1746" t="n">
        <v>0</v>
      </c>
    </row>
    <row r="1747">
      <c r="A1747">
        <f>Skills!A20</f>
        <v/>
      </c>
      <c r="B1747">
        <f>Skills!B20</f>
        <v/>
      </c>
      <c r="C1747">
        <f>Inputs!$B$3&gt;=15</f>
        <v/>
      </c>
      <c r="D1747">
        <f>IF(Skills!C20=1,60+Inputs!$B$25+Inputs!$B$29,IF(Skills!C20=2,90+Inputs!$B$26+Inputs!$B$29,IF(Skills!C20=3,120+Inputs!$B$27+Inputs!$B$29,MAX(0,(Inputs!$B$3-100)*3)+Inputs!$B$28+Inputs!$B$29)))</f>
        <v/>
      </c>
      <c r="E1747">
        <f>INDEX(FactorTable!$B$2:$Y$301, MATCH(ROUND(MIN(300,MAX(1,D1747)),0), FactorTable!$A$2:$A$301,0), Skills!M20+1)</f>
        <v/>
      </c>
      <c r="F1747">
        <f>IF(Skills!N20=TRUE,(Skills!L20/10)*(E1747/1000),Skills!L20/10)+Skills!O20</f>
        <v/>
      </c>
      <c r="G1747">
        <f>Skills!G20*IF(Skills!H20&gt;0,Skills!I20/Skills!H20,1)</f>
        <v/>
      </c>
      <c r="H1747">
        <f>1-(1-Skills!J20/100)^Skills!K20</f>
        <v/>
      </c>
      <c r="I1747" t="inlineStr">
        <is>
          <t>1</t>
        </is>
      </c>
      <c r="J1747" t="inlineStr"/>
      <c r="K1747" t="inlineStr"/>
      <c r="L1747" t="inlineStr"/>
      <c r="M1747" t="inlineStr"/>
      <c r="N1747" t="inlineStr"/>
      <c r="O1747">
        <f>(1-Summary!$B$11)*T1747+Summary!$B$11*V1747</f>
        <v/>
      </c>
      <c r="P1747">
        <f>IF(B1770=0,0,O1747/B1770)</f>
        <v/>
      </c>
      <c r="Q1747" t="n">
        <v>0</v>
      </c>
      <c r="R1747" t="n">
        <v>0</v>
      </c>
      <c r="S1747">
        <f>IFERROR(O1747/N1747,0)</f>
        <v/>
      </c>
      <c r="T1747" t="n">
        <v>0</v>
      </c>
      <c r="V1747" t="n">
        <v>0</v>
      </c>
    </row>
    <row r="1748">
      <c r="A1748">
        <f>Skills!A21</f>
        <v/>
      </c>
      <c r="B1748">
        <f>Skills!B21</f>
        <v/>
      </c>
      <c r="C1748">
        <f>Inputs!$B$3&gt;=10</f>
        <v/>
      </c>
      <c r="D1748">
        <f>IF(Skills!C21=1,60+Inputs!$B$25+Inputs!$B$29,IF(Skills!C21=2,90+Inputs!$B$26+Inputs!$B$29,IF(Skills!C21=3,120+Inputs!$B$27+Inputs!$B$29,MAX(0,(Inputs!$B$3-100)*3)+Inputs!$B$28+Inputs!$B$29)))</f>
        <v/>
      </c>
      <c r="E1748">
        <f>INDEX(FactorTable!$B$2:$Y$301, MATCH(ROUND(MIN(300,MAX(1,D1748)),0), FactorTable!$A$2:$A$301,0), Skills!M21+1)</f>
        <v/>
      </c>
      <c r="F1748">
        <f>IF(Skills!N21=TRUE,(Skills!L21/10)*(E1748/1000),Skills!L21/10)+Skills!O21</f>
        <v/>
      </c>
      <c r="G1748">
        <f>Skills!G21*IF(Skills!H21&gt;0,Skills!I21/Skills!H21,1)</f>
        <v/>
      </c>
      <c r="H1748">
        <f>1-(1-Skills!J21/100)^Skills!K21</f>
        <v/>
      </c>
      <c r="I1748" t="inlineStr">
        <is>
          <t>1</t>
        </is>
      </c>
      <c r="J1748" t="inlineStr"/>
      <c r="K1748" t="inlineStr"/>
      <c r="L1748" t="inlineStr"/>
      <c r="M1748" t="inlineStr"/>
      <c r="N1748" t="inlineStr"/>
      <c r="O1748">
        <f>(1-Summary!$B$11)*T1748+Summary!$B$11*V1748</f>
        <v/>
      </c>
      <c r="P1748">
        <f>IF(B1770=0,0,O1748/B1770)</f>
        <v/>
      </c>
      <c r="Q1748" t="n">
        <v>0</v>
      </c>
      <c r="R1748" t="n">
        <v>0</v>
      </c>
      <c r="S1748">
        <f>IFERROR(O1748/N1748,0)</f>
        <v/>
      </c>
      <c r="T1748" t="n">
        <v>0</v>
      </c>
      <c r="V1748" t="n">
        <v>0</v>
      </c>
    </row>
    <row r="1749">
      <c r="A1749">
        <f>Skills!A22</f>
        <v/>
      </c>
      <c r="B1749">
        <f>Skills!B22</f>
        <v/>
      </c>
      <c r="C1749">
        <f>Inputs!$B$3&gt;=33</f>
        <v/>
      </c>
      <c r="D1749">
        <f>IF(Skills!C22=1,60+Inputs!$B$25+Inputs!$B$29,IF(Skills!C22=2,90+Inputs!$B$26+Inputs!$B$29,IF(Skills!C22=3,120+Inputs!$B$27+Inputs!$B$29,MAX(0,(Inputs!$B$3-100)*3)+Inputs!$B$28+Inputs!$B$29)))</f>
        <v/>
      </c>
      <c r="E1749">
        <f>INDEX(FactorTable!$B$2:$Y$301, MATCH(ROUND(MIN(300,MAX(1,D1749)),0), FactorTable!$A$2:$A$301,0), Skills!M22+1)</f>
        <v/>
      </c>
      <c r="F1749">
        <f>IF(Skills!N22=TRUE,(Skills!L22/10)*(E1749/1000),Skills!L22/10)+Skills!O22</f>
        <v/>
      </c>
      <c r="G1749">
        <f>Skills!G22*IF(Skills!H22&gt;0,Skills!I22/Skills!H22,1)</f>
        <v/>
      </c>
      <c r="H1749">
        <f>1-(1-Skills!J22/100)^Skills!K22</f>
        <v/>
      </c>
      <c r="I1749" t="inlineStr">
        <is>
          <t>1</t>
        </is>
      </c>
      <c r="J1749" t="inlineStr"/>
      <c r="K1749" t="inlineStr"/>
      <c r="L1749" t="inlineStr"/>
      <c r="M1749" t="inlineStr"/>
      <c r="N1749" t="inlineStr"/>
      <c r="O1749">
        <f>(1-Summary!$B$11)*T1749+Summary!$B$11*V1749</f>
        <v/>
      </c>
      <c r="P1749">
        <f>IF(B1770=0,0,O1749/B1770)</f>
        <v/>
      </c>
      <c r="Q1749" t="n">
        <v>0</v>
      </c>
      <c r="R1749" t="n">
        <v>0</v>
      </c>
      <c r="S1749">
        <f>IFERROR(O1749/N1749,0)</f>
        <v/>
      </c>
      <c r="T1749" t="n">
        <v>0</v>
      </c>
      <c r="V1749" t="n">
        <v>0</v>
      </c>
    </row>
    <row r="1750">
      <c r="A1750">
        <f>Skills!A23</f>
        <v/>
      </c>
      <c r="B1750">
        <f>Skills!B23</f>
        <v/>
      </c>
      <c r="C1750">
        <f>Inputs!$B$3&gt;=38</f>
        <v/>
      </c>
      <c r="D1750">
        <f>IF(Skills!C23=1,60+Inputs!$B$25+Inputs!$B$29,IF(Skills!C23=2,90+Inputs!$B$26+Inputs!$B$29,IF(Skills!C23=3,120+Inputs!$B$27+Inputs!$B$29,MAX(0,(Inputs!$B$3-100)*3)+Inputs!$B$28+Inputs!$B$29)))</f>
        <v/>
      </c>
      <c r="E1750">
        <f>INDEX(FactorTable!$B$2:$Y$301, MATCH(ROUND(MIN(300,MAX(1,D1750)),0), FactorTable!$A$2:$A$301,0), Skills!M23+1)</f>
        <v/>
      </c>
      <c r="F1750">
        <f>IF(Skills!N23=TRUE,(Skills!L23/10)*(E1750/1000),Skills!L23/10)+Skills!O23</f>
        <v/>
      </c>
      <c r="G1750">
        <f>Skills!G23*IF(Skills!H23&gt;0,Skills!I23/Skills!H23,1)</f>
        <v/>
      </c>
      <c r="H1750">
        <f>1-(1-Skills!J23/100)^Skills!K23</f>
        <v/>
      </c>
      <c r="I1750" t="inlineStr">
        <is>
          <t>1</t>
        </is>
      </c>
      <c r="J1750" t="inlineStr"/>
      <c r="K1750" t="inlineStr"/>
      <c r="L1750" t="inlineStr"/>
      <c r="M1750" t="inlineStr"/>
      <c r="N1750" t="inlineStr"/>
      <c r="O1750">
        <f>(1-Summary!$B$11)*T1750+Summary!$B$11*V1750</f>
        <v/>
      </c>
      <c r="P1750">
        <f>IF(B1770=0,0,O1750/B1770)</f>
        <v/>
      </c>
      <c r="Q1750" t="n">
        <v>0</v>
      </c>
      <c r="R1750" t="n">
        <v>0</v>
      </c>
      <c r="S1750">
        <f>IFERROR(O1750/N1750,0)</f>
        <v/>
      </c>
      <c r="T1750" t="n">
        <v>0</v>
      </c>
      <c r="V1750" t="n">
        <v>0</v>
      </c>
    </row>
    <row r="1751">
      <c r="A1751">
        <f>Skills!A24</f>
        <v/>
      </c>
      <c r="B1751">
        <f>Skills!B24</f>
        <v/>
      </c>
      <c r="C1751">
        <f>Inputs!$B$3&gt;=43</f>
        <v/>
      </c>
      <c r="D1751">
        <f>IF(Skills!C24=1,60+Inputs!$B$25+Inputs!$B$29,IF(Skills!C24=2,90+Inputs!$B$26+Inputs!$B$29,IF(Skills!C24=3,120+Inputs!$B$27+Inputs!$B$29,MAX(0,(Inputs!$B$3-100)*3)+Inputs!$B$28+Inputs!$B$29)))</f>
        <v/>
      </c>
      <c r="E1751">
        <f>INDEX(FactorTable!$B$2:$Y$301, MATCH(ROUND(MIN(300,MAX(1,D1751)),0), FactorTable!$A$2:$A$301,0), Skills!M24+1)</f>
        <v/>
      </c>
      <c r="F1751">
        <f>IF(Skills!N24=TRUE,(Skills!L24/10)*(E1751/1000),Skills!L24/10)+Skills!O24</f>
        <v/>
      </c>
      <c r="G1751">
        <f>Skills!G24*IF(Skills!H24&gt;0,Skills!I24/Skills!H24,1)</f>
        <v/>
      </c>
      <c r="H1751">
        <f>1-(1-Skills!J24/100)^Skills!K24</f>
        <v/>
      </c>
      <c r="I1751" t="inlineStr">
        <is>
          <t>1</t>
        </is>
      </c>
      <c r="J1751" t="inlineStr"/>
      <c r="K1751" t="inlineStr"/>
      <c r="L1751" t="inlineStr"/>
      <c r="M1751" t="inlineStr"/>
      <c r="N1751" t="inlineStr"/>
      <c r="O1751">
        <f>(1-Summary!$B$11)*T1751+Summary!$B$11*V1751</f>
        <v/>
      </c>
      <c r="P1751">
        <f>IF(B1770=0,0,O1751/B1770)</f>
        <v/>
      </c>
      <c r="Q1751" t="n">
        <v>0</v>
      </c>
      <c r="R1751" t="n">
        <v>0</v>
      </c>
      <c r="S1751">
        <f>IFERROR(O1751/N1751,0)</f>
        <v/>
      </c>
      <c r="T1751" t="n">
        <v>0</v>
      </c>
      <c r="V1751" t="n">
        <v>0</v>
      </c>
    </row>
    <row r="1752">
      <c r="A1752">
        <f>Skills!A25</f>
        <v/>
      </c>
      <c r="B1752">
        <f>Skills!B25</f>
        <v/>
      </c>
      <c r="C1752">
        <f>Inputs!$B$3&gt;=75</f>
        <v/>
      </c>
      <c r="D1752">
        <f>IF(Skills!C25=1,60+Inputs!$B$25+Inputs!$B$29,IF(Skills!C25=2,90+Inputs!$B$26+Inputs!$B$29,IF(Skills!C25=3,120+Inputs!$B$27+Inputs!$B$29,MAX(0,(Inputs!$B$3-100)*3)+Inputs!$B$28+Inputs!$B$29)))</f>
        <v/>
      </c>
      <c r="E1752">
        <f>INDEX(FactorTable!$B$2:$Y$301, MATCH(ROUND(MIN(300,MAX(1,D1752)),0), FactorTable!$A$2:$A$301,0), Skills!M25+1)</f>
        <v/>
      </c>
      <c r="F1752">
        <f>IF(Skills!N25=TRUE,(Skills!L25/10)*(E1752/1000),Skills!L25/10)+Skills!O25</f>
        <v/>
      </c>
      <c r="G1752">
        <f>Skills!G25*IF(Skills!H25&gt;0,Skills!I25/Skills!H25,1)</f>
        <v/>
      </c>
      <c r="H1752">
        <f>1-(1-Skills!J25/100)^Skills!K25</f>
        <v/>
      </c>
      <c r="I1752" t="inlineStr">
        <is>
          <t>1</t>
        </is>
      </c>
      <c r="J1752" t="inlineStr"/>
      <c r="K1752" t="inlineStr"/>
      <c r="L1752" t="inlineStr"/>
      <c r="M1752" t="inlineStr"/>
      <c r="N1752" t="inlineStr"/>
      <c r="O1752">
        <f>(1-Summary!$B$11)*T1752+Summary!$B$11*V1752</f>
        <v/>
      </c>
      <c r="P1752">
        <f>IF(B1770=0,0,O1752/B1770)</f>
        <v/>
      </c>
      <c r="Q1752" t="n">
        <v>0</v>
      </c>
      <c r="R1752" t="n">
        <v>0</v>
      </c>
      <c r="S1752">
        <f>IFERROR(O1752/N1752,0)</f>
        <v/>
      </c>
      <c r="T1752" t="n">
        <v>0</v>
      </c>
      <c r="V1752" t="n">
        <v>0</v>
      </c>
    </row>
    <row r="1753">
      <c r="A1753">
        <f>Skills!A26</f>
        <v/>
      </c>
      <c r="B1753">
        <f>Skills!B26</f>
        <v/>
      </c>
      <c r="C1753">
        <f>Inputs!$B$3&gt;=125</f>
        <v/>
      </c>
      <c r="D1753">
        <f>IF(Skills!C26=1,60+Inputs!$B$25+Inputs!$B$29,IF(Skills!C26=2,90+Inputs!$B$26+Inputs!$B$29,IF(Skills!C26=3,120+Inputs!$B$27+Inputs!$B$29,MAX(0,(Inputs!$B$3-100)*3)+Inputs!$B$28+Inputs!$B$29)))</f>
        <v/>
      </c>
      <c r="E1753">
        <f>INDEX(FactorTable!$B$2:$Y$301, MATCH(ROUND(MIN(300,MAX(1,D1753)),0), FactorTable!$A$2:$A$301,0), Skills!M26+1)</f>
        <v/>
      </c>
      <c r="F1753">
        <f>IF(Skills!N26=TRUE,(Skills!L26/10)*(E1753/1000),Skills!L26/10)+Skills!O26</f>
        <v/>
      </c>
      <c r="G1753">
        <f>Skills!G26*IF(Skills!H26&gt;0,Skills!I26/Skills!H26,1)</f>
        <v/>
      </c>
      <c r="H1753">
        <f>1-(1-Skills!J26/100)^Skills!K26</f>
        <v/>
      </c>
      <c r="I1753" t="inlineStr">
        <is>
          <t>1</t>
        </is>
      </c>
      <c r="J1753" t="inlineStr"/>
      <c r="K1753" t="inlineStr"/>
      <c r="L1753" t="inlineStr"/>
      <c r="M1753" t="inlineStr"/>
      <c r="N1753" t="inlineStr"/>
      <c r="O1753">
        <f>(1-Summary!$B$11)*T1753+Summary!$B$11*V1753</f>
        <v/>
      </c>
      <c r="P1753">
        <f>IF(B1770=0,0,O1753/B1770)</f>
        <v/>
      </c>
      <c r="Q1753" t="n">
        <v>0</v>
      </c>
      <c r="R1753" t="n">
        <v>0</v>
      </c>
      <c r="S1753">
        <f>IFERROR(O1753/N1753,0)</f>
        <v/>
      </c>
      <c r="T1753" t="n">
        <v>0</v>
      </c>
      <c r="V1753" t="n">
        <v>0</v>
      </c>
    </row>
    <row r="1754">
      <c r="A1754">
        <f>Skills!A27</f>
        <v/>
      </c>
      <c r="B1754">
        <f>Skills!B27</f>
        <v/>
      </c>
      <c r="C1754">
        <f>Inputs!$B$3&gt;=125</f>
        <v/>
      </c>
      <c r="D1754">
        <f>IF(Skills!C27=1,60+Inputs!$B$25+Inputs!$B$29,IF(Skills!C27=2,90+Inputs!$B$26+Inputs!$B$29,IF(Skills!C27=3,120+Inputs!$B$27+Inputs!$B$29,MAX(0,(Inputs!$B$3-100)*3)+Inputs!$B$28+Inputs!$B$29)))</f>
        <v/>
      </c>
      <c r="E1754">
        <f>INDEX(FactorTable!$B$2:$Y$301, MATCH(ROUND(MIN(300,MAX(1,D1754)),0), FactorTable!$A$2:$A$301,0), Skills!M27+1)</f>
        <v/>
      </c>
      <c r="F1754">
        <f>IF(Skills!N27=TRUE,(Skills!L27/10)*(E1754/1000),Skills!L27/10)+Skills!O27</f>
        <v/>
      </c>
      <c r="G1754">
        <f>Skills!G27*IF(Skills!H27&gt;0,Skills!I27/Skills!H27,1)</f>
        <v/>
      </c>
      <c r="H1754">
        <f>1-(1-Skills!J27/100)^Skills!K27</f>
        <v/>
      </c>
      <c r="I1754" t="inlineStr">
        <is>
          <t>1</t>
        </is>
      </c>
      <c r="J1754" t="inlineStr"/>
      <c r="K1754" t="inlineStr"/>
      <c r="L1754" t="inlineStr"/>
      <c r="M1754" t="inlineStr"/>
      <c r="N1754" t="inlineStr"/>
      <c r="O1754">
        <f>(1-Summary!$B$11)*T1754+Summary!$B$11*V1754</f>
        <v/>
      </c>
      <c r="P1754">
        <f>IF(B1770=0,0,O1754/B1770)</f>
        <v/>
      </c>
      <c r="Q1754" t="n">
        <v>0</v>
      </c>
      <c r="R1754" t="n">
        <v>0</v>
      </c>
      <c r="S1754">
        <f>IFERROR(O1754/N1754,0)</f>
        <v/>
      </c>
      <c r="T1754" t="n">
        <v>0</v>
      </c>
      <c r="V1754" t="n">
        <v>0</v>
      </c>
    </row>
    <row r="1755">
      <c r="A1755">
        <f>Skills!A28</f>
        <v/>
      </c>
      <c r="B1755">
        <f>Skills!B28</f>
        <v/>
      </c>
      <c r="C1755">
        <f>Inputs!$B$3&gt;=120</f>
        <v/>
      </c>
      <c r="D1755">
        <f>IF(Skills!C28=1,60+Inputs!$B$25+Inputs!$B$29,IF(Skills!C28=2,90+Inputs!$B$26+Inputs!$B$29,IF(Skills!C28=3,120+Inputs!$B$27+Inputs!$B$29,MAX(0,(Inputs!$B$3-100)*3)+Inputs!$B$28+Inputs!$B$29)))</f>
        <v/>
      </c>
      <c r="E1755">
        <f>INDEX(FactorTable!$B$2:$Y$301, MATCH(ROUND(MIN(300,MAX(1,D1755)),0), FactorTable!$A$2:$A$301,0), Skills!M28+1)</f>
        <v/>
      </c>
      <c r="F1755">
        <f>IF(Skills!N28=TRUE,(Skills!L28/10)*(E1755/1000),Skills!L28/10)+Skills!O28</f>
        <v/>
      </c>
      <c r="G1755">
        <f>Skills!G28*IF(Skills!H28&gt;0,Skills!I28/Skills!H28,1)</f>
        <v/>
      </c>
      <c r="H1755">
        <f>1-(1-Skills!J28/100)^Skills!K28</f>
        <v/>
      </c>
      <c r="I1755" t="inlineStr">
        <is>
          <t>1</t>
        </is>
      </c>
      <c r="J1755" t="inlineStr"/>
      <c r="K1755" t="inlineStr"/>
      <c r="L1755" t="inlineStr"/>
      <c r="M1755" t="inlineStr"/>
      <c r="N1755" t="inlineStr"/>
      <c r="O1755">
        <f>(1-Summary!$B$11)*T1755+Summary!$B$11*V1755</f>
        <v/>
      </c>
      <c r="P1755">
        <f>IF(B1770=0,0,O1755/B1770)</f>
        <v/>
      </c>
      <c r="Q1755" t="n">
        <v>0</v>
      </c>
      <c r="R1755" t="n">
        <v>0</v>
      </c>
      <c r="S1755">
        <f>IFERROR(O1755/N1755,0)</f>
        <v/>
      </c>
      <c r="T1755" t="n">
        <v>0</v>
      </c>
      <c r="V1755" t="n">
        <v>0</v>
      </c>
    </row>
    <row r="1756">
      <c r="A1756">
        <f>Skills!A29</f>
        <v/>
      </c>
      <c r="B1756">
        <f>Skills!B29</f>
        <v/>
      </c>
      <c r="C1756">
        <f>Inputs!$B$3&gt;=120</f>
        <v/>
      </c>
      <c r="D1756">
        <f>IF(Skills!C29=1,60+Inputs!$B$25+Inputs!$B$29,IF(Skills!C29=2,90+Inputs!$B$26+Inputs!$B$29,IF(Skills!C29=3,120+Inputs!$B$27+Inputs!$B$29,MAX(0,(Inputs!$B$3-100)*3)+Inputs!$B$28+Inputs!$B$29)))</f>
        <v/>
      </c>
      <c r="E1756">
        <f>INDEX(FactorTable!$B$2:$Y$301, MATCH(ROUND(MIN(300,MAX(1,D1756)),0), FactorTable!$A$2:$A$301,0), Skills!M29+1)</f>
        <v/>
      </c>
      <c r="F1756">
        <f>IF(Skills!N29=TRUE,(Skills!L29/10)*(E1756/1000),Skills!L29/10)+Skills!O29</f>
        <v/>
      </c>
      <c r="G1756">
        <f>Skills!G29*IF(Skills!H29&gt;0,Skills!I29/Skills!H29,1)</f>
        <v/>
      </c>
      <c r="H1756">
        <f>1-(1-Skills!J29/100)^Skills!K29</f>
        <v/>
      </c>
      <c r="I1756" t="inlineStr">
        <is>
          <t>1</t>
        </is>
      </c>
      <c r="J1756" t="inlineStr"/>
      <c r="K1756" t="inlineStr"/>
      <c r="L1756" t="inlineStr"/>
      <c r="M1756" t="inlineStr"/>
      <c r="N1756" t="inlineStr"/>
      <c r="O1756">
        <f>(1-Summary!$B$11)*T1756+Summary!$B$11*V1756</f>
        <v/>
      </c>
      <c r="P1756">
        <f>IF(B1770=0,0,O1756/B1770)</f>
        <v/>
      </c>
      <c r="Q1756" t="n">
        <v>0</v>
      </c>
      <c r="R1756" t="n">
        <v>0</v>
      </c>
      <c r="S1756">
        <f>IFERROR(O1756/N1756,0)</f>
        <v/>
      </c>
      <c r="T1756" t="n">
        <v>0</v>
      </c>
      <c r="V1756" t="n">
        <v>0</v>
      </c>
    </row>
    <row r="1757">
      <c r="A1757">
        <f>Skills!A30</f>
        <v/>
      </c>
      <c r="B1757">
        <f>Skills!B30</f>
        <v/>
      </c>
      <c r="C1757">
        <f>Inputs!$B$3&gt;=45</f>
        <v/>
      </c>
      <c r="D1757">
        <f>IF(Skills!C30=1,60+Inputs!$B$25+Inputs!$B$29,IF(Skills!C30=2,90+Inputs!$B$26+Inputs!$B$29,IF(Skills!C30=3,120+Inputs!$B$27+Inputs!$B$29,MAX(0,(Inputs!$B$3-100)*3)+Inputs!$B$28+Inputs!$B$29)))</f>
        <v/>
      </c>
      <c r="E1757">
        <f>INDEX(FactorTable!$B$2:$Y$301, MATCH(ROUND(MIN(300,MAX(1,D1757)),0), FactorTable!$A$2:$A$301,0), Skills!M30+1)</f>
        <v/>
      </c>
      <c r="F1757">
        <f>IF(Skills!N30=TRUE,(Skills!L30/10)*(E1757/1000),Skills!L30/10)+Skills!O30</f>
        <v/>
      </c>
      <c r="G1757">
        <f>Skills!G30*IF(Skills!H30&gt;0,Skills!I30/Skills!H30,1)</f>
        <v/>
      </c>
      <c r="H1757">
        <f>1-(1-Skills!J30/100)^Skills!K30</f>
        <v/>
      </c>
      <c r="I1757" t="inlineStr">
        <is>
          <t>1</t>
        </is>
      </c>
      <c r="J1757" t="inlineStr"/>
      <c r="K1757" t="inlineStr"/>
      <c r="L1757" t="inlineStr"/>
      <c r="M1757" t="inlineStr"/>
      <c r="N1757" t="inlineStr"/>
      <c r="O1757">
        <f>(1-Summary!$B$11)*T1757+Summary!$B$11*V1757</f>
        <v/>
      </c>
      <c r="P1757">
        <f>IF(B1770=0,0,O1757/B1770)</f>
        <v/>
      </c>
      <c r="Q1757" t="n">
        <v>0</v>
      </c>
      <c r="R1757" t="n">
        <v>0</v>
      </c>
      <c r="S1757">
        <f>IFERROR(O1757/N1757,0)</f>
        <v/>
      </c>
      <c r="T1757" t="n">
        <v>0</v>
      </c>
      <c r="V1757" t="n">
        <v>0</v>
      </c>
    </row>
    <row r="1759">
      <c r="A1759" t="inlineStr">
        <is>
          <t>Attack% Bucket Multiplier</t>
        </is>
      </c>
      <c r="B1759">
        <f>(1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0">
      <c r="A1760" t="inlineStr">
        <is>
          <t>Global Crit Rate Bonus %</t>
        </is>
      </c>
      <c r="B1760">
        <f>(C1743=TRUE)*20*IF(AND(Inputs!$B$38&lt;&gt;"pvp",Inputs!$B$43&gt;0),(((R1743-1)*(Skills!T16*(1+Inputs!$B$34/100))+MIN((Skills!T16*(1+Inputs!$B$34/100)),MAX(0,Inputs!$B$43-((R1743-1)*Skills!D16))))/Inputs!$B$43),IF(Inputs!$B$38="pvp",MIN((Skills!T16*(1+Inputs!$B$34/100)),15)/15,(Skills!T16*(1+Inputs!$B$34/100))/Skills!D16))</f>
        <v/>
      </c>
    </row>
    <row r="1761">
      <c r="A1761" t="inlineStr">
        <is>
          <t>Attack Speed Buff Bonus %</t>
        </is>
      </c>
      <c r="B1761">
        <f>((C1746=TRUE)*F1746*IF(AND(Inputs!$B$38&lt;&gt;"pvp",Inputs!$B$43&gt;0),(((R1746-1)*(Skills!T19*(1+Inputs!$B$34/100))+MIN((Skills!T19*(1+Inputs!$B$34/100)),MAX(0,Inputs!$B$43-((R1746-1)*Skills!D19))))/Inputs!$B$43),IF(Inputs!$B$38="pvp",MIN((Skills!T19*(1+Inputs!$B$34/100)),15)/15,(Skills!T19*(1+Inputs!$B$34/100))/Skills!D19)))</f>
        <v/>
      </c>
    </row>
    <row r="1762">
      <c r="A1762" t="inlineStr">
        <is>
          <t>Actions Per Second</t>
        </is>
      </c>
      <c r="B1762">
        <f>1+MIN(150,150*(1-(1-(Inputs!$B$11+((C1748=TRUE)*(F1748-Calc!F21))+((C1749=TRUE)*(F1749-Calc!F22)))/150)*(1-B1761/150)))/100</f>
        <v/>
      </c>
    </row>
    <row r="1763">
      <c r="A1763" t="inlineStr">
        <is>
          <t>Skill + Buff Cast Rate</t>
        </is>
      </c>
      <c r="B1763">
        <f>IF(AND(Inputs!$B$38&lt;&gt;"pvp",Inputs!$B$43&gt;0),SUMPRODUCT((Skills!E2:E30=TRUE)*(C1729:C1757=TRUE)*R1729:R1757*Skills!F2:F30)/Inputs!$B$43,SUMPRODUCT((Skills!E2:E30=TRUE)*(C1729:C1757=TRUE)*Q1729:Q1757*Skills!F2:F30))</f>
        <v/>
      </c>
    </row>
    <row r="1764">
      <c r="A1764" t="inlineStr">
        <is>
          <t>Arrow Stream Casts Per Second</t>
        </is>
      </c>
      <c r="B1764">
        <f>MAX(0,B1762-B1763)</f>
        <v/>
      </c>
    </row>
    <row r="1765">
      <c r="A1765" t="inlineStr">
        <is>
          <t>Global Critical Damage Bonus % (Sharp Eyes + Concentration)</t>
        </is>
      </c>
      <c r="B1765">
        <f>(C1743=TRUE)*F1743*IF(AND(Inputs!$B$38&lt;&gt;"pvp",Inputs!$B$43&gt;0),(((R1743-1)*(Skills!T16*(1+Inputs!$B$34/100))+MIN((Skills!T16*(1+Inputs!$B$34/100)),MAX(0,Inputs!$B$43-((R1743-1)*Skills!D16))))/Inputs!$B$43),IF(Inputs!$B$38="pvp",MIN((Skills!T16*(1+Inputs!$B$34/100)),15)/15,(Skills!T16*(1+Inputs!$B$34/100))/Skills!D16))+(C1744=TRUE)*30</f>
        <v/>
      </c>
    </row>
    <row r="1766">
      <c r="A1766" t="inlineStr">
        <is>
          <t>Global Final Damage Bonus % (Mortal Blow)</t>
        </is>
      </c>
      <c r="B1766">
        <f>(C1745=TRUE)*F1745</f>
        <v/>
      </c>
    </row>
    <row r="1767">
      <c r="A1767" t="inlineStr">
        <is>
          <t>Buff-Casting Startup Delay (s, fixed-duration only)</t>
        </is>
      </c>
      <c r="B1767">
        <f>IF(AND(Inputs!$B$38&lt;&gt;"pvp",Inputs!$B$43&gt;0),SUMPRODUCT((Skills!T2:T30&gt;0)*(Skills!E2:E30=TRUE)*(C1729:C1757=TRUE))/B1762,0)</f>
        <v/>
      </c>
    </row>
    <row r="1768">
      <c r="A1768" t="inlineStr">
        <is>
          <t>Boss-Only Total DPS (this block's swept value)</t>
        </is>
      </c>
      <c r="B1768">
        <f>SUM(T1729:T1757)</f>
        <v/>
      </c>
    </row>
    <row r="1769">
      <c r="A1769" t="inlineStr">
        <is>
          <t>Normal-Only Total DPS (this block's swept value)</t>
        </is>
      </c>
      <c r="B1769">
        <f>SUM(V1729:V1757)</f>
        <v/>
      </c>
    </row>
    <row r="1770">
      <c r="A1770" s="6" t="inlineStr">
        <is>
          <t>TOTAL DPS</t>
        </is>
      </c>
      <c r="B1770" s="6">
        <f>SUM(O1729:O1757)</f>
        <v/>
      </c>
    </row>
    <row r="1773">
      <c r="A1773" s="6" t="inlineStr">
        <is>
          <t>Stat: Horntail's Scale (Equip)</t>
        </is>
      </c>
    </row>
    <row r="1774">
      <c r="A1774" s="5" t="inlineStr">
        <is>
          <t>Key</t>
        </is>
      </c>
      <c r="B1774" s="5" t="inlineStr">
        <is>
          <t>Name</t>
        </is>
      </c>
      <c r="C1774" s="5" t="inlineStr">
        <is>
          <t>Unlocked</t>
        </is>
      </c>
      <c r="D1774" s="5" t="inlineStr">
        <is>
          <t>InputLevel</t>
        </is>
      </c>
      <c r="E1774" s="5" t="inlineStr">
        <is>
          <t>Factor</t>
        </is>
      </c>
      <c r="F1774" s="5" t="inlineStr">
        <is>
          <t>CoefficientPercent</t>
        </is>
      </c>
      <c r="G1774" s="5" t="inlineStr">
        <is>
          <t>EffectiveHits</t>
        </is>
      </c>
      <c r="H1774" s="5" t="inlineStr">
        <is>
          <t>ProcProbability</t>
        </is>
      </c>
      <c r="I1774" s="5" t="inlineStr">
        <is>
          <t>MapleHeroMultiplier</t>
        </is>
      </c>
      <c r="J1774" s="5" t="inlineStr">
        <is>
          <t>BaseDamage</t>
        </is>
      </c>
      <c r="K1774" s="5" t="inlineStr">
        <is>
          <t>BaseHitDamage</t>
        </is>
      </c>
      <c r="L1774" s="5" t="inlineStr">
        <is>
          <t>NonCritAvg</t>
        </is>
      </c>
      <c r="M1774" s="5" t="inlineStr">
        <is>
          <t>CritAvg</t>
        </is>
      </c>
      <c r="N1774" s="5" t="inlineStr">
        <is>
          <t>ExpectedDamage(perHit)</t>
        </is>
      </c>
      <c r="O1774" s="5" t="inlineStr">
        <is>
          <t>DPS</t>
        </is>
      </c>
      <c r="P1774" s="5" t="inlineStr">
        <is>
          <t>% of Total</t>
        </is>
      </c>
      <c r="Q1774" s="5" t="inlineStr">
        <is>
          <t>InvCooldown</t>
        </is>
      </c>
      <c r="R1774" s="5" t="inlineStr">
        <is>
          <t>CastsInFight</t>
        </is>
      </c>
      <c r="S1774" s="5" t="inlineStr">
        <is>
          <t>HitRate(perSec)</t>
        </is>
      </c>
      <c r="U1774" t="inlineStr">
        <is>
          <t>helpers</t>
        </is>
      </c>
    </row>
    <row r="1775">
      <c r="A1775">
        <f>Skills!A2</f>
        <v/>
      </c>
      <c r="B1775">
        <f>Skills!B2</f>
        <v/>
      </c>
      <c r="C1775">
        <f>Inputs!$B$3&gt;=100</f>
        <v/>
      </c>
      <c r="D1775" t="inlineStr"/>
      <c r="E1775" t="inlineStr"/>
      <c r="F1775">
        <f>U1777+Skills!O2</f>
        <v/>
      </c>
      <c r="G1775">
        <f>Skills!G2*IF(Skills!H2&gt;0,Skills!I2/Skills!H2,1)</f>
        <v/>
      </c>
      <c r="H1775">
        <f>1-(1-Skills!J2/100)^Skills!K2</f>
        <v/>
      </c>
      <c r="I1775" t="inlineStr">
        <is>
          <t>1</t>
        </is>
      </c>
      <c r="J1775">
        <f>((Inputs!$B$6*(1+Inputs!$B$7/100))+(((Inputs!$B$12*(1+Inputs!$B$13/100))-(Inputs!$B$12*(1+Inputs!$B$13/100)))+0.25*(Inputs!$B$14-Inputs!$B$14))*(1+Inputs!$B$7/100))*(F1775/100)</f>
        <v/>
      </c>
      <c r="K1775">
        <f>J1775*(1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1797=TRUE)*(F1797-Calc!F24)),(Inputs!$B$23+((C1802=TRUE)*(F1802-Calc!F29))+(IF(ArtifactsInput!$M$15,CHOOSE(ArtifactsInput!$N$15+1,25,30,35,40,45,50)/100*(Inputs!$B$11-Inputs!$B$11),0))))/100+(Inputs!$B$23+((C1802=TRUE)*(F1802-Calc!F29))+(IF(ArtifactsInput!$M$15,CHOOSE(ArtifactsInput!$N$15+1,25,30,35,40,45,50)/100*(Inputs!$B$11-Inputs!$B$11),0)))/100)/2</f>
        <v/>
      </c>
      <c r="M1775">
        <f>L1775*(1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IF(B1816=0,0,O1775/B1816)</f>
        <v/>
      </c>
      <c r="Q1775" t="n">
        <v>0</v>
      </c>
      <c r="R1775" t="n">
        <v>0</v>
      </c>
      <c r="S1775">
        <f>IFERROR(O1775/N1775,0)</f>
        <v/>
      </c>
      <c r="T1775">
        <f>IF(C1775,(Skills!G2*N1775*B1810)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1775*(1-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5">
        <f>MAX(0,(Inputs!$B$3-100)*3)+Inputs!$B$28+Inputs!$B$29</f>
        <v/>
      </c>
      <c r="V1775">
        <f>IF(C1775,(Skills!G2*N1775*B1810)*IF(Inputs!$B$38="pvp",1,(1+(Inputs!$B$21+Skills!Q2+(IF(ArtifactsInput!$M$33,CHOOSE(ArtifactsInput!$N$33+1,30,36,42,48,54,60),0))+(IF(AND(ArtifactsInput!$M$35,Inputs!$B$4&lt;&gt;"Chapter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Skills!A3</f>
        <v/>
      </c>
      <c r="B1776">
        <f>Skills!B3</f>
        <v/>
      </c>
      <c r="C1776">
        <f>Inputs!$B$3&gt;=50</f>
        <v/>
      </c>
      <c r="D1776">
        <f>IF(Skills!C3=1,60+Inputs!$B$25+Inputs!$B$29,IF(Skills!C3=2,90+Inputs!$B$26+Inputs!$B$29,IF(Skills!C3=3,120+Inputs!$B$27+Inputs!$B$29,MAX(0,(Inputs!$B$3-100)*3)+Inputs!$B$28+Inputs!$B$29)))</f>
        <v/>
      </c>
      <c r="E1776">
        <f>INDEX(FactorTable!$B$2:$Y$301, MATCH(ROUND(MIN(300,MAX(1,D1776)),0), FactorTable!$A$2:$A$301,0), Skills!M3+1)</f>
        <v/>
      </c>
      <c r="F1776">
        <f>IF(Skills!N3=TRUE,(Skills!L3/10)*(E1776/1000),Skills!L3/10)+Skills!O3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U1776">
        <f>INDEX(FactorTable!$B$2:$Y$301, MATCH(ROUND(MIN(300,MAX(1,U1775)),0), FactorTable!$A$2:$A$301,0), 22)</f>
        <v/>
      </c>
      <c r="V1776" t="inlineStr"/>
    </row>
    <row r="1777">
      <c r="A1777">
        <f>Skills!A4</f>
        <v/>
      </c>
      <c r="B1777">
        <f>Skills!B4</f>
        <v/>
      </c>
      <c r="C1777">
        <f>Inputs!$B$3&gt;=105</f>
        <v/>
      </c>
      <c r="D1777">
        <f>IF(Skills!C4=1,60+Inputs!$B$25+Inputs!$B$29,IF(Skills!C4=2,90+Inputs!$B$26+Inputs!$B$29,IF(Skills!C4=3,120+Inputs!$B$27+Inputs!$B$29,MAX(0,(Inputs!$B$3-100)*3)+Inputs!$B$28+Inputs!$B$29)))</f>
        <v/>
      </c>
      <c r="E1777">
        <f>INDEX(FactorTable!$B$2:$Y$301, MATCH(ROUND(MIN(300,MAX(1,D1777)),0), FactorTable!$A$2:$A$301,0), Skills!M4+1)</f>
        <v/>
      </c>
      <c r="F1777">
        <f>IF(Skills!N4=TRUE,(Skills!L4/10)*(E1777/1000),Skills!L4/10)+Skills!O4</f>
        <v/>
      </c>
      <c r="G1777" t="inlineStr"/>
      <c r="H1777" t="inlineStr"/>
      <c r="I1777" t="inlineStr">
        <is>
          <t>1</t>
        </is>
      </c>
      <c r="J1777" t="inlineStr"/>
      <c r="K1777" t="inlineStr"/>
      <c r="L1777" t="inlineStr"/>
      <c r="M1777" t="inlineStr"/>
      <c r="N1777" t="inlineStr"/>
      <c r="O1777" t="inlineStr"/>
      <c r="P1777" t="inlineStr"/>
      <c r="Q1777" t="inlineStr"/>
      <c r="R1777" t="inlineStr"/>
      <c r="S1777" t="inlineStr"/>
      <c r="T1777" t="inlineStr"/>
      <c r="U1777">
        <f>290*U1776/1000</f>
        <v/>
      </c>
      <c r="V1777" t="inlineStr"/>
    </row>
    <row r="1778">
      <c r="A1778">
        <f>Skills!A5</f>
        <v/>
      </c>
      <c r="B1778">
        <f>Skills!B5</f>
        <v/>
      </c>
      <c r="C1778">
        <f>Inputs!$B$3&gt;=35</f>
        <v/>
      </c>
      <c r="D1778">
        <f>IF(Skills!C5=1,60+Inputs!$B$25+Inputs!$B$29,IF(Skills!C5=2,90+Inputs!$B$26+Inputs!$B$29,IF(Skills!C5=3,120+Inputs!$B$27+Inputs!$B$29,MAX(0,(Inputs!$B$3-100)*3)+Inputs!$B$28+Inputs!$B$29)))</f>
        <v/>
      </c>
      <c r="E1778">
        <f>INDEX(FactorTable!$B$2:$Y$301, MATCH(ROUND(MIN(300,MAX(1,D1778)),0), FactorTable!$A$2:$A$301,0), Skills!M5+1)</f>
        <v/>
      </c>
      <c r="F1778">
        <f>IF(Skills!N5=TRUE,(Skills!L5/10)*(E1778/1000),Skills!L5/10)+Skills!O5</f>
        <v/>
      </c>
      <c r="G1778">
        <f>Skills!G5*IF(Skills!H5&gt;0,Skills!I5/Skills!H5,1)</f>
        <v/>
      </c>
      <c r="H1778">
        <f>1-(1-Skills!J5/100)^Skills!K5</f>
        <v/>
      </c>
      <c r="I1778" t="inlineStr">
        <is>
          <t>1</t>
        </is>
      </c>
      <c r="J1778">
        <f>((Inputs!$B$6*(1+Inputs!$B$7/100))+(((Inputs!$B$12*(1+Inputs!$B$13/100))-(Inputs!$B$12*(1+Inputs!$B$13/100)))+0.25*(Inputs!$B$14-Inputs!$B$14))*(1+Inputs!$B$7/100))*(F1778/100)</f>
        <v/>
      </c>
      <c r="K1778">
        <f>J1778*(1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1783=TRUE,F1783,0)/100)*(1+(IF(Skills!A5="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1778)</f>
        <v/>
      </c>
      <c r="L1778">
        <f>K1778*(MIN(Inputs!$B$22+((C1797=TRUE)*(F1797-Calc!F24)),(Inputs!$B$23+((C1802=TRUE)*(F1802-Calc!F29))+(IF(ArtifactsInput!$M$15,CHOOSE(ArtifactsInput!$N$15+1,25,30,35,40,45,50)/100*(Inputs!$B$11-Inputs!$B$11),0))))/100+(Inputs!$B$23+((C1802=TRUE)*(F1802-Calc!F29))+(IF(ArtifactsInput!$M$15,CHOOSE(ArtifactsInput!$N$15+1,25,30,35,40,45,50)/100*(Inputs!$B$11-Inputs!$B$11),0)))/100)/2</f>
        <v/>
      </c>
      <c r="M1778">
        <f>L1778*(1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8">
        <f>L1778*(1-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1778*(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8">
        <f>(1-Summary!$B$11)*T1778+Summary!$B$11*V1778</f>
        <v/>
      </c>
      <c r="P1778">
        <f>IF(B1816=0,0,O1778/B1816)</f>
        <v/>
      </c>
      <c r="Q1778">
        <f>IFERROR(1/(IF(Inputs!$B$38="pvp",15,MAX(0.1,Skills!D5-IF(Skills!E5=TRUE,Inputs!$B$32,0)))*(1-IF(AND(ArtifactsInput!$M$27,Inputs!$B$4="Chapter Hunt"),CHOOSE(ArtifactsInput!$N$27+1,20,24,28,32,36,40),0)/100)),0)</f>
        <v/>
      </c>
      <c r="R1778">
        <f>IF(AND(Inputs!$B$38&lt;&gt;"pvp",Inputs!$B$43&gt;0),IF(MAX(0,Inputs!$B$43-B1813)&lt;=0,0,(INT(MAX(0,Inputs!$B$43-B1813)/(IF(Inputs!$B$38="pvp",15,MAX(0.1,Skills!D5-IF(Skills!E5=TRUE,Inputs!$B$32,0)))*(1-IF(AND(ArtifactsInput!$M$27,Inputs!$B$4="Chapter Hunt"),CHOOSE(ArtifactsInput!$N$27+1,20,24,28,32,36,40),0)/100)))+1)),0)</f>
        <v/>
      </c>
      <c r="S1778">
        <f>IFERROR(O1778/N1778,0)</f>
        <v/>
      </c>
      <c r="T1778">
        <f>IF(C1778,(H1778*N1778*IF(AND(Inputs!$B$38&lt;&gt;"pvp",Inputs!$B$43&gt;0),((Skills!G5*((R1778-1)*IF(Skills!H5&gt;0,Skills!I5/Skills!H5,1)+IF(Skills!H5&gt;0,MIN(Skills!I5,MAX(0,MAX(0,Inputs!$B$43-B1813)-((R1778-1)*(IF(Inputs!$B$38="pvp",15,MAX(0.1,Skills!D5-IF(Skills!E5=TRUE,Inputs!$B$32,0)))*(1-IF(AND(ArtifactsInput!$M$27,Inputs!$B$4="Chapter Hunt"),CHOOSE(ArtifactsInput!$N$27+1,20,24,28,32,36,40),0)/100)))))/Skills!H5,1)))/Inputs!$B$43),G1778*Q1778)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1778*(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1778*(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8">
        <f>IF(C1778,(H1778*N1778*IF(AND(Inputs!$B$38&lt;&gt;"pvp",Inputs!$B$43&gt;0),((Skills!G5*((R1778-1)*IF(Skills!H5&gt;0,Skills!I5/Skills!H5,1)+IF(Skills!H5&gt;0,MIN(Skills!I5,MAX(0,MAX(0,Inputs!$B$43-B1813)-((R1778-1)*(IF(Inputs!$B$38="pvp",15,MAX(0.1,Skills!D5-IF(Skills!E5=TRUE,Inputs!$B$32,0)))*(1-IF(AND(ArtifactsInput!$M$27,Inputs!$B$4="Chapter Hunt"),CHOOSE(ArtifactsInput!$N$27+1,20,24,28,32,36,40),0)/100)))))/Skills!H5,1)))/Inputs!$B$43),G1778*Q1778))*IF(Inputs!$B$38="pvp",1,(1+(Inputs!$B$21+Skills!Q5+(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9">
      <c r="A1779">
        <f>Skills!A6</f>
        <v/>
      </c>
      <c r="B1779">
        <f>Skills!B6</f>
        <v/>
      </c>
      <c r="C1779">
        <f>Inputs!$B$3&gt;=40</f>
        <v/>
      </c>
      <c r="D1779">
        <f>IF(Skills!C6=1,60+Inputs!$B$25+Inputs!$B$29,IF(Skills!C6=2,90+Inputs!$B$26+Inputs!$B$29,IF(Skills!C6=3,120+Inputs!$B$27+Inputs!$B$29,MAX(0,(Inputs!$B$3-100)*3)+Inputs!$B$28+Inputs!$B$29)))</f>
        <v/>
      </c>
      <c r="E1779">
        <f>INDEX(FactorTable!$B$2:$Y$301, MATCH(ROUND(MIN(300,MAX(1,D1779)),0), FactorTable!$A$2:$A$301,0), Skills!M6+1)</f>
        <v/>
      </c>
      <c r="F1779">
        <f>IF(Skills!N6=TRUE,(Skills!L6/10)*(E1779/1000),Skills!L6/10)+Skills!O6</f>
        <v/>
      </c>
      <c r="G1779">
        <f>Skills!G6*IF(Skills!H6&gt;0,Skills!I6/Skills!H6,1)</f>
        <v/>
      </c>
      <c r="H1779">
        <f>1-(1-Skills!J6/100)^Skills!K6</f>
        <v/>
      </c>
      <c r="I1779" t="inlineStr">
        <is>
          <t>1</t>
        </is>
      </c>
      <c r="J1779">
        <f>((Inputs!$B$6*(1+Inputs!$B$7/100))+(((Inputs!$B$12*(1+Inputs!$B$13/100))-(Inputs!$B$12*(1+Inputs!$B$13/100)))+0.25*(Inputs!$B$14-Inputs!$B$14))*(1+Inputs!$B$7/100))*(F1779/100)</f>
        <v/>
      </c>
      <c r="K1779">
        <f>J1779*(1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1780=TRUE,F1780,0)/100)*(1+(IF(Skills!A6="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1779)</f>
        <v/>
      </c>
      <c r="L1779">
        <f>K1779*(MIN(Inputs!$B$22+((C1797=TRUE)*(F1797-Calc!F24)),(Inputs!$B$23+((C1802=TRUE)*(F1802-Calc!F29))+(IF(ArtifactsInput!$M$15,CHOOSE(ArtifactsInput!$N$15+1,25,30,35,40,45,50)/100*(Inputs!$B$11-Inputs!$B$11),0))))/100+(Inputs!$B$23+((C1802=TRUE)*(F1802-Calc!F29))+(IF(ArtifactsInput!$M$15,CHOOSE(ArtifactsInput!$N$15+1,25,30,35,40,45,50)/100*(Inputs!$B$11-Inputs!$B$11),0)))/100)/2</f>
        <v/>
      </c>
      <c r="M1779">
        <f>L1779*(1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9">
        <f>L1779*(1-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1779*(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9">
        <f>(1-Summary!$B$11)*T1779+Summary!$B$11*V1779</f>
        <v/>
      </c>
      <c r="P1779">
        <f>IF(B1816=0,0,O1779/B1816)</f>
        <v/>
      </c>
      <c r="Q1779">
        <f>IFERROR(1/(IF(Inputs!$B$38="pvp",15,MAX(0.1,Skills!D6-IF(Skills!E6=TRUE,Inputs!$B$32,0)))*(1-IF(AND(ArtifactsInput!$M$27,Inputs!$B$4="Chapter Hunt"),CHOOSE(ArtifactsInput!$N$27+1,20,24,28,32,36,40),0)/100)),0)</f>
        <v/>
      </c>
      <c r="R1779">
        <f>IF(AND(Inputs!$B$38&lt;&gt;"pvp",Inputs!$B$43&gt;0),IF(MAX(0,Inputs!$B$43-B1813)&lt;=0,0,(INT(MAX(0,Inputs!$B$43-B1813)/(IF(Inputs!$B$38="pvp",15,MAX(0.1,Skills!D6-IF(Skills!E6=TRUE,Inputs!$B$32,0)))*(1-IF(AND(ArtifactsInput!$M$27,Inputs!$B$4="Chapter Hunt"),CHOOSE(ArtifactsInput!$N$27+1,20,24,28,32,36,40),0)/100)))+1)),0)</f>
        <v/>
      </c>
      <c r="S1779">
        <f>IFERROR(O1779/N1779,0)</f>
        <v/>
      </c>
      <c r="T1779">
        <f>IF(C1779,(H1779*N1779*IF(AND(Inputs!$B$38&lt;&gt;"pvp",Inputs!$B$43&gt;0),((Skills!G6*((R1779-1)*IF(Skills!H6&gt;0,Skills!I6/Skills!H6,1)+IF(Skills!H6&gt;0,MIN(Skills!I6,MAX(0,MAX(0,Inputs!$B$43-B1813)-((R1779-1)*(IF(Inputs!$B$38="pvp",15,MAX(0.1,Skills!D6-IF(Skills!E6=TRUE,Inputs!$B$32,0)))*(1-IF(AND(ArtifactsInput!$M$27,Inputs!$B$4="Chapter Hunt"),CHOOSE(ArtifactsInput!$N$27+1,20,24,28,32,36,40),0)/100)))))/Skills!H6,1)))/Inputs!$B$43),G1779*Q1779)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1779*(1-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1779*(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1779*(1-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1779*(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9">
        <f>IF(C1779,(H1779*N1779*IF(AND(Inputs!$B$38&lt;&gt;"pvp",Inputs!$B$43&gt;0),((Skills!G6*((R1779-1)*IF(Skills!H6&gt;0,Skills!I6/Skills!H6,1)+IF(Skills!H6&gt;0,MIN(Skills!I6,MAX(0,MAX(0,Inputs!$B$43-B1813)-((R1779-1)*(IF(Inputs!$B$38="pvp",15,MAX(0.1,Skills!D6-IF(Skills!E6=TRUE,Inputs!$B$32,0)))*(1-IF(AND(ArtifactsInput!$M$27,Inputs!$B$4="Chapter Hunt"),CHOOSE(ArtifactsInput!$N$27+1,20,24,28,32,36,40),0)/100)))))/Skills!H6,1)))/Inputs!$B$43),G1779*Q1779))*IF(Inputs!$B$38="pvp",1,(1+(Inputs!$B$21+Skills!Q6+(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0">
      <c r="A1780">
        <f>Skills!A7</f>
        <v/>
      </c>
      <c r="B1780">
        <f>Skills!B7</f>
        <v/>
      </c>
      <c r="C1780">
        <f>Inputs!$B$3&gt;=107</f>
        <v/>
      </c>
      <c r="D1780">
        <f>IF(Skills!C7=1,60+Inputs!$B$25+Inputs!$B$29,IF(Skills!C7=2,90+Inputs!$B$26+Inputs!$B$29,IF(Skills!C7=3,120+Inputs!$B$27+Inputs!$B$29,MAX(0,(Inputs!$B$3-100)*3)+Inputs!$B$28+Inputs!$B$29)))</f>
        <v/>
      </c>
      <c r="E1780">
        <f>INDEX(FactorTable!$B$2:$Y$301, MATCH(ROUND(MIN(300,MAX(1,D1780)),0), FactorTable!$A$2:$A$301,0), Skills!M7+1)</f>
        <v/>
      </c>
      <c r="F1780">
        <f>IF(Skills!N7=TRUE,(Skills!L7/10)*(E1780/1000),Skills!L7/10)+Skills!O7</f>
        <v/>
      </c>
      <c r="G1780" t="inlineStr"/>
      <c r="H1780" t="inlineStr"/>
      <c r="I1780" t="inlineStr">
        <is>
          <t>1</t>
        </is>
      </c>
      <c r="J1780" t="inlineStr"/>
      <c r="K1780" t="inlineStr"/>
      <c r="L1780" t="inlineStr"/>
      <c r="M1780" t="inlineStr"/>
      <c r="N1780" t="inlineStr"/>
      <c r="O1780" t="inlineStr"/>
      <c r="P1780" t="inlineStr"/>
      <c r="Q1780" t="inlineStr"/>
      <c r="R1780" t="inlineStr"/>
      <c r="S1780" t="inlineStr"/>
      <c r="T1780" t="inlineStr"/>
      <c r="V1780" t="inlineStr"/>
    </row>
    <row r="1781">
      <c r="A1781">
        <f>Skills!A8</f>
        <v/>
      </c>
      <c r="B1781">
        <f>Skills!B8</f>
        <v/>
      </c>
      <c r="C1781">
        <f>Inputs!$B$3&gt;=69</f>
        <v/>
      </c>
      <c r="D1781">
        <f>IF(Skills!C8=1,60+Inputs!$B$25+Inputs!$B$29,IF(Skills!C8=2,90+Inputs!$B$26+Inputs!$B$29,IF(Skills!C8=3,120+Inputs!$B$27+Inputs!$B$29,MAX(0,(Inputs!$B$3-100)*3)+Inputs!$B$28+Inputs!$B$29)))</f>
        <v/>
      </c>
      <c r="E1781">
        <f>INDEX(FactorTable!$B$2:$Y$301, MATCH(ROUND(MIN(300,MAX(1,D1781)),0), FactorTable!$A$2:$A$301,0), Skills!M8+1)</f>
        <v/>
      </c>
      <c r="F1781">
        <f>IF(Skills!N8=TRUE,(Skills!L8/10)*(E1781/1000),Skills!L8/10)+Skills!O8</f>
        <v/>
      </c>
      <c r="G1781">
        <f>Skills!G8*IF(Skills!H8&gt;0,Skills!I8/Skills!H8,1)</f>
        <v/>
      </c>
      <c r="H1781">
        <f>1-(1-Skills!J8/100)^Skills!K8</f>
        <v/>
      </c>
      <c r="I1781" t="inlineStr">
        <is>
          <t>1</t>
        </is>
      </c>
      <c r="J1781">
        <f>((Inputs!$B$6*(1+Inputs!$B$7/100))+(((Inputs!$B$12*(1+Inputs!$B$13/100))-(Inputs!$B$12*(1+Inputs!$B$13/100)))+0.25*(Inputs!$B$14-Inputs!$B$14))*(1+Inputs!$B$7/100))*(F1781/100)</f>
        <v/>
      </c>
      <c r="K1781">
        <f>J1781*(1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1783=TRUE,F1783,0)/100)*(1+(IF(Skills!A8="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1781)</f>
        <v/>
      </c>
      <c r="L1781">
        <f>K1781*(MIN(Inputs!$B$22+((C1797=TRUE)*(F1797-Calc!F24)),(Inputs!$B$23+((C1802=TRUE)*(F1802-Calc!F29))+(IF(ArtifactsInput!$M$15,CHOOSE(ArtifactsInput!$N$15+1,25,30,35,40,45,50)/100*(Inputs!$B$11-Inputs!$B$11),0))))/100+(Inputs!$B$23+((C1802=TRUE)*(F1802-Calc!F29))+(IF(ArtifactsInput!$M$15,CHOOSE(ArtifactsInput!$N$15+1,25,30,35,40,45,50)/100*(Inputs!$B$11-Inputs!$B$11),0)))/100)/2</f>
        <v/>
      </c>
      <c r="M1781">
        <f>L1781*(1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1">
        <f>L1781*(1-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1">
        <f>(1-Summary!$B$11)*T1781+Summary!$B$11*V1781</f>
        <v/>
      </c>
      <c r="P1781">
        <f>IF(B1816=0,0,O1781/B1816)</f>
        <v/>
      </c>
      <c r="Q1781">
        <f>IFERROR(1/(IF(Inputs!$B$38="pvp",15,MAX(0.1,Skills!D8-IF(Skills!E8=TRUE,Inputs!$B$32,0)))*(1-IF(AND(ArtifactsInput!$M$27,Inputs!$B$4="Chapter Hunt"),CHOOSE(ArtifactsInput!$N$27+1,20,24,28,32,36,40),0)/100)),0)</f>
        <v/>
      </c>
      <c r="R1781">
        <f>IF(AND(Inputs!$B$38&lt;&gt;"pvp",Inputs!$B$43&gt;0),IF(MAX(0,Inputs!$B$43-B1813)&lt;=0,0,(INT(MAX(0,Inputs!$B$43-B1813)/(IF(Inputs!$B$38="pvp",15,MAX(0.1,Skills!D8-IF(Skills!E8=TRUE,Inputs!$B$32,0)))*(1-IF(AND(ArtifactsInput!$M$27,Inputs!$B$4="Chapter Hunt"),CHOOSE(ArtifactsInput!$N$27+1,20,24,28,32,36,40),0)/100)))+1)),0)</f>
        <v/>
      </c>
      <c r="S1781">
        <f>IFERROR(O1781/N1781,0)</f>
        <v/>
      </c>
      <c r="T1781">
        <f>IF(C1781,(H1781*N1781*IF(AND(Inputs!$B$38&lt;&gt;"pvp",Inputs!$B$43&gt;0),((Skills!G8*((R1781-1)*IF(Skills!H8&gt;0,Skills!I8/Skills!H8,1)+IF(Skills!H8&gt;0,MIN(Skills!I8,MAX(0,MAX(0,Inputs!$B$43-B1813)-((R1781-1)*(IF(Inputs!$B$38="pvp",15,MAX(0.1,Skills!D8-IF(Skills!E8=TRUE,Inputs!$B$32,0)))*(1-IF(AND(ArtifactsInput!$M$27,Inputs!$B$4="Chapter Hunt"),CHOOSE(ArtifactsInput!$N$27+1,20,24,28,32,36,40),0)/100)))))/Skills!H8,1)))/Inputs!$B$43),G1781*Q1781)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1781*(1-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1">
        <f>IF(C1781,(H1781*N1781*IF(AND(Inputs!$B$38&lt;&gt;"pvp",Inputs!$B$43&gt;0),((Skills!G8*((R1781-1)*IF(Skills!H8&gt;0,Skills!I8/Skills!H8,1)+IF(Skills!H8&gt;0,MIN(Skills!I8,MAX(0,MAX(0,Inputs!$B$43-B1813)-((R1781-1)*(IF(Inputs!$B$38="pvp",15,MAX(0.1,Skills!D8-IF(Skills!E8=TRUE,Inputs!$B$32,0)))*(1-IF(AND(ArtifactsInput!$M$27,Inputs!$B$4="Chapter Hunt"),CHOOSE(ArtifactsInput!$N$27+1,20,24,28,32,36,40),0)/100)))))/Skills!H8,1)))/Inputs!$B$43),G1781*Q1781))*IF(Inputs!$B$38="pvp",1,(1+(Inputs!$B$21+Skills!Q8+(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2">
      <c r="A1782">
        <f>Skills!A9</f>
        <v/>
      </c>
      <c r="B1782">
        <f>Skills!B9</f>
        <v/>
      </c>
      <c r="C1782">
        <f>Inputs!$B$3&gt;=63</f>
        <v/>
      </c>
      <c r="D1782">
        <f>IF(Skills!C9=1,60+Inputs!$B$25+Inputs!$B$29,IF(Skills!C9=2,90+Inputs!$B$26+Inputs!$B$29,IF(Skills!C9=3,120+Inputs!$B$27+Inputs!$B$29,MAX(0,(Inputs!$B$3-100)*3)+Inputs!$B$28+Inputs!$B$29)))</f>
        <v/>
      </c>
      <c r="E1782">
        <f>INDEX(FactorTable!$B$2:$Y$301, MATCH(ROUND(MIN(300,MAX(1,D1782)),0), FactorTable!$A$2:$A$301,0), Skills!M9+1)</f>
        <v/>
      </c>
      <c r="F1782">
        <f>IF(Skills!N9=TRUE,(Skills!L9/10)*(E1782/1000),Skills!L9/10)+Skills!O9</f>
        <v/>
      </c>
      <c r="G1782">
        <f>Skills!G9*IF(Skills!H9&gt;0,Skills!I9/Skills!H9,1)</f>
        <v/>
      </c>
      <c r="H1782">
        <f>1-(1-Skills!J9/100)^Skills!K9</f>
        <v/>
      </c>
      <c r="I1782" t="inlineStr">
        <is>
          <t>1</t>
        </is>
      </c>
      <c r="J1782">
        <f>((Inputs!$B$6*(1+Inputs!$B$7/100))+(((Inputs!$B$12*(1+Inputs!$B$13/100))-(Inputs!$B$12*(1+Inputs!$B$13/100)))+0.25*(Inputs!$B$14-Inputs!$B$14))*(1+Inputs!$B$7/100))*(F1782/100)</f>
        <v/>
      </c>
      <c r="K1782">
        <f>J1782*(1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1783=TRUE,F1783,0)/100)*(1+(IF(Skills!A9="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1782)</f>
        <v/>
      </c>
      <c r="L1782">
        <f>K1782*(MIN(Inputs!$B$22+((C1797=TRUE)*(F1797-Calc!F24)),(Inputs!$B$23+((C1802=TRUE)*(F1802-Calc!F29))+(IF(ArtifactsInput!$M$15,CHOOSE(ArtifactsInput!$N$15+1,25,30,35,40,45,50)/100*(Inputs!$B$11-Inputs!$B$11),0))))/100+(Inputs!$B$23+((C1802=TRUE)*(F1802-Calc!F29))+(IF(ArtifactsInput!$M$15,CHOOSE(ArtifactsInput!$N$15+1,25,30,35,40,45,50)/100*(Inputs!$B$11-Inputs!$B$11),0)))/100)/2</f>
        <v/>
      </c>
      <c r="M1782">
        <f>L1782*(1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2">
        <f>L1782*(1-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1782*(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2">
        <f>(1-Summary!$B$11)*T1782+Summary!$B$11*V1782</f>
        <v/>
      </c>
      <c r="P1782">
        <f>IF(B1816=0,0,O1782/B1816)</f>
        <v/>
      </c>
      <c r="Q1782">
        <f>IFERROR(1/(IF(Inputs!$B$38="pvp",15,MAX(0.1,Skills!D9-IF(Skills!E9=TRUE,Inputs!$B$32,0)))*(1-IF(AND(ArtifactsInput!$M$27,Inputs!$B$4="Chapter Hunt"),CHOOSE(ArtifactsInput!$N$27+1,20,24,28,32,36,40),0)/100)),0)</f>
        <v/>
      </c>
      <c r="R1782">
        <f>IF(AND(Inputs!$B$38&lt;&gt;"pvp",Inputs!$B$43&gt;0),IF(MAX(0,Inputs!$B$43-B1813)&lt;=0,0,(INT(MAX(0,Inputs!$B$43-B1813)/(IF(Inputs!$B$38="pvp",15,MAX(0.1,Skills!D9-IF(Skills!E9=TRUE,Inputs!$B$32,0)))*(1-IF(AND(ArtifactsInput!$M$27,Inputs!$B$4="Chapter Hunt"),CHOOSE(ArtifactsInput!$N$27+1,20,24,28,32,36,40),0)/100)))+1)),0)</f>
        <v/>
      </c>
      <c r="S1782">
        <f>IFERROR(O1782/N1782,0)</f>
        <v/>
      </c>
      <c r="T1782">
        <f>IF(C1782,(H1782*N1782*IF(AND(Inputs!$B$38&lt;&gt;"pvp",Inputs!$B$43&gt;0),((Skills!G9*((R1782-1)*IF(Skills!H9&gt;0,Skills!I9/Skills!H9,1)+IF(Skills!H9&gt;0,MIN(Skills!I9,MAX(0,MAX(0,Inputs!$B$43-B1813)-((R1782-1)*(IF(Inputs!$B$38="pvp",15,MAX(0.1,Skills!D9-IF(Skills!E9=TRUE,Inputs!$B$32,0)))*(1-IF(AND(ArtifactsInput!$M$27,Inputs!$B$4="Chapter Hunt"),CHOOSE(ArtifactsInput!$N$27+1,20,24,28,32,36,40),0)/100)))))/Skills!H9,1)))/Inputs!$B$43),G1782*Q1782)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1782*(1-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1782*(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1782*(1-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1782*(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2">
        <f>IF(C1782,(H1782*N1782*IF(AND(Inputs!$B$38&lt;&gt;"pvp",Inputs!$B$43&gt;0),((Skills!G9*((R1782-1)*IF(Skills!H9&gt;0,Skills!I9/Skills!H9,1)+IF(Skills!H9&gt;0,MIN(Skills!I9,MAX(0,MAX(0,Inputs!$B$43-B1813)-((R1782-1)*(IF(Inputs!$B$38="pvp",15,MAX(0.1,Skills!D9-IF(Skills!E9=TRUE,Inputs!$B$32,0)))*(1-IF(AND(ArtifactsInput!$M$27,Inputs!$B$4="Chapter Hunt"),CHOOSE(ArtifactsInput!$N$27+1,20,24,28,32,36,40),0)/100)))))/Skills!H9,1)))/Inputs!$B$43),G1782*Q1782))*IF(Inputs!$B$38="pvp",1,(1+(Inputs!$B$21+Skills!Q9+(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3">
      <c r="A1783">
        <f>Skills!A10</f>
        <v/>
      </c>
      <c r="B1783">
        <f>Skills!B10</f>
        <v/>
      </c>
      <c r="C1783">
        <f>Inputs!$B$3&gt;=100</f>
        <v/>
      </c>
      <c r="D1783">
        <f>IF(Skills!C10=1,60+Inputs!$B$25+Inputs!$B$29,IF(Skills!C10=2,90+Inputs!$B$26+Inputs!$B$29,IF(Skills!C10=3,120+Inputs!$B$27+Inputs!$B$29,MAX(0,(Inputs!$B$3-100)*3)+Inputs!$B$28+Inputs!$B$29)))</f>
        <v/>
      </c>
      <c r="E1783">
        <f>INDEX(FactorTable!$B$2:$Y$301, MATCH(ROUND(MIN(300,MAX(1,D1783)),0), FactorTable!$A$2:$A$301,0), Skills!M10+1)</f>
        <v/>
      </c>
      <c r="F1783">
        <f>IF(Skills!N10=TRUE,(Skills!L10/10)*(E1783/1000),Skills!L10/10)+Skills!O10</f>
        <v/>
      </c>
      <c r="G1783" t="inlineStr"/>
      <c r="H1783" t="inlineStr"/>
      <c r="I1783" t="inlineStr">
        <is>
          <t>1</t>
        </is>
      </c>
      <c r="J1783" t="inlineStr"/>
      <c r="K1783" t="inlineStr"/>
      <c r="L1783" t="inlineStr"/>
      <c r="M1783" t="inlineStr"/>
      <c r="N1783" t="inlineStr"/>
      <c r="O1783" t="inlineStr"/>
      <c r="P1783" t="inlineStr"/>
      <c r="Q1783" t="inlineStr"/>
      <c r="R1783" t="inlineStr"/>
      <c r="S1783" t="inlineStr"/>
      <c r="T1783" t="inlineStr"/>
      <c r="V1783" t="inlineStr"/>
    </row>
    <row r="1784">
      <c r="A1784">
        <f>Skills!A11</f>
        <v/>
      </c>
      <c r="B1784">
        <f>Skills!B11</f>
        <v/>
      </c>
      <c r="C1784">
        <f>Inputs!$B$3&gt;=60</f>
        <v/>
      </c>
      <c r="D1784">
        <f>IF(Skills!C11=1,60+Inputs!$B$25+Inputs!$B$29,IF(Skills!C11=2,90+Inputs!$B$26+Inputs!$B$29,IF(Skills!C11=3,120+Inputs!$B$27+Inputs!$B$29,MAX(0,(Inputs!$B$3-100)*3)+Inputs!$B$28+Inputs!$B$29)))</f>
        <v/>
      </c>
      <c r="E1784">
        <f>INDEX(FactorTable!$B$2:$Y$301, MATCH(ROUND(MIN(300,MAX(1,D1784)),0), FactorTable!$A$2:$A$301,0), Skills!M11+1)</f>
        <v/>
      </c>
      <c r="F1784">
        <f>IF(Skills!N11=TRUE,(Skills!L11/10)*(E1784/1000),Skills!L11/10)+Skills!O11</f>
        <v/>
      </c>
      <c r="G1784">
        <f>Skills!G11*IF(Skills!H11&gt;0,Skills!I11/Skills!H11,1)</f>
        <v/>
      </c>
      <c r="H1784">
        <f>1-(1-Skills!J11/100)^Skills!K11</f>
        <v/>
      </c>
      <c r="I1784" t="inlineStr">
        <is>
          <t>1</t>
        </is>
      </c>
      <c r="J1784">
        <f>((Inputs!$B$6*(1+Inputs!$B$7/100))+(((Inputs!$B$12*(1+Inputs!$B$13/100))-(Inputs!$B$12*(1+Inputs!$B$13/100)))+0.25*(Inputs!$B$14-Inputs!$B$14))*(1+Inputs!$B$7/100))*(F1784/100)</f>
        <v/>
      </c>
      <c r="K1784">
        <f>J1784*(1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1785=TRUE,F1785,0)/100)*(1+(IF(Skills!A11="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1797=TRUE)*(F1797-Calc!F24)),(Inputs!$B$23+((C1802=TRUE)*(F1802-Calc!F29))+(IF(ArtifactsInput!$M$15,CHOOSE(ArtifactsInput!$N$15+1,25,30,35,40,45,50)/100*(Inputs!$B$11-Inputs!$B$11),0))))/100+(Inputs!$B$23+((C1802=TRUE)*(F1802-Calc!F29))+(IF(ArtifactsInput!$M$15,CHOOSE(ArtifactsInput!$N$15+1,25,30,35,40,45,50)/100*(Inputs!$B$11-Inputs!$B$11),0)))/100)/2</f>
        <v/>
      </c>
      <c r="M1784">
        <f>L1784*(1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IF(B1816=0,0,O1784/B1816)</f>
        <v/>
      </c>
      <c r="Q1784">
        <f>IFERROR(1/(IF(Inputs!$B$38="pvp",15,MAX(0.1,Skills!D11-IF(Skills!E11=TRUE,Inputs!$B$32,0)))*(1-IF(AND(ArtifactsInput!$M$27,Inputs!$B$4="Chapter Hunt"),CHOOSE(ArtifactsInput!$N$27+1,20,24,28,32,36,40),0)/100)),0)</f>
        <v/>
      </c>
      <c r="R1784">
        <f>IF(AND(Inputs!$B$38&lt;&gt;"pvp",Inputs!$B$43&gt;0),IF(MAX(0,Inputs!$B$43-B1813)&lt;=0,0,(INT(MAX(0,Inputs!$B$43-B1813)/(IF(Inputs!$B$38="pvp",15,MAX(0.1,Skills!D11-IF(Skills!E11=TRUE,Inputs!$B$32,0)))*(1-IF(AND(ArtifactsInput!$M$27,Inputs!$B$4="Chapter Hunt"),CHOOSE(ArtifactsInput!$N$27+1,20,24,28,32,36,40),0)/100)))+1)),0)</f>
        <v/>
      </c>
      <c r="S1784">
        <f>IFERROR(O1784/N1784,0)</f>
        <v/>
      </c>
      <c r="T1784">
        <f>IF(C1784,(H1784*N1784*IF(AND(Inputs!$B$38&lt;&gt;"pvp",Inputs!$B$43&gt;0),((Skills!G11*((R1784-1)*IF(Skills!H11&gt;0,Skills!I11/Skills!H11,1)+IF(Skills!H11&gt;0,MIN(Skills!I11,MAX(0,MAX(0,Inputs!$B$43-B1813)-((R1784-1)*(IF(Inputs!$B$38="pvp",15,MAX(0.1,Skills!D11-IF(Skills!E11=TRUE,Inputs!$B$32,0)))*(1-IF(AND(ArtifactsInput!$M$27,Inputs!$B$4="Chapter Hunt"),CHOOSE(ArtifactsInput!$N$27+1,20,24,28,32,36,40),0)/100)))))/Skills!H11,1)))/Inputs!$B$43),G1784*Q1784)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1784*(1-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4">
        <f>IF(C1784,(H1784*N1784*IF(AND(Inputs!$B$38&lt;&gt;"pvp",Inputs!$B$43&gt;0),((Skills!G11*((R1784-1)*IF(Skills!H11&gt;0,Skills!I11/Skills!H11,1)+IF(Skills!H11&gt;0,MIN(Skills!I11,MAX(0,MAX(0,Inputs!$B$43-B1813)-((R1784-1)*(IF(Inputs!$B$38="pvp",15,MAX(0.1,Skills!D11-IF(Skills!E11=TRUE,Inputs!$B$32,0)))*(1-IF(AND(ArtifactsInput!$M$27,Inputs!$B$4="Chapter Hunt"),CHOOSE(ArtifactsInput!$N$27+1,20,24,28,32,36,40),0)/100)))))/Skills!H11,1)))/Inputs!$B$43),G1784*Q1784))*IF(Inputs!$B$38="pvp",1,(1+(Inputs!$B$21+Skills!Q11+(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Skills!A12</f>
        <v/>
      </c>
      <c r="B1785">
        <f>Skills!B12</f>
        <v/>
      </c>
      <c r="C1785">
        <f>Inputs!$B$3&gt;=110</f>
        <v/>
      </c>
      <c r="D1785">
        <f>IF(Skills!C12=1,60+Inputs!$B$25+Inputs!$B$29,IF(Skills!C12=2,90+Inputs!$B$26+Inputs!$B$29,IF(Skills!C12=3,120+Inputs!$B$27+Inputs!$B$29,MAX(0,(Inputs!$B$3-100)*3)+Inputs!$B$28+Inputs!$B$29)))</f>
        <v/>
      </c>
      <c r="E1785">
        <f>INDEX(FactorTable!$B$2:$Y$301, MATCH(ROUND(MIN(300,MAX(1,D1785)),0), FactorTable!$A$2:$A$301,0), Skills!M12+1)</f>
        <v/>
      </c>
      <c r="F1785">
        <f>IF(Skills!N12=TRUE,(Skills!L12/10)*(E1785/1000),Skills!L12/10)+Skills!O12</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V1785" t="inlineStr"/>
    </row>
    <row r="1786">
      <c r="A1786">
        <f>Skills!A13</f>
        <v/>
      </c>
      <c r="B1786">
        <f>Skills!B13</f>
        <v/>
      </c>
      <c r="C1786">
        <f>Inputs!$B$3&gt;=74</f>
        <v/>
      </c>
      <c r="D1786">
        <f>IF(Skills!C13=1,60+Inputs!$B$25+Inputs!$B$29,IF(Skills!C13=2,90+Inputs!$B$26+Inputs!$B$29,IF(Skills!C13=3,120+Inputs!$B$27+Inputs!$B$29,MAX(0,(Inputs!$B$3-100)*3)+Inputs!$B$28+Inputs!$B$29)))</f>
        <v/>
      </c>
      <c r="E1786">
        <f>INDEX(FactorTable!$B$2:$Y$301, MATCH(ROUND(MIN(300,MAX(1,D1786)),0), FactorTable!$A$2:$A$301,0), Skills!M13+1)</f>
        <v/>
      </c>
      <c r="F1786">
        <f>IF(Skills!N13=TRUE,(Skills!L13/10)*(E1786/1000),Skills!L13/10)+Skills!O13</f>
        <v/>
      </c>
      <c r="G1786">
        <f>Skills!G13*IF(Skills!H13&gt;0,Skills!I13/Skills!H13,1)</f>
        <v/>
      </c>
      <c r="H1786">
        <f>1-(1-Skills!J13/100)^Skills!K13</f>
        <v/>
      </c>
      <c r="I1786" t="inlineStr">
        <is>
          <t>1</t>
        </is>
      </c>
      <c r="J1786" t="inlineStr"/>
      <c r="K1786" t="inlineStr"/>
      <c r="L1786" t="inlineStr"/>
      <c r="M1786" t="inlineStr"/>
      <c r="N1786" t="inlineStr"/>
      <c r="O1786">
        <f>(1-Summary!$B$11)*T1786+Summary!$B$11*V1786</f>
        <v/>
      </c>
      <c r="P1786">
        <f>IF(B1816=0,0,O1786/B1816)</f>
        <v/>
      </c>
      <c r="Q1786" t="n">
        <v>0</v>
      </c>
      <c r="R1786" t="n">
        <v>0</v>
      </c>
      <c r="S1786">
        <f>IFERROR(O1786/N1786,0)</f>
        <v/>
      </c>
      <c r="T1786" t="n">
        <v>0</v>
      </c>
      <c r="V1786" t="n">
        <v>0</v>
      </c>
    </row>
    <row r="1787">
      <c r="A1787">
        <f>Skills!A14</f>
        <v/>
      </c>
      <c r="B1787">
        <f>Skills!B14</f>
        <v/>
      </c>
      <c r="C1787">
        <f>Inputs!$B$3&gt;=74</f>
        <v/>
      </c>
      <c r="D1787">
        <f>IF(Skills!C14=1,60+Inputs!$B$25+Inputs!$B$29,IF(Skills!C14=2,90+Inputs!$B$26+Inputs!$B$29,IF(Skills!C14=3,120+Inputs!$B$27+Inputs!$B$29,MAX(0,(Inputs!$B$3-100)*3)+Inputs!$B$28+Inputs!$B$29)))</f>
        <v/>
      </c>
      <c r="E1787">
        <f>INDEX(FactorTable!$B$2:$Y$301, MATCH(ROUND(MIN(300,MAX(1,D1787)),0), FactorTable!$A$2:$A$301,0), Skills!M14+1)</f>
        <v/>
      </c>
      <c r="F1787">
        <f>IF(Skills!N14=TRUE,(Skills!L14/10)*(E1787/1000),Skills!L14/10)+Skills!O14</f>
        <v/>
      </c>
      <c r="G1787">
        <f>Skills!G14*IF(Skills!H14&gt;0,Skills!I14/Skills!H14,1)</f>
        <v/>
      </c>
      <c r="H1787">
        <f>1-(1-Skills!J14/100)^Skills!K14</f>
        <v/>
      </c>
      <c r="I1787" t="inlineStr">
        <is>
          <t>1</t>
        </is>
      </c>
      <c r="J1787" t="inlineStr"/>
      <c r="K1787" t="inlineStr"/>
      <c r="L1787" t="inlineStr"/>
      <c r="M1787" t="inlineStr"/>
      <c r="N1787" t="inlineStr"/>
      <c r="O1787">
        <f>(1-Summary!$B$11)*T1787+Summary!$B$11*V1787</f>
        <v/>
      </c>
      <c r="P1787">
        <f>IF(B1816=0,0,O1787/B1816)</f>
        <v/>
      </c>
      <c r="Q1787" t="n">
        <v>0</v>
      </c>
      <c r="R1787" t="n">
        <v>0</v>
      </c>
      <c r="S1787">
        <f>IFERROR(O1787/N1787,0)</f>
        <v/>
      </c>
      <c r="T1787" t="n">
        <v>0</v>
      </c>
      <c r="V1787" t="n">
        <v>0</v>
      </c>
    </row>
    <row r="1788">
      <c r="A1788">
        <f>Skills!A15</f>
        <v/>
      </c>
      <c r="B1788">
        <f>Skills!B15</f>
        <v/>
      </c>
      <c r="C1788">
        <f>Inputs!$B$3&gt;=117</f>
        <v/>
      </c>
      <c r="D1788">
        <f>IF(Skills!C15=1,60+Inputs!$B$25+Inputs!$B$29,IF(Skills!C15=2,90+Inputs!$B$26+Inputs!$B$29,IF(Skills!C15=3,120+Inputs!$B$27+Inputs!$B$29,MAX(0,(Inputs!$B$3-100)*3)+Inputs!$B$28+Inputs!$B$29)))</f>
        <v/>
      </c>
      <c r="E1788">
        <f>INDEX(FactorTable!$B$2:$Y$301, MATCH(ROUND(MIN(300,MAX(1,D1788)),0), FactorTable!$A$2:$A$301,0), Skills!M15+1)</f>
        <v/>
      </c>
      <c r="F1788">
        <f>IF(Skills!N15=TRUE,(Skills!L15/10)*(E1788/1000),Skills!L15/10)+Skills!O15</f>
        <v/>
      </c>
      <c r="G1788">
        <f>Skills!G15*IF(Skills!H15&gt;0,Skills!I15/Skills!H15,1)</f>
        <v/>
      </c>
      <c r="H1788">
        <f>1-(1-Skills!J15/100)^Skills!K15</f>
        <v/>
      </c>
      <c r="I1788" t="inlineStr">
        <is>
          <t>1</t>
        </is>
      </c>
      <c r="J1788" t="inlineStr"/>
      <c r="K1788" t="inlineStr"/>
      <c r="L1788" t="inlineStr"/>
      <c r="M1788" t="inlineStr"/>
      <c r="N1788" t="inlineStr"/>
      <c r="O1788">
        <f>(1-Summary!$B$11)*T1788+Summary!$B$11*V1788</f>
        <v/>
      </c>
      <c r="P1788">
        <f>IF(B1816=0,0,O1788/B1816)</f>
        <v/>
      </c>
      <c r="Q1788">
        <f>IFERROR(1/(IF(Inputs!$B$38="pvp",15,MAX(0.1,Skills!D15-IF(Skills!E15=TRUE,Inputs!$B$32,0)))*(1-IF(AND(ArtifactsInput!$M$27,Inputs!$B$4="Chapter Hunt"),CHOOSE(ArtifactsInput!$N$27+1,20,24,28,32,36,40),0)/100)),0)</f>
        <v/>
      </c>
      <c r="R1788">
        <f>IF(AND(Inputs!$B$38&lt;&gt;"pvp",Inputs!$B$43&gt;0),IF(Inputs!$B$43&lt;=0,0,(INT(Inputs!$B$43/(IF(Inputs!$B$38="pvp",15,MAX(0.1,Skills!D15-IF(Skills!E15=TRUE,Inputs!$B$32,0)))*(1-IF(AND(ArtifactsInput!$M$27,Inputs!$B$4="Chapter Hunt"),CHOOSE(ArtifactsInput!$N$27+1,20,24,28,32,36,40),0)/100)))+1)),0)</f>
        <v/>
      </c>
      <c r="S1788">
        <f>IFERROR(O1788/N1788,0)</f>
        <v/>
      </c>
      <c r="T1788" t="n">
        <v>0</v>
      </c>
      <c r="V1788" t="n">
        <v>0</v>
      </c>
    </row>
    <row r="1789">
      <c r="A1789">
        <f>Skills!A16</f>
        <v/>
      </c>
      <c r="B1789">
        <f>Skills!B16</f>
        <v/>
      </c>
      <c r="C1789">
        <f>Inputs!$B$3&gt;=115</f>
        <v/>
      </c>
      <c r="D1789">
        <f>IF(Skills!C16=1,60+Inputs!$B$25+Inputs!$B$29,IF(Skills!C16=2,90+Inputs!$B$26+Inputs!$B$29,IF(Skills!C16=3,120+Inputs!$B$27+Inputs!$B$29,MAX(0,(Inputs!$B$3-100)*3)+Inputs!$B$28+Inputs!$B$29)))</f>
        <v/>
      </c>
      <c r="E1789">
        <f>INDEX(FactorTable!$B$2:$Y$301, MATCH(ROUND(MIN(300,MAX(1,D1789)),0), FactorTable!$A$2:$A$301,0), Skills!M16+1)</f>
        <v/>
      </c>
      <c r="F1789">
        <f>IF(Skills!N16=TRUE,(Skills!L16/10)*(E1789/1000),Skills!L16/10)+Skills!O16</f>
        <v/>
      </c>
      <c r="G1789">
        <f>Skills!G16*IF(Skills!H16&gt;0,Skills!I16/Skills!H16,1)</f>
        <v/>
      </c>
      <c r="H1789">
        <f>1-(1-Skills!J16/100)^Skills!K16</f>
        <v/>
      </c>
      <c r="I1789" t="inlineStr">
        <is>
          <t>1</t>
        </is>
      </c>
      <c r="J1789" t="inlineStr"/>
      <c r="K1789" t="inlineStr"/>
      <c r="L1789" t="inlineStr"/>
      <c r="M1789" t="inlineStr"/>
      <c r="N1789" t="inlineStr"/>
      <c r="O1789">
        <f>(1-Summary!$B$11)*T1789+Summary!$B$11*V1789</f>
        <v/>
      </c>
      <c r="P1789">
        <f>IF(B1816=0,0,O1789/B1816)</f>
        <v/>
      </c>
      <c r="Q1789">
        <f>IFERROR(1/(IF(Inputs!$B$38="pvp",15,MAX(0.1,Skills!D16-IF(Skills!E16=TRUE,Inputs!$B$32,0)))*(1-IF(AND(ArtifactsInput!$M$27,Inputs!$B$4="Chapter Hunt"),CHOOSE(ArtifactsInput!$N$27+1,20,24,28,32,36,40),0)/100)),0)</f>
        <v/>
      </c>
      <c r="R1789">
        <f>IF(AND(Inputs!$B$38&lt;&gt;"pvp",Inputs!$B$43&gt;0),IF(Inputs!$B$43&lt;=0,0,(INT(Inputs!$B$43/(IF(Inputs!$B$38="pvp",15,MAX(0.1,Skills!D16-IF(Skills!E16=TRUE,Inputs!$B$32,0)))*(1-IF(AND(ArtifactsInput!$M$27,Inputs!$B$4="Chapter Hunt"),CHOOSE(ArtifactsInput!$N$27+1,20,24,28,32,36,40),0)/100)))+1)),0)</f>
        <v/>
      </c>
      <c r="S1789">
        <f>IFERROR(O1789/N1789,0)</f>
        <v/>
      </c>
      <c r="T1789" t="n">
        <v>0</v>
      </c>
      <c r="V1789" t="n">
        <v>0</v>
      </c>
    </row>
    <row r="1790">
      <c r="A1790">
        <f>Skills!A17</f>
        <v/>
      </c>
      <c r="B1790">
        <f>Skills!B17</f>
        <v/>
      </c>
      <c r="C1790">
        <f>Inputs!$B$3&gt;=66</f>
        <v/>
      </c>
      <c r="D1790">
        <f>IF(Skills!C17=1,60+Inputs!$B$25+Inputs!$B$29,IF(Skills!C17=2,90+Inputs!$B$26+Inputs!$B$29,IF(Skills!C17=3,120+Inputs!$B$27+Inputs!$B$29,MAX(0,(Inputs!$B$3-100)*3)+Inputs!$B$28+Inputs!$B$29)))</f>
        <v/>
      </c>
      <c r="E1790">
        <f>INDEX(FactorTable!$B$2:$Y$301, MATCH(ROUND(MIN(300,MAX(1,D1790)),0), FactorTable!$A$2:$A$301,0), Skills!M17+1)</f>
        <v/>
      </c>
      <c r="F1790">
        <f>IF(Skills!N17=TRUE,(Skills!L17/10)*(E1790/1000),Skills!L17/10)+Skills!O17</f>
        <v/>
      </c>
      <c r="G1790">
        <f>Skills!G17*IF(Skills!H17&gt;0,Skills!I17/Skills!H17,1)</f>
        <v/>
      </c>
      <c r="H1790">
        <f>1-(1-Skills!J17/100)^Skills!K17</f>
        <v/>
      </c>
      <c r="I1790" t="inlineStr">
        <is>
          <t>1</t>
        </is>
      </c>
      <c r="J1790" t="inlineStr"/>
      <c r="K1790" t="inlineStr"/>
      <c r="L1790" t="inlineStr"/>
      <c r="M1790" t="inlineStr"/>
      <c r="N1790" t="inlineStr"/>
      <c r="O1790">
        <f>(1-Summary!$B$11)*T1790+Summary!$B$11*V1790</f>
        <v/>
      </c>
      <c r="P1790">
        <f>IF(B1816=0,0,O1790/B1816)</f>
        <v/>
      </c>
      <c r="Q1790" t="n">
        <v>0</v>
      </c>
      <c r="R1790" t="n">
        <v>0</v>
      </c>
      <c r="S1790">
        <f>IFERROR(O1790/N1790,0)</f>
        <v/>
      </c>
      <c r="T1790" t="n">
        <v>0</v>
      </c>
      <c r="V1790" t="n">
        <v>0</v>
      </c>
    </row>
    <row r="1791">
      <c r="A1791">
        <f>Skills!A18</f>
        <v/>
      </c>
      <c r="B1791">
        <f>Skills!B18</f>
        <v/>
      </c>
      <c r="C1791">
        <f>Inputs!$B$3&gt;=72</f>
        <v/>
      </c>
      <c r="D1791">
        <f>IF(Skills!C18=1,60+Inputs!$B$25+Inputs!$B$29,IF(Skills!C18=2,90+Inputs!$B$26+Inputs!$B$29,IF(Skills!C18=3,120+Inputs!$B$27+Inputs!$B$29,MAX(0,(Inputs!$B$3-100)*3)+Inputs!$B$28+Inputs!$B$29)))</f>
        <v/>
      </c>
      <c r="E1791">
        <f>INDEX(FactorTable!$B$2:$Y$301, MATCH(ROUND(MIN(300,MAX(1,D1791)),0), FactorTable!$A$2:$A$301,0), Skills!M18+1)</f>
        <v/>
      </c>
      <c r="F1791">
        <f>IF(Skills!N18=TRUE,(Skills!L18/10)*(E1791/1000),Skills!L18/10)+Skills!O18</f>
        <v/>
      </c>
      <c r="G1791">
        <f>Skills!G18*IF(Skills!H18&gt;0,Skills!I18/Skills!H18,1)</f>
        <v/>
      </c>
      <c r="H1791">
        <f>1-(1-Skills!J18/100)^Skills!K18</f>
        <v/>
      </c>
      <c r="I1791" t="inlineStr">
        <is>
          <t>1</t>
        </is>
      </c>
      <c r="J1791" t="inlineStr"/>
      <c r="K1791" t="inlineStr"/>
      <c r="L1791" t="inlineStr"/>
      <c r="M1791" t="inlineStr"/>
      <c r="N1791" t="inlineStr"/>
      <c r="O1791">
        <f>(1-Summary!$B$11)*T1791+Summary!$B$11*V1791</f>
        <v/>
      </c>
      <c r="P1791">
        <f>IF(B1816=0,0,O1791/B1816)</f>
        <v/>
      </c>
      <c r="Q1791" t="n">
        <v>0</v>
      </c>
      <c r="R1791" t="n">
        <v>0</v>
      </c>
      <c r="S1791">
        <f>IFERROR(O1791/N1791,0)</f>
        <v/>
      </c>
      <c r="T1791" t="n">
        <v>0</v>
      </c>
      <c r="V1791" t="n">
        <v>0</v>
      </c>
    </row>
    <row r="1792">
      <c r="A1792">
        <f>Skills!A19</f>
        <v/>
      </c>
      <c r="B1792">
        <f>Skills!B19</f>
        <v/>
      </c>
      <c r="C1792">
        <f>TRUE</f>
        <v/>
      </c>
      <c r="D1792">
        <f>IF(Skills!C19=1,60+Inputs!$B$25+Inputs!$B$29,IF(Skills!C19=2,90+Inputs!$B$26+Inputs!$B$29,IF(Skills!C19=3,120+Inputs!$B$27+Inputs!$B$29,MAX(0,(Inputs!$B$3-100)*3)+Inputs!$B$28+Inputs!$B$29)))</f>
        <v/>
      </c>
      <c r="E1792">
        <f>INDEX(FactorTable!$B$2:$Y$301, MATCH(ROUND(MIN(300,MAX(1,D1792)),0), FactorTable!$A$2:$A$301,0), Skills!M19+1)</f>
        <v/>
      </c>
      <c r="F1792">
        <f>IF(Skills!N19=TRUE,(Skills!L19/10)*(E1792/1000),Skills!L19/10)+Skills!O19</f>
        <v/>
      </c>
      <c r="G1792">
        <f>Skills!G19*IF(Skills!H19&gt;0,Skills!I19/Skills!H19,1)</f>
        <v/>
      </c>
      <c r="H1792">
        <f>1-(1-Skills!J19/100)^Skills!K19</f>
        <v/>
      </c>
      <c r="I1792" t="inlineStr">
        <is>
          <t>1</t>
        </is>
      </c>
      <c r="J1792" t="inlineStr"/>
      <c r="K1792" t="inlineStr"/>
      <c r="L1792" t="inlineStr"/>
      <c r="M1792" t="inlineStr"/>
      <c r="N1792" t="inlineStr"/>
      <c r="O1792">
        <f>(1-Summary!$B$11)*T1792+Summary!$B$11*V1792</f>
        <v/>
      </c>
      <c r="P1792">
        <f>IF(B1816=0,0,O1792/B1816)</f>
        <v/>
      </c>
      <c r="Q1792">
        <f>IFERROR(1/(IF(Inputs!$B$38="pvp",15,MAX(0.1,Skills!D19-IF(Skills!E19=TRUE,Inputs!$B$32,0)))*(1-IF(AND(ArtifactsInput!$M$27,Inputs!$B$4="Chapter Hunt"),CHOOSE(ArtifactsInput!$N$27+1,20,24,28,32,36,40),0)/100)),0)</f>
        <v/>
      </c>
      <c r="R1792">
        <f>IF(AND(Inputs!$B$38&lt;&gt;"pvp",Inputs!$B$43&gt;0),IF(Inputs!$B$43&lt;=0,0,(INT(Inputs!$B$43/(IF(Inputs!$B$38="pvp",15,MAX(0.1,Skills!D19-IF(Skills!E19=TRUE,Inputs!$B$32,0)))*(1-IF(AND(ArtifactsInput!$M$27,Inputs!$B$4="Chapter Hunt"),CHOOSE(ArtifactsInput!$N$27+1,20,24,28,32,36,40),0)/100)))+1)),0)</f>
        <v/>
      </c>
      <c r="S1792">
        <f>IFERROR(O1792/N1792,0)</f>
        <v/>
      </c>
      <c r="T1792" t="n">
        <v>0</v>
      </c>
      <c r="V1792" t="n">
        <v>0</v>
      </c>
    </row>
    <row r="1793">
      <c r="A1793">
        <f>Skills!A20</f>
        <v/>
      </c>
      <c r="B1793">
        <f>Skills!B20</f>
        <v/>
      </c>
      <c r="C1793">
        <f>Inputs!$B$3&gt;=15</f>
        <v/>
      </c>
      <c r="D1793">
        <f>IF(Skills!C20=1,60+Inputs!$B$25+Inputs!$B$29,IF(Skills!C20=2,90+Inputs!$B$26+Inputs!$B$29,IF(Skills!C20=3,120+Inputs!$B$27+Inputs!$B$29,MAX(0,(Inputs!$B$3-100)*3)+Inputs!$B$28+Inputs!$B$29)))</f>
        <v/>
      </c>
      <c r="E1793">
        <f>INDEX(FactorTable!$B$2:$Y$301, MATCH(ROUND(MIN(300,MAX(1,D1793)),0), FactorTable!$A$2:$A$301,0), Skills!M20+1)</f>
        <v/>
      </c>
      <c r="F1793">
        <f>IF(Skills!N20=TRUE,(Skills!L20/10)*(E1793/1000),Skills!L20/10)+Skills!O20</f>
        <v/>
      </c>
      <c r="G1793">
        <f>Skills!G20*IF(Skills!H20&gt;0,Skills!I20/Skills!H20,1)</f>
        <v/>
      </c>
      <c r="H1793">
        <f>1-(1-Skills!J20/100)^Skills!K20</f>
        <v/>
      </c>
      <c r="I1793" t="inlineStr">
        <is>
          <t>1</t>
        </is>
      </c>
      <c r="J1793" t="inlineStr"/>
      <c r="K1793" t="inlineStr"/>
      <c r="L1793" t="inlineStr"/>
      <c r="M1793" t="inlineStr"/>
      <c r="N1793" t="inlineStr"/>
      <c r="O1793">
        <f>(1-Summary!$B$11)*T1793+Summary!$B$11*V1793</f>
        <v/>
      </c>
      <c r="P1793">
        <f>IF(B1816=0,0,O1793/B1816)</f>
        <v/>
      </c>
      <c r="Q1793" t="n">
        <v>0</v>
      </c>
      <c r="R1793" t="n">
        <v>0</v>
      </c>
      <c r="S1793">
        <f>IFERROR(O1793/N1793,0)</f>
        <v/>
      </c>
      <c r="T1793" t="n">
        <v>0</v>
      </c>
      <c r="V1793" t="n">
        <v>0</v>
      </c>
    </row>
    <row r="1794">
      <c r="A1794">
        <f>Skills!A21</f>
        <v/>
      </c>
      <c r="B1794">
        <f>Skills!B21</f>
        <v/>
      </c>
      <c r="C1794">
        <f>Inputs!$B$3&gt;=10</f>
        <v/>
      </c>
      <c r="D1794">
        <f>IF(Skills!C21=1,60+Inputs!$B$25+Inputs!$B$29,IF(Skills!C21=2,90+Inputs!$B$26+Inputs!$B$29,IF(Skills!C21=3,120+Inputs!$B$27+Inputs!$B$29,MAX(0,(Inputs!$B$3-100)*3)+Inputs!$B$28+Inputs!$B$29)))</f>
        <v/>
      </c>
      <c r="E1794">
        <f>INDEX(FactorTable!$B$2:$Y$301, MATCH(ROUND(MIN(300,MAX(1,D1794)),0), FactorTable!$A$2:$A$301,0), Skills!M21+1)</f>
        <v/>
      </c>
      <c r="F1794">
        <f>IF(Skills!N21=TRUE,(Skills!L21/10)*(E1794/1000),Skills!L21/10)+Skills!O21</f>
        <v/>
      </c>
      <c r="G1794">
        <f>Skills!G21*IF(Skills!H21&gt;0,Skills!I21/Skills!H21,1)</f>
        <v/>
      </c>
      <c r="H1794">
        <f>1-(1-Skills!J21/100)^Skills!K21</f>
        <v/>
      </c>
      <c r="I1794" t="inlineStr">
        <is>
          <t>1</t>
        </is>
      </c>
      <c r="J1794" t="inlineStr"/>
      <c r="K1794" t="inlineStr"/>
      <c r="L1794" t="inlineStr"/>
      <c r="M1794" t="inlineStr"/>
      <c r="N1794" t="inlineStr"/>
      <c r="O1794">
        <f>(1-Summary!$B$11)*T1794+Summary!$B$11*V1794</f>
        <v/>
      </c>
      <c r="P1794">
        <f>IF(B1816=0,0,O1794/B1816)</f>
        <v/>
      </c>
      <c r="Q1794" t="n">
        <v>0</v>
      </c>
      <c r="R1794" t="n">
        <v>0</v>
      </c>
      <c r="S1794">
        <f>IFERROR(O1794/N1794,0)</f>
        <v/>
      </c>
      <c r="T1794" t="n">
        <v>0</v>
      </c>
      <c r="V1794" t="n">
        <v>0</v>
      </c>
    </row>
    <row r="1795">
      <c r="A1795">
        <f>Skills!A22</f>
        <v/>
      </c>
      <c r="B1795">
        <f>Skills!B22</f>
        <v/>
      </c>
      <c r="C1795">
        <f>Inputs!$B$3&gt;=33</f>
        <v/>
      </c>
      <c r="D1795">
        <f>IF(Skills!C22=1,60+Inputs!$B$25+Inputs!$B$29,IF(Skills!C22=2,90+Inputs!$B$26+Inputs!$B$29,IF(Skills!C22=3,120+Inputs!$B$27+Inputs!$B$29,MAX(0,(Inputs!$B$3-100)*3)+Inputs!$B$28+Inputs!$B$29)))</f>
        <v/>
      </c>
      <c r="E1795">
        <f>INDEX(FactorTable!$B$2:$Y$301, MATCH(ROUND(MIN(300,MAX(1,D1795)),0), FactorTable!$A$2:$A$301,0), Skills!M22+1)</f>
        <v/>
      </c>
      <c r="F1795">
        <f>IF(Skills!N22=TRUE,(Skills!L22/10)*(E1795/1000),Skills!L22/10)+Skills!O22</f>
        <v/>
      </c>
      <c r="G1795">
        <f>Skills!G22*IF(Skills!H22&gt;0,Skills!I22/Skills!H22,1)</f>
        <v/>
      </c>
      <c r="H1795">
        <f>1-(1-Skills!J22/100)^Skills!K22</f>
        <v/>
      </c>
      <c r="I1795" t="inlineStr">
        <is>
          <t>1</t>
        </is>
      </c>
      <c r="J1795" t="inlineStr"/>
      <c r="K1795" t="inlineStr"/>
      <c r="L1795" t="inlineStr"/>
      <c r="M1795" t="inlineStr"/>
      <c r="N1795" t="inlineStr"/>
      <c r="O1795">
        <f>(1-Summary!$B$11)*T1795+Summary!$B$11*V1795</f>
        <v/>
      </c>
      <c r="P1795">
        <f>IF(B1816=0,0,O1795/B1816)</f>
        <v/>
      </c>
      <c r="Q1795" t="n">
        <v>0</v>
      </c>
      <c r="R1795" t="n">
        <v>0</v>
      </c>
      <c r="S1795">
        <f>IFERROR(O1795/N1795,0)</f>
        <v/>
      </c>
      <c r="T1795" t="n">
        <v>0</v>
      </c>
      <c r="V1795" t="n">
        <v>0</v>
      </c>
    </row>
    <row r="1796">
      <c r="A1796">
        <f>Skills!A23</f>
        <v/>
      </c>
      <c r="B1796">
        <f>Skills!B23</f>
        <v/>
      </c>
      <c r="C1796">
        <f>Inputs!$B$3&gt;=38</f>
        <v/>
      </c>
      <c r="D1796">
        <f>IF(Skills!C23=1,60+Inputs!$B$25+Inputs!$B$29,IF(Skills!C23=2,90+Inputs!$B$26+Inputs!$B$29,IF(Skills!C23=3,120+Inputs!$B$27+Inputs!$B$29,MAX(0,(Inputs!$B$3-100)*3)+Inputs!$B$28+Inputs!$B$29)))</f>
        <v/>
      </c>
      <c r="E1796">
        <f>INDEX(FactorTable!$B$2:$Y$301, MATCH(ROUND(MIN(300,MAX(1,D1796)),0), FactorTable!$A$2:$A$301,0), Skills!M23+1)</f>
        <v/>
      </c>
      <c r="F1796">
        <f>IF(Skills!N23=TRUE,(Skills!L23/10)*(E1796/1000),Skills!L23/10)+Skills!O23</f>
        <v/>
      </c>
      <c r="G1796">
        <f>Skills!G23*IF(Skills!H23&gt;0,Skills!I23/Skills!H23,1)</f>
        <v/>
      </c>
      <c r="H1796">
        <f>1-(1-Skills!J23/100)^Skills!K23</f>
        <v/>
      </c>
      <c r="I1796" t="inlineStr">
        <is>
          <t>1</t>
        </is>
      </c>
      <c r="J1796" t="inlineStr"/>
      <c r="K1796" t="inlineStr"/>
      <c r="L1796" t="inlineStr"/>
      <c r="M1796" t="inlineStr"/>
      <c r="N1796" t="inlineStr"/>
      <c r="O1796">
        <f>(1-Summary!$B$11)*T1796+Summary!$B$11*V1796</f>
        <v/>
      </c>
      <c r="P1796">
        <f>IF(B1816=0,0,O1796/B1816)</f>
        <v/>
      </c>
      <c r="Q1796" t="n">
        <v>0</v>
      </c>
      <c r="R1796" t="n">
        <v>0</v>
      </c>
      <c r="S1796">
        <f>IFERROR(O1796/N1796,0)</f>
        <v/>
      </c>
      <c r="T1796" t="n">
        <v>0</v>
      </c>
      <c r="V1796" t="n">
        <v>0</v>
      </c>
    </row>
    <row r="1797">
      <c r="A1797">
        <f>Skills!A24</f>
        <v/>
      </c>
      <c r="B1797">
        <f>Skills!B24</f>
        <v/>
      </c>
      <c r="C1797">
        <f>Inputs!$B$3&gt;=43</f>
        <v/>
      </c>
      <c r="D1797">
        <f>IF(Skills!C24=1,60+Inputs!$B$25+Inputs!$B$29,IF(Skills!C24=2,90+Inputs!$B$26+Inputs!$B$29,IF(Skills!C24=3,120+Inputs!$B$27+Inputs!$B$29,MAX(0,(Inputs!$B$3-100)*3)+Inputs!$B$28+Inputs!$B$29)))</f>
        <v/>
      </c>
      <c r="E1797">
        <f>INDEX(FactorTable!$B$2:$Y$301, MATCH(ROUND(MIN(300,MAX(1,D1797)),0), FactorTable!$A$2:$A$301,0), Skills!M24+1)</f>
        <v/>
      </c>
      <c r="F1797">
        <f>IF(Skills!N24=TRUE,(Skills!L24/10)*(E1797/1000),Skills!L24/10)+Skills!O24</f>
        <v/>
      </c>
      <c r="G1797">
        <f>Skills!G24*IF(Skills!H24&gt;0,Skills!I24/Skills!H24,1)</f>
        <v/>
      </c>
      <c r="H1797">
        <f>1-(1-Skills!J24/100)^Skills!K24</f>
        <v/>
      </c>
      <c r="I1797" t="inlineStr">
        <is>
          <t>1</t>
        </is>
      </c>
      <c r="J1797" t="inlineStr"/>
      <c r="K1797" t="inlineStr"/>
      <c r="L1797" t="inlineStr"/>
      <c r="M1797" t="inlineStr"/>
      <c r="N1797" t="inlineStr"/>
      <c r="O1797">
        <f>(1-Summary!$B$11)*T1797+Summary!$B$11*V1797</f>
        <v/>
      </c>
      <c r="P1797">
        <f>IF(B1816=0,0,O1797/B1816)</f>
        <v/>
      </c>
      <c r="Q1797" t="n">
        <v>0</v>
      </c>
      <c r="R1797" t="n">
        <v>0</v>
      </c>
      <c r="S1797">
        <f>IFERROR(O1797/N1797,0)</f>
        <v/>
      </c>
      <c r="T1797" t="n">
        <v>0</v>
      </c>
      <c r="V1797" t="n">
        <v>0</v>
      </c>
    </row>
    <row r="1798">
      <c r="A1798">
        <f>Skills!A25</f>
        <v/>
      </c>
      <c r="B1798">
        <f>Skills!B25</f>
        <v/>
      </c>
      <c r="C1798">
        <f>Inputs!$B$3&gt;=75</f>
        <v/>
      </c>
      <c r="D1798">
        <f>IF(Skills!C25=1,60+Inputs!$B$25+Inputs!$B$29,IF(Skills!C25=2,90+Inputs!$B$26+Inputs!$B$29,IF(Skills!C25=3,120+Inputs!$B$27+Inputs!$B$29,MAX(0,(Inputs!$B$3-100)*3)+Inputs!$B$28+Inputs!$B$29)))</f>
        <v/>
      </c>
      <c r="E1798">
        <f>INDEX(FactorTable!$B$2:$Y$301, MATCH(ROUND(MIN(300,MAX(1,D1798)),0), FactorTable!$A$2:$A$301,0), Skills!M25+1)</f>
        <v/>
      </c>
      <c r="F1798">
        <f>IF(Skills!N25=TRUE,(Skills!L25/10)*(E1798/1000),Skills!L25/10)+Skills!O25</f>
        <v/>
      </c>
      <c r="G1798">
        <f>Skills!G25*IF(Skills!H25&gt;0,Skills!I25/Skills!H25,1)</f>
        <v/>
      </c>
      <c r="H1798">
        <f>1-(1-Skills!J25/100)^Skills!K25</f>
        <v/>
      </c>
      <c r="I1798" t="inlineStr">
        <is>
          <t>1</t>
        </is>
      </c>
      <c r="J1798" t="inlineStr"/>
      <c r="K1798" t="inlineStr"/>
      <c r="L1798" t="inlineStr"/>
      <c r="M1798" t="inlineStr"/>
      <c r="N1798" t="inlineStr"/>
      <c r="O1798">
        <f>(1-Summary!$B$11)*T1798+Summary!$B$11*V1798</f>
        <v/>
      </c>
      <c r="P1798">
        <f>IF(B1816=0,0,O1798/B1816)</f>
        <v/>
      </c>
      <c r="Q1798" t="n">
        <v>0</v>
      </c>
      <c r="R1798" t="n">
        <v>0</v>
      </c>
      <c r="S1798">
        <f>IFERROR(O1798/N1798,0)</f>
        <v/>
      </c>
      <c r="T1798" t="n">
        <v>0</v>
      </c>
      <c r="V1798" t="n">
        <v>0</v>
      </c>
    </row>
    <row r="1799">
      <c r="A1799">
        <f>Skills!A26</f>
        <v/>
      </c>
      <c r="B1799">
        <f>Skills!B26</f>
        <v/>
      </c>
      <c r="C1799">
        <f>Inputs!$B$3&gt;=125</f>
        <v/>
      </c>
      <c r="D1799">
        <f>IF(Skills!C26=1,60+Inputs!$B$25+Inputs!$B$29,IF(Skills!C26=2,90+Inputs!$B$26+Inputs!$B$29,IF(Skills!C26=3,120+Inputs!$B$27+Inputs!$B$29,MAX(0,(Inputs!$B$3-100)*3)+Inputs!$B$28+Inputs!$B$29)))</f>
        <v/>
      </c>
      <c r="E1799">
        <f>INDEX(FactorTable!$B$2:$Y$301, MATCH(ROUND(MIN(300,MAX(1,D1799)),0), FactorTable!$A$2:$A$301,0), Skills!M26+1)</f>
        <v/>
      </c>
      <c r="F1799">
        <f>IF(Skills!N26=TRUE,(Skills!L26/10)*(E1799/1000),Skills!L26/10)+Skills!O26</f>
        <v/>
      </c>
      <c r="G1799">
        <f>Skills!G26*IF(Skills!H26&gt;0,Skills!I26/Skills!H26,1)</f>
        <v/>
      </c>
      <c r="H1799">
        <f>1-(1-Skills!J26/100)^Skills!K26</f>
        <v/>
      </c>
      <c r="I1799" t="inlineStr">
        <is>
          <t>1</t>
        </is>
      </c>
      <c r="J1799" t="inlineStr"/>
      <c r="K1799" t="inlineStr"/>
      <c r="L1799" t="inlineStr"/>
      <c r="M1799" t="inlineStr"/>
      <c r="N1799" t="inlineStr"/>
      <c r="O1799">
        <f>(1-Summary!$B$11)*T1799+Summary!$B$11*V1799</f>
        <v/>
      </c>
      <c r="P1799">
        <f>IF(B1816=0,0,O1799/B1816)</f>
        <v/>
      </c>
      <c r="Q1799" t="n">
        <v>0</v>
      </c>
      <c r="R1799" t="n">
        <v>0</v>
      </c>
      <c r="S1799">
        <f>IFERROR(O1799/N1799,0)</f>
        <v/>
      </c>
      <c r="T1799" t="n">
        <v>0</v>
      </c>
      <c r="V1799" t="n">
        <v>0</v>
      </c>
    </row>
    <row r="1800">
      <c r="A1800">
        <f>Skills!A27</f>
        <v/>
      </c>
      <c r="B1800">
        <f>Skills!B27</f>
        <v/>
      </c>
      <c r="C1800">
        <f>Inputs!$B$3&gt;=125</f>
        <v/>
      </c>
      <c r="D1800">
        <f>IF(Skills!C27=1,60+Inputs!$B$25+Inputs!$B$29,IF(Skills!C27=2,90+Inputs!$B$26+Inputs!$B$29,IF(Skills!C27=3,120+Inputs!$B$27+Inputs!$B$29,MAX(0,(Inputs!$B$3-100)*3)+Inputs!$B$28+Inputs!$B$29)))</f>
        <v/>
      </c>
      <c r="E1800">
        <f>INDEX(FactorTable!$B$2:$Y$301, MATCH(ROUND(MIN(300,MAX(1,D1800)),0), FactorTable!$A$2:$A$301,0), Skills!M27+1)</f>
        <v/>
      </c>
      <c r="F1800">
        <f>IF(Skills!N27=TRUE,(Skills!L27/10)*(E1800/1000),Skills!L27/10)+Skills!O27</f>
        <v/>
      </c>
      <c r="G1800">
        <f>Skills!G27*IF(Skills!H27&gt;0,Skills!I27/Skills!H27,1)</f>
        <v/>
      </c>
      <c r="H1800">
        <f>1-(1-Skills!J27/100)^Skills!K27</f>
        <v/>
      </c>
      <c r="I1800" t="inlineStr">
        <is>
          <t>1</t>
        </is>
      </c>
      <c r="J1800" t="inlineStr"/>
      <c r="K1800" t="inlineStr"/>
      <c r="L1800" t="inlineStr"/>
      <c r="M1800" t="inlineStr"/>
      <c r="N1800" t="inlineStr"/>
      <c r="O1800">
        <f>(1-Summary!$B$11)*T1800+Summary!$B$11*V1800</f>
        <v/>
      </c>
      <c r="P1800">
        <f>IF(B1816=0,0,O1800/B1816)</f>
        <v/>
      </c>
      <c r="Q1800" t="n">
        <v>0</v>
      </c>
      <c r="R1800" t="n">
        <v>0</v>
      </c>
      <c r="S1800">
        <f>IFERROR(O1800/N1800,0)</f>
        <v/>
      </c>
      <c r="T1800" t="n">
        <v>0</v>
      </c>
      <c r="V1800" t="n">
        <v>0</v>
      </c>
    </row>
    <row r="1801">
      <c r="A1801">
        <f>Skills!A28</f>
        <v/>
      </c>
      <c r="B1801">
        <f>Skills!B28</f>
        <v/>
      </c>
      <c r="C1801">
        <f>Inputs!$B$3&gt;=120</f>
        <v/>
      </c>
      <c r="D1801">
        <f>IF(Skills!C28=1,60+Inputs!$B$25+Inputs!$B$29,IF(Skills!C28=2,90+Inputs!$B$26+Inputs!$B$29,IF(Skills!C28=3,120+Inputs!$B$27+Inputs!$B$29,MAX(0,(Inputs!$B$3-100)*3)+Inputs!$B$28+Inputs!$B$29)))</f>
        <v/>
      </c>
      <c r="E1801">
        <f>INDEX(FactorTable!$B$2:$Y$301, MATCH(ROUND(MIN(300,MAX(1,D1801)),0), FactorTable!$A$2:$A$301,0), Skills!M28+1)</f>
        <v/>
      </c>
      <c r="F1801">
        <f>IF(Skills!N28=TRUE,(Skills!L28/10)*(E1801/1000),Skills!L28/10)+Skills!O28</f>
        <v/>
      </c>
      <c r="G1801">
        <f>Skills!G28*IF(Skills!H28&gt;0,Skills!I28/Skills!H28,1)</f>
        <v/>
      </c>
      <c r="H1801">
        <f>1-(1-Skills!J28/100)^Skills!K28</f>
        <v/>
      </c>
      <c r="I1801" t="inlineStr">
        <is>
          <t>1</t>
        </is>
      </c>
      <c r="J1801" t="inlineStr"/>
      <c r="K1801" t="inlineStr"/>
      <c r="L1801" t="inlineStr"/>
      <c r="M1801" t="inlineStr"/>
      <c r="N1801" t="inlineStr"/>
      <c r="O1801">
        <f>(1-Summary!$B$11)*T1801+Summary!$B$11*V1801</f>
        <v/>
      </c>
      <c r="P1801">
        <f>IF(B1816=0,0,O1801/B1816)</f>
        <v/>
      </c>
      <c r="Q1801" t="n">
        <v>0</v>
      </c>
      <c r="R1801" t="n">
        <v>0</v>
      </c>
      <c r="S1801">
        <f>IFERROR(O1801/N1801,0)</f>
        <v/>
      </c>
      <c r="T1801" t="n">
        <v>0</v>
      </c>
      <c r="V1801" t="n">
        <v>0</v>
      </c>
    </row>
    <row r="1802">
      <c r="A1802">
        <f>Skills!A29</f>
        <v/>
      </c>
      <c r="B1802">
        <f>Skills!B29</f>
        <v/>
      </c>
      <c r="C1802">
        <f>Inputs!$B$3&gt;=120</f>
        <v/>
      </c>
      <c r="D1802">
        <f>IF(Skills!C29=1,60+Inputs!$B$25+Inputs!$B$29,IF(Skills!C29=2,90+Inputs!$B$26+Inputs!$B$29,IF(Skills!C29=3,120+Inputs!$B$27+Inputs!$B$29,MAX(0,(Inputs!$B$3-100)*3)+Inputs!$B$28+Inputs!$B$29)))</f>
        <v/>
      </c>
      <c r="E1802">
        <f>INDEX(FactorTable!$B$2:$Y$301, MATCH(ROUND(MIN(300,MAX(1,D1802)),0), FactorTable!$A$2:$A$301,0), Skills!M29+1)</f>
        <v/>
      </c>
      <c r="F1802">
        <f>IF(Skills!N29=TRUE,(Skills!L29/10)*(E1802/1000),Skills!L29/10)+Skills!O29</f>
        <v/>
      </c>
      <c r="G1802">
        <f>Skills!G29*IF(Skills!H29&gt;0,Skills!I29/Skills!H29,1)</f>
        <v/>
      </c>
      <c r="H1802">
        <f>1-(1-Skills!J29/100)^Skills!K29</f>
        <v/>
      </c>
      <c r="I1802" t="inlineStr">
        <is>
          <t>1</t>
        </is>
      </c>
      <c r="J1802" t="inlineStr"/>
      <c r="K1802" t="inlineStr"/>
      <c r="L1802" t="inlineStr"/>
      <c r="M1802" t="inlineStr"/>
      <c r="N1802" t="inlineStr"/>
      <c r="O1802">
        <f>(1-Summary!$B$11)*T1802+Summary!$B$11*V1802</f>
        <v/>
      </c>
      <c r="P1802">
        <f>IF(B1816=0,0,O1802/B1816)</f>
        <v/>
      </c>
      <c r="Q1802" t="n">
        <v>0</v>
      </c>
      <c r="R1802" t="n">
        <v>0</v>
      </c>
      <c r="S1802">
        <f>IFERROR(O1802/N1802,0)</f>
        <v/>
      </c>
      <c r="T1802" t="n">
        <v>0</v>
      </c>
      <c r="V1802" t="n">
        <v>0</v>
      </c>
    </row>
    <row r="1803">
      <c r="A1803">
        <f>Skills!A30</f>
        <v/>
      </c>
      <c r="B1803">
        <f>Skills!B30</f>
        <v/>
      </c>
      <c r="C1803">
        <f>Inputs!$B$3&gt;=45</f>
        <v/>
      </c>
      <c r="D1803">
        <f>IF(Skills!C30=1,60+Inputs!$B$25+Inputs!$B$29,IF(Skills!C30=2,90+Inputs!$B$26+Inputs!$B$29,IF(Skills!C30=3,120+Inputs!$B$27+Inputs!$B$29,MAX(0,(Inputs!$B$3-100)*3)+Inputs!$B$28+Inputs!$B$29)))</f>
        <v/>
      </c>
      <c r="E1803">
        <f>INDEX(FactorTable!$B$2:$Y$301, MATCH(ROUND(MIN(300,MAX(1,D1803)),0), FactorTable!$A$2:$A$301,0), Skills!M30+1)</f>
        <v/>
      </c>
      <c r="F1803">
        <f>IF(Skills!N30=TRUE,(Skills!L30/10)*(E1803/1000),Skills!L30/10)+Skills!O30</f>
        <v/>
      </c>
      <c r="G1803">
        <f>Skills!G30*IF(Skills!H30&gt;0,Skills!I30/Skills!H30,1)</f>
        <v/>
      </c>
      <c r="H1803">
        <f>1-(1-Skills!J30/100)^Skills!K30</f>
        <v/>
      </c>
      <c r="I1803" t="inlineStr">
        <is>
          <t>1</t>
        </is>
      </c>
      <c r="J1803" t="inlineStr"/>
      <c r="K1803" t="inlineStr"/>
      <c r="L1803" t="inlineStr"/>
      <c r="M1803" t="inlineStr"/>
      <c r="N1803" t="inlineStr"/>
      <c r="O1803">
        <f>(1-Summary!$B$11)*T1803+Summary!$B$11*V1803</f>
        <v/>
      </c>
      <c r="P1803">
        <f>IF(B1816=0,0,O1803/B1816)</f>
        <v/>
      </c>
      <c r="Q1803" t="n">
        <v>0</v>
      </c>
      <c r="R1803" t="n">
        <v>0</v>
      </c>
      <c r="S1803">
        <f>IFERROR(O1803/N1803,0)</f>
        <v/>
      </c>
      <c r="T1803" t="n">
        <v>0</v>
      </c>
      <c r="V1803" t="n">
        <v>0</v>
      </c>
    </row>
    <row r="1805">
      <c r="A1805" t="inlineStr">
        <is>
          <t>Attack% Bucket Multiplier</t>
        </is>
      </c>
      <c r="B1805">
        <f>(1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6">
      <c r="A1806" t="inlineStr">
        <is>
          <t>Global Crit Rate Bonus %</t>
        </is>
      </c>
      <c r="B1806">
        <f>(C1789=TRUE)*20*IF(AND(Inputs!$B$38&lt;&gt;"pvp",Inputs!$B$43&gt;0),(((R1789-1)*(Skills!T16*(1+Inputs!$B$34/100))+MIN((Skills!T16*(1+Inputs!$B$34/100)),MAX(0,Inputs!$B$43-((R1789-1)*Skills!D16))))/Inputs!$B$43),IF(Inputs!$B$38="pvp",MIN((Skills!T16*(1+Inputs!$B$34/100)),15)/15,(Skills!T16*(1+Inputs!$B$34/100))/Skills!D16))</f>
        <v/>
      </c>
    </row>
    <row r="1807">
      <c r="A1807" t="inlineStr">
        <is>
          <t>Attack Speed Buff Bonus %</t>
        </is>
      </c>
      <c r="B1807">
        <f>((C1792=TRUE)*F1792*IF(AND(Inputs!$B$38&lt;&gt;"pvp",Inputs!$B$43&gt;0),(((R1792-1)*(Skills!T19*(1+Inputs!$B$34/100))+MIN((Skills!T19*(1+Inputs!$B$34/100)),MAX(0,Inputs!$B$43-((R1792-1)*Skills!D19))))/Inputs!$B$43),IF(Inputs!$B$38="pvp",MIN((Skills!T19*(1+Inputs!$B$34/100)),15)/15,(Skills!T19*(1+Inputs!$B$34/100))/Skills!D19)))</f>
        <v/>
      </c>
    </row>
    <row r="1808">
      <c r="A1808" t="inlineStr">
        <is>
          <t>Actions Per Second</t>
        </is>
      </c>
      <c r="B1808">
        <f>1+MIN(150,150*(1-(1-(Inputs!$B$11+((C1794=TRUE)*(F1794-Calc!F21))+((C1795=TRUE)*(F1795-Calc!F22)))/150)*(1-B1807/150)))/100</f>
        <v/>
      </c>
    </row>
    <row r="1809">
      <c r="A1809" t="inlineStr">
        <is>
          <t>Skill + Buff Cast Rate</t>
        </is>
      </c>
      <c r="B1809">
        <f>IF(AND(Inputs!$B$38&lt;&gt;"pvp",Inputs!$B$43&gt;0),SUMPRODUCT((Skills!E2:E30=TRUE)*(C1775:C1803=TRUE)*R1775:R1803*Skills!F2:F30)/Inputs!$B$43,SUMPRODUCT((Skills!E2:E30=TRUE)*(C1775:C1803=TRUE)*Q1775:Q1803*Skills!F2:F30))</f>
        <v/>
      </c>
    </row>
    <row r="1810">
      <c r="A1810" t="inlineStr">
        <is>
          <t>Arrow Stream Casts Per Second</t>
        </is>
      </c>
      <c r="B1810">
        <f>MAX(0,B1808-B1809)</f>
        <v/>
      </c>
    </row>
    <row r="1811">
      <c r="A1811" t="inlineStr">
        <is>
          <t>Global Critical Damage Bonus % (Sharp Eyes + Concentration)</t>
        </is>
      </c>
      <c r="B1811">
        <f>(C1789=TRUE)*F1789*IF(AND(Inputs!$B$38&lt;&gt;"pvp",Inputs!$B$43&gt;0),(((R1789-1)*(Skills!T16*(1+Inputs!$B$34/100))+MIN((Skills!T16*(1+Inputs!$B$34/100)),MAX(0,Inputs!$B$43-((R1789-1)*Skills!D16))))/Inputs!$B$43),IF(Inputs!$B$38="pvp",MIN((Skills!T16*(1+Inputs!$B$34/100)),15)/15,(Skills!T16*(1+Inputs!$B$34/100))/Skills!D16))+(C1790=TRUE)*30</f>
        <v/>
      </c>
    </row>
    <row r="1812">
      <c r="A1812" t="inlineStr">
        <is>
          <t>Global Final Damage Bonus % (Mortal Blow)</t>
        </is>
      </c>
      <c r="B1812">
        <f>(C1791=TRUE)*F1791</f>
        <v/>
      </c>
    </row>
    <row r="1813">
      <c r="A1813" t="inlineStr">
        <is>
          <t>Buff-Casting Startup Delay (s, fixed-duration only)</t>
        </is>
      </c>
      <c r="B1813">
        <f>IF(AND(Inputs!$B$38&lt;&gt;"pvp",Inputs!$B$43&gt;0),SUMPRODUCT((Skills!T2:T30&gt;0)*(Skills!E2:E30=TRUE)*(C1775:C1803=TRUE))/B1808,0)</f>
        <v/>
      </c>
    </row>
    <row r="1814">
      <c r="A1814" t="inlineStr">
        <is>
          <t>Boss-Only Total DPS (this block's swept value)</t>
        </is>
      </c>
      <c r="B1814">
        <f>SUM(T1775:T1803)</f>
        <v/>
      </c>
    </row>
    <row r="1815">
      <c r="A1815" t="inlineStr">
        <is>
          <t>Normal-Only Total DPS (this block's swept value)</t>
        </is>
      </c>
      <c r="B1815">
        <f>SUM(V1775:V1803)</f>
        <v/>
      </c>
    </row>
    <row r="1816">
      <c r="A1816" s="6" t="inlineStr">
        <is>
          <t>TOTAL DPS</t>
        </is>
      </c>
      <c r="B1816" s="6">
        <f>SUM(O1775:O1803)</f>
        <v/>
      </c>
    </row>
    <row r="1819">
      <c r="A1819" s="6" t="inlineStr">
        <is>
          <t>Stat: Pink Bean's Giant Rib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1843=TRUE)*(F1843-Calc!F24)),(Inputs!$B$23+((C1848=TRUE)*(F1848-Calc!F29))+(IF(ArtifactsInput!$M$15,CHOOSE(ArtifactsInput!$N$15+1,25,30,35,40,45,50)/100*(Inputs!$B$11-Inputs!$B$11),0))))/100+(Inputs!$B$23+((C1848=TRUE)*(F1848-Calc!F29))+(IF(ArtifactsInput!$M$15,CHOOSE(ArtifactsInput!$N$15+1,25,30,35,40,45,50)/100*(Inputs!$B$11-Inputs!$B$11),0)))/100)/2</f>
        <v/>
      </c>
      <c r="M1821">
        <f>L1821*(1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IF(B1862=0,0,O1821/B1862)</f>
        <v/>
      </c>
      <c r="Q1821" t="n">
        <v>0</v>
      </c>
      <c r="R1821" t="n">
        <v>0</v>
      </c>
      <c r="S1821">
        <f>IFERROR(O1821/N1821,0)</f>
        <v/>
      </c>
      <c r="T1821">
        <f>IF(C1821,(Skills!G2*N1821*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1821*(1-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Inputs!$B$3&gt;=50</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t="inlineStr"/>
      <c r="H1822" t="inlineStr"/>
      <c r="I1822" t="inlineStr">
        <is>
          <t>1</t>
        </is>
      </c>
      <c r="J1822" t="inlineStr"/>
      <c r="K1822" t="inlineStr"/>
      <c r="L1822" t="inlineStr"/>
      <c r="M1822" t="inlineStr"/>
      <c r="N1822" t="inlineStr"/>
      <c r="O1822" t="inlineStr"/>
      <c r="P1822" t="inlineStr"/>
      <c r="Q1822" t="inlineStr"/>
      <c r="R1822" t="inlineStr"/>
      <c r="S1822" t="inlineStr"/>
      <c r="T1822" t="inlineStr"/>
      <c r="U1822">
        <f>INDEX(FactorTable!$B$2:$Y$301, MATCH(ROUND(MIN(300,MAX(1,U1821)),0), FactorTable!$A$2:$A$301,0), 22)</f>
        <v/>
      </c>
      <c r="V1822" t="inlineStr"/>
    </row>
    <row r="1823">
      <c r="A1823">
        <f>Skills!A4</f>
        <v/>
      </c>
      <c r="B1823">
        <f>Skills!B4</f>
        <v/>
      </c>
      <c r="C1823">
        <f>Inputs!$B$3&gt;=105</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U1823">
        <f>290*U1822/1000</f>
        <v/>
      </c>
      <c r="V1823" t="inlineStr"/>
    </row>
    <row r="1824">
      <c r="A1824">
        <f>Skills!A5</f>
        <v/>
      </c>
      <c r="B1824">
        <f>Skills!B5</f>
        <v/>
      </c>
      <c r="C1824">
        <f>Inputs!$B$3&gt;=35</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Skills!G5*IF(Skills!H5&gt;0,Skills!I5/Skills!H5,1)</f>
        <v/>
      </c>
      <c r="H1824">
        <f>1-(1-Skills!J5/100)^Skills!K5</f>
        <v/>
      </c>
      <c r="I1824" t="inlineStr">
        <is>
          <t>1</t>
        </is>
      </c>
      <c r="J1824">
        <f>((Inputs!$B$6*(1+Inputs!$B$7/100))+(((Inputs!$B$12*(1+Inputs!$B$13/100))-(Inputs!$B$12*(1+Inputs!$B$13/100)))+0.25*(Inputs!$B$14-Inputs!$B$14))*(1+Inputs!$B$7/100))*(F1824/100)</f>
        <v/>
      </c>
      <c r="K1824">
        <f>J1824*(1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1829=TRUE,F1829,0)/100)*(1+(IF(Skills!A5="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1824)</f>
        <v/>
      </c>
      <c r="L1824">
        <f>K1824*(MIN(Inputs!$B$22+((C1843=TRUE)*(F1843-Calc!F24)),(Inputs!$B$23+((C1848=TRUE)*(F1848-Calc!F29))+(IF(ArtifactsInput!$M$15,CHOOSE(ArtifactsInput!$N$15+1,25,30,35,40,45,50)/100*(Inputs!$B$11-Inputs!$B$11),0))))/100+(Inputs!$B$23+((C1848=TRUE)*(F1848-Calc!F29))+(IF(ArtifactsInput!$M$15,CHOOSE(ArtifactsInput!$N$15+1,25,30,35,40,45,50)/100*(Inputs!$B$11-Inputs!$B$11),0)))/100)/2</f>
        <v/>
      </c>
      <c r="M1824">
        <f>L1824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4">
        <f>L1824*(1-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1824*(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4">
        <f>(1-Summary!$B$11)*T1824+Summary!$B$11*V1824</f>
        <v/>
      </c>
      <c r="P1824">
        <f>IF(B1862=0,0,O1824/B1862)</f>
        <v/>
      </c>
      <c r="Q1824">
        <f>IFERROR(1/(IF(Inputs!$B$38="pvp",15,MAX(0.1,Skills!D5-IF(Skills!E5=TRUE,Inputs!$B$32,0)))*(1-IF(AND(ArtifactsInput!$M$27,Inputs!$B$4="Chapter Hunt"),CHOOSE(ArtifactsInput!$N$27+1,20,24,28,32,36,40),0)/100)),0)</f>
        <v/>
      </c>
      <c r="R1824">
        <f>IF(AND(Inputs!$B$38&lt;&gt;"pvp",Inputs!$B$43&gt;0),IF(MAX(0,Inputs!$B$43-B1859)&lt;=0,0,(INT(MAX(0,Inputs!$B$43-B1859)/(IF(Inputs!$B$38="pvp",15,MAX(0.1,Skills!D5-IF(Skills!E5=TRUE,Inputs!$B$32,0)))*(1-IF(AND(ArtifactsInput!$M$27,Inputs!$B$4="Chapter Hunt"),CHOOSE(ArtifactsInput!$N$27+1,20,24,28,32,36,40),0)/100)))+1)),0)</f>
        <v/>
      </c>
      <c r="S1824">
        <f>IFERROR(O1824/N1824,0)</f>
        <v/>
      </c>
      <c r="T1824">
        <f>IF(C1824,(H1824*N1824*IF(AND(Inputs!$B$38&lt;&gt;"pvp",Inputs!$B$43&gt;0),((Skills!G5*((R1824-1)*IF(Skills!H5&gt;0,Skills!I5/Skills!H5,1)+IF(Skills!H5&gt;0,MIN(Skills!I5,MAX(0,MAX(0,Inputs!$B$43-B1859)-((R1824-1)*(IF(Inputs!$B$38="pvp",15,MAX(0.1,Skills!D5-IF(Skills!E5=TRUE,Inputs!$B$32,0)))*(1-IF(AND(ArtifactsInput!$M$27,Inputs!$B$4="Chapter Hunt"),CHOOSE(ArtifactsInput!$N$27+1,20,24,28,32,36,40),0)/100)))))/Skills!H5,1)))/Inputs!$B$43),G1824*Q1824)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1824*(1-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1824*(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1824*(1-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1824*(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4">
        <f>IF(C1824,(H1824*N1824*IF(AND(Inputs!$B$38&lt;&gt;"pvp",Inputs!$B$43&gt;0),((Skills!G5*((R1824-1)*IF(Skills!H5&gt;0,Skills!I5/Skills!H5,1)+IF(Skills!H5&gt;0,MIN(Skills!I5,MAX(0,MAX(0,Inputs!$B$43-B1859)-((R1824-1)*(IF(Inputs!$B$38="pvp",15,MAX(0.1,Skills!D5-IF(Skills!E5=TRUE,Inputs!$B$32,0)))*(1-IF(AND(ArtifactsInput!$M$27,Inputs!$B$4="Chapter Hunt"),CHOOSE(ArtifactsInput!$N$27+1,20,24,28,32,36,40),0)/100)))))/Skills!H5,1)))/Inputs!$B$43),G1824*Q1824))*IF(Inputs!$B$38="pvp",1,(1+(Inputs!$B$21+Skills!Q5+(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5">
      <c r="A1825">
        <f>Skills!A6</f>
        <v/>
      </c>
      <c r="B1825">
        <f>Skills!B6</f>
        <v/>
      </c>
      <c r="C1825">
        <f>Inputs!$B$3&gt;=40</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1826=TRUE,F1826,0)/100)*(1+(IF(Skills!A6="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1843=TRUE)*(F1843-Calc!F24)),(Inputs!$B$23+((C1848=TRUE)*(F1848-Calc!F29))+(IF(ArtifactsInput!$M$15,CHOOSE(ArtifactsInput!$N$15+1,25,30,35,40,45,50)/100*(Inputs!$B$11-Inputs!$B$11),0))))/100+(Inputs!$B$23+((C1848=TRUE)*(F1848-Calc!F29))+(IF(ArtifactsInput!$M$15,CHOOSE(ArtifactsInput!$N$15+1,25,30,35,40,45,50)/100*(Inputs!$B$11-Inputs!$B$11),0)))/100)/2</f>
        <v/>
      </c>
      <c r="M1825">
        <f>L1825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IF(B1862=0,0,O1825/B1862)</f>
        <v/>
      </c>
      <c r="Q1825">
        <f>IFERROR(1/(IF(Inputs!$B$38="pvp",15,MAX(0.1,Skills!D6-IF(Skills!E6=TRUE,Inputs!$B$32,0)))*(1-IF(AND(ArtifactsInput!$M$27,Inputs!$B$4="Chapter Hunt"),CHOOSE(ArtifactsInput!$N$27+1,20,24,28,32,36,40),0)/100)),0)</f>
        <v/>
      </c>
      <c r="R1825">
        <f>IF(AND(Inputs!$B$38&lt;&gt;"pvp",Inputs!$B$43&gt;0),IF(MAX(0,Inputs!$B$43-B1859)&lt;=0,0,(INT(MAX(0,Inputs!$B$43-B1859)/(IF(Inputs!$B$38="pvp",15,MAX(0.1,Skills!D6-IF(Skills!E6=TRUE,Inputs!$B$32,0)))*(1-IF(AND(ArtifactsInput!$M$27,Inputs!$B$4="Chapter Hunt"),CHOOSE(ArtifactsInput!$N$27+1,20,24,28,32,36,40),0)/100)))+1)),0)</f>
        <v/>
      </c>
      <c r="S1825">
        <f>IFERROR(O1825/N1825,0)</f>
        <v/>
      </c>
      <c r="T1825">
        <f>IF(C1825,(H1825*N1825*IF(AND(Inputs!$B$38&lt;&gt;"pvp",Inputs!$B$43&gt;0),((Skills!G6*((R1825-1)*IF(Skills!H6&gt;0,Skills!I6/Skills!H6,1)+IF(Skills!H6&gt;0,MIN(Skills!I6,MAX(0,MAX(0,Inputs!$B$43-B1859)-((R1825-1)*(IF(Inputs!$B$38="pvp",15,MAX(0.1,Skills!D6-IF(Skills!E6=TRUE,Inputs!$B$32,0)))*(1-IF(AND(ArtifactsInput!$M$27,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1825*(1-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1859)-((R1825-1)*(IF(Inputs!$B$38="pvp",15,MAX(0.1,Skills!D6-IF(Skills!E6=TRUE,Inputs!$B$32,0)))*(1-IF(AND(ArtifactsInput!$M$27,Inputs!$B$4="Chapter Hunt"),CHOOSE(ArtifactsInput!$N$27+1,20,24,28,32,36,40),0)/100)))))/Skills!H6,1)))/Inputs!$B$43),G1825*Q1825))*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Inputs!$B$3&gt;=107</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t="inlineStr"/>
      <c r="H1826" t="inlineStr"/>
      <c r="I1826" t="inlineStr">
        <is>
          <t>1</t>
        </is>
      </c>
      <c r="J1826" t="inlineStr"/>
      <c r="K1826" t="inlineStr"/>
      <c r="L1826" t="inlineStr"/>
      <c r="M1826" t="inlineStr"/>
      <c r="N1826" t="inlineStr"/>
      <c r="O1826" t="inlineStr"/>
      <c r="P1826" t="inlineStr"/>
      <c r="Q1826" t="inlineStr"/>
      <c r="R1826" t="inlineStr"/>
      <c r="S1826" t="inlineStr"/>
      <c r="T1826" t="inlineStr"/>
      <c r="V1826" t="inlineStr"/>
    </row>
    <row r="1827">
      <c r="A1827">
        <f>Skills!A8</f>
        <v/>
      </c>
      <c r="B1827">
        <f>Skills!B8</f>
        <v/>
      </c>
      <c r="C1827">
        <f>Inputs!$B$3&gt;=69</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1829=TRUE,F1829,0)/100)*(1+(IF(Skills!A8="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1843=TRUE)*(F1843-Calc!F24)),(Inputs!$B$23+((C1848=TRUE)*(F1848-Calc!F29))+(IF(ArtifactsInput!$M$15,CHOOSE(ArtifactsInput!$N$15+1,25,30,35,40,45,50)/100*(Inputs!$B$11-Inputs!$B$11),0))))/100+(Inputs!$B$23+((C1848=TRUE)*(F1848-Calc!F29))+(IF(ArtifactsInput!$M$15,CHOOSE(ArtifactsInput!$N$15+1,25,30,35,40,45,50)/100*(Inputs!$B$11-Inputs!$B$11),0)))/100)/2</f>
        <v/>
      </c>
      <c r="M1827">
        <f>L1827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IF(B1862=0,0,O1827/B1862)</f>
        <v/>
      </c>
      <c r="Q1827">
        <f>IFERROR(1/(IF(Inputs!$B$38="pvp",15,MAX(0.1,Skills!D8-IF(Skills!E8=TRUE,Inputs!$B$32,0)))*(1-IF(AND(ArtifactsInput!$M$27,Inputs!$B$4="Chapter Hunt"),CHOOSE(ArtifactsInput!$N$27+1,20,24,28,32,36,40),0)/100)),0)</f>
        <v/>
      </c>
      <c r="R1827">
        <f>IF(AND(Inputs!$B$38&lt;&gt;"pvp",Inputs!$B$43&gt;0),IF(MAX(0,Inputs!$B$43-B1859)&lt;=0,0,(INT(MAX(0,Inputs!$B$43-B1859)/(IF(Inputs!$B$38="pvp",15,MAX(0.1,Skills!D8-IF(Skills!E8=TRUE,Inputs!$B$32,0)))*(1-IF(AND(ArtifactsInput!$M$27,Inputs!$B$4="Chapter Hunt"),CHOOSE(ArtifactsInput!$N$27+1,20,24,28,32,36,40),0)/100)))+1)),0)</f>
        <v/>
      </c>
      <c r="S1827">
        <f>IFERROR(O1827/N1827,0)</f>
        <v/>
      </c>
      <c r="T1827">
        <f>IF(C1827,(H1827*N1827*IF(AND(Inputs!$B$38&lt;&gt;"pvp",Inputs!$B$43&gt;0),((Skills!G8*((R1827-1)*IF(Skills!H8&gt;0,Skills!I8/Skills!H8,1)+IF(Skills!H8&gt;0,MIN(Skills!I8,MAX(0,MAX(0,Inputs!$B$43-B1859)-((R1827-1)*(IF(Inputs!$B$38="pvp",15,MAX(0.1,Skills!D8-IF(Skills!E8=TRUE,Inputs!$B$32,0)))*(1-IF(AND(ArtifactsInput!$M$27,Inputs!$B$4="Chapter Hunt"),CHOOSE(ArtifactsInput!$N$27+1,20,24,28,32,36,40),0)/100)))))/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1827*(1-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1859)-((R1827-1)*(IF(Inputs!$B$38="pvp",15,MAX(0.1,Skills!D8-IF(Skills!E8=TRUE,Inputs!$B$32,0)))*(1-IF(AND(ArtifactsInput!$M$27,Inputs!$B$4="Chapter Hunt"),CHOOSE(ArtifactsInput!$N$27+1,20,24,28,32,36,40),0)/100)))))/Skills!H8,1)))/Inputs!$B$43),G1827*Q1827))*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Inputs!$B$3&gt;=63</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1829=TRUE,F1829,0)/100)*(1+(IF(Skills!A9="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1843=TRUE)*(F1843-Calc!F24)),(Inputs!$B$23+((C1848=TRUE)*(F1848-Calc!F29))+(IF(ArtifactsInput!$M$15,CHOOSE(ArtifactsInput!$N$15+1,25,30,35,40,45,50)/100*(Inputs!$B$11-Inputs!$B$11),0))))/100+(Inputs!$B$23+((C1848=TRUE)*(F1848-Calc!F29))+(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f>IFERROR(1/(IF(Inputs!$B$38="pvp",15,MAX(0.1,Skills!D9-IF(Skills!E9=TRUE,Inputs!$B$32,0)))*(1-IF(AND(ArtifactsInput!$M$27,Inputs!$B$4="Chapter Hunt"),CHOOSE(ArtifactsInput!$N$27+1,20,24,28,32,36,40),0)/100)),0)</f>
        <v/>
      </c>
      <c r="R1828">
        <f>IF(AND(Inputs!$B$38&lt;&gt;"pvp",Inputs!$B$43&gt;0),IF(MAX(0,Inputs!$B$43-B1859)&lt;=0,0,(INT(MAX(0,Inputs!$B$43-B1859)/(IF(Inputs!$B$38="pvp",15,MAX(0.1,Skills!D9-IF(Skills!E9=TRUE,Inputs!$B$32,0)))*(1-IF(AND(ArtifactsInput!$M$27,Inputs!$B$4="Chapter Hunt"),CHOOSE(ArtifactsInput!$N$27+1,20,24,28,32,36,40),0)/100)))+1)),0)</f>
        <v/>
      </c>
      <c r="S1828">
        <f>IFERROR(O1828/N1828,0)</f>
        <v/>
      </c>
      <c r="T1828">
        <f>IF(C1828,(H1828*N1828*IF(AND(Inputs!$B$38&lt;&gt;"pvp",Inputs!$B$43&gt;0),((Skills!G9*((R1828-1)*IF(Skills!H9&gt;0,Skills!I9/Skills!H9,1)+IF(Skills!H9&gt;0,MIN(Skills!I9,MAX(0,MAX(0,Inputs!$B$43-B1859)-((R1828-1)*(IF(Inputs!$B$38="pvp",15,MAX(0.1,Skills!D9-IF(Skills!E9=TRUE,Inputs!$B$32,0)))*(1-IF(AND(ArtifactsInput!$M$27,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1828*(1-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1859)-((R1828-1)*(IF(Inputs!$B$38="pvp",15,MAX(0.1,Skills!D9-IF(Skills!E9=TRUE,Inputs!$B$32,0)))*(1-IF(AND(ArtifactsInput!$M$27,Inputs!$B$4="Chapter Hunt"),CHOOSE(ArtifactsInput!$N$27+1,20,24,28,32,36,40),0)/100)))))/Skills!H9,1)))/Inputs!$B$43),G1828*Q1828))*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Inputs!$B$3&gt;=100</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V1829" t="inlineStr"/>
    </row>
    <row r="1830">
      <c r="A1830">
        <f>Skills!A11</f>
        <v/>
      </c>
      <c r="B1830">
        <f>Skills!B11</f>
        <v/>
      </c>
      <c r="C1830">
        <f>Inputs!$B$3&gt;=60</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1831=TRUE,F1831,0)/100)*(1+(IF(Skills!A11="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1843=TRUE)*(F1843-Calc!F24)),(Inputs!$B$23+((C1848=TRUE)*(F1848-Calc!F29))+(IF(ArtifactsInput!$M$15,CHOOSE(ArtifactsInput!$N$15+1,25,30,35,40,45,50)/100*(Inputs!$B$11-Inputs!$B$11),0))))/100+(Inputs!$B$23+((C1848=TRUE)*(F1848-Calc!F29))+(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f>IFERROR(1/(IF(Inputs!$B$38="pvp",15,MAX(0.1,Skills!D11-IF(Skills!E11=TRUE,Inputs!$B$32,0)))*(1-IF(AND(ArtifactsInput!$M$27,Inputs!$B$4="Chapter Hunt"),CHOOSE(ArtifactsInput!$N$27+1,20,24,28,32,36,40),0)/100)),0)</f>
        <v/>
      </c>
      <c r="R1830">
        <f>IF(AND(Inputs!$B$38&lt;&gt;"pvp",Inputs!$B$43&gt;0),IF(MAX(0,Inputs!$B$43-B1859)&lt;=0,0,(INT(MAX(0,Inputs!$B$43-B1859)/(IF(Inputs!$B$38="pvp",15,MAX(0.1,Skills!D11-IF(Skills!E11=TRUE,Inputs!$B$32,0)))*(1-IF(AND(ArtifactsInput!$M$27,Inputs!$B$4="Chapter Hunt"),CHOOSE(ArtifactsInput!$N$27+1,20,24,28,32,36,40),0)/100)))+1)),0)</f>
        <v/>
      </c>
      <c r="S1830">
        <f>IFERROR(O1830/N1830,0)</f>
        <v/>
      </c>
      <c r="T1830">
        <f>IF(C1830,(H1830*N1830*IF(AND(Inputs!$B$38&lt;&gt;"pvp",Inputs!$B$43&gt;0),((Skills!G11*((R1830-1)*IF(Skills!H11&gt;0,Skills!I11/Skills!H11,1)+IF(Skills!H11&gt;0,MIN(Skills!I11,MAX(0,MAX(0,Inputs!$B$43-B1859)-((R1830-1)*(IF(Inputs!$B$38="pvp",15,MAX(0.1,Skills!D11-IF(Skills!E11=TRUE,Inputs!$B$32,0)))*(1-IF(AND(ArtifactsInput!$M$27,Inputs!$B$4="Chapter Hunt"),CHOOSE(ArtifactsInput!$N$27+1,20,24,28,32,36,40),0)/100)))))/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1830*(1-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1859)-((R1830-1)*(IF(Inputs!$B$38="pvp",15,MAX(0.1,Skills!D11-IF(Skills!E11=TRUE,Inputs!$B$32,0)))*(1-IF(AND(ArtifactsInput!$M$27,Inputs!$B$4="Chapter Hunt"),CHOOSE(ArtifactsInput!$N$27+1,20,24,28,32,36,40),0)/100)))))/Skills!H11,1)))/Inputs!$B$43),G1830*Q1830))*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Inputs!$B$3&gt;=110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t="inlineStr"/>
      <c r="H1831" t="inlineStr"/>
      <c r="I1831" t="inlineStr">
        <is>
          <t>1</t>
        </is>
      </c>
      <c r="J1831" t="inlineStr"/>
      <c r="K1831" t="inlineStr"/>
      <c r="L1831" t="inlineStr"/>
      <c r="M1831" t="inlineStr"/>
      <c r="N1831" t="inlineStr"/>
      <c r="O1831" t="inlineStr"/>
      <c r="P1831" t="inlineStr"/>
      <c r="Q1831" t="inlineStr"/>
      <c r="R1831" t="inlineStr"/>
      <c r="S1831" t="inlineStr"/>
      <c r="T1831" t="inlineStr"/>
      <c r="V1831" t="inlineStr"/>
    </row>
    <row r="1832">
      <c r="A1832">
        <f>Skills!A13</f>
        <v/>
      </c>
      <c r="B1832">
        <f>Skills!B13</f>
        <v/>
      </c>
      <c r="C1832">
        <f>Inputs!$B$3&gt;=74</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t="inlineStr"/>
      <c r="K1832" t="inlineStr"/>
      <c r="L1832" t="inlineStr"/>
      <c r="M1832" t="inlineStr"/>
      <c r="N1832" t="inlineStr"/>
      <c r="O1832">
        <f>(1-Summary!$B$11)*T1832+Summary!$B$11*V1832</f>
        <v/>
      </c>
      <c r="P1832">
        <f>IF(B1862=0,0,O1832/B1862)</f>
        <v/>
      </c>
      <c r="Q1832" t="n">
        <v>0</v>
      </c>
      <c r="R1832" t="n">
        <v>0</v>
      </c>
      <c r="S1832">
        <f>IFERROR(O1832/N1832,0)</f>
        <v/>
      </c>
      <c r="T1832" t="n">
        <v>0</v>
      </c>
      <c r="V1832" t="n">
        <v>0</v>
      </c>
    </row>
    <row r="1833">
      <c r="A1833">
        <f>Skills!A14</f>
        <v/>
      </c>
      <c r="B1833">
        <f>Skills!B14</f>
        <v/>
      </c>
      <c r="C1833">
        <f>Inputs!$B$3&gt;=74</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t="inlineStr"/>
      <c r="K1833" t="inlineStr"/>
      <c r="L1833" t="inlineStr"/>
      <c r="M1833" t="inlineStr"/>
      <c r="N1833" t="inlineStr"/>
      <c r="O1833">
        <f>(1-Summary!$B$11)*T1833+Summary!$B$11*V1833</f>
        <v/>
      </c>
      <c r="P1833">
        <f>IF(B1862=0,0,O1833/B1862)</f>
        <v/>
      </c>
      <c r="Q1833" t="n">
        <v>0</v>
      </c>
      <c r="R1833" t="n">
        <v>0</v>
      </c>
      <c r="S1833">
        <f>IFERROR(O1833/N1833,0)</f>
        <v/>
      </c>
      <c r="T1833" t="n">
        <v>0</v>
      </c>
      <c r="V1833" t="n">
        <v>0</v>
      </c>
    </row>
    <row r="1834">
      <c r="A1834">
        <f>Skills!A15</f>
        <v/>
      </c>
      <c r="B1834">
        <f>Skills!B15</f>
        <v/>
      </c>
      <c r="C1834">
        <f>Inputs!$B$3&gt;=117</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f>Skills!G15*IF(Skills!H15&gt;0,Skills!I15/Skills!H15,1)</f>
        <v/>
      </c>
      <c r="H1834">
        <f>1-(1-Skills!J15/100)^Skills!K15</f>
        <v/>
      </c>
      <c r="I1834" t="inlineStr">
        <is>
          <t>1</t>
        </is>
      </c>
      <c r="J1834" t="inlineStr"/>
      <c r="K1834" t="inlineStr"/>
      <c r="L1834" t="inlineStr"/>
      <c r="M1834" t="inlineStr"/>
      <c r="N1834" t="inlineStr"/>
      <c r="O1834">
        <f>(1-Summary!$B$11)*T1834+Summary!$B$11*V1834</f>
        <v/>
      </c>
      <c r="P1834">
        <f>IF(B1862=0,0,O1834/B1862)</f>
        <v/>
      </c>
      <c r="Q1834">
        <f>IFERROR(1/(IF(Inputs!$B$38="pvp",15,MAX(0.1,Skills!D15-IF(Skills!E15=TRUE,Inputs!$B$32,0)))*(1-IF(AND(ArtifactsInput!$M$27,Inputs!$B$4="Chapter Hunt"),CHOOSE(ArtifactsInput!$N$27+1,20,24,28,32,36,40),0)/100)),0)</f>
        <v/>
      </c>
      <c r="R1834">
        <f>IF(AND(Inputs!$B$38&lt;&gt;"pvp",Inputs!$B$43&gt;0),IF(Inputs!$B$43&lt;=0,0,(INT(Inputs!$B$43/(IF(Inputs!$B$38="pvp",15,MAX(0.1,Skills!D15-IF(Skills!E15=TRUE,Inputs!$B$32,0)))*(1-IF(AND(ArtifactsInput!$M$27,Inputs!$B$4="Chapter Hunt"),CHOOSE(ArtifactsInput!$N$27+1,20,24,28,32,36,40),0)/100)))+1)),0)</f>
        <v/>
      </c>
      <c r="S1834">
        <f>IFERROR(O1834/N1834,0)</f>
        <v/>
      </c>
      <c r="T1834" t="n">
        <v>0</v>
      </c>
      <c r="V1834" t="n">
        <v>0</v>
      </c>
    </row>
    <row r="1835">
      <c r="A1835">
        <f>Skills!A16</f>
        <v/>
      </c>
      <c r="B1835">
        <f>Skills!B16</f>
        <v/>
      </c>
      <c r="C1835">
        <f>Inputs!$B$3&gt;=115</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f>Skills!G16*IF(Skills!H16&gt;0,Skills!I16/Skills!H16,1)</f>
        <v/>
      </c>
      <c r="H1835">
        <f>1-(1-Skills!J16/100)^Skills!K16</f>
        <v/>
      </c>
      <c r="I1835" t="inlineStr">
        <is>
          <t>1</t>
        </is>
      </c>
      <c r="J1835" t="inlineStr"/>
      <c r="K1835" t="inlineStr"/>
      <c r="L1835" t="inlineStr"/>
      <c r="M1835" t="inlineStr"/>
      <c r="N1835" t="inlineStr"/>
      <c r="O1835">
        <f>(1-Summary!$B$11)*T1835+Summary!$B$11*V1835</f>
        <v/>
      </c>
      <c r="P1835">
        <f>IF(B1862=0,0,O1835/B1862)</f>
        <v/>
      </c>
      <c r="Q1835">
        <f>IFERROR(1/(IF(Inputs!$B$38="pvp",15,MAX(0.1,Skills!D16-IF(Skills!E16=TRUE,Inputs!$B$32,0)))*(1-IF(AND(ArtifactsInput!$M$27,Inputs!$B$4="Chapter Hunt"),CHOOSE(ArtifactsInput!$N$27+1,20,24,28,32,36,40),0)/100)),0)</f>
        <v/>
      </c>
      <c r="R1835">
        <f>IF(AND(Inputs!$B$38&lt;&gt;"pvp",Inputs!$B$43&gt;0),IF(Inputs!$B$43&lt;=0,0,(INT(Inputs!$B$43/(IF(Inputs!$B$38="pvp",15,MAX(0.1,Skills!D16-IF(Skills!E16=TRUE,Inputs!$B$32,0)))*(1-IF(AND(ArtifactsInput!$M$27,Inputs!$B$4="Chapter Hunt"),CHOOSE(ArtifactsInput!$N$27+1,20,24,28,32,36,40),0)/100)))+1)),0)</f>
        <v/>
      </c>
      <c r="S1835">
        <f>IFERROR(O1835/N1835,0)</f>
        <v/>
      </c>
      <c r="T1835" t="n">
        <v>0</v>
      </c>
      <c r="V1835" t="n">
        <v>0</v>
      </c>
    </row>
    <row r="1836">
      <c r="A1836">
        <f>Skills!A17</f>
        <v/>
      </c>
      <c r="B1836">
        <f>Skills!B17</f>
        <v/>
      </c>
      <c r="C1836">
        <f>Inputs!$B$3&gt;=66</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IF(B1862=0,0,O1836/B1862)</f>
        <v/>
      </c>
      <c r="Q1836" t="n">
        <v>0</v>
      </c>
      <c r="R1836" t="n">
        <v>0</v>
      </c>
      <c r="S1836">
        <f>IFERROR(O1836/N1836,0)</f>
        <v/>
      </c>
      <c r="T1836" t="n">
        <v>0</v>
      </c>
      <c r="V1836" t="n">
        <v>0</v>
      </c>
    </row>
    <row r="1837">
      <c r="A1837">
        <f>Skills!A18</f>
        <v/>
      </c>
      <c r="B1837">
        <f>Skills!B18</f>
        <v/>
      </c>
      <c r="C1837">
        <f>Inputs!$B$3&gt;=72</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IF(B1862=0,0,O1837/B1862)</f>
        <v/>
      </c>
      <c r="Q1837" t="n">
        <v>0</v>
      </c>
      <c r="R1837" t="n">
        <v>0</v>
      </c>
      <c r="S1837">
        <f>IFERROR(O1837/N1837,0)</f>
        <v/>
      </c>
      <c r="T1837" t="n">
        <v>0</v>
      </c>
      <c r="V1837" t="n">
        <v>0</v>
      </c>
    </row>
    <row r="1838">
      <c r="A1838">
        <f>Skills!A19</f>
        <v/>
      </c>
      <c r="B1838">
        <f>Skills!B19</f>
        <v/>
      </c>
      <c r="C1838">
        <f>TRUE</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IF(B1862=0,0,O1838/B1862)</f>
        <v/>
      </c>
      <c r="Q1838">
        <f>IFERROR(1/(IF(Inputs!$B$38="pvp",15,MAX(0.1,Skills!D19-IF(Skills!E19=TRUE,Inputs!$B$32,0)))*(1-IF(AND(ArtifactsInput!$M$27,Inputs!$B$4="Chapter Hunt"),CHOOSE(ArtifactsInput!$N$27+1,20,24,28,32,36,40),0)/100)),0)</f>
        <v/>
      </c>
      <c r="R1838">
        <f>IF(AND(Inputs!$B$38&lt;&gt;"pvp",Inputs!$B$43&gt;0),IF(Inputs!$B$43&lt;=0,0,(INT(Inputs!$B$43/(IF(Inputs!$B$38="pvp",15,MAX(0.1,Skills!D19-IF(Skills!E19=TRUE,Inputs!$B$32,0)))*(1-IF(AND(ArtifactsInput!$M$27,Inputs!$B$4="Chapter Hunt"),CHOOSE(ArtifactsInput!$N$27+1,20,24,28,32,36,40),0)/100)))+1)),0)</f>
        <v/>
      </c>
      <c r="S1838">
        <f>IFERROR(O1838/N1838,0)</f>
        <v/>
      </c>
      <c r="T1838" t="n">
        <v>0</v>
      </c>
      <c r="V1838" t="n">
        <v>0</v>
      </c>
    </row>
    <row r="1839">
      <c r="A1839">
        <f>Skills!A20</f>
        <v/>
      </c>
      <c r="B1839">
        <f>Skills!B20</f>
        <v/>
      </c>
      <c r="C1839">
        <f>Inputs!$B$3&gt;=15</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Skills!A21</f>
        <v/>
      </c>
      <c r="B1840">
        <f>Skills!B21</f>
        <v/>
      </c>
      <c r="C1840">
        <f>Inputs!$B$3&gt;=10</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IF(B1862=0,0,O1840/B1862)</f>
        <v/>
      </c>
      <c r="Q1840" t="n">
        <v>0</v>
      </c>
      <c r="R1840" t="n">
        <v>0</v>
      </c>
      <c r="S1840">
        <f>IFERROR(O1840/N1840,0)</f>
        <v/>
      </c>
      <c r="T1840" t="n">
        <v>0</v>
      </c>
      <c r="V1840" t="n">
        <v>0</v>
      </c>
    </row>
    <row r="1841">
      <c r="A1841">
        <f>Skills!A22</f>
        <v/>
      </c>
      <c r="B1841">
        <f>Skills!B22</f>
        <v/>
      </c>
      <c r="C1841">
        <f>Inputs!$B$3&gt;=33</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IF(B1862=0,0,O1841/B1862)</f>
        <v/>
      </c>
      <c r="Q1841" t="n">
        <v>0</v>
      </c>
      <c r="R1841" t="n">
        <v>0</v>
      </c>
      <c r="S1841">
        <f>IFERROR(O1841/N1841,0)</f>
        <v/>
      </c>
      <c r="T1841" t="n">
        <v>0</v>
      </c>
      <c r="V1841" t="n">
        <v>0</v>
      </c>
    </row>
    <row r="1842">
      <c r="A1842">
        <f>Skills!A23</f>
        <v/>
      </c>
      <c r="B1842">
        <f>Skills!B23</f>
        <v/>
      </c>
      <c r="C1842">
        <f>Inputs!$B$3&gt;=38</f>
        <v/>
      </c>
      <c r="D1842">
        <f>IF(Skills!C23=1,60+Inputs!$B$25+Inputs!$B$29,IF(Skills!C23=2,90+Inputs!$B$26+Inputs!$B$29,IF(Skills!C23=3,120+Inputs!$B$27+Inputs!$B$29,MAX(0,(Inputs!$B$3-100)*3)+Inputs!$B$28+Inputs!$B$29)))</f>
        <v/>
      </c>
      <c r="E1842">
        <f>INDEX(FactorTable!$B$2:$Y$301, MATCH(ROUND(MIN(300,MAX(1,D1842)),0), FactorTable!$A$2:$A$301,0), Skills!M23+1)</f>
        <v/>
      </c>
      <c r="F1842">
        <f>IF(Skills!N23=TRUE,(Skills!L23/10)*(E1842/1000),Skills!L23/10)+Skills!O23</f>
        <v/>
      </c>
      <c r="G1842">
        <f>Skills!G23*IF(Skills!H23&gt;0,Skills!I23/Skills!H23,1)</f>
        <v/>
      </c>
      <c r="H1842">
        <f>1-(1-Skills!J23/100)^Skills!K23</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Skills!A24</f>
        <v/>
      </c>
      <c r="B1843">
        <f>Skills!B24</f>
        <v/>
      </c>
      <c r="C1843">
        <f>Inputs!$B$3&gt;=43</f>
        <v/>
      </c>
      <c r="D1843">
        <f>IF(Skills!C24=1,60+Inputs!$B$25+Inputs!$B$29,IF(Skills!C24=2,90+Inputs!$B$26+Inputs!$B$29,IF(Skills!C24=3,120+Inputs!$B$27+Inputs!$B$29,MAX(0,(Inputs!$B$3-100)*3)+Inputs!$B$28+Inputs!$B$29)))</f>
        <v/>
      </c>
      <c r="E1843">
        <f>INDEX(FactorTable!$B$2:$Y$301, MATCH(ROUND(MIN(300,MAX(1,D1843)),0), FactorTable!$A$2:$A$301,0), Skills!M24+1)</f>
        <v/>
      </c>
      <c r="F1843">
        <f>IF(Skills!N24=TRUE,(Skills!L24/10)*(E1843/1000),Skills!L24/10)+Skills!O24</f>
        <v/>
      </c>
      <c r="G1843">
        <f>Skills!G24*IF(Skills!H24&gt;0,Skills!I24/Skills!H24,1)</f>
        <v/>
      </c>
      <c r="H1843">
        <f>1-(1-Skills!J24/100)^Skills!K24</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Skills!A25</f>
        <v/>
      </c>
      <c r="B1844">
        <f>Skills!B25</f>
        <v/>
      </c>
      <c r="C1844">
        <f>Inputs!$B$3&gt;=75</f>
        <v/>
      </c>
      <c r="D1844">
        <f>IF(Skills!C25=1,60+Inputs!$B$25+Inputs!$B$29,IF(Skills!C25=2,90+Inputs!$B$26+Inputs!$B$29,IF(Skills!C25=3,120+Inputs!$B$27+Inputs!$B$29,MAX(0,(Inputs!$B$3-100)*3)+Inputs!$B$28+Inputs!$B$29)))</f>
        <v/>
      </c>
      <c r="E1844">
        <f>INDEX(FactorTable!$B$2:$Y$301, MATCH(ROUND(MIN(300,MAX(1,D1844)),0), FactorTable!$A$2:$A$301,0), Skills!M25+1)</f>
        <v/>
      </c>
      <c r="F1844">
        <f>IF(Skills!N25=TRUE,(Skills!L25/10)*(E1844/1000),Skills!L25/10)+Skills!O25</f>
        <v/>
      </c>
      <c r="G1844">
        <f>Skills!G25*IF(Skills!H25&gt;0,Skills!I25/Skills!H25,1)</f>
        <v/>
      </c>
      <c r="H1844">
        <f>1-(1-Skills!J25/100)^Skills!K25</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Skills!A26</f>
        <v/>
      </c>
      <c r="B1845">
        <f>Skills!B26</f>
        <v/>
      </c>
      <c r="C1845">
        <f>Inputs!$B$3&gt;=125</f>
        <v/>
      </c>
      <c r="D1845">
        <f>IF(Skills!C26=1,60+Inputs!$B$25+Inputs!$B$29,IF(Skills!C26=2,90+Inputs!$B$26+Inputs!$B$29,IF(Skills!C26=3,120+Inputs!$B$27+Inputs!$B$29,MAX(0,(Inputs!$B$3-100)*3)+Inputs!$B$28+Inputs!$B$29)))</f>
        <v/>
      </c>
      <c r="E1845">
        <f>INDEX(FactorTable!$B$2:$Y$301, MATCH(ROUND(MIN(300,MAX(1,D1845)),0), FactorTable!$A$2:$A$301,0), Skills!M26+1)</f>
        <v/>
      </c>
      <c r="F1845">
        <f>IF(Skills!N26=TRUE,(Skills!L26/10)*(E1845/1000),Skills!L26/10)+Skills!O26</f>
        <v/>
      </c>
      <c r="G1845">
        <f>Skills!G26*IF(Skills!H26&gt;0,Skills!I26/Skills!H26,1)</f>
        <v/>
      </c>
      <c r="H1845">
        <f>1-(1-Skills!J26/100)^Skills!K26</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Skills!A27</f>
        <v/>
      </c>
      <c r="B1846">
        <f>Skills!B27</f>
        <v/>
      </c>
      <c r="C1846">
        <f>Inputs!$B$3&gt;=125</f>
        <v/>
      </c>
      <c r="D1846">
        <f>IF(Skills!C27=1,60+Inputs!$B$25+Inputs!$B$29,IF(Skills!C27=2,90+Inputs!$B$26+Inputs!$B$29,IF(Skills!C27=3,120+Inputs!$B$27+Inputs!$B$29,MAX(0,(Inputs!$B$3-100)*3)+Inputs!$B$28+Inputs!$B$29)))</f>
        <v/>
      </c>
      <c r="E1846">
        <f>INDEX(FactorTable!$B$2:$Y$301, MATCH(ROUND(MIN(300,MAX(1,D1846)),0), FactorTable!$A$2:$A$301,0), Skills!M27+1)</f>
        <v/>
      </c>
      <c r="F1846">
        <f>IF(Skills!N27=TRUE,(Skills!L27/10)*(E1846/1000),Skills!L27/10)+Skills!O27</f>
        <v/>
      </c>
      <c r="G1846">
        <f>Skills!G27*IF(Skills!H27&gt;0,Skills!I27/Skills!H27,1)</f>
        <v/>
      </c>
      <c r="H1846">
        <f>1-(1-Skills!J27/100)^Skills!K27</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Skills!A28</f>
        <v/>
      </c>
      <c r="B1847">
        <f>Skills!B28</f>
        <v/>
      </c>
      <c r="C1847">
        <f>Inputs!$B$3&gt;=120</f>
        <v/>
      </c>
      <c r="D1847">
        <f>IF(Skills!C28=1,60+Inputs!$B$25+Inputs!$B$29,IF(Skills!C28=2,90+Inputs!$B$26+Inputs!$B$29,IF(Skills!C28=3,120+Inputs!$B$27+Inputs!$B$29,MAX(0,(Inputs!$B$3-100)*3)+Inputs!$B$28+Inputs!$B$29)))</f>
        <v/>
      </c>
      <c r="E1847">
        <f>INDEX(FactorTable!$B$2:$Y$301, MATCH(ROUND(MIN(300,MAX(1,D1847)),0), FactorTable!$A$2:$A$301,0), Skills!M28+1)</f>
        <v/>
      </c>
      <c r="F1847">
        <f>IF(Skills!N28=TRUE,(Skills!L28/10)*(E1847/1000),Skills!L28/10)+Skills!O28</f>
        <v/>
      </c>
      <c r="G1847">
        <f>Skills!G28*IF(Skills!H28&gt;0,Skills!I28/Skills!H28,1)</f>
        <v/>
      </c>
      <c r="H1847">
        <f>1-(1-Skills!J28/100)^Skills!K28</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Skills!A29</f>
        <v/>
      </c>
      <c r="B1848">
        <f>Skills!B29</f>
        <v/>
      </c>
      <c r="C1848">
        <f>Inputs!$B$3&gt;=120</f>
        <v/>
      </c>
      <c r="D1848">
        <f>IF(Skills!C29=1,60+Inputs!$B$25+Inputs!$B$29,IF(Skills!C29=2,90+Inputs!$B$26+Inputs!$B$29,IF(Skills!C29=3,120+Inputs!$B$27+Inputs!$B$29,MAX(0,(Inputs!$B$3-100)*3)+Inputs!$B$28+Inputs!$B$29)))</f>
        <v/>
      </c>
      <c r="E1848">
        <f>INDEX(FactorTable!$B$2:$Y$301, MATCH(ROUND(MIN(300,MAX(1,D1848)),0), FactorTable!$A$2:$A$301,0), Skills!M29+1)</f>
        <v/>
      </c>
      <c r="F1848">
        <f>IF(Skills!N29=TRUE,(Skills!L29/10)*(E1848/1000),Skills!L29/10)+Skills!O29</f>
        <v/>
      </c>
      <c r="G1848">
        <f>Skills!G29*IF(Skills!H29&gt;0,Skills!I29/Skills!H29,1)</f>
        <v/>
      </c>
      <c r="H1848">
        <f>1-(1-Skills!J29/100)^Skills!K29</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Skills!A30</f>
        <v/>
      </c>
      <c r="B1849">
        <f>Skills!B30</f>
        <v/>
      </c>
      <c r="C1849">
        <f>Inputs!$B$3&gt;=45</f>
        <v/>
      </c>
      <c r="D1849">
        <f>IF(Skills!C30=1,60+Inputs!$B$25+Inputs!$B$29,IF(Skills!C30=2,90+Inputs!$B$26+Inputs!$B$29,IF(Skills!C30=3,120+Inputs!$B$27+Inputs!$B$29,MAX(0,(Inputs!$B$3-100)*3)+Inputs!$B$28+Inputs!$B$29)))</f>
        <v/>
      </c>
      <c r="E1849">
        <f>INDEX(FactorTable!$B$2:$Y$301, MATCH(ROUND(MIN(300,MAX(1,D1849)),0), FactorTable!$A$2:$A$301,0), Skills!M30+1)</f>
        <v/>
      </c>
      <c r="F1849">
        <f>IF(Skills!N30=TRUE,(Skills!L30/10)*(E1849/1000),Skills!L30/10)+Skills!O30</f>
        <v/>
      </c>
      <c r="G1849">
        <f>Skills!G30*IF(Skills!H30&gt;0,Skills!I30/Skills!H30,1)</f>
        <v/>
      </c>
      <c r="H1849">
        <f>1-(1-Skills!J30/100)^Skills!K30</f>
        <v/>
      </c>
      <c r="I1849" t="inlineStr">
        <is>
          <t>1</t>
        </is>
      </c>
      <c r="J1849" t="inlineStr"/>
      <c r="K1849" t="inlineStr"/>
      <c r="L1849" t="inlineStr"/>
      <c r="M1849" t="inlineStr"/>
      <c r="N1849" t="inlineStr"/>
      <c r="O1849">
        <f>(1-Summary!$B$11)*T1849+Summary!$B$11*V1849</f>
        <v/>
      </c>
      <c r="P1849">
        <f>IF(B1862=0,0,O1849/B1862)</f>
        <v/>
      </c>
      <c r="Q1849" t="n">
        <v>0</v>
      </c>
      <c r="R1849" t="n">
        <v>0</v>
      </c>
      <c r="S1849">
        <f>IFERROR(O1849/N1849,0)</f>
        <v/>
      </c>
      <c r="T1849" t="n">
        <v>0</v>
      </c>
      <c r="V1849" t="n">
        <v>0</v>
      </c>
    </row>
    <row r="1851">
      <c r="A1851" t="inlineStr">
        <is>
          <t>Attack% Bucket Multiplier</t>
        </is>
      </c>
      <c r="B1851">
        <f>(1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f>(C1835=TRUE)*20*IF(AND(Inputs!$B$38&lt;&gt;"pvp",Inputs!$B$43&gt;0),(((R1835-1)*(Skills!T16*(1+Inputs!$B$34/100))+MIN((Skills!T16*(1+Inputs!$B$34/100)),MAX(0,Inputs!$B$43-((R1835-1)*Skills!D16))))/Inputs!$B$43),IF(Inputs!$B$38="pvp",MIN((Skills!T16*(1+Inputs!$B$34/100)),15)/15,(Skills!T16*(1+Inputs!$B$34/100))/Skills!D16))</f>
        <v/>
      </c>
    </row>
    <row r="1853">
      <c r="A1853" t="inlineStr">
        <is>
          <t>Attack Speed Buff Bonus %</t>
        </is>
      </c>
      <c r="B1853">
        <f>((C1838=TRUE)*F1838*IF(AND(Inputs!$B$38&lt;&gt;"pvp",Inputs!$B$43&gt;0),(((R1838-1)*(Skills!T19*(1+Inputs!$B$34/100))+MIN((Skills!T19*(1+Inputs!$B$34/100)),MAX(0,Inputs!$B$43-((R1838-1)*Skills!D19))))/Inputs!$B$43),IF(Inputs!$B$38="pvp",MIN((Skills!T19*(1+Inputs!$B$34/100)),15)/15,(Skills!T19*(1+Inputs!$B$34/100))/Skills!D19)))</f>
        <v/>
      </c>
    </row>
    <row r="1854">
      <c r="A1854" t="inlineStr">
        <is>
          <t>Actions Per Second</t>
        </is>
      </c>
      <c r="B1854">
        <f>1+MIN(150,150*(1-(1-(Inputs!$B$11+((C1840=TRUE)*(F1840-Calc!F21))+((C1841=TRUE)*(F1841-Calc!F22)))/150)*(1-B1853/150)))/100</f>
        <v/>
      </c>
    </row>
    <row r="1855">
      <c r="A1855" t="inlineStr">
        <is>
          <t>Skill + Buff Cast Rate</t>
        </is>
      </c>
      <c r="B1855">
        <f>IF(AND(Inputs!$B$38&lt;&gt;"pvp",Inputs!$B$43&gt;0),SUMPRODUCT((Skills!E2:E30=TRUE)*(C1821:C1849=TRUE)*R1821:R1849*Skills!F2:F30)/Inputs!$B$43,SUMPRODUCT((Skills!E2:E30=TRUE)*(C1821:C1849=TRUE)*Q1821:Q1849*Skills!F2:F30))</f>
        <v/>
      </c>
    </row>
    <row r="1856">
      <c r="A1856" t="inlineStr">
        <is>
          <t>Arrow Stream Casts Per Second</t>
        </is>
      </c>
      <c r="B1856">
        <f>MAX(0,B1854-B1855)</f>
        <v/>
      </c>
    </row>
    <row r="1857">
      <c r="A1857" t="inlineStr">
        <is>
          <t>Global Critical Damage Bonus % (Sharp Eyes + Concentration)</t>
        </is>
      </c>
      <c r="B1857">
        <f>(C1835=TRUE)*F1835*IF(AND(Inputs!$B$38&lt;&gt;"pvp",Inputs!$B$43&gt;0),(((R1835-1)*(Skills!T16*(1+Inputs!$B$34/100))+MIN((Skills!T16*(1+Inputs!$B$34/100)),MAX(0,Inputs!$B$43-((R1835-1)*Skills!D16))))/Inputs!$B$43),IF(Inputs!$B$38="pvp",MIN((Skills!T16*(1+Inputs!$B$34/100)),15)/15,(Skills!T16*(1+Inputs!$B$34/100))/Skills!D16))+(C1836=TRUE)*30</f>
        <v/>
      </c>
    </row>
    <row r="1858">
      <c r="A1858" t="inlineStr">
        <is>
          <t>Global Final Damage Bonus % (Mortal Blow)</t>
        </is>
      </c>
      <c r="B1858">
        <f>(C1837=TRUE)*F1837</f>
        <v/>
      </c>
    </row>
    <row r="1859">
      <c r="A1859" t="inlineStr">
        <is>
          <t>Buff-Casting Startup Delay (s, fixed-duration only)</t>
        </is>
      </c>
      <c r="B1859">
        <f>IF(AND(Inputs!$B$38&lt;&gt;"pvp",Inputs!$B$43&gt;0),SUMPRODUCT((Skills!T2:T30&gt;0)*(Skills!E2:E30=TRUE)*(C1821:C1849=TRUE))/B1854,0)</f>
        <v/>
      </c>
    </row>
    <row r="1860">
      <c r="A1860" t="inlineStr">
        <is>
          <t>Boss-Only Total DPS (this block's swept value)</t>
        </is>
      </c>
      <c r="B1860">
        <f>SUM(T1821:T1849)</f>
        <v/>
      </c>
    </row>
    <row r="1861">
      <c r="A1861" t="inlineStr">
        <is>
          <t>Normal-Only Total DPS (this block's swept value)</t>
        </is>
      </c>
      <c r="B1861">
        <f>SUM(V1821:V1849)</f>
        <v/>
      </c>
    </row>
    <row r="1862">
      <c r="A1862" s="6" t="inlineStr">
        <is>
          <t>TOTAL DPS</t>
        </is>
      </c>
      <c r="B1862" s="6">
        <f>SUM(O1821:O1849)</f>
        <v/>
      </c>
    </row>
    <row r="1865">
      <c r="A1865" s="6" t="inlineStr">
        <is>
          <t>Stat: Chalice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1889=TRUE)*(F1889-Calc!F24)),(Inputs!$B$23+((C1894=TRUE)*(F1894-Calc!F29))+(IF(ArtifactsInput!$M$15,CHOOSE(ArtifactsInput!$N$15+1,25,30,35,40,45,50)/100*(Inputs!$B$11-Inputs!$B$11),0))))/100+(Inputs!$B$23+((C1894=TRUE)*(F1894-Calc!F29))+(IF(ArtifactsInput!$M$15,CHOOSE(ArtifactsInput!$N$15+1,25,30,35,40,45,50)/100*(Inputs!$B$11-Inputs!$B$11),0)))/100)/2</f>
        <v/>
      </c>
      <c r="M1867">
        <f>L1867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IF(B1908=0,0,O1867/B1908)</f>
        <v/>
      </c>
      <c r="Q1867" t="n">
        <v>0</v>
      </c>
      <c r="R1867" t="n">
        <v>0</v>
      </c>
      <c r="S1867">
        <f>IFERROR(O1867/N1867,0)</f>
        <v/>
      </c>
      <c r="T1867">
        <f>IF(C1867,(Skills!G2*N1867*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1867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Inputs!$B$3&gt;=50</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U1868">
        <f>INDEX(FactorTable!$B$2:$Y$301, MATCH(ROUND(MIN(300,MAX(1,U1867)),0), FactorTable!$A$2:$A$301,0), 22)</f>
        <v/>
      </c>
      <c r="V1868" t="inlineStr"/>
    </row>
    <row r="1869">
      <c r="A1869">
        <f>Skills!A4</f>
        <v/>
      </c>
      <c r="B1869">
        <f>Skills!B4</f>
        <v/>
      </c>
      <c r="C1869">
        <f>Inputs!$B$3&gt;=105</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t="inlineStr"/>
      <c r="H1869" t="inlineStr"/>
      <c r="I1869" t="inlineStr">
        <is>
          <t>1</t>
        </is>
      </c>
      <c r="J1869" t="inlineStr"/>
      <c r="K1869" t="inlineStr"/>
      <c r="L1869" t="inlineStr"/>
      <c r="M1869" t="inlineStr"/>
      <c r="N1869" t="inlineStr"/>
      <c r="O1869" t="inlineStr"/>
      <c r="P1869" t="inlineStr"/>
      <c r="Q1869" t="inlineStr"/>
      <c r="R1869" t="inlineStr"/>
      <c r="S1869" t="inlineStr"/>
      <c r="T1869" t="inlineStr"/>
      <c r="U1869">
        <f>290*U1868/1000</f>
        <v/>
      </c>
      <c r="V1869" t="inlineStr"/>
    </row>
    <row r="1870">
      <c r="A1870">
        <f>Skills!A5</f>
        <v/>
      </c>
      <c r="B1870">
        <f>Skills!B5</f>
        <v/>
      </c>
      <c r="C1870">
        <f>Inputs!$B$3&gt;=35</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f>((Inputs!$B$6*(1+Inputs!$B$7/100))+(((Inputs!$B$12*(1+Inputs!$B$13/100))-(Inputs!$B$12*(1+Inputs!$B$13/100)))+0.25*(Inputs!$B$14-Inputs!$B$14))*(1+Inputs!$B$7/100))*(F1870/100)</f>
        <v/>
      </c>
      <c r="K1870">
        <f>J1870*(1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1875=TRUE,F1875,0)/100)*(1+(IF(Skills!A5="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C1889=TRUE)*(F1889-Calc!F24)),(Inputs!$B$23+((C1894=TRUE)*(F1894-Calc!F29))+(IF(ArtifactsInput!$M$15,CHOOSE(ArtifactsInput!$N$15+1,25,30,35,40,45,50)/100*(Inputs!$B$11-Inputs!$B$11),0))))/100+(Inputs!$B$23+((C1894=TRUE)*(F1894-Calc!F29))+(IF(ArtifactsInput!$M$15,CHOOSE(ArtifactsInput!$N$15+1,25,30,35,40,45,50)/100*(Inputs!$B$11-Inputs!$B$11),0)))/100)/2</f>
        <v/>
      </c>
      <c r="M1870">
        <f>L1870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(1-Summary!$B$11)*T1870+Summary!$B$11*V1870</f>
        <v/>
      </c>
      <c r="P1870">
        <f>IF(B1908=0,0,O1870/B1908)</f>
        <v/>
      </c>
      <c r="Q1870">
        <f>IFERROR(1/(IF(Inputs!$B$38="pvp",15,MAX(0.1,Skills!D5-IF(Skills!E5=TRUE,Inputs!$B$32,0)))*(1-IF(AND(ArtifactsInput!$M$27,Inputs!$B$4="Chapter Hunt"),CHOOSE(ArtifactsInput!$N$27+1,20,24,28,32,36,40),0)/100)),0)</f>
        <v/>
      </c>
      <c r="R1870">
        <f>IF(AND(Inputs!$B$38&lt;&gt;"pvp",Inputs!$B$43&gt;0),IF(MAX(0,Inputs!$B$43-B1905)&lt;=0,0,(INT(MAX(0,Inputs!$B$43-B1905)/(IF(Inputs!$B$38="pvp",15,MAX(0.1,Skills!D5-IF(Skills!E5=TRUE,Inputs!$B$32,0)))*(1-IF(AND(ArtifactsInput!$M$27,Inputs!$B$4="Chapter Hunt"),CHOOSE(ArtifactsInput!$N$27+1,20,24,28,32,36,40),0)/100)))+1)),0)</f>
        <v/>
      </c>
      <c r="S1870">
        <f>IFERROR(O1870/N1870,0)</f>
        <v/>
      </c>
      <c r="T1870">
        <f>IF(C1870,(H1870*N1870*IF(AND(Inputs!$B$38&lt;&gt;"pvp",Inputs!$B$43&gt;0),((Skills!G5*((R1870-1)*IF(Skills!H5&gt;0,Skills!I5/Skills!H5,1)+IF(Skills!H5&gt;0,MIN(Skills!I5,MAX(0,MAX(0,Inputs!$B$43-B1905)-((R1870-1)*(IF(Inputs!$B$38="pvp",15,MAX(0.1,Skills!D5-IF(Skills!E5=TRUE,Inputs!$B$32,0)))*(1-IF(AND(ArtifactsInput!$M$27,Inputs!$B$4="Chapter Hunt"),CHOOSE(ArtifactsInput!$N$27+1,20,24,28,32,36,40),0)/100)))))/Skills!H5,1)))/Inputs!$B$43),G1870*Q1870)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1870*(1-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0">
        <f>IF(C1870,(H1870*N1870*IF(AND(Inputs!$B$38&lt;&gt;"pvp",Inputs!$B$43&gt;0),((Skills!G5*((R1870-1)*IF(Skills!H5&gt;0,Skills!I5/Skills!H5,1)+IF(Skills!H5&gt;0,MIN(Skills!I5,MAX(0,MAX(0,Inputs!$B$43-B1905)-((R1870-1)*(IF(Inputs!$B$38="pvp",15,MAX(0.1,Skills!D5-IF(Skills!E5=TRUE,Inputs!$B$32,0)))*(1-IF(AND(ArtifactsInput!$M$27,Inputs!$B$4="Chapter Hunt"),CHOOSE(ArtifactsInput!$N$27+1,20,24,28,32,36,40),0)/100)))))/Skills!H5,1)))/Inputs!$B$43),G1870*Q1870))*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Skills!A6</f>
        <v/>
      </c>
      <c r="B1871">
        <f>Skills!B6</f>
        <v/>
      </c>
      <c r="C1871">
        <f>Inputs!$B$3&gt;=40</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1872=TRUE,F1872,0)/100)*(1+(IF(Skills!A6="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1889=TRUE)*(F1889-Calc!F24)),(Inputs!$B$23+((C1894=TRUE)*(F1894-Calc!F29))+(IF(ArtifactsInput!$M$15,CHOOSE(ArtifactsInput!$N$15+1,25,30,35,40,45,50)/100*(Inputs!$B$11-Inputs!$B$11),0))))/100+(Inputs!$B$23+((C1894=TRUE)*(F1894-Calc!F29))+(IF(ArtifactsInput!$M$15,CHOOSE(ArtifactsInput!$N$15+1,25,30,35,40,45,50)/100*(Inputs!$B$11-Inputs!$B$11),0)))/100)/2</f>
        <v/>
      </c>
      <c r="M1871">
        <f>L1871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IF(B1908=0,0,O1871/B1908)</f>
        <v/>
      </c>
      <c r="Q1871">
        <f>IFERROR(1/(IF(Inputs!$B$38="pvp",15,MAX(0.1,Skills!D6-IF(Skills!E6=TRUE,Inputs!$B$32,0)))*(1-IF(AND(ArtifactsInput!$M$27,Inputs!$B$4="Chapter Hunt"),CHOOSE(ArtifactsInput!$N$27+1,20,24,28,32,36,40),0)/100)),0)</f>
        <v/>
      </c>
      <c r="R1871">
        <f>IF(AND(Inputs!$B$38&lt;&gt;"pvp",Inputs!$B$43&gt;0),IF(MAX(0,Inputs!$B$43-B1905)&lt;=0,0,(INT(MAX(0,Inputs!$B$43-B1905)/(IF(Inputs!$B$38="pvp",15,MAX(0.1,Skills!D6-IF(Skills!E6=TRUE,Inputs!$B$32,0)))*(1-IF(AND(ArtifactsInput!$M$27,Inputs!$B$4="Chapter Hunt"),CHOOSE(ArtifactsInput!$N$27+1,20,24,28,32,36,40),0)/100)))+1)),0)</f>
        <v/>
      </c>
      <c r="S1871">
        <f>IFERROR(O1871/N1871,0)</f>
        <v/>
      </c>
      <c r="T1871">
        <f>IF(C1871,(H1871*N1871*IF(AND(Inputs!$B$38&lt;&gt;"pvp",Inputs!$B$43&gt;0),((Skills!G6*((R1871-1)*IF(Skills!H6&gt;0,Skills!I6/Skills!H6,1)+IF(Skills!H6&gt;0,MIN(Skills!I6,MAX(0,MAX(0,Inputs!$B$43-B1905)-((R1871-1)*(IF(Inputs!$B$38="pvp",15,MAX(0.1,Skills!D6-IF(Skills!E6=TRUE,Inputs!$B$32,0)))*(1-IF(AND(ArtifactsInput!$M$27,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1871*(1-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1905)-((R1871-1)*(IF(Inputs!$B$38="pvp",15,MAX(0.1,Skills!D6-IF(Skills!E6=TRUE,Inputs!$B$32,0)))*(1-IF(AND(ArtifactsInput!$M$27,Inputs!$B$4="Chapter Hunt"),CHOOSE(ArtifactsInput!$N$27+1,20,24,28,32,36,40),0)/100)))))/Skills!H6,1)))/Inputs!$B$43),G1871*Q1871))*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Inputs!$B$3&gt;=107</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t="inlineStr"/>
      <c r="H1872" t="inlineStr"/>
      <c r="I1872" t="inlineStr">
        <is>
          <t>1</t>
        </is>
      </c>
      <c r="J1872" t="inlineStr"/>
      <c r="K1872" t="inlineStr"/>
      <c r="L1872" t="inlineStr"/>
      <c r="M1872" t="inlineStr"/>
      <c r="N1872" t="inlineStr"/>
      <c r="O1872" t="inlineStr"/>
      <c r="P1872" t="inlineStr"/>
      <c r="Q1872" t="inlineStr"/>
      <c r="R1872" t="inlineStr"/>
      <c r="S1872" t="inlineStr"/>
      <c r="T1872" t="inlineStr"/>
      <c r="V1872" t="inlineStr"/>
    </row>
    <row r="1873">
      <c r="A1873">
        <f>Skills!A8</f>
        <v/>
      </c>
      <c r="B1873">
        <f>Skills!B8</f>
        <v/>
      </c>
      <c r="C1873">
        <f>Inputs!$B$3&gt;=69</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1875=TRUE,F1875,0)/100)*(1+(IF(Skills!A8="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1889=TRUE)*(F1889-Calc!F24)),(Inputs!$B$23+((C1894=TRUE)*(F1894-Calc!F29))+(IF(ArtifactsInput!$M$15,CHOOSE(ArtifactsInput!$N$15+1,25,30,35,40,45,50)/100*(Inputs!$B$11-Inputs!$B$11),0))))/100+(Inputs!$B$23+((C1894=TRUE)*(F1894-Calc!F29))+(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f>IFERROR(1/(IF(Inputs!$B$38="pvp",15,MAX(0.1,Skills!D8-IF(Skills!E8=TRUE,Inputs!$B$32,0)))*(1-IF(AND(ArtifactsInput!$M$27,Inputs!$B$4="Chapter Hunt"),CHOOSE(ArtifactsInput!$N$27+1,20,24,28,32,36,40),0)/100)),0)</f>
        <v/>
      </c>
      <c r="R1873">
        <f>IF(AND(Inputs!$B$38&lt;&gt;"pvp",Inputs!$B$43&gt;0),IF(MAX(0,Inputs!$B$43-B1905)&lt;=0,0,(INT(MAX(0,Inputs!$B$43-B1905)/(IF(Inputs!$B$38="pvp",15,MAX(0.1,Skills!D8-IF(Skills!E8=TRUE,Inputs!$B$32,0)))*(1-IF(AND(ArtifactsInput!$M$27,Inputs!$B$4="Chapter Hunt"),CHOOSE(ArtifactsInput!$N$27+1,20,24,28,32,36,40),0)/100)))+1)),0)</f>
        <v/>
      </c>
      <c r="S1873">
        <f>IFERROR(O1873/N1873,0)</f>
        <v/>
      </c>
      <c r="T1873">
        <f>IF(C1873,(H1873*N1873*IF(AND(Inputs!$B$38&lt;&gt;"pvp",Inputs!$B$43&gt;0),((Skills!G8*((R1873-1)*IF(Skills!H8&gt;0,Skills!I8/Skills!H8,1)+IF(Skills!H8&gt;0,MIN(Skills!I8,MAX(0,MAX(0,Inputs!$B$43-B1905)-((R1873-1)*(IF(Inputs!$B$38="pvp",15,MAX(0.1,Skills!D8-IF(Skills!E8=TRUE,Inputs!$B$32,0)))*(1-IF(AND(ArtifactsInput!$M$27,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1873*(1-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1905)-((R1873-1)*(IF(Inputs!$B$38="pvp",15,MAX(0.1,Skills!D8-IF(Skills!E8=TRUE,Inputs!$B$32,0)))*(1-IF(AND(ArtifactsInput!$M$27,Inputs!$B$4="Chapter Hunt"),CHOOSE(ArtifactsInput!$N$27+1,20,24,28,32,36,40),0)/100)))))/Skills!H8,1)))/Inputs!$B$43),G1873*Q1873))*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Inputs!$B$3&gt;=63</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1875=TRUE,F1875,0)/100)*(1+(IF(Skills!A9="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1889=TRUE)*(F1889-Calc!F24)),(Inputs!$B$23+((C1894=TRUE)*(F1894-Calc!F29))+(IF(ArtifactsInput!$M$15,CHOOSE(ArtifactsInput!$N$15+1,25,30,35,40,45,50)/100*(Inputs!$B$11-Inputs!$B$11),0))))/100+(Inputs!$B$23+((C1894=TRUE)*(F1894-Calc!F29))+(IF(ArtifactsInput!$M$15,CHOOSE(ArtifactsInput!$N$15+1,25,30,35,40,45,50)/100*(Inputs!$B$11-Inputs!$B$11),0)))/100)/2</f>
        <v/>
      </c>
      <c r="M1874">
        <f>L1874*(1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IF(B1908=0,0,O1874/B1908)</f>
        <v/>
      </c>
      <c r="Q1874">
        <f>IFERROR(1/(IF(Inputs!$B$38="pvp",15,MAX(0.1,Skills!D9-IF(Skills!E9=TRUE,Inputs!$B$32,0)))*(1-IF(AND(ArtifactsInput!$M$27,Inputs!$B$4="Chapter Hunt"),CHOOSE(ArtifactsInput!$N$27+1,20,24,28,32,36,40),0)/100)),0)</f>
        <v/>
      </c>
      <c r="R1874">
        <f>IF(AND(Inputs!$B$38&lt;&gt;"pvp",Inputs!$B$43&gt;0),IF(MAX(0,Inputs!$B$43-B1905)&lt;=0,0,(INT(MAX(0,Inputs!$B$43-B1905)/(IF(Inputs!$B$38="pvp",15,MAX(0.1,Skills!D9-IF(Skills!E9=TRUE,Inputs!$B$32,0)))*(1-IF(AND(ArtifactsInput!$M$27,Inputs!$B$4="Chapter Hunt"),CHOOSE(ArtifactsInput!$N$27+1,20,24,28,32,36,40),0)/100)))+1)),0)</f>
        <v/>
      </c>
      <c r="S1874">
        <f>IFERROR(O1874/N1874,0)</f>
        <v/>
      </c>
      <c r="T1874">
        <f>IF(C1874,(H1874*N1874*IF(AND(Inputs!$B$38&lt;&gt;"pvp",Inputs!$B$43&gt;0),((Skills!G9*((R1874-1)*IF(Skills!H9&gt;0,Skills!I9/Skills!H9,1)+IF(Skills!H9&gt;0,MIN(Skills!I9,MAX(0,MAX(0,Inputs!$B$43-B1905)-((R1874-1)*(IF(Inputs!$B$38="pvp",15,MAX(0.1,Skills!D9-IF(Skills!E9=TRUE,Inputs!$B$32,0)))*(1-IF(AND(ArtifactsInput!$M$27,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1874*(1-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1905)-((R1874-1)*(IF(Inputs!$B$38="pvp",15,MAX(0.1,Skills!D9-IF(Skills!E9=TRUE,Inputs!$B$32,0)))*(1-IF(AND(ArtifactsInput!$M$27,Inputs!$B$4="Chapter Hunt"),CHOOSE(ArtifactsInput!$N$27+1,20,24,28,32,36,40),0)/100)))))/Skills!H9,1)))/Inputs!$B$43),G1874*Q1874))*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Inputs!$B$3&gt;=100</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V1875" t="inlineStr"/>
    </row>
    <row r="1876">
      <c r="A1876">
        <f>Skills!A11</f>
        <v/>
      </c>
      <c r="B1876">
        <f>Skills!B11</f>
        <v/>
      </c>
      <c r="C1876">
        <f>Inputs!$B$3&gt;=60</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1877=TRUE,F1877,0)/100)*(1+(IF(Skills!A11="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1889=TRUE)*(F1889-Calc!F24)),(Inputs!$B$23+((C1894=TRUE)*(F1894-Calc!F29))+(IF(ArtifactsInput!$M$15,CHOOSE(ArtifactsInput!$N$15+1,25,30,35,40,45,50)/100*(Inputs!$B$11-Inputs!$B$11),0))))/100+(Inputs!$B$23+((C1894=TRUE)*(F1894-Calc!F29))+(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IFERROR(1/(IF(Inputs!$B$38="pvp",15,MAX(0.1,Skills!D11-IF(Skills!E11=TRUE,Inputs!$B$32,0)))*(1-IF(AND(ArtifactsInput!$M$27,Inputs!$B$4="Chapter Hunt"),CHOOSE(ArtifactsInput!$N$27+1,20,24,28,32,36,40),0)/100)),0)</f>
        <v/>
      </c>
      <c r="R1876">
        <f>IF(AND(Inputs!$B$38&lt;&gt;"pvp",Inputs!$B$43&gt;0),IF(MAX(0,Inputs!$B$43-B1905)&lt;=0,0,(INT(MAX(0,Inputs!$B$43-B1905)/(IF(Inputs!$B$38="pvp",15,MAX(0.1,Skills!D11-IF(Skills!E11=TRUE,Inputs!$B$32,0)))*(1-IF(AND(ArtifactsInput!$M$27,Inputs!$B$4="Chapter Hunt"),CHOOSE(ArtifactsInput!$N$27+1,20,24,28,32,36,40),0)/100)))+1)),0)</f>
        <v/>
      </c>
      <c r="S1876">
        <f>IFERROR(O1876/N1876,0)</f>
        <v/>
      </c>
      <c r="T1876">
        <f>IF(C1876,(H1876*N1876*IF(AND(Inputs!$B$38&lt;&gt;"pvp",Inputs!$B$43&gt;0),((Skills!G11*((R1876-1)*IF(Skills!H11&gt;0,Skills!I11/Skills!H11,1)+IF(Skills!H11&gt;0,MIN(Skills!I11,MAX(0,MAX(0,Inputs!$B$43-B1905)-((R1876-1)*(IF(Inputs!$B$38="pvp",15,MAX(0.1,Skills!D11-IF(Skills!E11=TRUE,Inputs!$B$32,0)))*(1-IF(AND(ArtifactsInput!$M$27,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1876*(1-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1905)-((R1876-1)*(IF(Inputs!$B$38="pvp",15,MAX(0.1,Skills!D11-IF(Skills!E11=TRUE,Inputs!$B$32,0)))*(1-IF(AND(ArtifactsInput!$M$27,Inputs!$B$4="Chapter Hunt"),CHOOSE(ArtifactsInput!$N$27+1,20,24,28,32,36,40),0)/100)))))/Skills!H11,1)))/Inputs!$B$43),G1876*Q1876))*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Inputs!$B$3&gt;=110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Inputs!$B$3&gt;=74</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IF(B1908=0,0,O1878/B1908)</f>
        <v/>
      </c>
      <c r="Q1878" t="n">
        <v>0</v>
      </c>
      <c r="R1878" t="n">
        <v>0</v>
      </c>
      <c r="S1878">
        <f>IFERROR(O1878/N1878,0)</f>
        <v/>
      </c>
      <c r="T1878" t="n">
        <v>0</v>
      </c>
      <c r="V1878" t="n">
        <v>0</v>
      </c>
    </row>
    <row r="1879">
      <c r="A1879">
        <f>Skills!A14</f>
        <v/>
      </c>
      <c r="B1879">
        <f>Skills!B14</f>
        <v/>
      </c>
      <c r="C1879">
        <f>Inputs!$B$3&gt;=74</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IF(B1908=0,0,O1879/B1908)</f>
        <v/>
      </c>
      <c r="Q1879" t="n">
        <v>0</v>
      </c>
      <c r="R1879" t="n">
        <v>0</v>
      </c>
      <c r="S1879">
        <f>IFERROR(O1879/N1879,0)</f>
        <v/>
      </c>
      <c r="T1879" t="n">
        <v>0</v>
      </c>
      <c r="V1879" t="n">
        <v>0</v>
      </c>
    </row>
    <row r="1880">
      <c r="A1880">
        <f>Skills!A15</f>
        <v/>
      </c>
      <c r="B1880">
        <f>Skills!B15</f>
        <v/>
      </c>
      <c r="C1880">
        <f>Inputs!$B$3&gt;=117</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IF(B1908=0,0,O1880/B1908)</f>
        <v/>
      </c>
      <c r="Q1880">
        <f>IFERROR(1/(IF(Inputs!$B$38="pvp",15,MAX(0.1,Skills!D15-IF(Skills!E15=TRUE,Inputs!$B$32,0)))*(1-IF(AND(ArtifactsInput!$M$27,Inputs!$B$4="Chapter Hunt"),CHOOSE(ArtifactsInput!$N$27+1,20,24,28,32,36,40),0)/100)),0)</f>
        <v/>
      </c>
      <c r="R1880">
        <f>IF(AND(Inputs!$B$38&lt;&gt;"pvp",Inputs!$B$43&gt;0),IF(Inputs!$B$43&lt;=0,0,(INT(Inputs!$B$43/(IF(Inputs!$B$38="pvp",15,MAX(0.1,Skills!D15-IF(Skills!E15=TRUE,Inputs!$B$32,0)))*(1-IF(AND(ArtifactsInput!$M$27,Inputs!$B$4="Chapter Hunt"),CHOOSE(ArtifactsInput!$N$27+1,20,24,28,32,36,40),0)/100)))+1)),0)</f>
        <v/>
      </c>
      <c r="S1880">
        <f>IFERROR(O1880/N1880,0)</f>
        <v/>
      </c>
      <c r="T1880" t="n">
        <v>0</v>
      </c>
      <c r="V1880" t="n">
        <v>0</v>
      </c>
    </row>
    <row r="1881">
      <c r="A1881">
        <f>Skills!A16</f>
        <v/>
      </c>
      <c r="B1881">
        <f>Skills!B16</f>
        <v/>
      </c>
      <c r="C1881">
        <f>Inputs!$B$3&gt;=115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IF(B1908=0,0,O1881/B1908)</f>
        <v/>
      </c>
      <c r="Q1881">
        <f>IFERROR(1/(IF(Inputs!$B$38="pvp",15,MAX(0.1,Skills!D16-IF(Skills!E16=TRUE,Inputs!$B$32,0)))*(1-IF(AND(ArtifactsInput!$M$27,Inputs!$B$4="Chapter Hunt"),CHOOSE(ArtifactsInput!$N$27+1,20,24,28,32,36,40),0)/100)),0)</f>
        <v/>
      </c>
      <c r="R1881">
        <f>IF(AND(Inputs!$B$38&lt;&gt;"pvp",Inputs!$B$43&gt;0),IF(Inputs!$B$43&lt;=0,0,(INT(Inputs!$B$43/(IF(Inputs!$B$38="pvp",15,MAX(0.1,Skills!D16-IF(Skills!E16=TRUE,Inputs!$B$32,0)))*(1-IF(AND(ArtifactsInput!$M$27,Inputs!$B$4="Chapter Hunt"),CHOOSE(ArtifactsInput!$N$27+1,20,24,28,32,36,40),0)/100)))+1)),0)</f>
        <v/>
      </c>
      <c r="S1881">
        <f>IFERROR(O1881/N1881,0)</f>
        <v/>
      </c>
      <c r="T1881" t="n">
        <v>0</v>
      </c>
      <c r="V1881" t="n">
        <v>0</v>
      </c>
    </row>
    <row r="1882">
      <c r="A1882">
        <f>Skills!A17</f>
        <v/>
      </c>
      <c r="B1882">
        <f>Skills!B17</f>
        <v/>
      </c>
      <c r="C1882">
        <f>Inputs!$B$3&gt;=66</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IF(B1908=0,0,O1882/B1908)</f>
        <v/>
      </c>
      <c r="Q1882" t="n">
        <v>0</v>
      </c>
      <c r="R1882" t="n">
        <v>0</v>
      </c>
      <c r="S1882">
        <f>IFERROR(O1882/N1882,0)</f>
        <v/>
      </c>
      <c r="T1882" t="n">
        <v>0</v>
      </c>
      <c r="V1882" t="n">
        <v>0</v>
      </c>
    </row>
    <row r="1883">
      <c r="A1883">
        <f>Skills!A18</f>
        <v/>
      </c>
      <c r="B1883">
        <f>Skills!B18</f>
        <v/>
      </c>
      <c r="C1883">
        <f>Inputs!$B$3&gt;=72</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IF(B1908=0,0,O1883/B1908)</f>
        <v/>
      </c>
      <c r="Q1883" t="n">
        <v>0</v>
      </c>
      <c r="R1883" t="n">
        <v>0</v>
      </c>
      <c r="S1883">
        <f>IFERROR(O1883/N1883,0)</f>
        <v/>
      </c>
      <c r="T1883" t="n">
        <v>0</v>
      </c>
      <c r="V1883" t="n">
        <v>0</v>
      </c>
    </row>
    <row r="1884">
      <c r="A1884">
        <f>Skills!A19</f>
        <v/>
      </c>
      <c r="B1884">
        <f>Skills!B19</f>
        <v/>
      </c>
      <c r="C1884">
        <f>TRUE</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IF(B1908=0,0,O1884/B1908)</f>
        <v/>
      </c>
      <c r="Q1884">
        <f>IFERROR(1/(IF(Inputs!$B$38="pvp",15,MAX(0.1,Skills!D19-IF(Skills!E19=TRUE,Inputs!$B$32,0)))*(1-IF(AND(ArtifactsInput!$M$27,Inputs!$B$4="Chapter Hunt"),CHOOSE(ArtifactsInput!$N$27+1,20,24,28,32,36,40),0)/100)),0)</f>
        <v/>
      </c>
      <c r="R1884">
        <f>IF(AND(Inputs!$B$38&lt;&gt;"pvp",Inputs!$B$43&gt;0),IF(Inputs!$B$43&lt;=0,0,(INT(Inputs!$B$43/(IF(Inputs!$B$38="pvp",15,MAX(0.1,Skills!D19-IF(Skills!E19=TRUE,Inputs!$B$32,0)))*(1-IF(AND(ArtifactsInput!$M$27,Inputs!$B$4="Chapter Hunt"),CHOOSE(ArtifactsInput!$N$27+1,20,24,28,32,36,40),0)/100)))+1)),0)</f>
        <v/>
      </c>
      <c r="S1884">
        <f>IFERROR(O1884/N1884,0)</f>
        <v/>
      </c>
      <c r="T1884" t="n">
        <v>0</v>
      </c>
      <c r="V1884" t="n">
        <v>0</v>
      </c>
    </row>
    <row r="1885">
      <c r="A1885">
        <f>Skills!A20</f>
        <v/>
      </c>
      <c r="B1885">
        <f>Skills!B20</f>
        <v/>
      </c>
      <c r="C1885">
        <f>Inputs!$B$3&gt;=15</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Skills!A21</f>
        <v/>
      </c>
      <c r="B1886">
        <f>Skills!B21</f>
        <v/>
      </c>
      <c r="C1886">
        <f>Inputs!$B$3&gt;=10</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IF(B1908=0,0,O1886/B1908)</f>
        <v/>
      </c>
      <c r="Q1886" t="n">
        <v>0</v>
      </c>
      <c r="R1886" t="n">
        <v>0</v>
      </c>
      <c r="S1886">
        <f>IFERROR(O1886/N1886,0)</f>
        <v/>
      </c>
      <c r="T1886" t="n">
        <v>0</v>
      </c>
      <c r="V1886" t="n">
        <v>0</v>
      </c>
    </row>
    <row r="1887">
      <c r="A1887">
        <f>Skills!A22</f>
        <v/>
      </c>
      <c r="B1887">
        <f>Skills!B22</f>
        <v/>
      </c>
      <c r="C1887">
        <f>Inputs!$B$3&gt;=33</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IF(B1908=0,0,O1887/B1908)</f>
        <v/>
      </c>
      <c r="Q1887" t="n">
        <v>0</v>
      </c>
      <c r="R1887" t="n">
        <v>0</v>
      </c>
      <c r="S1887">
        <f>IFERROR(O1887/N1887,0)</f>
        <v/>
      </c>
      <c r="T1887" t="n">
        <v>0</v>
      </c>
      <c r="V1887" t="n">
        <v>0</v>
      </c>
    </row>
    <row r="1888">
      <c r="A1888">
        <f>Skills!A23</f>
        <v/>
      </c>
      <c r="B1888">
        <f>Skills!B23</f>
        <v/>
      </c>
      <c r="C1888">
        <f>Inputs!$B$3&gt;=38</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IF(B1908=0,0,O1888/B1908)</f>
        <v/>
      </c>
      <c r="Q1888" t="n">
        <v>0</v>
      </c>
      <c r="R1888" t="n">
        <v>0</v>
      </c>
      <c r="S1888">
        <f>IFERROR(O1888/N1888,0)</f>
        <v/>
      </c>
      <c r="T1888" t="n">
        <v>0</v>
      </c>
      <c r="V1888" t="n">
        <v>0</v>
      </c>
    </row>
    <row r="1889">
      <c r="A1889">
        <f>Skills!A24</f>
        <v/>
      </c>
      <c r="B1889">
        <f>Skills!B24</f>
        <v/>
      </c>
      <c r="C1889">
        <f>Inputs!$B$3&gt;=43</f>
        <v/>
      </c>
      <c r="D1889">
        <f>IF(Skills!C24=1,60+Inputs!$B$25+Inputs!$B$29,IF(Skills!C24=2,90+Inputs!$B$26+Inputs!$B$29,IF(Skills!C24=3,120+Inputs!$B$27+Inputs!$B$29,MAX(0,(Inputs!$B$3-100)*3)+Inputs!$B$28+Inputs!$B$29)))</f>
        <v/>
      </c>
      <c r="E1889">
        <f>INDEX(FactorTable!$B$2:$Y$301, MATCH(ROUND(MIN(300,MAX(1,D1889)),0), FactorTable!$A$2:$A$301,0), Skills!M24+1)</f>
        <v/>
      </c>
      <c r="F1889">
        <f>IF(Skills!N24=TRUE,(Skills!L24/10)*(E1889/1000),Skills!L24/10)+Skills!O24</f>
        <v/>
      </c>
      <c r="G1889">
        <f>Skills!G24*IF(Skills!H24&gt;0,Skills!I24/Skills!H24,1)</f>
        <v/>
      </c>
      <c r="H1889">
        <f>1-(1-Skills!J24/100)^Skills!K24</f>
        <v/>
      </c>
      <c r="I1889" t="inlineStr">
        <is>
          <t>1</t>
        </is>
      </c>
      <c r="J1889" t="inlineStr"/>
      <c r="K1889" t="inlineStr"/>
      <c r="L1889" t="inlineStr"/>
      <c r="M1889" t="inlineStr"/>
      <c r="N1889" t="inlineStr"/>
      <c r="O1889">
        <f>(1-Summary!$B$11)*T1889+Summary!$B$11*V1889</f>
        <v/>
      </c>
      <c r="P1889">
        <f>IF(B1908=0,0,O1889/B1908)</f>
        <v/>
      </c>
      <c r="Q1889" t="n">
        <v>0</v>
      </c>
      <c r="R1889" t="n">
        <v>0</v>
      </c>
      <c r="S1889">
        <f>IFERROR(O1889/N1889,0)</f>
        <v/>
      </c>
      <c r="T1889" t="n">
        <v>0</v>
      </c>
      <c r="V1889" t="n">
        <v>0</v>
      </c>
    </row>
    <row r="1890">
      <c r="A1890">
        <f>Skills!A25</f>
        <v/>
      </c>
      <c r="B1890">
        <f>Skills!B25</f>
        <v/>
      </c>
      <c r="C1890">
        <f>Inputs!$B$3&gt;=75</f>
        <v/>
      </c>
      <c r="D1890">
        <f>IF(Skills!C25=1,60+Inputs!$B$25+Inputs!$B$29,IF(Skills!C25=2,90+Inputs!$B$26+Inputs!$B$29,IF(Skills!C25=3,120+Inputs!$B$27+Inputs!$B$29,MAX(0,(Inputs!$B$3-100)*3)+Inputs!$B$28+Inputs!$B$29)))</f>
        <v/>
      </c>
      <c r="E1890">
        <f>INDEX(FactorTable!$B$2:$Y$301, MATCH(ROUND(MIN(300,MAX(1,D1890)),0), FactorTable!$A$2:$A$301,0), Skills!M25+1)</f>
        <v/>
      </c>
      <c r="F1890">
        <f>IF(Skills!N25=TRUE,(Skills!L25/10)*(E1890/1000),Skills!L25/10)+Skills!O25</f>
        <v/>
      </c>
      <c r="G1890">
        <f>Skills!G25*IF(Skills!H25&gt;0,Skills!I25/Skills!H25,1)</f>
        <v/>
      </c>
      <c r="H1890">
        <f>1-(1-Skills!J25/100)^Skills!K25</f>
        <v/>
      </c>
      <c r="I1890" t="inlineStr">
        <is>
          <t>1</t>
        </is>
      </c>
      <c r="J1890" t="inlineStr"/>
      <c r="K1890" t="inlineStr"/>
      <c r="L1890" t="inlineStr"/>
      <c r="M1890" t="inlineStr"/>
      <c r="N1890" t="inlineStr"/>
      <c r="O1890">
        <f>(1-Summary!$B$11)*T1890+Summary!$B$11*V1890</f>
        <v/>
      </c>
      <c r="P1890">
        <f>IF(B1908=0,0,O1890/B1908)</f>
        <v/>
      </c>
      <c r="Q1890" t="n">
        <v>0</v>
      </c>
      <c r="R1890" t="n">
        <v>0</v>
      </c>
      <c r="S1890">
        <f>IFERROR(O1890/N1890,0)</f>
        <v/>
      </c>
      <c r="T1890" t="n">
        <v>0</v>
      </c>
      <c r="V1890" t="n">
        <v>0</v>
      </c>
    </row>
    <row r="1891">
      <c r="A1891">
        <f>Skills!A26</f>
        <v/>
      </c>
      <c r="B1891">
        <f>Skills!B26</f>
        <v/>
      </c>
      <c r="C1891">
        <f>Inputs!$B$3&gt;=125</f>
        <v/>
      </c>
      <c r="D1891">
        <f>IF(Skills!C26=1,60+Inputs!$B$25+Inputs!$B$29,IF(Skills!C26=2,90+Inputs!$B$26+Inputs!$B$29,IF(Skills!C26=3,120+Inputs!$B$27+Inputs!$B$29,MAX(0,(Inputs!$B$3-100)*3)+Inputs!$B$28+Inputs!$B$29)))</f>
        <v/>
      </c>
      <c r="E1891">
        <f>INDEX(FactorTable!$B$2:$Y$301, MATCH(ROUND(MIN(300,MAX(1,D1891)),0), FactorTable!$A$2:$A$301,0), Skills!M26+1)</f>
        <v/>
      </c>
      <c r="F1891">
        <f>IF(Skills!N26=TRUE,(Skills!L26/10)*(E1891/1000),Skills!L26/10)+Skills!O26</f>
        <v/>
      </c>
      <c r="G1891">
        <f>Skills!G26*IF(Skills!H26&gt;0,Skills!I26/Skills!H26,1)</f>
        <v/>
      </c>
      <c r="H1891">
        <f>1-(1-Skills!J26/100)^Skills!K26</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Skills!A27</f>
        <v/>
      </c>
      <c r="B1892">
        <f>Skills!B27</f>
        <v/>
      </c>
      <c r="C1892">
        <f>Inputs!$B$3&gt;=125</f>
        <v/>
      </c>
      <c r="D1892">
        <f>IF(Skills!C27=1,60+Inputs!$B$25+Inputs!$B$29,IF(Skills!C27=2,90+Inputs!$B$26+Inputs!$B$29,IF(Skills!C27=3,120+Inputs!$B$27+Inputs!$B$29,MAX(0,(Inputs!$B$3-100)*3)+Inputs!$B$28+Inputs!$B$29)))</f>
        <v/>
      </c>
      <c r="E1892">
        <f>INDEX(FactorTable!$B$2:$Y$301, MATCH(ROUND(MIN(300,MAX(1,D1892)),0), FactorTable!$A$2:$A$301,0), Skills!M27+1)</f>
        <v/>
      </c>
      <c r="F1892">
        <f>IF(Skills!N27=TRUE,(Skills!L27/10)*(E1892/1000),Skills!L27/10)+Skills!O27</f>
        <v/>
      </c>
      <c r="G1892">
        <f>Skills!G27*IF(Skills!H27&gt;0,Skills!I27/Skills!H27,1)</f>
        <v/>
      </c>
      <c r="H1892">
        <f>1-(1-Skills!J27/100)^Skills!K27</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Skills!A28</f>
        <v/>
      </c>
      <c r="B1893">
        <f>Skills!B28</f>
        <v/>
      </c>
      <c r="C1893">
        <f>Inputs!$B$3&gt;=120</f>
        <v/>
      </c>
      <c r="D1893">
        <f>IF(Skills!C28=1,60+Inputs!$B$25+Inputs!$B$29,IF(Skills!C28=2,90+Inputs!$B$26+Inputs!$B$29,IF(Skills!C28=3,120+Inputs!$B$27+Inputs!$B$29,MAX(0,(Inputs!$B$3-100)*3)+Inputs!$B$28+Inputs!$B$29)))</f>
        <v/>
      </c>
      <c r="E1893">
        <f>INDEX(FactorTable!$B$2:$Y$301, MATCH(ROUND(MIN(300,MAX(1,D1893)),0), FactorTable!$A$2:$A$301,0), Skills!M28+1)</f>
        <v/>
      </c>
      <c r="F1893">
        <f>IF(Skills!N28=TRUE,(Skills!L28/10)*(E1893/1000),Skills!L28/10)+Skills!O28</f>
        <v/>
      </c>
      <c r="G1893">
        <f>Skills!G28*IF(Skills!H28&gt;0,Skills!I28/Skills!H28,1)</f>
        <v/>
      </c>
      <c r="H1893">
        <f>1-(1-Skills!J28/100)^Skills!K28</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Skills!A29</f>
        <v/>
      </c>
      <c r="B1894">
        <f>Skills!B29</f>
        <v/>
      </c>
      <c r="C1894">
        <f>Inputs!$B$3&gt;=120</f>
        <v/>
      </c>
      <c r="D1894">
        <f>IF(Skills!C29=1,60+Inputs!$B$25+Inputs!$B$29,IF(Skills!C29=2,90+Inputs!$B$26+Inputs!$B$29,IF(Skills!C29=3,120+Inputs!$B$27+Inputs!$B$29,MAX(0,(Inputs!$B$3-100)*3)+Inputs!$B$28+Inputs!$B$29)))</f>
        <v/>
      </c>
      <c r="E1894">
        <f>INDEX(FactorTable!$B$2:$Y$301, MATCH(ROUND(MIN(300,MAX(1,D1894)),0), FactorTable!$A$2:$A$301,0), Skills!M29+1)</f>
        <v/>
      </c>
      <c r="F1894">
        <f>IF(Skills!N29=TRUE,(Skills!L29/10)*(E1894/1000),Skills!L29/10)+Skills!O29</f>
        <v/>
      </c>
      <c r="G1894">
        <f>Skills!G29*IF(Skills!H29&gt;0,Skills!I29/Skills!H29,1)</f>
        <v/>
      </c>
      <c r="H1894">
        <f>1-(1-Skills!J29/100)^Skills!K29</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Skills!A30</f>
        <v/>
      </c>
      <c r="B1895">
        <f>Skills!B30</f>
        <v/>
      </c>
      <c r="C1895">
        <f>Inputs!$B$3&gt;=45</f>
        <v/>
      </c>
      <c r="D1895">
        <f>IF(Skills!C30=1,60+Inputs!$B$25+Inputs!$B$29,IF(Skills!C30=2,90+Inputs!$B$26+Inputs!$B$29,IF(Skills!C30=3,120+Inputs!$B$27+Inputs!$B$29,MAX(0,(Inputs!$B$3-100)*3)+Inputs!$B$28+Inputs!$B$29)))</f>
        <v/>
      </c>
      <c r="E1895">
        <f>INDEX(FactorTable!$B$2:$Y$301, MATCH(ROUND(MIN(300,MAX(1,D1895)),0), FactorTable!$A$2:$A$301,0), Skills!M30+1)</f>
        <v/>
      </c>
      <c r="F1895">
        <f>IF(Skills!N30=TRUE,(Skills!L30/10)*(E1895/1000),Skills!L30/10)+Skills!O30</f>
        <v/>
      </c>
      <c r="G1895">
        <f>Skills!G30*IF(Skills!H30&gt;0,Skills!I30/Skills!H30,1)</f>
        <v/>
      </c>
      <c r="H1895">
        <f>1-(1-Skills!J30/100)^Skills!K30</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f>(C1881=TRUE)*20*IF(AND(Inputs!$B$38&lt;&gt;"pvp",Inputs!$B$43&gt;0),(((R1881-1)*(Skills!T16*(1+Inputs!$B$34/100))+MIN((Skills!T16*(1+Inputs!$B$34/100)),MAX(0,Inputs!$B$43-((R1881-1)*Skills!D16))))/Inputs!$B$43),IF(Inputs!$B$38="pvp",MIN((Skills!T16*(1+Inputs!$B$34/100)),15)/15,(Skills!T16*(1+Inputs!$B$34/100))/Skills!D16))</f>
        <v/>
      </c>
    </row>
    <row r="1899">
      <c r="A1899" t="inlineStr">
        <is>
          <t>Attack Speed Buff Bonus %</t>
        </is>
      </c>
      <c r="B1899">
        <f>((C1884=TRUE)*F1884*IF(AND(Inputs!$B$38&lt;&gt;"pvp",Inputs!$B$43&gt;0),(((R1884-1)*(Skills!T19*(1+Inputs!$B$34/100))+MIN((Skills!T19*(1+Inputs!$B$34/100)),MAX(0,Inputs!$B$43-((R1884-1)*Skills!D19))))/Inputs!$B$43),IF(Inputs!$B$38="pvp",MIN((Skills!T19*(1+Inputs!$B$34/100)),15)/15,(Skills!T19*(1+Inputs!$B$34/100))/Skills!D19)))</f>
        <v/>
      </c>
    </row>
    <row r="1900">
      <c r="A1900" t="inlineStr">
        <is>
          <t>Actions Per Second</t>
        </is>
      </c>
      <c r="B1900">
        <f>1+MIN(150,150*(1-(1-(Inputs!$B$11+((C1886=TRUE)*(F1886-Calc!F21))+((C1887=TRUE)*(F1887-Calc!F22)))/150)*(1-B1899/150)))/100</f>
        <v/>
      </c>
    </row>
    <row r="1901">
      <c r="A1901" t="inlineStr">
        <is>
          <t>Skill + Buff Cast Rate</t>
        </is>
      </c>
      <c r="B1901">
        <f>IF(AND(Inputs!$B$38&lt;&gt;"pvp",Inputs!$B$43&gt;0),SUMPRODUCT((Skills!E2:E30=TRUE)*(C1867:C1895=TRUE)*R1867:R1895*Skills!F2:F30)/Inputs!$B$43,SUMPRODUCT((Skills!E2:E30=TRUE)*(C1867:C1895=TRUE)*Q1867:Q1895*Skills!F2:F30))</f>
        <v/>
      </c>
    </row>
    <row r="1902">
      <c r="A1902" t="inlineStr">
        <is>
          <t>Arrow Stream Casts Per Second</t>
        </is>
      </c>
      <c r="B1902">
        <f>MAX(0,B1900-B1901)</f>
        <v/>
      </c>
    </row>
    <row r="1903">
      <c r="A1903" t="inlineStr">
        <is>
          <t>Global Critical Damage Bonus % (Sharp Eyes + Concentration)</t>
        </is>
      </c>
      <c r="B1903">
        <f>(C1881=TRUE)*F1881*IF(AND(Inputs!$B$38&lt;&gt;"pvp",Inputs!$B$43&gt;0),(((R1881-1)*(Skills!T16*(1+Inputs!$B$34/100))+MIN((Skills!T16*(1+Inputs!$B$34/100)),MAX(0,Inputs!$B$43-((R1881-1)*Skills!D16))))/Inputs!$B$43),IF(Inputs!$B$38="pvp",MIN((Skills!T16*(1+Inputs!$B$34/100)),15)/15,(Skills!T16*(1+Inputs!$B$34/100))/Skills!D16))+(C1882=TRUE)*30</f>
        <v/>
      </c>
    </row>
    <row r="1904">
      <c r="A1904" t="inlineStr">
        <is>
          <t>Global Final Damage Bonus % (Mortal Blow)</t>
        </is>
      </c>
      <c r="B1904">
        <f>(C1883=TRUE)*F1883</f>
        <v/>
      </c>
    </row>
    <row r="1905">
      <c r="A1905" t="inlineStr">
        <is>
          <t>Buff-Casting Startup Delay (s, fixed-duration only)</t>
        </is>
      </c>
      <c r="B1905">
        <f>IF(AND(Inputs!$B$38&lt;&gt;"pvp",Inputs!$B$43&gt;0),SUMPRODUCT((Skills!T2:T30&gt;0)*(Skills!E2:E30=TRUE)*(C1867:C1895=TRUE))/B1900,0)</f>
        <v/>
      </c>
    </row>
    <row r="1906">
      <c r="A1906" t="inlineStr">
        <is>
          <t>Boss-Only Total DPS (this block's swept value)</t>
        </is>
      </c>
      <c r="B1906">
        <f>SUM(T1867:T1895)</f>
        <v/>
      </c>
    </row>
    <row r="1907">
      <c r="A1907" t="inlineStr">
        <is>
          <t>Normal-Only Total DPS (this block's swept value)</t>
        </is>
      </c>
      <c r="B1907">
        <f>SUM(V1867:V1895)</f>
        <v/>
      </c>
    </row>
    <row r="1908">
      <c r="A1908" s="6" t="inlineStr">
        <is>
          <t>TOTAL DPS</t>
        </is>
      </c>
      <c r="B1908" s="6">
        <f>SUM(O1867:O1895)</f>
        <v/>
      </c>
    </row>
    <row r="1911">
      <c r="A1911" s="6" t="inlineStr">
        <is>
          <t>Stat: Old Music Box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1935=TRUE)*(F1935-Calc!F24)),(Inputs!$B$23+((C1940=TRUE)*(F1940-Calc!F29))+(IF(ArtifactsInput!$M$15,CHOOSE(ArtifactsInput!$N$15+1,25,30,35,40,45,50)/100*(Inputs!$B$11-Inputs!$B$11),0))))/100+(Inputs!$B$23+((C1940=TRUE)*(F1940-Calc!F29))+(IF(ArtifactsInput!$M$15,CHOOSE(ArtifactsInput!$N$15+1,25,30,35,40,45,50)/100*(Inputs!$B$11-Inputs!$B$11),0)))/100)/2</f>
        <v/>
      </c>
      <c r="M1913">
        <f>L1913*(1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IF(B1954=0,0,O1913/B1954)</f>
        <v/>
      </c>
      <c r="Q1913" t="n">
        <v>0</v>
      </c>
      <c r="R1913" t="n">
        <v>0</v>
      </c>
      <c r="S1913">
        <f>IFERROR(O1913/N1913,0)</f>
        <v/>
      </c>
      <c r="T1913">
        <f>IF(C1913,(Skills!G2*N1913*B1948)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1913*(1-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IF(C1913,(Skills!G2*N1913*B1948)*IF(Inputs!$B$38="pvp",1,(1+(Inputs!$B$21+Skills!Q2+(IF(ArtifactsInput!$M$33,CHOOSE(ArtifactsInput!$N$33+1,30,36,42,48,54,60),0))+(IF(AND(ArtifactsInput!$M$35,Inputs!$B$4&lt;&gt;"Chapter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T1914" t="inlineStr"/>
      <c r="U1914">
        <f>INDEX(FactorTable!$B$2:$Y$301, MATCH(ROUND(MIN(300,MAX(1,U1913)),0), FactorTable!$A$2:$A$301,0), 22)</f>
        <v/>
      </c>
      <c r="V1914" t="inlineStr"/>
    </row>
    <row r="1915">
      <c r="A1915">
        <f>Skills!A4</f>
        <v/>
      </c>
      <c r="B1915">
        <f>Skills!B4</f>
        <v/>
      </c>
      <c r="C1915">
        <f>Inputs!$B$3&gt;=105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U1915">
        <f>290*U1914/1000</f>
        <v/>
      </c>
      <c r="V1915" t="inlineStr"/>
    </row>
    <row r="1916">
      <c r="A1916">
        <f>Skills!A5</f>
        <v/>
      </c>
      <c r="B1916">
        <f>Skills!B5</f>
        <v/>
      </c>
      <c r="C1916">
        <f>Inputs!$B$3&gt;=35</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1921=TRUE,F1921,0)/100)*(1+(IF(Skills!A5="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1935=TRUE)*(F1935-Calc!F24)),(Inputs!$B$23+((C1940=TRUE)*(F1940-Calc!F29))+(IF(ArtifactsInput!$M$15,CHOOSE(ArtifactsInput!$N$15+1,25,30,35,40,45,50)/100*(Inputs!$B$11-Inputs!$B$11),0))))/100+(Inputs!$B$23+((C1940=TRUE)*(F1940-Calc!F29))+(IF(ArtifactsInput!$M$15,CHOOSE(ArtifactsInput!$N$15+1,25,30,35,40,45,50)/100*(Inputs!$B$11-Inputs!$B$11),0)))/100)/2</f>
        <v/>
      </c>
      <c r="M1916">
        <f>L1916*(1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IF(B1954=0,0,O1916/B1954)</f>
        <v/>
      </c>
      <c r="Q1916">
        <f>IFERROR(1/(IF(Inputs!$B$38="pvp",15,MAX(0.1,Skills!D5-IF(Skills!E5=TRUE,Inputs!$B$32,0)))*(1-IF(AND(ArtifactsInput!$M$27,Inputs!$B$4="Chapter Hunt"),CHOOSE(ArtifactsInput!$N$27+1,20,24,28,32,36,40),0)/100)),0)</f>
        <v/>
      </c>
      <c r="R1916">
        <f>IF(AND(Inputs!$B$38&lt;&gt;"pvp",Inputs!$B$43&gt;0),IF(MAX(0,Inputs!$B$43-B1951)&lt;=0,0,(INT(MAX(0,Inputs!$B$43-B1951)/(IF(Inputs!$B$38="pvp",15,MAX(0.1,Skills!D5-IF(Skills!E5=TRUE,Inputs!$B$32,0)))*(1-IF(AND(ArtifactsInput!$M$27,Inputs!$B$4="Chapter Hunt"),CHOOSE(ArtifactsInput!$N$27+1,20,24,28,32,36,40),0)/100)))+1)),0)</f>
        <v/>
      </c>
      <c r="S1916">
        <f>IFERROR(O1916/N1916,0)</f>
        <v/>
      </c>
      <c r="T1916">
        <f>IF(C1916,(H1916*N1916*IF(AND(Inputs!$B$38&lt;&gt;"pvp",Inputs!$B$43&gt;0),((Skills!G5*((R1916-1)*IF(Skills!H5&gt;0,Skills!I5/Skills!H5,1)+IF(Skills!H5&gt;0,MIN(Skills!I5,MAX(0,MAX(0,Inputs!$B$43-B1951)-((R1916-1)*(IF(Inputs!$B$38="pvp",15,MAX(0.1,Skills!D5-IF(Skills!E5=TRUE,Inputs!$B$32,0)))*(1-IF(AND(ArtifactsInput!$M$27,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1916*(1-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1951)-((R1916-1)*(IF(Inputs!$B$38="pvp",15,MAX(0.1,Skills!D5-IF(Skills!E5=TRUE,Inputs!$B$32,0)))*(1-IF(AND(ArtifactsInput!$M$27,Inputs!$B$4="Chapter Hunt"),CHOOSE(ArtifactsInput!$N$27+1,20,24,28,32,36,40),0)/100)))))/Skills!H5,1)))/Inputs!$B$43),G1916*Q1916))*IF(Inputs!$B$38="pvp",1,(1+(Inputs!$B$21+Skills!Q5+(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Inputs!$B$3&gt;=40</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Skills!A6="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1935=TRUE)*(F1935-Calc!F24)),(Inputs!$B$23+((C1940=TRUE)*(F1940-Calc!F29))+(IF(ArtifactsInput!$M$15,CHOOSE(ArtifactsInput!$N$15+1,25,30,35,40,45,50)/100*(Inputs!$B$11-Inputs!$B$11),0))))/100+(Inputs!$B$23+((C1940=TRUE)*(F1940-Calc!F29))+(IF(ArtifactsInput!$M$15,CHOOSE(ArtifactsInput!$N$15+1,25,30,35,40,45,50)/100*(Inputs!$B$11-Inputs!$B$11),0)))/100)/2</f>
        <v/>
      </c>
      <c r="M1917">
        <f>L1917*(1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IF(B1954=0,0,O1917/B1954)</f>
        <v/>
      </c>
      <c r="Q1917">
        <f>IFERROR(1/(IF(Inputs!$B$38="pvp",15,MAX(0.1,Skills!D6-IF(Skills!E6=TRUE,Inputs!$B$32,0)))*(1-IF(AND(ArtifactsInput!$M$27,Inputs!$B$4="Chapter Hunt"),CHOOSE(ArtifactsInput!$N$27+1,20,24,28,32,36,40),0)/100)),0)</f>
        <v/>
      </c>
      <c r="R1917">
        <f>IF(AND(Inputs!$B$38&lt;&gt;"pvp",Inputs!$B$43&gt;0),IF(MAX(0,Inputs!$B$43-B1951)&lt;=0,0,(INT(MAX(0,Inputs!$B$43-B1951)/(IF(Inputs!$B$38="pvp",15,MAX(0.1,Skills!D6-IF(Skills!E6=TRUE,Inputs!$B$32,0)))*(1-IF(AND(ArtifactsInput!$M$27,Inputs!$B$4="Chapter Hunt"),CHOOSE(ArtifactsInput!$N$27+1,20,24,28,32,36,40),0)/100)))+1)),0)</f>
        <v/>
      </c>
      <c r="S1917">
        <f>IFERROR(O1917/N1917,0)</f>
        <v/>
      </c>
      <c r="T1917">
        <f>IF(C1917,(H1917*N1917*IF(AND(Inputs!$B$38&lt;&gt;"pvp",Inputs!$B$43&gt;0),((Skills!G6*((R1917-1)*IF(Skills!H6&gt;0,Skills!I6/Skills!H6,1)+IF(Skills!H6&gt;0,MIN(Skills!I6,MAX(0,MAX(0,Inputs!$B$43-B1951)-((R1917-1)*(IF(Inputs!$B$38="pvp",15,MAX(0.1,Skills!D6-IF(Skills!E6=TRUE,Inputs!$B$32,0)))*(1-IF(AND(ArtifactsInput!$M$27,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1917*(1-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1951)-((R1917-1)*(IF(Inputs!$B$38="pvp",15,MAX(0.1,Skills!D6-IF(Skills!E6=TRUE,Inputs!$B$32,0)))*(1-IF(AND(ArtifactsInput!$M$27,Inputs!$B$4="Chapter Hunt"),CHOOSE(ArtifactsInput!$N$27+1,20,24,28,32,36,40),0)/100)))))/Skills!H6,1)))/Inputs!$B$43),G1917*Q1917))*IF(Inputs!$B$38="pvp",1,(1+(Inputs!$B$21+Skills!Q6+(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t="inlineStr"/>
      <c r="H1918" t="inlineStr"/>
      <c r="I1918" t="inlineStr">
        <is>
          <t>1</t>
        </is>
      </c>
      <c r="J1918" t="inlineStr"/>
      <c r="K1918" t="inlineStr"/>
      <c r="L1918" t="inlineStr"/>
      <c r="M1918" t="inlineStr"/>
      <c r="N1918" t="inlineStr"/>
      <c r="O1918" t="inlineStr"/>
      <c r="P1918" t="inlineStr"/>
      <c r="Q1918" t="inlineStr"/>
      <c r="R1918" t="inlineStr"/>
      <c r="S1918" t="inlineStr"/>
      <c r="T1918" t="inlineStr"/>
      <c r="V1918" t="inlineStr"/>
    </row>
    <row r="1919">
      <c r="A1919">
        <f>Skills!A8</f>
        <v/>
      </c>
      <c r="B1919">
        <f>Skills!B8</f>
        <v/>
      </c>
      <c r="C1919">
        <f>Inputs!$B$3&gt;=69</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1921=TRUE,F1921,0)/100)*(1+(IF(Skills!A8="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1935=TRUE)*(F1935-Calc!F24)),(Inputs!$B$23+((C1940=TRUE)*(F1940-Calc!F29))+(IF(ArtifactsInput!$M$15,CHOOSE(ArtifactsInput!$N$15+1,25,30,35,40,45,50)/100*(Inputs!$B$11-Inputs!$B$11),0))))/100+(Inputs!$B$23+((C1940=TRUE)*(F1940-Calc!F29))+(IF(ArtifactsInput!$M$15,CHOOSE(ArtifactsInput!$N$15+1,25,30,35,40,45,50)/100*(Inputs!$B$11-Inputs!$B$11),0)))/100)/2</f>
        <v/>
      </c>
      <c r="M1919">
        <f>L1919*(1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IF(B1954=0,0,O1919/B1954)</f>
        <v/>
      </c>
      <c r="Q1919">
        <f>IFERROR(1/(IF(Inputs!$B$38="pvp",15,MAX(0.1,Skills!D8-IF(Skills!E8=TRUE,Inputs!$B$32,0)))*(1-IF(AND(ArtifactsInput!$M$27,Inputs!$B$4="Chapter Hunt"),CHOOSE(ArtifactsInput!$N$27+1,20,24,28,32,36,40),0)/100)),0)</f>
        <v/>
      </c>
      <c r="R1919">
        <f>IF(AND(Inputs!$B$38&lt;&gt;"pvp",Inputs!$B$43&gt;0),IF(MAX(0,Inputs!$B$43-B1951)&lt;=0,0,(INT(MAX(0,Inputs!$B$43-B1951)/(IF(Inputs!$B$38="pvp",15,MAX(0.1,Skills!D8-IF(Skills!E8=TRUE,Inputs!$B$32,0)))*(1-IF(AND(ArtifactsInput!$M$27,Inputs!$B$4="Chapter Hunt"),CHOOSE(ArtifactsInput!$N$27+1,20,24,28,32,36,40),0)/100)))+1)),0)</f>
        <v/>
      </c>
      <c r="S1919">
        <f>IFERROR(O1919/N1919,0)</f>
        <v/>
      </c>
      <c r="T1919">
        <f>IF(C1919,(H1919*N1919*IF(AND(Inputs!$B$38&lt;&gt;"pvp",Inputs!$B$43&gt;0),((Skills!G8*((R1919-1)*IF(Skills!H8&gt;0,Skills!I8/Skills!H8,1)+IF(Skills!H8&gt;0,MIN(Skills!I8,MAX(0,MAX(0,Inputs!$B$43-B1951)-((R1919-1)*(IF(Inputs!$B$38="pvp",15,MAX(0.1,Skills!D8-IF(Skills!E8=TRUE,Inputs!$B$32,0)))*(1-IF(AND(ArtifactsInput!$M$27,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1919*(1-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1951)-((R1919-1)*(IF(Inputs!$B$38="pvp",15,MAX(0.1,Skills!D8-IF(Skills!E8=TRUE,Inputs!$B$32,0)))*(1-IF(AND(ArtifactsInput!$M$27,Inputs!$B$4="Chapter Hunt"),CHOOSE(ArtifactsInput!$N$27+1,20,24,28,32,36,40),0)/100)))))/Skills!H8,1)))/Inputs!$B$43),G1919*Q1919))*IF(Inputs!$B$38="pvp",1,(1+(Inputs!$B$21+Skills!Q8+(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Inputs!$B$3&gt;=63</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1921=TRUE,F1921,0)/100)*(1+(IF(Skills!A9="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1935=TRUE)*(F1935-Calc!F24)),(Inputs!$B$23+((C1940=TRUE)*(F1940-Calc!F29))+(IF(ArtifactsInput!$M$15,CHOOSE(ArtifactsInput!$N$15+1,25,30,35,40,45,50)/100*(Inputs!$B$11-Inputs!$B$11),0))))/100+(Inputs!$B$23+((C1940=TRUE)*(F1940-Calc!F29))+(IF(ArtifactsInput!$M$15,CHOOSE(ArtifactsInput!$N$15+1,25,30,35,40,45,50)/100*(Inputs!$B$11-Inputs!$B$11),0)))/100)/2</f>
        <v/>
      </c>
      <c r="M1920">
        <f>L1920*(1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IF(B1954=0,0,O1920/B1954)</f>
        <v/>
      </c>
      <c r="Q1920">
        <f>IFERROR(1/(IF(Inputs!$B$38="pvp",15,MAX(0.1,Skills!D9-IF(Skills!E9=TRUE,Inputs!$B$32,0)))*(1-IF(AND(ArtifactsInput!$M$27,Inputs!$B$4="Chapter Hunt"),CHOOSE(ArtifactsInput!$N$27+1,20,24,28,32,36,40),0)/100)),0)</f>
        <v/>
      </c>
      <c r="R1920">
        <f>IF(AND(Inputs!$B$38&lt;&gt;"pvp",Inputs!$B$43&gt;0),IF(MAX(0,Inputs!$B$43-B1951)&lt;=0,0,(INT(MAX(0,Inputs!$B$43-B1951)/(IF(Inputs!$B$38="pvp",15,MAX(0.1,Skills!D9-IF(Skills!E9=TRUE,Inputs!$B$32,0)))*(1-IF(AND(ArtifactsInput!$M$27,Inputs!$B$4="Chapter Hunt"),CHOOSE(ArtifactsInput!$N$27+1,20,24,28,32,36,40),0)/100)))+1)),0)</f>
        <v/>
      </c>
      <c r="S1920">
        <f>IFERROR(O1920/N1920,0)</f>
        <v/>
      </c>
      <c r="T1920">
        <f>IF(C1920,(H1920*N1920*IF(AND(Inputs!$B$38&lt;&gt;"pvp",Inputs!$B$43&gt;0),((Skills!G9*((R1920-1)*IF(Skills!H9&gt;0,Skills!I9/Skills!H9,1)+IF(Skills!H9&gt;0,MIN(Skills!I9,MAX(0,MAX(0,Inputs!$B$43-B1951)-((R1920-1)*(IF(Inputs!$B$38="pvp",15,MAX(0.1,Skills!D9-IF(Skills!E9=TRUE,Inputs!$B$32,0)))*(1-IF(AND(ArtifactsInput!$M$27,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1920*(1-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1951)-((R1920-1)*(IF(Inputs!$B$38="pvp",15,MAX(0.1,Skills!D9-IF(Skills!E9=TRUE,Inputs!$B$32,0)))*(1-IF(AND(ArtifactsInput!$M$27,Inputs!$B$4="Chapter Hunt"),CHOOSE(ArtifactsInput!$N$27+1,20,24,28,32,36,40),0)/100)))))/Skills!H9,1)))/Inputs!$B$43),G1920*Q1920))*IF(Inputs!$B$38="pvp",1,(1+(Inputs!$B$21+Skills!Q9+(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Inputs!$B$3&gt;=100</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t="inlineStr"/>
      <c r="H1921" t="inlineStr"/>
      <c r="I1921" t="inlineStr">
        <is>
          <t>1</t>
        </is>
      </c>
      <c r="J1921" t="inlineStr"/>
      <c r="K1921" t="inlineStr"/>
      <c r="L1921" t="inlineStr"/>
      <c r="M1921" t="inlineStr"/>
      <c r="N1921" t="inlineStr"/>
      <c r="O1921" t="inlineStr"/>
      <c r="P1921" t="inlineStr"/>
      <c r="Q1921" t="inlineStr"/>
      <c r="R1921" t="inlineStr"/>
      <c r="S1921" t="inlineStr"/>
      <c r="T1921" t="inlineStr"/>
      <c r="V1921" t="inlineStr"/>
    </row>
    <row r="1922">
      <c r="A1922">
        <f>Skills!A11</f>
        <v/>
      </c>
      <c r="B1922">
        <f>Skills!B11</f>
        <v/>
      </c>
      <c r="C1922">
        <f>Inputs!$B$3&gt;=60</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1923=TRUE,F1923,0)/100)*(1+(IF(Skills!A11="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1935=TRUE)*(F1935-Calc!F24)),(Inputs!$B$23+((C1940=TRUE)*(F1940-Calc!F29))+(IF(ArtifactsInput!$M$15,CHOOSE(ArtifactsInput!$N$15+1,25,30,35,40,45,50)/100*(Inputs!$B$11-Inputs!$B$11),0))))/100+(Inputs!$B$23+((C1940=TRUE)*(F1940-Calc!F29))+(IF(ArtifactsInput!$M$15,CHOOSE(ArtifactsInput!$N$15+1,25,30,35,40,45,50)/100*(Inputs!$B$11-Inputs!$B$11),0)))/100)/2</f>
        <v/>
      </c>
      <c r="M1922">
        <f>L1922*(1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IF(B1954=0,0,O1922/B1954)</f>
        <v/>
      </c>
      <c r="Q1922">
        <f>IFERROR(1/(IF(Inputs!$B$38="pvp",15,MAX(0.1,Skills!D11-IF(Skills!E11=TRUE,Inputs!$B$32,0)))*(1-IF(AND(ArtifactsInput!$M$27,Inputs!$B$4="Chapter Hunt"),CHOOSE(ArtifactsInput!$N$27+1,20,24,28,32,36,40),0)/100)),0)</f>
        <v/>
      </c>
      <c r="R1922">
        <f>IF(AND(Inputs!$B$38&lt;&gt;"pvp",Inputs!$B$43&gt;0),IF(MAX(0,Inputs!$B$43-B1951)&lt;=0,0,(INT(MAX(0,Inputs!$B$43-B1951)/(IF(Inputs!$B$38="pvp",15,MAX(0.1,Skills!D11-IF(Skills!E11=TRUE,Inputs!$B$32,0)))*(1-IF(AND(ArtifactsInput!$M$27,Inputs!$B$4="Chapter Hunt"),CHOOSE(ArtifactsInput!$N$27+1,20,24,28,32,36,40),0)/100)))+1)),0)</f>
        <v/>
      </c>
      <c r="S1922">
        <f>IFERROR(O1922/N1922,0)</f>
        <v/>
      </c>
      <c r="T1922">
        <f>IF(C1922,(H1922*N1922*IF(AND(Inputs!$B$38&lt;&gt;"pvp",Inputs!$B$43&gt;0),((Skills!G11*((R1922-1)*IF(Skills!H11&gt;0,Skills!I11/Skills!H11,1)+IF(Skills!H11&gt;0,MIN(Skills!I11,MAX(0,MAX(0,Inputs!$B$43-B1951)-((R1922-1)*(IF(Inputs!$B$38="pvp",15,MAX(0.1,Skills!D11-IF(Skills!E11=TRUE,Inputs!$B$32,0)))*(1-IF(AND(ArtifactsInput!$M$27,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1922*(1-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1951)-((R1922-1)*(IF(Inputs!$B$38="pvp",15,MAX(0.1,Skills!D11-IF(Skills!E11=TRUE,Inputs!$B$32,0)))*(1-IF(AND(ArtifactsInput!$M$27,Inputs!$B$4="Chapter Hunt"),CHOOSE(ArtifactsInput!$N$27+1,20,24,28,32,36,40),0)/100)))))/Skills!H11,1)))/Inputs!$B$43),G1922*Q1922))*IF(Inputs!$B$38="pvp",1,(1+(Inputs!$B$21+Skills!Q11+(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Inputs!$B$3&gt;=110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T1923" t="inlineStr"/>
      <c r="V1923" t="inlineStr"/>
    </row>
    <row r="1924">
      <c r="A1924">
        <f>Skills!A13</f>
        <v/>
      </c>
      <c r="B1924">
        <f>Skills!B13</f>
        <v/>
      </c>
      <c r="C1924">
        <f>Inputs!$B$3&gt;=74</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IF(B1954=0,0,O1924/B1954)</f>
        <v/>
      </c>
      <c r="Q1924" t="n">
        <v>0</v>
      </c>
      <c r="R1924" t="n">
        <v>0</v>
      </c>
      <c r="S1924">
        <f>IFERROR(O1924/N1924,0)</f>
        <v/>
      </c>
      <c r="T1924" t="n">
        <v>0</v>
      </c>
      <c r="V1924" t="n">
        <v>0</v>
      </c>
    </row>
    <row r="1925">
      <c r="A1925">
        <f>Skills!A14</f>
        <v/>
      </c>
      <c r="B1925">
        <f>Skills!B14</f>
        <v/>
      </c>
      <c r="C1925">
        <f>Inputs!$B$3&gt;=74</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IF(B1954=0,0,O1925/B1954)</f>
        <v/>
      </c>
      <c r="Q1925" t="n">
        <v>0</v>
      </c>
      <c r="R1925" t="n">
        <v>0</v>
      </c>
      <c r="S1925">
        <f>IFERROR(O1925/N1925,0)</f>
        <v/>
      </c>
      <c r="T1925" t="n">
        <v>0</v>
      </c>
      <c r="V1925" t="n">
        <v>0</v>
      </c>
    </row>
    <row r="1926">
      <c r="A1926">
        <f>Skills!A15</f>
        <v/>
      </c>
      <c r="B1926">
        <f>Skills!B15</f>
        <v/>
      </c>
      <c r="C1926">
        <f>Inputs!$B$3&gt;=117</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IF(B1954=0,0,O1926/B1954)</f>
        <v/>
      </c>
      <c r="Q1926">
        <f>IFERROR(1/(IF(Inputs!$B$38="pvp",15,MAX(0.1,Skills!D15-IF(Skills!E15=TRUE,Inputs!$B$32,0)))*(1-IF(AND(ArtifactsInput!$M$27,Inputs!$B$4="Chapter Hunt"),CHOOSE(ArtifactsInput!$N$27+1,20,24,28,32,36,40),0)/100)),0)</f>
        <v/>
      </c>
      <c r="R1926">
        <f>IF(AND(Inputs!$B$38&lt;&gt;"pvp",Inputs!$B$43&gt;0),IF(Inputs!$B$43&lt;=0,0,(INT(Inputs!$B$43/(IF(Inputs!$B$38="pvp",15,MAX(0.1,Skills!D15-IF(Skills!E15=TRUE,Inputs!$B$32,0)))*(1-IF(AND(ArtifactsInput!$M$27,Inputs!$B$4="Chapter Hunt"),CHOOSE(ArtifactsInput!$N$27+1,20,24,28,32,36,40),0)/100)))+1)),0)</f>
        <v/>
      </c>
      <c r="S1926">
        <f>IFERROR(O1926/N1926,0)</f>
        <v/>
      </c>
      <c r="T1926" t="n">
        <v>0</v>
      </c>
      <c r="V1926" t="n">
        <v>0</v>
      </c>
    </row>
    <row r="1927">
      <c r="A1927">
        <f>Skills!A16</f>
        <v/>
      </c>
      <c r="B1927">
        <f>Skills!B16</f>
        <v/>
      </c>
      <c r="C1927">
        <f>Inputs!$B$3&gt;=115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IF(B1954=0,0,O1927/B1954)</f>
        <v/>
      </c>
      <c r="Q1927">
        <f>IFERROR(1/(IF(Inputs!$B$38="pvp",15,MAX(0.1,Skills!D16-IF(Skills!E16=TRUE,Inputs!$B$32,0)))*(1-IF(AND(ArtifactsInput!$M$27,Inputs!$B$4="Chapter Hunt"),CHOOSE(ArtifactsInput!$N$27+1,20,24,28,32,36,40),0)/100)),0)</f>
        <v/>
      </c>
      <c r="R1927">
        <f>IF(AND(Inputs!$B$38&lt;&gt;"pvp",Inputs!$B$43&gt;0),IF(Inputs!$B$43&lt;=0,0,(INT(Inputs!$B$43/(IF(Inputs!$B$38="pvp",15,MAX(0.1,Skills!D16-IF(Skills!E16=TRUE,Inputs!$B$32,0)))*(1-IF(AND(ArtifactsInput!$M$27,Inputs!$B$4="Chapter Hunt"),CHOOSE(ArtifactsInput!$N$27+1,20,24,28,32,36,40),0)/100)))+1)),0)</f>
        <v/>
      </c>
      <c r="S1927">
        <f>IFERROR(O1927/N1927,0)</f>
        <v/>
      </c>
      <c r="T1927" t="n">
        <v>0</v>
      </c>
      <c r="V1927" t="n">
        <v>0</v>
      </c>
    </row>
    <row r="1928">
      <c r="A1928">
        <f>Skills!A17</f>
        <v/>
      </c>
      <c r="B1928">
        <f>Skills!B17</f>
        <v/>
      </c>
      <c r="C1928">
        <f>Inputs!$B$3&gt;=66</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IF(B1954=0,0,O1928/B1954)</f>
        <v/>
      </c>
      <c r="Q1928" t="n">
        <v>0</v>
      </c>
      <c r="R1928" t="n">
        <v>0</v>
      </c>
      <c r="S1928">
        <f>IFERROR(O1928/N1928,0)</f>
        <v/>
      </c>
      <c r="T1928" t="n">
        <v>0</v>
      </c>
      <c r="V1928" t="n">
        <v>0</v>
      </c>
    </row>
    <row r="1929">
      <c r="A1929">
        <f>Skills!A18</f>
        <v/>
      </c>
      <c r="B1929">
        <f>Skills!B18</f>
        <v/>
      </c>
      <c r="C1929">
        <f>Inputs!$B$3&gt;=72</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IF(B1954=0,0,O1929/B1954)</f>
        <v/>
      </c>
      <c r="Q1929" t="n">
        <v>0</v>
      </c>
      <c r="R1929" t="n">
        <v>0</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IF(B1954=0,0,O1930/B1954)</f>
        <v/>
      </c>
      <c r="Q1930">
        <f>IFERROR(1/(IF(Inputs!$B$38="pvp",15,MAX(0.1,Skills!D19-IF(Skills!E19=TRUE,Inputs!$B$32,0)))*(1-IF(AND(ArtifactsInput!$M$27,Inputs!$B$4="Chapter Hunt"),CHOOSE(ArtifactsInput!$N$27+1,20,24,28,32,36,40),0)/100)),0)</f>
        <v/>
      </c>
      <c r="R1930">
        <f>IF(AND(Inputs!$B$38&lt;&gt;"pvp",Inputs!$B$43&gt;0),IF(Inputs!$B$43&lt;=0,0,(INT(Inputs!$B$43/(IF(Inputs!$B$38="pvp",15,MAX(0.1,Skills!D19-IF(Skills!E19=TRUE,Inputs!$B$32,0)))*(1-IF(AND(ArtifactsInput!$M$27,Inputs!$B$4="Chapter Hunt"),CHOOSE(ArtifactsInput!$N$27+1,20,24,28,32,36,40),0)/100)))+1)),0)</f>
        <v/>
      </c>
      <c r="S1930">
        <f>IFERROR(O1930/N1930,0)</f>
        <v/>
      </c>
      <c r="T1930" t="n">
        <v>0</v>
      </c>
      <c r="V1930" t="n">
        <v>0</v>
      </c>
    </row>
    <row r="1931">
      <c r="A1931">
        <f>Skills!A20</f>
        <v/>
      </c>
      <c r="B1931">
        <f>Skills!B20</f>
        <v/>
      </c>
      <c r="C1931">
        <f>Inputs!$B$3&gt;=15</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IF(B1954=0,0,O1931/B1954)</f>
        <v/>
      </c>
      <c r="Q1931" t="n">
        <v>0</v>
      </c>
      <c r="R1931" t="n">
        <v>0</v>
      </c>
      <c r="S1931">
        <f>IFERROR(O1931/N1931,0)</f>
        <v/>
      </c>
      <c r="T1931" t="n">
        <v>0</v>
      </c>
      <c r="V1931" t="n">
        <v>0</v>
      </c>
    </row>
    <row r="1932">
      <c r="A1932">
        <f>Skills!A21</f>
        <v/>
      </c>
      <c r="B1932">
        <f>Skills!B21</f>
        <v/>
      </c>
      <c r="C1932">
        <f>Inputs!$B$3&gt;=10</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IF(B1954=0,0,O1932/B1954)</f>
        <v/>
      </c>
      <c r="Q1932" t="n">
        <v>0</v>
      </c>
      <c r="R1932" t="n">
        <v>0</v>
      </c>
      <c r="S1932">
        <f>IFERROR(O1932/N1932,0)</f>
        <v/>
      </c>
      <c r="T1932" t="n">
        <v>0</v>
      </c>
      <c r="V1932" t="n">
        <v>0</v>
      </c>
    </row>
    <row r="1933">
      <c r="A1933">
        <f>Skills!A22</f>
        <v/>
      </c>
      <c r="B1933">
        <f>Skills!B22</f>
        <v/>
      </c>
      <c r="C1933">
        <f>Inputs!$B$3&gt;=33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IF(B1954=0,0,O1933/B1954)</f>
        <v/>
      </c>
      <c r="Q1933" t="n">
        <v>0</v>
      </c>
      <c r="R1933" t="n">
        <v>0</v>
      </c>
      <c r="S1933">
        <f>IFERROR(O1933/N1933,0)</f>
        <v/>
      </c>
      <c r="T1933" t="n">
        <v>0</v>
      </c>
      <c r="V1933" t="n">
        <v>0</v>
      </c>
    </row>
    <row r="1934">
      <c r="A1934">
        <f>Skills!A23</f>
        <v/>
      </c>
      <c r="B1934">
        <f>Skills!B23</f>
        <v/>
      </c>
      <c r="C1934">
        <f>Inputs!$B$3&gt;=38</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IF(B1954=0,0,O1934/B1954)</f>
        <v/>
      </c>
      <c r="Q1934" t="n">
        <v>0</v>
      </c>
      <c r="R1934" t="n">
        <v>0</v>
      </c>
      <c r="S1934">
        <f>IFERROR(O1934/N1934,0)</f>
        <v/>
      </c>
      <c r="T1934" t="n">
        <v>0</v>
      </c>
      <c r="V1934" t="n">
        <v>0</v>
      </c>
    </row>
    <row r="1935">
      <c r="A1935">
        <f>Skills!A24</f>
        <v/>
      </c>
      <c r="B1935">
        <f>Skills!B24</f>
        <v/>
      </c>
      <c r="C1935">
        <f>Inputs!$B$3&gt;=43</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IF(B1954=0,0,O1935/B1954)</f>
        <v/>
      </c>
      <c r="Q1935" t="n">
        <v>0</v>
      </c>
      <c r="R1935" t="n">
        <v>0</v>
      </c>
      <c r="S1935">
        <f>IFERROR(O1935/N1935,0)</f>
        <v/>
      </c>
      <c r="T1935" t="n">
        <v>0</v>
      </c>
      <c r="V1935" t="n">
        <v>0</v>
      </c>
    </row>
    <row r="1936">
      <c r="A1936">
        <f>Skills!A25</f>
        <v/>
      </c>
      <c r="B1936">
        <f>Skills!B25</f>
        <v/>
      </c>
      <c r="C1936">
        <f>Inputs!$B$3&gt;=75</f>
        <v/>
      </c>
      <c r="D1936">
        <f>IF(Skills!C25=1,60+Inputs!$B$25+Inputs!$B$29,IF(Skills!C25=2,90+Inputs!$B$26+Inputs!$B$29,IF(Skills!C25=3,120+Inputs!$B$27+Inputs!$B$29,MAX(0,(Inputs!$B$3-100)*3)+Inputs!$B$28+Inputs!$B$29)))</f>
        <v/>
      </c>
      <c r="E1936">
        <f>INDEX(FactorTable!$B$2:$Y$301, MATCH(ROUND(MIN(300,MAX(1,D1936)),0), FactorTable!$A$2:$A$301,0), Skills!M25+1)</f>
        <v/>
      </c>
      <c r="F1936">
        <f>IF(Skills!N25=TRUE,(Skills!L25/10)*(E1936/1000),Skills!L25/10)+Skills!O25</f>
        <v/>
      </c>
      <c r="G1936">
        <f>Skills!G25*IF(Skills!H25&gt;0,Skills!I25/Skills!H25,1)</f>
        <v/>
      </c>
      <c r="H1936">
        <f>1-(1-Skills!J25/100)^Skills!K25</f>
        <v/>
      </c>
      <c r="I1936" t="inlineStr">
        <is>
          <t>1</t>
        </is>
      </c>
      <c r="J1936" t="inlineStr"/>
      <c r="K1936" t="inlineStr"/>
      <c r="L1936" t="inlineStr"/>
      <c r="M1936" t="inlineStr"/>
      <c r="N1936" t="inlineStr"/>
      <c r="O1936">
        <f>(1-Summary!$B$11)*T1936+Summary!$B$11*V1936</f>
        <v/>
      </c>
      <c r="P1936">
        <f>IF(B1954=0,0,O1936/B1954)</f>
        <v/>
      </c>
      <c r="Q1936" t="n">
        <v>0</v>
      </c>
      <c r="R1936" t="n">
        <v>0</v>
      </c>
      <c r="S1936">
        <f>IFERROR(O1936/N1936,0)</f>
        <v/>
      </c>
      <c r="T1936" t="n">
        <v>0</v>
      </c>
      <c r="V1936" t="n">
        <v>0</v>
      </c>
    </row>
    <row r="1937">
      <c r="A1937">
        <f>Skills!A26</f>
        <v/>
      </c>
      <c r="B1937">
        <f>Skills!B26</f>
        <v/>
      </c>
      <c r="C1937">
        <f>Inputs!$B$3&gt;=125</f>
        <v/>
      </c>
      <c r="D1937">
        <f>IF(Skills!C26=1,60+Inputs!$B$25+Inputs!$B$29,IF(Skills!C26=2,90+Inputs!$B$26+Inputs!$B$29,IF(Skills!C26=3,120+Inputs!$B$27+Inputs!$B$29,MAX(0,(Inputs!$B$3-100)*3)+Inputs!$B$28+Inputs!$B$29)))</f>
        <v/>
      </c>
      <c r="E1937">
        <f>INDEX(FactorTable!$B$2:$Y$301, MATCH(ROUND(MIN(300,MAX(1,D1937)),0), FactorTable!$A$2:$A$301,0), Skills!M26+1)</f>
        <v/>
      </c>
      <c r="F1937">
        <f>IF(Skills!N26=TRUE,(Skills!L26/10)*(E1937/1000),Skills!L26/10)+Skills!O26</f>
        <v/>
      </c>
      <c r="G1937">
        <f>Skills!G26*IF(Skills!H26&gt;0,Skills!I26/Skills!H26,1)</f>
        <v/>
      </c>
      <c r="H1937">
        <f>1-(1-Skills!J26/100)^Skills!K26</f>
        <v/>
      </c>
      <c r="I1937" t="inlineStr">
        <is>
          <t>1</t>
        </is>
      </c>
      <c r="J1937" t="inlineStr"/>
      <c r="K1937" t="inlineStr"/>
      <c r="L1937" t="inlineStr"/>
      <c r="M1937" t="inlineStr"/>
      <c r="N1937" t="inlineStr"/>
      <c r="O1937">
        <f>(1-Summary!$B$11)*T1937+Summary!$B$11*V1937</f>
        <v/>
      </c>
      <c r="P1937">
        <f>IF(B1954=0,0,O1937/B1954)</f>
        <v/>
      </c>
      <c r="Q1937" t="n">
        <v>0</v>
      </c>
      <c r="R1937" t="n">
        <v>0</v>
      </c>
      <c r="S1937">
        <f>IFERROR(O1937/N1937,0)</f>
        <v/>
      </c>
      <c r="T1937" t="n">
        <v>0</v>
      </c>
      <c r="V1937" t="n">
        <v>0</v>
      </c>
    </row>
    <row r="1938">
      <c r="A1938">
        <f>Skills!A27</f>
        <v/>
      </c>
      <c r="B1938">
        <f>Skills!B27</f>
        <v/>
      </c>
      <c r="C1938">
        <f>Inputs!$B$3&gt;=125</f>
        <v/>
      </c>
      <c r="D1938">
        <f>IF(Skills!C27=1,60+Inputs!$B$25+Inputs!$B$29,IF(Skills!C27=2,90+Inputs!$B$26+Inputs!$B$29,IF(Skills!C27=3,120+Inputs!$B$27+Inputs!$B$29,MAX(0,(Inputs!$B$3-100)*3)+Inputs!$B$28+Inputs!$B$29)))</f>
        <v/>
      </c>
      <c r="E1938">
        <f>INDEX(FactorTable!$B$2:$Y$301, MATCH(ROUND(MIN(300,MAX(1,D1938)),0), FactorTable!$A$2:$A$301,0), Skills!M27+1)</f>
        <v/>
      </c>
      <c r="F1938">
        <f>IF(Skills!N27=TRUE,(Skills!L27/10)*(E1938/1000),Skills!L27/10)+Skills!O27</f>
        <v/>
      </c>
      <c r="G1938">
        <f>Skills!G27*IF(Skills!H27&gt;0,Skills!I27/Skills!H27,1)</f>
        <v/>
      </c>
      <c r="H1938">
        <f>1-(1-Skills!J27/100)^Skills!K27</f>
        <v/>
      </c>
      <c r="I1938" t="inlineStr">
        <is>
          <t>1</t>
        </is>
      </c>
      <c r="J1938" t="inlineStr"/>
      <c r="K1938" t="inlineStr"/>
      <c r="L1938" t="inlineStr"/>
      <c r="M1938" t="inlineStr"/>
      <c r="N1938" t="inlineStr"/>
      <c r="O1938">
        <f>(1-Summary!$B$11)*T1938+Summary!$B$11*V1938</f>
        <v/>
      </c>
      <c r="P1938">
        <f>IF(B1954=0,0,O1938/B1954)</f>
        <v/>
      </c>
      <c r="Q1938" t="n">
        <v>0</v>
      </c>
      <c r="R1938" t="n">
        <v>0</v>
      </c>
      <c r="S1938">
        <f>IFERROR(O1938/N1938,0)</f>
        <v/>
      </c>
      <c r="T1938" t="n">
        <v>0</v>
      </c>
      <c r="V1938" t="n">
        <v>0</v>
      </c>
    </row>
    <row r="1939">
      <c r="A1939">
        <f>Skills!A28</f>
        <v/>
      </c>
      <c r="B1939">
        <f>Skills!B28</f>
        <v/>
      </c>
      <c r="C1939">
        <f>Inputs!$B$3&gt;=120</f>
        <v/>
      </c>
      <c r="D1939">
        <f>IF(Skills!C28=1,60+Inputs!$B$25+Inputs!$B$29,IF(Skills!C28=2,90+Inputs!$B$26+Inputs!$B$29,IF(Skills!C28=3,120+Inputs!$B$27+Inputs!$B$29,MAX(0,(Inputs!$B$3-100)*3)+Inputs!$B$28+Inputs!$B$29)))</f>
        <v/>
      </c>
      <c r="E1939">
        <f>INDEX(FactorTable!$B$2:$Y$301, MATCH(ROUND(MIN(300,MAX(1,D1939)),0), FactorTable!$A$2:$A$301,0), Skills!M28+1)</f>
        <v/>
      </c>
      <c r="F1939">
        <f>IF(Skills!N28=TRUE,(Skills!L28/10)*(E1939/1000),Skills!L28/10)+Skills!O28</f>
        <v/>
      </c>
      <c r="G1939">
        <f>Skills!G28*IF(Skills!H28&gt;0,Skills!I28/Skills!H28,1)</f>
        <v/>
      </c>
      <c r="H1939">
        <f>1-(1-Skills!J28/100)^Skills!K28</f>
        <v/>
      </c>
      <c r="I1939" t="inlineStr">
        <is>
          <t>1</t>
        </is>
      </c>
      <c r="J1939" t="inlineStr"/>
      <c r="K1939" t="inlineStr"/>
      <c r="L1939" t="inlineStr"/>
      <c r="M1939" t="inlineStr"/>
      <c r="N1939" t="inlineStr"/>
      <c r="O1939">
        <f>(1-Summary!$B$11)*T1939+Summary!$B$11*V1939</f>
        <v/>
      </c>
      <c r="P1939">
        <f>IF(B1954=0,0,O1939/B1954)</f>
        <v/>
      </c>
      <c r="Q1939" t="n">
        <v>0</v>
      </c>
      <c r="R1939" t="n">
        <v>0</v>
      </c>
      <c r="S1939">
        <f>IFERROR(O1939/N1939,0)</f>
        <v/>
      </c>
      <c r="T1939" t="n">
        <v>0</v>
      </c>
      <c r="V1939" t="n">
        <v>0</v>
      </c>
    </row>
    <row r="1940">
      <c r="A1940">
        <f>Skills!A29</f>
        <v/>
      </c>
      <c r="B1940">
        <f>Skills!B29</f>
        <v/>
      </c>
      <c r="C1940">
        <f>Inputs!$B$3&gt;=120</f>
        <v/>
      </c>
      <c r="D1940">
        <f>IF(Skills!C29=1,60+Inputs!$B$25+Inputs!$B$29,IF(Skills!C29=2,90+Inputs!$B$26+Inputs!$B$29,IF(Skills!C29=3,120+Inputs!$B$27+Inputs!$B$29,MAX(0,(Inputs!$B$3-100)*3)+Inputs!$B$28+Inputs!$B$29)))</f>
        <v/>
      </c>
      <c r="E1940">
        <f>INDEX(FactorTable!$B$2:$Y$301, MATCH(ROUND(MIN(300,MAX(1,D1940)),0), FactorTable!$A$2:$A$301,0), Skills!M29+1)</f>
        <v/>
      </c>
      <c r="F1940">
        <f>IF(Skills!N29=TRUE,(Skills!L29/10)*(E1940/1000),Skills!L29/10)+Skills!O29</f>
        <v/>
      </c>
      <c r="G1940">
        <f>Skills!G29*IF(Skills!H29&gt;0,Skills!I29/Skills!H29,1)</f>
        <v/>
      </c>
      <c r="H1940">
        <f>1-(1-Skills!J29/100)^Skills!K29</f>
        <v/>
      </c>
      <c r="I1940" t="inlineStr">
        <is>
          <t>1</t>
        </is>
      </c>
      <c r="J1940" t="inlineStr"/>
      <c r="K1940" t="inlineStr"/>
      <c r="L1940" t="inlineStr"/>
      <c r="M1940" t="inlineStr"/>
      <c r="N1940" t="inlineStr"/>
      <c r="O1940">
        <f>(1-Summary!$B$11)*T1940+Summary!$B$11*V1940</f>
        <v/>
      </c>
      <c r="P1940">
        <f>IF(B1954=0,0,O1940/B1954)</f>
        <v/>
      </c>
      <c r="Q1940" t="n">
        <v>0</v>
      </c>
      <c r="R1940" t="n">
        <v>0</v>
      </c>
      <c r="S1940">
        <f>IFERROR(O1940/N1940,0)</f>
        <v/>
      </c>
      <c r="T1940" t="n">
        <v>0</v>
      </c>
      <c r="V1940" t="n">
        <v>0</v>
      </c>
    </row>
    <row r="1941">
      <c r="A1941">
        <f>Skills!A30</f>
        <v/>
      </c>
      <c r="B1941">
        <f>Skills!B30</f>
        <v/>
      </c>
      <c r="C1941">
        <f>Inputs!$B$3&gt;=45</f>
        <v/>
      </c>
      <c r="D1941">
        <f>IF(Skills!C30=1,60+Inputs!$B$25+Inputs!$B$29,IF(Skills!C30=2,90+Inputs!$B$26+Inputs!$B$29,IF(Skills!C30=3,120+Inputs!$B$27+Inputs!$B$29,MAX(0,(Inputs!$B$3-100)*3)+Inputs!$B$28+Inputs!$B$29)))</f>
        <v/>
      </c>
      <c r="E1941">
        <f>INDEX(FactorTable!$B$2:$Y$301, MATCH(ROUND(MIN(300,MAX(1,D1941)),0), FactorTable!$A$2:$A$301,0), Skills!M30+1)</f>
        <v/>
      </c>
      <c r="F1941">
        <f>IF(Skills!N30=TRUE,(Skills!L30/10)*(E1941/1000),Skills!L30/10)+Skills!O30</f>
        <v/>
      </c>
      <c r="G1941">
        <f>Skills!G30*IF(Skills!H30&gt;0,Skills!I30/Skills!H30,1)</f>
        <v/>
      </c>
      <c r="H1941">
        <f>1-(1-Skills!J30/100)^Skills!K30</f>
        <v/>
      </c>
      <c r="I1941" t="inlineStr">
        <is>
          <t>1</t>
        </is>
      </c>
      <c r="J1941" t="inlineStr"/>
      <c r="K1941" t="inlineStr"/>
      <c r="L1941" t="inlineStr"/>
      <c r="M1941" t="inlineStr"/>
      <c r="N1941" t="inlineStr"/>
      <c r="O1941">
        <f>(1-Summary!$B$11)*T1941+Summary!$B$11*V1941</f>
        <v/>
      </c>
      <c r="P1941">
        <f>IF(B1954=0,0,O1941/B1954)</f>
        <v/>
      </c>
      <c r="Q1941" t="n">
        <v>0</v>
      </c>
      <c r="R1941" t="n">
        <v>0</v>
      </c>
      <c r="S1941">
        <f>IFERROR(O1941/N1941,0)</f>
        <v/>
      </c>
      <c r="T1941" t="n">
        <v>0</v>
      </c>
      <c r="V1941" t="n">
        <v>0</v>
      </c>
    </row>
    <row r="1943">
      <c r="A1943" t="inlineStr">
        <is>
          <t>Attack% Bucket Multiplier</t>
        </is>
      </c>
      <c r="B1943">
        <f>(1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4">
      <c r="A1944" t="inlineStr">
        <is>
          <t>Global Crit Rate Bonus %</t>
        </is>
      </c>
      <c r="B1944">
        <f>(C1927=TRUE)*20*IF(AND(Inputs!$B$38&lt;&gt;"pvp",Inputs!$B$43&gt;0),(((R1927-1)*(Skills!T16*(1+Inputs!$B$34/100))+MIN((Skills!T16*(1+Inputs!$B$34/100)),MAX(0,Inputs!$B$43-((R1927-1)*Skills!D16))))/Inputs!$B$43),IF(Inputs!$B$38="pvp",MIN((Skills!T16*(1+Inputs!$B$34/100)),15)/15,(Skills!T16*(1+Inputs!$B$34/100))/Skills!D16))</f>
        <v/>
      </c>
    </row>
    <row r="1945">
      <c r="A1945" t="inlineStr">
        <is>
          <t>Attack Speed Buff Bonus %</t>
        </is>
      </c>
      <c r="B1945">
        <f>((C1930=TRUE)*F1930*IF(AND(Inputs!$B$38&lt;&gt;"pvp",Inputs!$B$43&gt;0),(((R1930-1)*(Skills!T19*(1+Inputs!$B$34/100))+MIN((Skills!T19*(1+Inputs!$B$34/100)),MAX(0,Inputs!$B$43-((R1930-1)*Skills!D19))))/Inputs!$B$43),IF(Inputs!$B$38="pvp",MIN((Skills!T19*(1+Inputs!$B$34/100)),15)/15,(Skills!T19*(1+Inputs!$B$34/100))/Skills!D19)))</f>
        <v/>
      </c>
    </row>
    <row r="1946">
      <c r="A1946" t="inlineStr">
        <is>
          <t>Actions Per Second</t>
        </is>
      </c>
      <c r="B1946">
        <f>1+MIN(150,150*(1-(1-(Inputs!$B$11+((C1932=TRUE)*(F1932-Calc!F21))+((C1933=TRUE)*(F1933-Calc!F22)))/150)*(1-B1945/150)))/100</f>
        <v/>
      </c>
    </row>
    <row r="1947">
      <c r="A1947" t="inlineStr">
        <is>
          <t>Skill + Buff Cast Rate</t>
        </is>
      </c>
      <c r="B1947">
        <f>IF(AND(Inputs!$B$38&lt;&gt;"pvp",Inputs!$B$43&gt;0),SUMPRODUCT((Skills!E2:E30=TRUE)*(C1913:C1941=TRUE)*R1913:R1941*Skills!F2:F30)/Inputs!$B$43,SUMPRODUCT((Skills!E2:E30=TRUE)*(C1913:C1941=TRUE)*Q1913:Q1941*Skills!F2:F30))</f>
        <v/>
      </c>
    </row>
    <row r="1948">
      <c r="A1948" t="inlineStr">
        <is>
          <t>Arrow Stream Casts Per Second</t>
        </is>
      </c>
      <c r="B1948">
        <f>MAX(0,B1946-B1947)</f>
        <v/>
      </c>
    </row>
    <row r="1949">
      <c r="A1949" t="inlineStr">
        <is>
          <t>Global Critical Damage Bonus % (Sharp Eyes + Concentration)</t>
        </is>
      </c>
      <c r="B1949">
        <f>(C1927=TRUE)*F1927*IF(AND(Inputs!$B$38&lt;&gt;"pvp",Inputs!$B$43&gt;0),(((R1927-1)*(Skills!T16*(1+Inputs!$B$34/100))+MIN((Skills!T16*(1+Inputs!$B$34/100)),MAX(0,Inputs!$B$43-((R1927-1)*Skills!D16))))/Inputs!$B$43),IF(Inputs!$B$38="pvp",MIN((Skills!T16*(1+Inputs!$B$34/100)),15)/15,(Skills!T16*(1+Inputs!$B$34/100))/Skills!D16))+(C1928=TRUE)*30</f>
        <v/>
      </c>
    </row>
    <row r="1950">
      <c r="A1950" t="inlineStr">
        <is>
          <t>Global Final Damage Bonus % (Mortal Blow)</t>
        </is>
      </c>
      <c r="B1950">
        <f>(C1929=TRUE)*F1929</f>
        <v/>
      </c>
    </row>
    <row r="1951">
      <c r="A1951" t="inlineStr">
        <is>
          <t>Buff-Casting Startup Delay (s, fixed-duration only)</t>
        </is>
      </c>
      <c r="B1951">
        <f>IF(AND(Inputs!$B$38&lt;&gt;"pvp",Inputs!$B$43&gt;0),SUMPRODUCT((Skills!T2:T30&gt;0)*(Skills!E2:E30=TRUE)*(C1913:C1941=TRUE))/B1946,0)</f>
        <v/>
      </c>
    </row>
    <row r="1952">
      <c r="A1952" t="inlineStr">
        <is>
          <t>Boss-Only Total DPS (this block's swept value)</t>
        </is>
      </c>
      <c r="B1952">
        <f>SUM(T1913:T1941)</f>
        <v/>
      </c>
    </row>
    <row r="1953">
      <c r="A1953" t="inlineStr">
        <is>
          <t>Normal-Only Total DPS (this block's swept value)</t>
        </is>
      </c>
      <c r="B1953">
        <f>SUM(V1913:V1941)</f>
        <v/>
      </c>
    </row>
    <row r="1954">
      <c r="A1954" s="6" t="inlineStr">
        <is>
          <t>TOTAL DPS</t>
        </is>
      </c>
      <c r="B1954" s="6">
        <f>SUM(O1913:O1941)</f>
        <v/>
      </c>
    </row>
    <row r="1957">
      <c r="A1957" s="6" t="inlineStr">
        <is>
          <t>Stat: Silver Pendant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Skills!G2*IF(Skills!H2&gt;0,Skills!I2/Skills!H2,1)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1981=TRUE)*(F1981-Calc!F24)),(Inputs!$B$23+((C1986=TRUE)*(F1986-Calc!F29))+(IF(ArtifactsInput!$M$15,CHOOSE(ArtifactsInput!$N$15+1,25,30,35,40,45,50)/100*(Inputs!$B$11-Inputs!$B$11),0))))/100+(Inputs!$B$23+((C1986=TRUE)*(F1986-Calc!F29))+(IF(ArtifactsInput!$M$15,CHOOSE(ArtifactsInput!$N$15+1,25,30,35,40,45,50)/100*(Inputs!$B$11-Inputs!$B$11),0)))/100)/2</f>
        <v/>
      </c>
      <c r="M1959">
        <f>L1959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IF(B2000=0,0,O1959/B2000)</f>
        <v/>
      </c>
      <c r="Q1959" t="n">
        <v>0</v>
      </c>
      <c r="R1959" t="n">
        <v>0</v>
      </c>
      <c r="S1959">
        <f>IFERROR(O1959/N1959,0)</f>
        <v/>
      </c>
      <c r="T1959">
        <f>IF(C1959,(Skills!G2*N1959*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1959*(1-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MAX(0,(Inputs!$B$3-100)*3)+Inputs!$B$28+Inputs!$B$29</f>
        <v/>
      </c>
      <c r="V1959">
        <f>IF(C1959,(Skills!G2*N1959*B1994)*IF(Inputs!$B$38="pvp",1,(1+(Inputs!$B$21+Skills!Q2+(IF(ArtifactsInput!$M$33,CHOOSE(ArtifactsInput!$N$33+1,30,36,42,48,54,60),0))+(IF(AND(ArtifactsInput!$M$35,Inputs!$B$4&lt;&gt;"Chapter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Skills!A3</f>
        <v/>
      </c>
      <c r="B1960">
        <f>Skills!B3</f>
        <v/>
      </c>
      <c r="C1960">
        <f>Inputs!$B$3&gt;=50</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t="inlineStr"/>
      <c r="H1960" t="inlineStr"/>
      <c r="I1960" t="inlineStr">
        <is>
          <t>1</t>
        </is>
      </c>
      <c r="J1960" t="inlineStr"/>
      <c r="K1960" t="inlineStr"/>
      <c r="L1960" t="inlineStr"/>
      <c r="M1960" t="inlineStr"/>
      <c r="N1960" t="inlineStr"/>
      <c r="O1960" t="inlineStr"/>
      <c r="P1960" t="inlineStr"/>
      <c r="Q1960" t="inlineStr"/>
      <c r="R1960" t="inlineStr"/>
      <c r="S1960" t="inlineStr"/>
      <c r="T1960" t="inlineStr"/>
      <c r="U1960">
        <f>INDEX(FactorTable!$B$2:$Y$301, MATCH(ROUND(MIN(300,MAX(1,U1959)),0), FactorTable!$A$2:$A$301,0), 22)</f>
        <v/>
      </c>
      <c r="V1960" t="inlineStr"/>
    </row>
    <row r="1961">
      <c r="A1961">
        <f>Skills!A4</f>
        <v/>
      </c>
      <c r="B1961">
        <f>Skills!B4</f>
        <v/>
      </c>
      <c r="C1961">
        <f>Inputs!$B$3&gt;=105</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t="inlineStr"/>
      <c r="H1961" t="inlineStr"/>
      <c r="I1961" t="inlineStr">
        <is>
          <t>1</t>
        </is>
      </c>
      <c r="J1961" t="inlineStr"/>
      <c r="K1961" t="inlineStr"/>
      <c r="L1961" t="inlineStr"/>
      <c r="M1961" t="inlineStr"/>
      <c r="N1961" t="inlineStr"/>
      <c r="O1961" t="inlineStr"/>
      <c r="P1961" t="inlineStr"/>
      <c r="Q1961" t="inlineStr"/>
      <c r="R1961" t="inlineStr"/>
      <c r="S1961" t="inlineStr"/>
      <c r="T1961" t="inlineStr"/>
      <c r="U1961">
        <f>290*U1960/1000</f>
        <v/>
      </c>
      <c r="V1961" t="inlineStr"/>
    </row>
    <row r="1962">
      <c r="A1962">
        <f>Skills!A5</f>
        <v/>
      </c>
      <c r="B1962">
        <f>Skills!B5</f>
        <v/>
      </c>
      <c r="C1962">
        <f>Inputs!$B$3&gt;=35</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Skills!G5*IF(Skills!H5&gt;0,Skills!I5/Skills!H5,1)</f>
        <v/>
      </c>
      <c r="H1962">
        <f>1-(1-Skills!J5/100)^Skills!K5</f>
        <v/>
      </c>
      <c r="I1962" t="inlineStr">
        <is>
          <t>1</t>
        </is>
      </c>
      <c r="J1962">
        <f>((Inputs!$B$6*(1+Inputs!$B$7/100))+(((Inputs!$B$12*(1+Inputs!$B$13/100))-(Inputs!$B$12*(1+Inputs!$B$13/100)))+0.25*(Inputs!$B$14-Inputs!$B$14))*(1+Inputs!$B$7/100))*(F1962/100)</f>
        <v/>
      </c>
      <c r="K1962">
        <f>J1962*(1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1967=TRUE,F1967,0)/100)*(1+(IF(Skills!A5="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1981=TRUE)*(F1981-Calc!F24)),(Inputs!$B$23+((C1986=TRUE)*(F1986-Calc!F29))+(IF(ArtifactsInput!$M$15,CHOOSE(ArtifactsInput!$N$15+1,25,30,35,40,45,50)/100*(Inputs!$B$11-Inputs!$B$11),0))))/100+(Inputs!$B$23+((C1986=TRUE)*(F1986-Calc!F29))+(IF(ArtifactsInput!$M$15,CHOOSE(ArtifactsInput!$N$15+1,25,30,35,40,45,50)/100*(Inputs!$B$11-Inputs!$B$11),0)))/100)/2</f>
        <v/>
      </c>
      <c r="M1962">
        <f>L1962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IF(B2000=0,0,O1962/B2000)</f>
        <v/>
      </c>
      <c r="Q1962">
        <f>IFERROR(1/(IF(Inputs!$B$38="pvp",15,MAX(0.1,Skills!D5-IF(Skills!E5=TRUE,Inputs!$B$32,0)))*(1-IF(AND(ArtifactsInput!$M$27,Inputs!$B$4="Chapter Hunt"),CHOOSE(ArtifactsInput!$N$27+1,20,24,28,32,36,40),0)/100)),0)</f>
        <v/>
      </c>
      <c r="R1962">
        <f>IF(AND(Inputs!$B$38&lt;&gt;"pvp",Inputs!$B$43&gt;0),IF(MAX(0,Inputs!$B$43-B1997)&lt;=0,0,(INT(MAX(0,Inputs!$B$43-B1997)/(IF(Inputs!$B$38="pvp",15,MAX(0.1,Skills!D5-IF(Skills!E5=TRUE,Inputs!$B$32,0)))*(1-IF(AND(ArtifactsInput!$M$27,Inputs!$B$4="Chapter Hunt"),CHOOSE(ArtifactsInput!$N$27+1,20,24,28,32,36,40),0)/100)))+1)),0)</f>
        <v/>
      </c>
      <c r="S1962">
        <f>IFERROR(O1962/N1962,0)</f>
        <v/>
      </c>
      <c r="T1962">
        <f>IF(C1962,(H1962*N1962*IF(AND(Inputs!$B$38&lt;&gt;"pvp",Inputs!$B$43&gt;0),((Skills!G5*((R1962-1)*IF(Skills!H5&gt;0,Skills!I5/Skills!H5,1)+IF(Skills!H5&gt;0,MIN(Skills!I5,MAX(0,MAX(0,Inputs!$B$43-B1997)-((R1962-1)*(IF(Inputs!$B$38="pvp",15,MAX(0.1,Skills!D5-IF(Skills!E5=TRUE,Inputs!$B$32,0)))*(1-IF(AND(ArtifactsInput!$M$27,Inputs!$B$4="Chapter Hunt"),CHOOSE(ArtifactsInput!$N$27+1,20,24,28,32,36,40),0)/100)))))/Skills!H5,1)))/Inputs!$B$43),G1962*Q1962)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1962*(1-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5*((R1962-1)*IF(Skills!H5&gt;0,Skills!I5/Skills!H5,1)+IF(Skills!H5&gt;0,MIN(Skills!I5,MAX(0,MAX(0,Inputs!$B$43-B1997)-((R1962-1)*(IF(Inputs!$B$38="pvp",15,MAX(0.1,Skills!D5-IF(Skills!E5=TRUE,Inputs!$B$32,0)))*(1-IF(AND(ArtifactsInput!$M$27,Inputs!$B$4="Chapter Hunt"),CHOOSE(ArtifactsInput!$N$27+1,20,24,28,32,36,40),0)/100)))))/Skills!H5,1)))/Inputs!$B$43),G1962*Q1962))*IF(Inputs!$B$38="pvp",1,(1+(Inputs!$B$21+Skills!Q5+(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Skills!A6</f>
        <v/>
      </c>
      <c r="B1963">
        <f>Skills!B6</f>
        <v/>
      </c>
      <c r="C1963">
        <f>Inputs!$B$3&gt;=40</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Skills!G6*IF(Skills!H6&gt;0,Skills!I6/Skills!H6,1)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6="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1981=TRUE)*(F1981-Calc!F24)),(Inputs!$B$23+((C1986=TRUE)*(F1986-Calc!F29))+(IF(ArtifactsInput!$M$15,CHOOSE(ArtifactsInput!$N$15+1,25,30,35,40,45,50)/100*(Inputs!$B$11-Inputs!$B$11),0))))/100+(Inputs!$B$23+((C1986=TRUE)*(F1986-Calc!F29))+(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f>IFERROR(1/(IF(Inputs!$B$38="pvp",15,MAX(0.1,Skills!D6-IF(Skills!E6=TRUE,Inputs!$B$32,0)))*(1-IF(AND(ArtifactsInput!$M$27,Inputs!$B$4="Chapter Hunt"),CHOOSE(ArtifactsInput!$N$27+1,20,24,28,32,36,40),0)/100)),0)</f>
        <v/>
      </c>
      <c r="R1963">
        <f>IF(AND(Inputs!$B$38&lt;&gt;"pvp",Inputs!$B$43&gt;0),IF(MAX(0,Inputs!$B$43-B1997)&lt;=0,0,(INT(MAX(0,Inputs!$B$43-B1997)/(IF(Inputs!$B$38="pvp",15,MAX(0.1,Skills!D6-IF(Skills!E6=TRUE,Inputs!$B$32,0)))*(1-IF(AND(ArtifactsInput!$M$27,Inputs!$B$4="Chapter Hunt"),CHOOSE(ArtifactsInput!$N$27+1,20,24,28,32,36,40),0)/100)))+1)),0)</f>
        <v/>
      </c>
      <c r="S1963">
        <f>IFERROR(O1963/N1963,0)</f>
        <v/>
      </c>
      <c r="T1963">
        <f>IF(C1963,(H1963*N1963*IF(AND(Inputs!$B$38&lt;&gt;"pvp",Inputs!$B$43&gt;0),((Skills!G6*((R1963-1)*IF(Skills!H6&gt;0,Skills!I6/Skills!H6,1)+IF(Skills!H6&gt;0,MIN(Skills!I6,MAX(0,MAX(0,Inputs!$B$43-B1997)-((R1963-1)*(IF(Inputs!$B$38="pvp",15,MAX(0.1,Skills!D6-IF(Skills!E6=TRUE,Inputs!$B$32,0)))*(1-IF(AND(ArtifactsInput!$M$27,Inputs!$B$4="Chapter Hunt"),CHOOSE(ArtifactsInput!$N$27+1,20,24,28,32,36,40),0)/100)))))/Skills!H6,1)))/Inputs!$B$43),G1963*Q1963)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1963*(1-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6*((R1963-1)*IF(Skills!H6&gt;0,Skills!I6/Skills!H6,1)+IF(Skills!H6&gt;0,MIN(Skills!I6,MAX(0,MAX(0,Inputs!$B$43-B1997)-((R1963-1)*(IF(Inputs!$B$38="pvp",15,MAX(0.1,Skills!D6-IF(Skills!E6=TRUE,Inputs!$B$32,0)))*(1-IF(AND(ArtifactsInput!$M$27,Inputs!$B$4="Chapter Hunt"),CHOOSE(ArtifactsInput!$N$27+1,20,24,28,32,36,40),0)/100)))))/Skills!H6,1)))/Inputs!$B$43),G1963*Q1963))*IF(Inputs!$B$38="pvp",1,(1+(Inputs!$B$21+Skills!Q6+(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Skills!A7</f>
        <v/>
      </c>
      <c r="B1964">
        <f>Skills!B7</f>
        <v/>
      </c>
      <c r="C1964">
        <f>Inputs!$B$3&gt;=107</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Skills!A8</f>
        <v/>
      </c>
      <c r="B1965">
        <f>Skills!B8</f>
        <v/>
      </c>
      <c r="C1965">
        <f>Inputs!$B$3&gt;=69</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Skills!G8*IF(Skills!H8&gt;0,Skills!I8/Skills!H8,1)</f>
        <v/>
      </c>
      <c r="H1965">
        <f>1-(1-Skills!J8/100)^Skills!K8</f>
        <v/>
      </c>
      <c r="I1965" t="inlineStr">
        <is>
          <t>1</t>
        </is>
      </c>
      <c r="J1965">
        <f>((Inputs!$B$6*(1+Inputs!$B$7/100))+(((Inputs!$B$12*(1+Inputs!$B$13/100))-(Inputs!$B$12*(1+Inputs!$B$13/100)))+0.25*(Inputs!$B$14-Inputs!$B$14))*(1+Inputs!$B$7/100))*(F1965/100)</f>
        <v/>
      </c>
      <c r="K1965">
        <f>J1965*(1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1967=TRUE,F1967,0)/100)*(1+(IF(Skills!A8="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1981=TRUE)*(F1981-Calc!F24)),(Inputs!$B$23+((C1986=TRUE)*(F1986-Calc!F29))+(IF(ArtifactsInput!$M$15,CHOOSE(ArtifactsInput!$N$15+1,25,30,35,40,45,50)/100*(Inputs!$B$11-Inputs!$B$11),0))))/100+(Inputs!$B$23+((C1986=TRUE)*(F1986-Calc!F29))+(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f>IFERROR(1/(IF(Inputs!$B$38="pvp",15,MAX(0.1,Skills!D8-IF(Skills!E8=TRUE,Inputs!$B$32,0)))*(1-IF(AND(ArtifactsInput!$M$27,Inputs!$B$4="Chapter Hunt"),CHOOSE(ArtifactsInput!$N$27+1,20,24,28,32,36,40),0)/100)),0)</f>
        <v/>
      </c>
      <c r="R1965">
        <f>IF(AND(Inputs!$B$38&lt;&gt;"pvp",Inputs!$B$43&gt;0),IF(MAX(0,Inputs!$B$43-B1997)&lt;=0,0,(INT(MAX(0,Inputs!$B$43-B1997)/(IF(Inputs!$B$38="pvp",15,MAX(0.1,Skills!D8-IF(Skills!E8=TRUE,Inputs!$B$32,0)))*(1-IF(AND(ArtifactsInput!$M$27,Inputs!$B$4="Chapter Hunt"),CHOOSE(ArtifactsInput!$N$27+1,20,24,28,32,36,40),0)/100)))+1)),0)</f>
        <v/>
      </c>
      <c r="S1965">
        <f>IFERROR(O1965/N1965,0)</f>
        <v/>
      </c>
      <c r="T1965">
        <f>IF(C1965,(H1965*N1965*IF(AND(Inputs!$B$38&lt;&gt;"pvp",Inputs!$B$43&gt;0),((Skills!G8*((R1965-1)*IF(Skills!H8&gt;0,Skills!I8/Skills!H8,1)+IF(Skills!H8&gt;0,MIN(Skills!I8,MAX(0,MAX(0,Inputs!$B$43-B1997)-((R1965-1)*(IF(Inputs!$B$38="pvp",15,MAX(0.1,Skills!D8-IF(Skills!E8=TRUE,Inputs!$B$32,0)))*(1-IF(AND(ArtifactsInput!$M$27,Inputs!$B$4="Chapter Hunt"),CHOOSE(ArtifactsInput!$N$27+1,20,24,28,32,36,40),0)/100)))))/Skills!H8,1)))/Inputs!$B$43),G1965*Q1965)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1965*(1-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5">
        <f>IF(C1965,(H1965*N1965*IF(AND(Inputs!$B$38&lt;&gt;"pvp",Inputs!$B$43&gt;0),((Skills!G8*((R1965-1)*IF(Skills!H8&gt;0,Skills!I8/Skills!H8,1)+IF(Skills!H8&gt;0,MIN(Skills!I8,MAX(0,MAX(0,Inputs!$B$43-B1997)-((R1965-1)*(IF(Inputs!$B$38="pvp",15,MAX(0.1,Skills!D8-IF(Skills!E8=TRUE,Inputs!$B$32,0)))*(1-IF(AND(ArtifactsInput!$M$27,Inputs!$B$4="Chapter Hunt"),CHOOSE(ArtifactsInput!$N$27+1,20,24,28,32,36,40),0)/100)))))/Skills!H8,1)))/Inputs!$B$43),G1965*Q1965))*IF(Inputs!$B$38="pvp",1,(1+(Inputs!$B$21+Skills!Q8+(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Skills!A9</f>
        <v/>
      </c>
      <c r="B1966">
        <f>Skills!B9</f>
        <v/>
      </c>
      <c r="C1966">
        <f>Inputs!$B$3&gt;=63</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Skills!G9*IF(Skills!H9&gt;0,Skills!I9/Skills!H9,1)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1967=TRUE,F1967,0)/100)*(1+(IF(Skills!A9="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1981=TRUE)*(F1981-Calc!F24)),(Inputs!$B$23+((C1986=TRUE)*(F1986-Calc!F29))+(IF(ArtifactsInput!$M$15,CHOOSE(ArtifactsInput!$N$15+1,25,30,35,40,45,50)/100*(Inputs!$B$11-Inputs!$B$11),0))))/100+(Inputs!$B$23+((C1986=TRUE)*(F1986-Calc!F29))+(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IFERROR(1/(IF(Inputs!$B$38="pvp",15,MAX(0.1,Skills!D9-IF(Skills!E9=TRUE,Inputs!$B$32,0)))*(1-IF(AND(ArtifactsInput!$M$27,Inputs!$B$4="Chapter Hunt"),CHOOSE(ArtifactsInput!$N$27+1,20,24,28,32,36,40),0)/100)),0)</f>
        <v/>
      </c>
      <c r="R1966">
        <f>IF(AND(Inputs!$B$38&lt;&gt;"pvp",Inputs!$B$43&gt;0),IF(MAX(0,Inputs!$B$43-B1997)&lt;=0,0,(INT(MAX(0,Inputs!$B$43-B1997)/(IF(Inputs!$B$38="pvp",15,MAX(0.1,Skills!D9-IF(Skills!E9=TRUE,Inputs!$B$32,0)))*(1-IF(AND(ArtifactsInput!$M$27,Inputs!$B$4="Chapter Hunt"),CHOOSE(ArtifactsInput!$N$27+1,20,24,28,32,36,40),0)/100)))+1)),0)</f>
        <v/>
      </c>
      <c r="S1966">
        <f>IFERROR(O1966/N1966,0)</f>
        <v/>
      </c>
      <c r="T1966">
        <f>IF(C1966,(H1966*N1966*IF(AND(Inputs!$B$38&lt;&gt;"pvp",Inputs!$B$43&gt;0),((Skills!G9*((R1966-1)*IF(Skills!H9&gt;0,Skills!I9/Skills!H9,1)+IF(Skills!H9&gt;0,MIN(Skills!I9,MAX(0,MAX(0,Inputs!$B$43-B1997)-((R1966-1)*(IF(Inputs!$B$38="pvp",15,MAX(0.1,Skills!D9-IF(Skills!E9=TRUE,Inputs!$B$32,0)))*(1-IF(AND(ArtifactsInput!$M$27,Inputs!$B$4="Chapter Hunt"),CHOOSE(ArtifactsInput!$N$27+1,20,24,28,32,36,40),0)/100)))))/Skills!H9,1)))/Inputs!$B$43),G1966*Q1966)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1966*(1-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9*((R1966-1)*IF(Skills!H9&gt;0,Skills!I9/Skills!H9,1)+IF(Skills!H9&gt;0,MIN(Skills!I9,MAX(0,MAX(0,Inputs!$B$43-B1997)-((R1966-1)*(IF(Inputs!$B$38="pvp",15,MAX(0.1,Skills!D9-IF(Skills!E9=TRUE,Inputs!$B$32,0)))*(1-IF(AND(ArtifactsInput!$M$27,Inputs!$B$4="Chapter Hunt"),CHOOSE(ArtifactsInput!$N$27+1,20,24,28,32,36,40),0)/100)))))/Skills!H9,1)))/Inputs!$B$43),G1966*Q1966))*IF(Inputs!$B$38="pvp",1,(1+(Inputs!$B$21+Skills!Q9+(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Skills!A10</f>
        <v/>
      </c>
      <c r="B1967">
        <f>Skills!B10</f>
        <v/>
      </c>
      <c r="C1967">
        <f>Inputs!$B$3&gt;=100</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T1967" t="inlineStr"/>
      <c r="V1967" t="inlineStr"/>
    </row>
    <row r="1968">
      <c r="A1968">
        <f>Skills!A11</f>
        <v/>
      </c>
      <c r="B1968">
        <f>Skills!B11</f>
        <v/>
      </c>
      <c r="C1968">
        <f>Inputs!$B$3&gt;=60</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Skills!G11*IF(Skills!H11&gt;0,Skills!I11/Skills!H11,1)</f>
        <v/>
      </c>
      <c r="H1968">
        <f>1-(1-Skills!J11/100)^Skills!K11</f>
        <v/>
      </c>
      <c r="I1968" t="inlineStr">
        <is>
          <t>1</t>
        </is>
      </c>
      <c r="J1968">
        <f>((Inputs!$B$6*(1+Inputs!$B$7/100))+(((Inputs!$B$12*(1+Inputs!$B$13/100))-(Inputs!$B$12*(1+Inputs!$B$13/100)))+0.25*(Inputs!$B$14-Inputs!$B$14))*(1+Inputs!$B$7/100))*(F1968/100)</f>
        <v/>
      </c>
      <c r="K1968">
        <f>J1968*(1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1969=TRUE,F1969,0)/100)*(1+(IF(Skills!A11="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1981=TRUE)*(F1981-Calc!F24)),(Inputs!$B$23+((C1986=TRUE)*(F1986-Calc!F29))+(IF(ArtifactsInput!$M$15,CHOOSE(ArtifactsInput!$N$15+1,25,30,35,40,45,50)/100*(Inputs!$B$11-Inputs!$B$11),0))))/100+(Inputs!$B$23+((C1986=TRUE)*(F1986-Calc!F29))+(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IFERROR(1/(IF(Inputs!$B$38="pvp",15,MAX(0.1,Skills!D11-IF(Skills!E11=TRUE,Inputs!$B$32,0)))*(1-IF(AND(ArtifactsInput!$M$27,Inputs!$B$4="Chapter Hunt"),CHOOSE(ArtifactsInput!$N$27+1,20,24,28,32,36,40),0)/100)),0)</f>
        <v/>
      </c>
      <c r="R1968">
        <f>IF(AND(Inputs!$B$38&lt;&gt;"pvp",Inputs!$B$43&gt;0),IF(MAX(0,Inputs!$B$43-B1997)&lt;=0,0,(INT(MAX(0,Inputs!$B$43-B1997)/(IF(Inputs!$B$38="pvp",15,MAX(0.1,Skills!D11-IF(Skills!E11=TRUE,Inputs!$B$32,0)))*(1-IF(AND(ArtifactsInput!$M$27,Inputs!$B$4="Chapter Hunt"),CHOOSE(ArtifactsInput!$N$27+1,20,24,28,32,36,40),0)/100)))+1)),0)</f>
        <v/>
      </c>
      <c r="S1968">
        <f>IFERROR(O1968/N1968,0)</f>
        <v/>
      </c>
      <c r="T1968">
        <f>IF(C1968,(H1968*N1968*IF(AND(Inputs!$B$38&lt;&gt;"pvp",Inputs!$B$43&gt;0),((Skills!G11*((R1968-1)*IF(Skills!H11&gt;0,Skills!I11/Skills!H11,1)+IF(Skills!H11&gt;0,MIN(Skills!I11,MAX(0,MAX(0,Inputs!$B$43-B1997)-((R1968-1)*(IF(Inputs!$B$38="pvp",15,MAX(0.1,Skills!D11-IF(Skills!E11=TRUE,Inputs!$B$32,0)))*(1-IF(AND(ArtifactsInput!$M$27,Inputs!$B$4="Chapter Hunt"),CHOOSE(ArtifactsInput!$N$27+1,20,24,28,32,36,40),0)/100)))))/Skills!H11,1)))/Inputs!$B$43),G1968*Q1968)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1968*(1-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11*((R1968-1)*IF(Skills!H11&gt;0,Skills!I11/Skills!H11,1)+IF(Skills!H11&gt;0,MIN(Skills!I11,MAX(0,MAX(0,Inputs!$B$43-B1997)-((R1968-1)*(IF(Inputs!$B$38="pvp",15,MAX(0.1,Skills!D11-IF(Skills!E11=TRUE,Inputs!$B$32,0)))*(1-IF(AND(ArtifactsInput!$M$27,Inputs!$B$4="Chapter Hunt"),CHOOSE(ArtifactsInput!$N$27+1,20,24,28,32,36,40),0)/100)))))/Skills!H11,1)))/Inputs!$B$43),G1968*Q1968))*IF(Inputs!$B$38="pvp",1,(1+(Inputs!$B$21+Skills!Q11+(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Skills!A12</f>
        <v/>
      </c>
      <c r="B1969">
        <f>Skills!B12</f>
        <v/>
      </c>
      <c r="C1969">
        <f>Inputs!$B$3&gt;=110</f>
        <v/>
      </c>
      <c r="D1969">
        <f>IF(Skills!C12=1,60+Inputs!$B$25+Inputs!$B$29,IF(Skills!C12=2,90+Inputs!$B$26+Inputs!$B$29,IF(Skills!C12=3,120+Inputs!$B$27+Inputs!$B$29,MAX(0,(Inputs!$B$3-100)*3)+Inputs!$B$28+Inputs!$B$29)))</f>
        <v/>
      </c>
      <c r="E1969">
        <f>INDEX(FactorTable!$B$2:$Y$301, MATCH(ROUND(MIN(300,MAX(1,D1969)),0), FactorTable!$A$2:$A$301,0), Skills!M12+1)</f>
        <v/>
      </c>
      <c r="F1969">
        <f>IF(Skills!N12=TRUE,(Skills!L12/10)*(E1969/1000),Skills!L12/10)+Skills!O12</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Skills!A13</f>
        <v/>
      </c>
      <c r="B1970">
        <f>Skills!B13</f>
        <v/>
      </c>
      <c r="C1970">
        <f>Inputs!$B$3&gt;=74</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Skills!G13*IF(Skills!H13&gt;0,Skills!I13/Skills!H13,1)</f>
        <v/>
      </c>
      <c r="H1970">
        <f>1-(1-Skills!J13/100)^Skills!K13</f>
        <v/>
      </c>
      <c r="I1970" t="inlineStr">
        <is>
          <t>1</t>
        </is>
      </c>
      <c r="J1970" t="inlineStr"/>
      <c r="K1970" t="inlineStr"/>
      <c r="L1970" t="inlineStr"/>
      <c r="M1970" t="inlineStr"/>
      <c r="N1970" t="inlineStr"/>
      <c r="O1970">
        <f>(1-Summary!$B$11)*T1970+Summary!$B$11*V1970</f>
        <v/>
      </c>
      <c r="P1970">
        <f>IF(B2000=0,0,O1970/B2000)</f>
        <v/>
      </c>
      <c r="Q1970" t="n">
        <v>0</v>
      </c>
      <c r="R1970" t="n">
        <v>0</v>
      </c>
      <c r="S1970">
        <f>IFERROR(O1970/N1970,0)</f>
        <v/>
      </c>
      <c r="T1970" t="n">
        <v>0</v>
      </c>
      <c r="V1970" t="n">
        <v>0</v>
      </c>
    </row>
    <row r="1971">
      <c r="A1971">
        <f>Skills!A14</f>
        <v/>
      </c>
      <c r="B1971">
        <f>Skills!B14</f>
        <v/>
      </c>
      <c r="C1971">
        <f>Inputs!$B$3&gt;=74</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Skills!G14*IF(Skills!H14&gt;0,Skills!I14/Skills!H14,1)</f>
        <v/>
      </c>
      <c r="H1971">
        <f>1-(1-Skills!J14/100)^Skills!K14</f>
        <v/>
      </c>
      <c r="I1971" t="inlineStr">
        <is>
          <t>1</t>
        </is>
      </c>
      <c r="J1971" t="inlineStr"/>
      <c r="K1971" t="inlineStr"/>
      <c r="L1971" t="inlineStr"/>
      <c r="M1971" t="inlineStr"/>
      <c r="N1971" t="inlineStr"/>
      <c r="O1971">
        <f>(1-Summary!$B$11)*T1971+Summary!$B$11*V1971</f>
        <v/>
      </c>
      <c r="P1971">
        <f>IF(B2000=0,0,O1971/B2000)</f>
        <v/>
      </c>
      <c r="Q1971" t="n">
        <v>0</v>
      </c>
      <c r="R1971" t="n">
        <v>0</v>
      </c>
      <c r="S1971">
        <f>IFERROR(O1971/N1971,0)</f>
        <v/>
      </c>
      <c r="T1971" t="n">
        <v>0</v>
      </c>
      <c r="V1971" t="n">
        <v>0</v>
      </c>
    </row>
    <row r="1972">
      <c r="A1972">
        <f>Skills!A15</f>
        <v/>
      </c>
      <c r="B1972">
        <f>Skills!B15</f>
        <v/>
      </c>
      <c r="C1972">
        <f>Inputs!$B$3&gt;=117</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f>Skills!G15*IF(Skills!H15&gt;0,Skills!I15/Skills!H15,1)</f>
        <v/>
      </c>
      <c r="H1972">
        <f>1-(1-Skills!J15/100)^Skills!K15</f>
        <v/>
      </c>
      <c r="I1972" t="inlineStr">
        <is>
          <t>1</t>
        </is>
      </c>
      <c r="J1972" t="inlineStr"/>
      <c r="K1972" t="inlineStr"/>
      <c r="L1972" t="inlineStr"/>
      <c r="M1972" t="inlineStr"/>
      <c r="N1972" t="inlineStr"/>
      <c r="O1972">
        <f>(1-Summary!$B$11)*T1972+Summary!$B$11*V1972</f>
        <v/>
      </c>
      <c r="P1972">
        <f>IF(B2000=0,0,O1972/B2000)</f>
        <v/>
      </c>
      <c r="Q1972">
        <f>IFERROR(1/(IF(Inputs!$B$38="pvp",15,MAX(0.1,Skills!D15-IF(Skills!E15=TRUE,Inputs!$B$32,0)))*(1-IF(AND(ArtifactsInput!$M$27,Inputs!$B$4="Chapter Hunt"),CHOOSE(ArtifactsInput!$N$27+1,20,24,28,32,36,40),0)/100)),0)</f>
        <v/>
      </c>
      <c r="R1972">
        <f>IF(AND(Inputs!$B$38&lt;&gt;"pvp",Inputs!$B$43&gt;0),IF(Inputs!$B$43&lt;=0,0,(INT(Inputs!$B$43/(IF(Inputs!$B$38="pvp",15,MAX(0.1,Skills!D15-IF(Skills!E15=TRUE,Inputs!$B$32,0)))*(1-IF(AND(ArtifactsInput!$M$27,Inputs!$B$4="Chapter Hunt"),CHOOSE(ArtifactsInput!$N$27+1,20,24,28,32,36,40),0)/100)))+1)),0)</f>
        <v/>
      </c>
      <c r="S1972">
        <f>IFERROR(O1972/N1972,0)</f>
        <v/>
      </c>
      <c r="T1972" t="n">
        <v>0</v>
      </c>
      <c r="V1972" t="n">
        <v>0</v>
      </c>
    </row>
    <row r="1973">
      <c r="A1973">
        <f>Skills!A16</f>
        <v/>
      </c>
      <c r="B1973">
        <f>Skills!B16</f>
        <v/>
      </c>
      <c r="C1973">
        <f>Inputs!$B$3&gt;=115</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f>Skills!G16*IF(Skills!H16&gt;0,Skills!I16/Skills!H16,1)</f>
        <v/>
      </c>
      <c r="H1973">
        <f>1-(1-Skills!J16/100)^Skills!K16</f>
        <v/>
      </c>
      <c r="I1973" t="inlineStr">
        <is>
          <t>1</t>
        </is>
      </c>
      <c r="J1973" t="inlineStr"/>
      <c r="K1973" t="inlineStr"/>
      <c r="L1973" t="inlineStr"/>
      <c r="M1973" t="inlineStr"/>
      <c r="N1973" t="inlineStr"/>
      <c r="O1973">
        <f>(1-Summary!$B$11)*T1973+Summary!$B$11*V1973</f>
        <v/>
      </c>
      <c r="P1973">
        <f>IF(B2000=0,0,O1973/B2000)</f>
        <v/>
      </c>
      <c r="Q1973">
        <f>IFERROR(1/(IF(Inputs!$B$38="pvp",15,MAX(0.1,Skills!D16-IF(Skills!E16=TRUE,Inputs!$B$32,0)))*(1-IF(AND(ArtifactsInput!$M$27,Inputs!$B$4="Chapter Hunt"),CHOOSE(ArtifactsInput!$N$27+1,20,24,28,32,36,40),0)/100)),0)</f>
        <v/>
      </c>
      <c r="R1973">
        <f>IF(AND(Inputs!$B$38&lt;&gt;"pvp",Inputs!$B$43&gt;0),IF(Inputs!$B$43&lt;=0,0,(INT(Inputs!$B$43/(IF(Inputs!$B$38="pvp",15,MAX(0.1,Skills!D16-IF(Skills!E16=TRUE,Inputs!$B$32,0)))*(1-IF(AND(ArtifactsInput!$M$27,Inputs!$B$4="Chapter Hunt"),CHOOSE(ArtifactsInput!$N$27+1,20,24,28,32,36,40),0)/100)))+1)),0)</f>
        <v/>
      </c>
      <c r="S1973">
        <f>IFERROR(O1973/N1973,0)</f>
        <v/>
      </c>
      <c r="T1973" t="n">
        <v>0</v>
      </c>
      <c r="V1973" t="n">
        <v>0</v>
      </c>
    </row>
    <row r="1974">
      <c r="A1974">
        <f>Skills!A17</f>
        <v/>
      </c>
      <c r="B1974">
        <f>Skills!B17</f>
        <v/>
      </c>
      <c r="C1974">
        <f>Inputs!$B$3&gt;=66</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Skills!G17*IF(Skills!H17&gt;0,Skills!I17/Skills!H17,1)</f>
        <v/>
      </c>
      <c r="H1974">
        <f>1-(1-Skills!J17/100)^Skills!K17</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Skills!A18</f>
        <v/>
      </c>
      <c r="B1975">
        <f>Skills!B18</f>
        <v/>
      </c>
      <c r="C1975">
        <f>Inputs!$B$3&gt;=72</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Skills!G18*IF(Skills!H18&gt;0,Skills!I18/Skills!H18,1)</f>
        <v/>
      </c>
      <c r="H1975">
        <f>1-(1-Skills!J18/100)^Skills!K18</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Skills!A19</f>
        <v/>
      </c>
      <c r="B1976">
        <f>Skills!B19</f>
        <v/>
      </c>
      <c r="C1976">
        <f>TRUE</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Skills!G19*IF(Skills!H19&gt;0,Skills!I19/Skills!H19,1)</f>
        <v/>
      </c>
      <c r="H1976">
        <f>1-(1-Skills!J19/100)^Skills!K19</f>
        <v/>
      </c>
      <c r="I1976" t="inlineStr">
        <is>
          <t>1</t>
        </is>
      </c>
      <c r="J1976" t="inlineStr"/>
      <c r="K1976" t="inlineStr"/>
      <c r="L1976" t="inlineStr"/>
      <c r="M1976" t="inlineStr"/>
      <c r="N1976" t="inlineStr"/>
      <c r="O1976">
        <f>(1-Summary!$B$11)*T1976+Summary!$B$11*V1976</f>
        <v/>
      </c>
      <c r="P1976">
        <f>IF(B2000=0,0,O1976/B2000)</f>
        <v/>
      </c>
      <c r="Q1976">
        <f>IFERROR(1/(IF(Inputs!$B$38="pvp",15,MAX(0.1,Skills!D19-IF(Skills!E19=TRUE,Inputs!$B$32,0)))*(1-IF(AND(ArtifactsInput!$M$27,Inputs!$B$4="Chapter Hunt"),CHOOSE(ArtifactsInput!$N$27+1,20,24,28,32,36,40),0)/100)),0)</f>
        <v/>
      </c>
      <c r="R1976">
        <f>IF(AND(Inputs!$B$38&lt;&gt;"pvp",Inputs!$B$43&gt;0),IF(Inputs!$B$43&lt;=0,0,(INT(Inputs!$B$43/(IF(Inputs!$B$38="pvp",15,MAX(0.1,Skills!D19-IF(Skills!E19=TRUE,Inputs!$B$32,0)))*(1-IF(AND(ArtifactsInput!$M$27,Inputs!$B$4="Chapter Hunt"),CHOOSE(ArtifactsInput!$N$27+1,20,24,28,32,36,40),0)/100)))+1)),0)</f>
        <v/>
      </c>
      <c r="S1976">
        <f>IFERROR(O1976/N1976,0)</f>
        <v/>
      </c>
      <c r="T1976" t="n">
        <v>0</v>
      </c>
      <c r="V1976" t="n">
        <v>0</v>
      </c>
    </row>
    <row r="1977">
      <c r="A1977">
        <f>Skills!A20</f>
        <v/>
      </c>
      <c r="B1977">
        <f>Skills!B20</f>
        <v/>
      </c>
      <c r="C1977">
        <f>Inputs!$B$3&gt;=15</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Skills!G20*IF(Skills!H20&gt;0,Skills!I20/Skills!H20,1)</f>
        <v/>
      </c>
      <c r="H1977">
        <f>1-(1-Skills!J20/100)^Skills!K20</f>
        <v/>
      </c>
      <c r="I1977" t="inlineStr">
        <is>
          <t>1</t>
        </is>
      </c>
      <c r="J1977" t="inlineStr"/>
      <c r="K1977" t="inlineStr"/>
      <c r="L1977" t="inlineStr"/>
      <c r="M1977" t="inlineStr"/>
      <c r="N1977" t="inlineStr"/>
      <c r="O1977">
        <f>(1-Summary!$B$11)*T1977+Summary!$B$11*V1977</f>
        <v/>
      </c>
      <c r="P1977">
        <f>IF(B2000=0,0,O1977/B2000)</f>
        <v/>
      </c>
      <c r="Q1977" t="n">
        <v>0</v>
      </c>
      <c r="R1977" t="n">
        <v>0</v>
      </c>
      <c r="S1977">
        <f>IFERROR(O1977/N1977,0)</f>
        <v/>
      </c>
      <c r="T1977" t="n">
        <v>0</v>
      </c>
      <c r="V1977" t="n">
        <v>0</v>
      </c>
    </row>
    <row r="1978">
      <c r="A1978">
        <f>Skills!A21</f>
        <v/>
      </c>
      <c r="B1978">
        <f>Skills!B21</f>
        <v/>
      </c>
      <c r="C1978">
        <f>Inputs!$B$3&gt;=10</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Skills!G21*IF(Skills!H21&gt;0,Skills!I21/Skills!H21,1)</f>
        <v/>
      </c>
      <c r="H1978">
        <f>1-(1-Skills!J21/100)^Skills!K21</f>
        <v/>
      </c>
      <c r="I1978" t="inlineStr">
        <is>
          <t>1</t>
        </is>
      </c>
      <c r="J1978" t="inlineStr"/>
      <c r="K1978" t="inlineStr"/>
      <c r="L1978" t="inlineStr"/>
      <c r="M1978" t="inlineStr"/>
      <c r="N1978" t="inlineStr"/>
      <c r="O1978">
        <f>(1-Summary!$B$11)*T1978+Summary!$B$11*V1978</f>
        <v/>
      </c>
      <c r="P1978">
        <f>IF(B2000=0,0,O1978/B2000)</f>
        <v/>
      </c>
      <c r="Q1978" t="n">
        <v>0</v>
      </c>
      <c r="R1978" t="n">
        <v>0</v>
      </c>
      <c r="S1978">
        <f>IFERROR(O1978/N1978,0)</f>
        <v/>
      </c>
      <c r="T1978" t="n">
        <v>0</v>
      </c>
      <c r="V1978" t="n">
        <v>0</v>
      </c>
    </row>
    <row r="1979">
      <c r="A1979">
        <f>Skills!A22</f>
        <v/>
      </c>
      <c r="B1979">
        <f>Skills!B22</f>
        <v/>
      </c>
      <c r="C1979">
        <f>Inputs!$B$3&gt;=33</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Skills!G22*IF(Skills!H22&gt;0,Skills!I22/Skills!H22,1)</f>
        <v/>
      </c>
      <c r="H1979">
        <f>1-(1-Skills!J22/100)^Skills!K22</f>
        <v/>
      </c>
      <c r="I1979" t="inlineStr">
        <is>
          <t>1</t>
        </is>
      </c>
      <c r="J1979" t="inlineStr"/>
      <c r="K1979" t="inlineStr"/>
      <c r="L1979" t="inlineStr"/>
      <c r="M1979" t="inlineStr"/>
      <c r="N1979" t="inlineStr"/>
      <c r="O1979">
        <f>(1-Summary!$B$11)*T1979+Summary!$B$11*V1979</f>
        <v/>
      </c>
      <c r="P1979">
        <f>IF(B2000=0,0,O1979/B2000)</f>
        <v/>
      </c>
      <c r="Q1979" t="n">
        <v>0</v>
      </c>
      <c r="R1979" t="n">
        <v>0</v>
      </c>
      <c r="S1979">
        <f>IFERROR(O1979/N1979,0)</f>
        <v/>
      </c>
      <c r="T1979" t="n">
        <v>0</v>
      </c>
      <c r="V1979" t="n">
        <v>0</v>
      </c>
    </row>
    <row r="1980">
      <c r="A1980">
        <f>Skills!A23</f>
        <v/>
      </c>
      <c r="B1980">
        <f>Skills!B23</f>
        <v/>
      </c>
      <c r="C1980">
        <f>Inputs!$B$3&gt;=38</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Skills!G23*IF(Skills!H23&gt;0,Skills!I23/Skills!H23,1)</f>
        <v/>
      </c>
      <c r="H1980">
        <f>1-(1-Skills!J23/100)^Skills!K23</f>
        <v/>
      </c>
      <c r="I1980" t="inlineStr">
        <is>
          <t>1</t>
        </is>
      </c>
      <c r="J1980" t="inlineStr"/>
      <c r="K1980" t="inlineStr"/>
      <c r="L1980" t="inlineStr"/>
      <c r="M1980" t="inlineStr"/>
      <c r="N1980" t="inlineStr"/>
      <c r="O1980">
        <f>(1-Summary!$B$11)*T1980+Summary!$B$11*V1980</f>
        <v/>
      </c>
      <c r="P1980">
        <f>IF(B2000=0,0,O1980/B2000)</f>
        <v/>
      </c>
      <c r="Q1980" t="n">
        <v>0</v>
      </c>
      <c r="R1980" t="n">
        <v>0</v>
      </c>
      <c r="S1980">
        <f>IFERROR(O1980/N1980,0)</f>
        <v/>
      </c>
      <c r="T1980" t="n">
        <v>0</v>
      </c>
      <c r="V1980" t="n">
        <v>0</v>
      </c>
    </row>
    <row r="1981">
      <c r="A1981">
        <f>Skills!A24</f>
        <v/>
      </c>
      <c r="B1981">
        <f>Skills!B24</f>
        <v/>
      </c>
      <c r="C1981">
        <f>Inputs!$B$3&gt;=43</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Skills!G24*IF(Skills!H24&gt;0,Skills!I24/Skills!H24,1)</f>
        <v/>
      </c>
      <c r="H1981">
        <f>1-(1-Skills!J24/100)^Skills!K24</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Skills!A25</f>
        <v/>
      </c>
      <c r="B1982">
        <f>Skills!B25</f>
        <v/>
      </c>
      <c r="C1982">
        <f>Inputs!$B$3&gt;=75</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Skills!G25*IF(Skills!H25&gt;0,Skills!I25/Skills!H25,1)</f>
        <v/>
      </c>
      <c r="H1982">
        <f>1-(1-Skills!J25/100)^Skills!K25</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Skills!A26</f>
        <v/>
      </c>
      <c r="B1983">
        <f>Skills!B26</f>
        <v/>
      </c>
      <c r="C1983">
        <f>Inputs!$B$3&gt;=125</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Skills!G26*IF(Skills!H26&gt;0,Skills!I26/Skills!H26,1)</f>
        <v/>
      </c>
      <c r="H1983">
        <f>1-(1-Skills!J26/100)^Skills!K26</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Skills!A27</f>
        <v/>
      </c>
      <c r="B1984">
        <f>Skills!B27</f>
        <v/>
      </c>
      <c r="C1984">
        <f>Inputs!$B$3&gt;=125</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Skills!G27*IF(Skills!H27&gt;0,Skills!I27/Skills!H27,1)</f>
        <v/>
      </c>
      <c r="H1984">
        <f>1-(1-Skills!J27/100)^Skills!K27</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Skills!A28</f>
        <v/>
      </c>
      <c r="B1985">
        <f>Skills!B28</f>
        <v/>
      </c>
      <c r="C1985">
        <f>Inputs!$B$3&gt;=120</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Skills!G28*IF(Skills!H28&gt;0,Skills!I28/Skills!H28,1)</f>
        <v/>
      </c>
      <c r="H1985">
        <f>1-(1-Skills!J28/100)^Skills!K28</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Skills!A29</f>
        <v/>
      </c>
      <c r="B1986">
        <f>Skills!B29</f>
        <v/>
      </c>
      <c r="C1986">
        <f>Inputs!$B$3&gt;=120</f>
        <v/>
      </c>
      <c r="D1986">
        <f>IF(Skills!C29=1,60+Inputs!$B$25+Inputs!$B$29,IF(Skills!C29=2,90+Inputs!$B$26+Inputs!$B$29,IF(Skills!C29=3,120+Inputs!$B$27+Inputs!$B$29,MAX(0,(Inputs!$B$3-100)*3)+Inputs!$B$28+Inputs!$B$29)))</f>
        <v/>
      </c>
      <c r="E1986">
        <f>INDEX(FactorTable!$B$2:$Y$301, MATCH(ROUND(MIN(300,MAX(1,D1986)),0), FactorTable!$A$2:$A$301,0), Skills!M29+1)</f>
        <v/>
      </c>
      <c r="F1986">
        <f>IF(Skills!N29=TRUE,(Skills!L29/10)*(E1986/1000),Skills!L29/10)+Skills!O29</f>
        <v/>
      </c>
      <c r="G1986">
        <f>Skills!G29*IF(Skills!H29&gt;0,Skills!I29/Skills!H29,1)</f>
        <v/>
      </c>
      <c r="H1986">
        <f>1-(1-Skills!J29/100)^Skills!K29</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Skills!A30</f>
        <v/>
      </c>
      <c r="B1987">
        <f>Skills!B30</f>
        <v/>
      </c>
      <c r="C1987">
        <f>Inputs!$B$3&gt;=45</f>
        <v/>
      </c>
      <c r="D1987">
        <f>IF(Skills!C30=1,60+Inputs!$B$25+Inputs!$B$29,IF(Skills!C30=2,90+Inputs!$B$26+Inputs!$B$29,IF(Skills!C30=3,120+Inputs!$B$27+Inputs!$B$29,MAX(0,(Inputs!$B$3-100)*3)+Inputs!$B$28+Inputs!$B$29)))</f>
        <v/>
      </c>
      <c r="E1987">
        <f>INDEX(FactorTable!$B$2:$Y$301, MATCH(ROUND(MIN(300,MAX(1,D1987)),0), FactorTable!$A$2:$A$301,0), Skills!M30+1)</f>
        <v/>
      </c>
      <c r="F1987">
        <f>IF(Skills!N30=TRUE,(Skills!L30/10)*(E1987/1000),Skills!L30/10)+Skills!O30</f>
        <v/>
      </c>
      <c r="G1987">
        <f>Skills!G30*IF(Skills!H30&gt;0,Skills!I30/Skills!H30,1)</f>
        <v/>
      </c>
      <c r="H1987">
        <f>1-(1-Skills!J30/100)^Skills!K30</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f>(C1973=TRUE)*20*IF(AND(Inputs!$B$38&lt;&gt;"pvp",Inputs!$B$43&gt;0),(((R1973-1)*(Skills!T16*(1+Inputs!$B$34/100))+MIN((Skills!T16*(1+Inputs!$B$34/100)),MAX(0,Inputs!$B$43-((R1973-1)*Skills!D16))))/Inputs!$B$43),IF(Inputs!$B$38="pvp",MIN((Skills!T16*(1+Inputs!$B$34/100)),15)/15,(Skills!T16*(1+Inputs!$B$34/100))/Skills!D16))</f>
        <v/>
      </c>
    </row>
    <row r="1991">
      <c r="A1991" t="inlineStr">
        <is>
          <t>Attack Speed Buff Bonus %</t>
        </is>
      </c>
      <c r="B1991">
        <f>((C1976=TRUE)*F1976*IF(AND(Inputs!$B$38&lt;&gt;"pvp",Inputs!$B$43&gt;0),(((R1976-1)*(Skills!T19*(1+Inputs!$B$34/100))+MIN((Skills!T19*(1+Inputs!$B$34/100)),MAX(0,Inputs!$B$43-((R1976-1)*Skills!D19))))/Inputs!$B$43),IF(Inputs!$B$38="pvp",MIN((Skills!T19*(1+Inputs!$B$34/100)),15)/15,(Skills!T19*(1+Inputs!$B$34/100))/Skills!D19)))</f>
        <v/>
      </c>
    </row>
    <row r="1992">
      <c r="A1992" t="inlineStr">
        <is>
          <t>Actions Per Second</t>
        </is>
      </c>
      <c r="B1992">
        <f>1+MIN(150,150*(1-(1-(Inputs!$B$11+((C1978=TRUE)*(F1978-Calc!F21))+((C1979=TRUE)*(F1979-Calc!F22)))/150)*(1-B1991/150)))/100</f>
        <v/>
      </c>
    </row>
    <row r="1993">
      <c r="A1993" t="inlineStr">
        <is>
          <t>Skill + Buff Cast Rate</t>
        </is>
      </c>
      <c r="B1993">
        <f>IF(AND(Inputs!$B$38&lt;&gt;"pvp",Inputs!$B$43&gt;0),SUMPRODUCT((Skills!E2:E30=TRUE)*(C1959:C1987=TRUE)*R1959:R1987*Skills!F2:F30)/Inputs!$B$43,SUMPRODUCT((Skills!E2:E30=TRUE)*(C1959:C1987=TRUE)*Q1959:Q1987*Skills!F2:F30))</f>
        <v/>
      </c>
    </row>
    <row r="1994">
      <c r="A1994" t="inlineStr">
        <is>
          <t>Arrow Stream Casts Per Second</t>
        </is>
      </c>
      <c r="B1994">
        <f>MAX(0,B1992-B1993)</f>
        <v/>
      </c>
    </row>
    <row r="1995">
      <c r="A1995" t="inlineStr">
        <is>
          <t>Global Critical Damage Bonus % (Sharp Eyes + Concentration)</t>
        </is>
      </c>
      <c r="B1995">
        <f>(C1973=TRUE)*F1973*IF(AND(Inputs!$B$38&lt;&gt;"pvp",Inputs!$B$43&gt;0),(((R1973-1)*(Skills!T16*(1+Inputs!$B$34/100))+MIN((Skills!T16*(1+Inputs!$B$34/100)),MAX(0,Inputs!$B$43-((R1973-1)*Skills!D16))))/Inputs!$B$43),IF(Inputs!$B$38="pvp",MIN((Skills!T16*(1+Inputs!$B$34/100)),15)/15,(Skills!T16*(1+Inputs!$B$34/100))/Skills!D16))+(C1974=TRUE)*30</f>
        <v/>
      </c>
    </row>
    <row r="1996">
      <c r="A1996" t="inlineStr">
        <is>
          <t>Global Final Damage Bonus % (Mortal Blow)</t>
        </is>
      </c>
      <c r="B1996">
        <f>(C1975=TRUE)*F1975</f>
        <v/>
      </c>
    </row>
    <row r="1997">
      <c r="A1997" t="inlineStr">
        <is>
          <t>Buff-Casting Startup Delay (s, fixed-duration only)</t>
        </is>
      </c>
      <c r="B1997">
        <f>IF(AND(Inputs!$B$38&lt;&gt;"pvp",Inputs!$B$43&gt;0),SUMPRODUCT((Skills!T2:T30&gt;0)*(Skills!E2:E30=TRUE)*(C1959:C1987=TRUE))/B1992,0)</f>
        <v/>
      </c>
    </row>
    <row r="1998">
      <c r="A1998" t="inlineStr">
        <is>
          <t>Boss-Only Total DPS (this block's swept value)</t>
        </is>
      </c>
      <c r="B1998">
        <f>SUM(T1959:T1987)</f>
        <v/>
      </c>
    </row>
    <row r="1999">
      <c r="A1999" t="inlineStr">
        <is>
          <t>Normal-Only Total DPS (this block's swept value)</t>
        </is>
      </c>
      <c r="B1999">
        <f>SUM(V1959:V1987)</f>
        <v/>
      </c>
    </row>
    <row r="2000">
      <c r="A2000" s="6" t="inlineStr">
        <is>
          <t>TOTAL DPS</t>
        </is>
      </c>
      <c r="B2000" s="6">
        <f>SUM(O1959:O1987)</f>
        <v/>
      </c>
    </row>
    <row r="2003">
      <c r="A2003" s="6" t="inlineStr">
        <is>
          <t>Stat: Star Rock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2027=TRUE)*(F2027-Calc!F24)),(Inputs!$B$23+((C2032=TRUE)*(F2032-Calc!F29))+(IF(ArtifactsInput!$M$15,CHOOSE(ArtifactsInput!$N$15+1,25,30,35,40,45,50)/100*(Inputs!$B$11-Inputs!$B$11),0))))/100+(Inputs!$B$23+((C2032=TRUE)*(F2032-Calc!F29))+(IF(ArtifactsInput!$M$15,CHOOSE(ArtifactsInput!$N$15+1,25,30,35,40,45,50)/100*(Inputs!$B$11-Inputs!$B$11),0)))/100)/2</f>
        <v/>
      </c>
      <c r="M2005">
        <f>L2005*(1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IF(B2046=0,0,O2005/B2046)</f>
        <v/>
      </c>
      <c r="Q2005" t="n">
        <v>0</v>
      </c>
      <c r="R2005" t="n">
        <v>0</v>
      </c>
      <c r="S2005">
        <f>IFERROR(O2005/N2005,0)</f>
        <v/>
      </c>
      <c r="T2005">
        <f>IF(C2005,(Skills!G2*N2005*B2040)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2005*(1-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IF(C2005,(Skills!G2*N2005*B2040)*IF(Inputs!$B$38="pvp",1,(1+(Inputs!$B$21+Skills!Q2+(IF(ArtifactsInput!$M$33,CHOOSE(ArtifactsInput!$N$33+1,30,36,42,48,54,60),0))+(IF(AND(ArtifactsInput!$M$35,Inputs!$B$4&lt;&gt;"Chapter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T2006" t="inlineStr"/>
      <c r="U2006">
        <f>INDEX(FactorTable!$B$2:$Y$301, MATCH(ROUND(MIN(300,MAX(1,U2005)),0), FactorTable!$A$2:$A$301,0), 22)</f>
        <v/>
      </c>
      <c r="V2006" t="inlineStr"/>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T2007" t="inlineStr"/>
      <c r="U2007">
        <f>290*U2006/1000</f>
        <v/>
      </c>
      <c r="V2007" t="inlineStr"/>
    </row>
    <row r="2008">
      <c r="A2008">
        <f>Skills!A5</f>
        <v/>
      </c>
      <c r="B2008">
        <f>Skills!B5</f>
        <v/>
      </c>
      <c r="C2008">
        <f>Inputs!$B$3&gt;=35</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2013=TRUE,F2013,0)/100)*(1+(IF(Skills!A5="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2027=TRUE)*(F2027-Calc!F24)),(Inputs!$B$23+((C2032=TRUE)*(F2032-Calc!F29))+(IF(ArtifactsInput!$M$15,CHOOSE(ArtifactsInput!$N$15+1,25,30,35,40,45,50)/100*(Inputs!$B$11-Inputs!$B$11),0))))/100+(Inputs!$B$23+((C2032=TRUE)*(F2032-Calc!F29))+(IF(ArtifactsInput!$M$15,CHOOSE(ArtifactsInput!$N$15+1,25,30,35,40,45,50)/100*(Inputs!$B$11-Inputs!$B$11),0)))/100)/2</f>
        <v/>
      </c>
      <c r="M2008">
        <f>L2008*(1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IF(B2046=0,0,O2008/B2046)</f>
        <v/>
      </c>
      <c r="Q2008">
        <f>IFERROR(1/(IF(Inputs!$B$38="pvp",15,MAX(0.1,Skills!D5-IF(Skills!E5=TRUE,Inputs!$B$32,0)))*(1-IF(AND(ArtifactsInput!$M$27,Inputs!$B$4="Chapter Hunt"),CHOOSE(ArtifactsInput!$N$27+1,20,24,28,32,36,40),0)/100)),0)</f>
        <v/>
      </c>
      <c r="R2008">
        <f>IF(AND(Inputs!$B$38&lt;&gt;"pvp",Inputs!$B$43&gt;0),IF(MAX(0,Inputs!$B$43-B2043)&lt;=0,0,(INT(MAX(0,Inputs!$B$43-B2043)/(IF(Inputs!$B$38="pvp",15,MAX(0.1,Skills!D5-IF(Skills!E5=TRUE,Inputs!$B$32,0)))*(1-IF(AND(ArtifactsInput!$M$27,Inputs!$B$4="Chapter Hunt"),CHOOSE(ArtifactsInput!$N$27+1,20,24,28,32,36,40),0)/100)))+1)),0)</f>
        <v/>
      </c>
      <c r="S2008">
        <f>IFERROR(O2008/N2008,0)</f>
        <v/>
      </c>
      <c r="T2008">
        <f>IF(C2008,(H2008*N2008*IF(AND(Inputs!$B$38&lt;&gt;"pvp",Inputs!$B$43&gt;0),((Skills!G5*((R2008-1)*IF(Skills!H5&gt;0,Skills!I5/Skills!H5,1)+IF(Skills!H5&gt;0,MIN(Skills!I5,MAX(0,MAX(0,Inputs!$B$43-B2043)-((R2008-1)*(IF(Inputs!$B$38="pvp",15,MAX(0.1,Skills!D5-IF(Skills!E5=TRUE,Inputs!$B$32,0)))*(1-IF(AND(ArtifactsInput!$M$27,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2008*(1-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2043)-((R2008-1)*(IF(Inputs!$B$38="pvp",15,MAX(0.1,Skills!D5-IF(Skills!E5=TRUE,Inputs!$B$32,0)))*(1-IF(AND(ArtifactsInput!$M$27,Inputs!$B$4="Chapter Hunt"),CHOOSE(ArtifactsInput!$N$27+1,20,24,28,32,36,40),0)/100)))))/Skills!H5,1)))/Inputs!$B$43),G2008*Q2008))*IF(Inputs!$B$38="pvp",1,(1+(Inputs!$B$21+Skills!Q5+(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Inputs!$B$3&gt;=40</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2010=TRUE,F2010,0)/100)*(1+(IF(Skills!A6="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2027=TRUE)*(F2027-Calc!F24)),(Inputs!$B$23+((C2032=TRUE)*(F2032-Calc!F29))+(IF(ArtifactsInput!$M$15,CHOOSE(ArtifactsInput!$N$15+1,25,30,35,40,45,50)/100*(Inputs!$B$11-Inputs!$B$11),0))))/100+(Inputs!$B$23+((C2032=TRUE)*(F2032-Calc!F29))+(IF(ArtifactsInput!$M$15,CHOOSE(ArtifactsInput!$N$15+1,25,30,35,40,45,50)/100*(Inputs!$B$11-Inputs!$B$11),0)))/100)/2</f>
        <v/>
      </c>
      <c r="M2009">
        <f>L2009*(1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IF(B2046=0,0,O2009/B2046)</f>
        <v/>
      </c>
      <c r="Q2009">
        <f>IFERROR(1/(IF(Inputs!$B$38="pvp",15,MAX(0.1,Skills!D6-IF(Skills!E6=TRUE,Inputs!$B$32,0)))*(1-IF(AND(ArtifactsInput!$M$27,Inputs!$B$4="Chapter Hunt"),CHOOSE(ArtifactsInput!$N$27+1,20,24,28,32,36,40),0)/100)),0)</f>
        <v/>
      </c>
      <c r="R2009">
        <f>IF(AND(Inputs!$B$38&lt;&gt;"pvp",Inputs!$B$43&gt;0),IF(MAX(0,Inputs!$B$43-B2043)&lt;=0,0,(INT(MAX(0,Inputs!$B$43-B2043)/(IF(Inputs!$B$38="pvp",15,MAX(0.1,Skills!D6-IF(Skills!E6=TRUE,Inputs!$B$32,0)))*(1-IF(AND(ArtifactsInput!$M$27,Inputs!$B$4="Chapter Hunt"),CHOOSE(ArtifactsInput!$N$27+1,20,24,28,32,36,40),0)/100)))+1)),0)</f>
        <v/>
      </c>
      <c r="S2009">
        <f>IFERROR(O2009/N2009,0)</f>
        <v/>
      </c>
      <c r="T2009">
        <f>IF(C2009,(H2009*N2009*IF(AND(Inputs!$B$38&lt;&gt;"pvp",Inputs!$B$43&gt;0),((Skills!G6*((R2009-1)*IF(Skills!H6&gt;0,Skills!I6/Skills!H6,1)+IF(Skills!H6&gt;0,MIN(Skills!I6,MAX(0,MAX(0,Inputs!$B$43-B2043)-((R2009-1)*(IF(Inputs!$B$38="pvp",15,MAX(0.1,Skills!D6-IF(Skills!E6=TRUE,Inputs!$B$32,0)))*(1-IF(AND(ArtifactsInput!$M$27,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2009*(1-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2043)-((R2009-1)*(IF(Inputs!$B$38="pvp",15,MAX(0.1,Skills!D6-IF(Skills!E6=TRUE,Inputs!$B$32,0)))*(1-IF(AND(ArtifactsInput!$M$27,Inputs!$B$4="Chapter Hunt"),CHOOSE(ArtifactsInput!$N$27+1,20,24,28,32,36,40),0)/100)))))/Skills!H6,1)))/Inputs!$B$43),G2009*Q2009))*IF(Inputs!$B$38="pvp",1,(1+(Inputs!$B$21+Skills!Q6+(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V2010" t="inlineStr"/>
    </row>
    <row r="2011">
      <c r="A2011">
        <f>Skills!A8</f>
        <v/>
      </c>
      <c r="B2011">
        <f>Skills!B8</f>
        <v/>
      </c>
      <c r="C2011">
        <f>Inputs!$B$3&gt;=69</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2013=TRUE,F2013,0)/100)*(1+(IF(Skills!A8="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2027=TRUE)*(F2027-Calc!F24)),(Inputs!$B$23+((C2032=TRUE)*(F2032-Calc!F29))+(IF(ArtifactsInput!$M$15,CHOOSE(ArtifactsInput!$N$15+1,25,30,35,40,45,50)/100*(Inputs!$B$11-Inputs!$B$11),0))))/100+(Inputs!$B$23+((C2032=TRUE)*(F2032-Calc!F29))+(IF(ArtifactsInput!$M$15,CHOOSE(ArtifactsInput!$N$15+1,25,30,35,40,45,50)/100*(Inputs!$B$11-Inputs!$B$11),0)))/100)/2</f>
        <v/>
      </c>
      <c r="M2011">
        <f>L2011*(1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IF(B2046=0,0,O2011/B2046)</f>
        <v/>
      </c>
      <c r="Q2011">
        <f>IFERROR(1/(IF(Inputs!$B$38="pvp",15,MAX(0.1,Skills!D8-IF(Skills!E8=TRUE,Inputs!$B$32,0)))*(1-IF(AND(ArtifactsInput!$M$27,Inputs!$B$4="Chapter Hunt"),CHOOSE(ArtifactsInput!$N$27+1,20,24,28,32,36,40),0)/100)),0)</f>
        <v/>
      </c>
      <c r="R2011">
        <f>IF(AND(Inputs!$B$38&lt;&gt;"pvp",Inputs!$B$43&gt;0),IF(MAX(0,Inputs!$B$43-B2043)&lt;=0,0,(INT(MAX(0,Inputs!$B$43-B2043)/(IF(Inputs!$B$38="pvp",15,MAX(0.1,Skills!D8-IF(Skills!E8=TRUE,Inputs!$B$32,0)))*(1-IF(AND(ArtifactsInput!$M$27,Inputs!$B$4="Chapter Hunt"),CHOOSE(ArtifactsInput!$N$27+1,20,24,28,32,36,40),0)/100)))+1)),0)</f>
        <v/>
      </c>
      <c r="S2011">
        <f>IFERROR(O2011/N2011,0)</f>
        <v/>
      </c>
      <c r="T2011">
        <f>IF(C2011,(H2011*N2011*IF(AND(Inputs!$B$38&lt;&gt;"pvp",Inputs!$B$43&gt;0),((Skills!G8*((R2011-1)*IF(Skills!H8&gt;0,Skills!I8/Skills!H8,1)+IF(Skills!H8&gt;0,MIN(Skills!I8,MAX(0,MAX(0,Inputs!$B$43-B2043)-((R2011-1)*(IF(Inputs!$B$38="pvp",15,MAX(0.1,Skills!D8-IF(Skills!E8=TRUE,Inputs!$B$32,0)))*(1-IF(AND(ArtifactsInput!$M$27,Inputs!$B$4="Chapter Hunt"),CHOOSE(ArtifactsInput!$N$27+1,20,24,28,32,36,40),0)/100)))))/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2043)-((R2011-1)*(IF(Inputs!$B$38="pvp",15,MAX(0.1,Skills!D8-IF(Skills!E8=TRUE,Inputs!$B$32,0)))*(1-IF(AND(ArtifactsInput!$M$27,Inputs!$B$4="Chapter Hunt"),CHOOSE(ArtifactsInput!$N$27+1,20,24,28,32,36,40),0)/100)))))/Skills!H8,1)))/Inputs!$B$43),G2011*Q2011))*IF(Inputs!$B$38="pvp",1,(1+(Inputs!$B$21+Skills!Q8+(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Inputs!$B$3&gt;=63</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2013=TRUE,F2013,0)/100)*(1+(IF(Skills!A9="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2027=TRUE)*(F2027-Calc!F24)),(Inputs!$B$23+((C2032=TRUE)*(F2032-Calc!F29))+(IF(ArtifactsInput!$M$15,CHOOSE(ArtifactsInput!$N$15+1,25,30,35,40,45,50)/100*(Inputs!$B$11-Inputs!$B$11),0))))/100+(Inputs!$B$23+((C2032=TRUE)*(F2032-Calc!F29))+(IF(ArtifactsInput!$M$15,CHOOSE(ArtifactsInput!$N$15+1,25,30,35,40,45,50)/100*(Inputs!$B$11-Inputs!$B$11),0)))/100)/2</f>
        <v/>
      </c>
      <c r="M2012">
        <f>L2012*(1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IF(B2046=0,0,O2012/B2046)</f>
        <v/>
      </c>
      <c r="Q2012">
        <f>IFERROR(1/(IF(Inputs!$B$38="pvp",15,MAX(0.1,Skills!D9-IF(Skills!E9=TRUE,Inputs!$B$32,0)))*(1-IF(AND(ArtifactsInput!$M$27,Inputs!$B$4="Chapter Hunt"),CHOOSE(ArtifactsInput!$N$27+1,20,24,28,32,36,40),0)/100)),0)</f>
        <v/>
      </c>
      <c r="R2012">
        <f>IF(AND(Inputs!$B$38&lt;&gt;"pvp",Inputs!$B$43&gt;0),IF(MAX(0,Inputs!$B$43-B2043)&lt;=0,0,(INT(MAX(0,Inputs!$B$43-B2043)/(IF(Inputs!$B$38="pvp",15,MAX(0.1,Skills!D9-IF(Skills!E9=TRUE,Inputs!$B$32,0)))*(1-IF(AND(ArtifactsInput!$M$27,Inputs!$B$4="Chapter Hunt"),CHOOSE(ArtifactsInput!$N$27+1,20,24,28,32,36,40),0)/100)))+1)),0)</f>
        <v/>
      </c>
      <c r="S2012">
        <f>IFERROR(O2012/N2012,0)</f>
        <v/>
      </c>
      <c r="T2012">
        <f>IF(C2012,(H2012*N2012*IF(AND(Inputs!$B$38&lt;&gt;"pvp",Inputs!$B$43&gt;0),((Skills!G9*((R2012-1)*IF(Skills!H9&gt;0,Skills!I9/Skills!H9,1)+IF(Skills!H9&gt;0,MIN(Skills!I9,MAX(0,MAX(0,Inputs!$B$43-B2043)-((R2012-1)*(IF(Inputs!$B$38="pvp",15,MAX(0.1,Skills!D9-IF(Skills!E9=TRUE,Inputs!$B$32,0)))*(1-IF(AND(ArtifactsInput!$M$27,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2012*(1-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2043)-((R2012-1)*(IF(Inputs!$B$38="pvp",15,MAX(0.1,Skills!D9-IF(Skills!E9=TRUE,Inputs!$B$32,0)))*(1-IF(AND(ArtifactsInput!$M$27,Inputs!$B$4="Chapter Hunt"),CHOOSE(ArtifactsInput!$N$27+1,20,24,28,32,36,40),0)/100)))))/Skills!H9,1)))/Inputs!$B$43),G2012*Q2012))*IF(Inputs!$B$38="pvp",1,(1+(Inputs!$B$21+Skills!Q9+(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Inputs!$B$3&gt;=100</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t="inlineStr"/>
      <c r="H2013" t="inlineStr"/>
      <c r="I2013" t="inlineStr">
        <is>
          <t>1</t>
        </is>
      </c>
      <c r="J2013" t="inlineStr"/>
      <c r="K2013" t="inlineStr"/>
      <c r="L2013" t="inlineStr"/>
      <c r="M2013" t="inlineStr"/>
      <c r="N2013" t="inlineStr"/>
      <c r="O2013" t="inlineStr"/>
      <c r="P2013" t="inlineStr"/>
      <c r="Q2013" t="inlineStr"/>
      <c r="R2013" t="inlineStr"/>
      <c r="S2013" t="inlineStr"/>
      <c r="T2013" t="inlineStr"/>
      <c r="V2013" t="inlineStr"/>
    </row>
    <row r="2014">
      <c r="A2014">
        <f>Skills!A11</f>
        <v/>
      </c>
      <c r="B2014">
        <f>Skills!B11</f>
        <v/>
      </c>
      <c r="C2014">
        <f>Inputs!$B$3&gt;=60</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2015=TRUE,F2015,0)/100)*(1+(IF(Skills!A11="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2027=TRUE)*(F2027-Calc!F24)),(Inputs!$B$23+((C2032=TRUE)*(F2032-Calc!F29))+(IF(ArtifactsInput!$M$15,CHOOSE(ArtifactsInput!$N$15+1,25,30,35,40,45,50)/100*(Inputs!$B$11-Inputs!$B$11),0))))/100+(Inputs!$B$23+((C2032=TRUE)*(F2032-Calc!F29))+(IF(ArtifactsInput!$M$15,CHOOSE(ArtifactsInput!$N$15+1,25,30,35,40,45,50)/100*(Inputs!$B$11-Inputs!$B$11),0)))/100)/2</f>
        <v/>
      </c>
      <c r="M2014">
        <f>L2014*(1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IF(B2046=0,0,O2014/B2046)</f>
        <v/>
      </c>
      <c r="Q2014">
        <f>IFERROR(1/(IF(Inputs!$B$38="pvp",15,MAX(0.1,Skills!D11-IF(Skills!E11=TRUE,Inputs!$B$32,0)))*(1-IF(AND(ArtifactsInput!$M$27,Inputs!$B$4="Chapter Hunt"),CHOOSE(ArtifactsInput!$N$27+1,20,24,28,32,36,40),0)/100)),0)</f>
        <v/>
      </c>
      <c r="R2014">
        <f>IF(AND(Inputs!$B$38&lt;&gt;"pvp",Inputs!$B$43&gt;0),IF(MAX(0,Inputs!$B$43-B2043)&lt;=0,0,(INT(MAX(0,Inputs!$B$43-B2043)/(IF(Inputs!$B$38="pvp",15,MAX(0.1,Skills!D11-IF(Skills!E11=TRUE,Inputs!$B$32,0)))*(1-IF(AND(ArtifactsInput!$M$27,Inputs!$B$4="Chapter Hunt"),CHOOSE(ArtifactsInput!$N$27+1,20,24,28,32,36,40),0)/100)))+1)),0)</f>
        <v/>
      </c>
      <c r="S2014">
        <f>IFERROR(O2014/N2014,0)</f>
        <v/>
      </c>
      <c r="T2014">
        <f>IF(C2014,(H2014*N2014*IF(AND(Inputs!$B$38&lt;&gt;"pvp",Inputs!$B$43&gt;0),((Skills!G11*((R2014-1)*IF(Skills!H11&gt;0,Skills!I11/Skills!H11,1)+IF(Skills!H11&gt;0,MIN(Skills!I11,MAX(0,MAX(0,Inputs!$B$43-B2043)-((R2014-1)*(IF(Inputs!$B$38="pvp",15,MAX(0.1,Skills!D11-IF(Skills!E11=TRUE,Inputs!$B$32,0)))*(1-IF(AND(ArtifactsInput!$M$27,Inputs!$B$4="Chapter Hunt"),CHOOSE(ArtifactsInput!$N$27+1,20,24,28,32,36,40),0)/100)))))/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2014*(1-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2043)-((R2014-1)*(IF(Inputs!$B$38="pvp",15,MAX(0.1,Skills!D11-IF(Skills!E11=TRUE,Inputs!$B$32,0)))*(1-IF(AND(ArtifactsInput!$M$27,Inputs!$B$4="Chapter Hunt"),CHOOSE(ArtifactsInput!$N$27+1,20,24,28,32,36,40),0)/100)))))/Skills!H11,1)))/Inputs!$B$43),G2014*Q2014))*IF(Inputs!$B$38="pvp",1,(1+(Inputs!$B$21+Skills!Q11+(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Inputs!$B$3&gt;=110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c r="T2015" t="inlineStr"/>
      <c r="V2015" t="inlineStr"/>
    </row>
    <row r="2016">
      <c r="A2016">
        <f>Skills!A13</f>
        <v/>
      </c>
      <c r="B2016">
        <f>Skills!B13</f>
        <v/>
      </c>
      <c r="C2016">
        <f>Inputs!$B$3&gt;=74</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IF(B2046=0,0,O2016/B2046)</f>
        <v/>
      </c>
      <c r="Q2016" t="n">
        <v>0</v>
      </c>
      <c r="R2016" t="n">
        <v>0</v>
      </c>
      <c r="S2016">
        <f>IFERROR(O2016/N2016,0)</f>
        <v/>
      </c>
      <c r="T2016" t="n">
        <v>0</v>
      </c>
      <c r="V2016" t="n">
        <v>0</v>
      </c>
    </row>
    <row r="2017">
      <c r="A2017">
        <f>Skills!A14</f>
        <v/>
      </c>
      <c r="B2017">
        <f>Skills!B14</f>
        <v/>
      </c>
      <c r="C2017">
        <f>Inputs!$B$3&gt;=74</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IF(B2046=0,0,O2017/B2046)</f>
        <v/>
      </c>
      <c r="Q2017" t="n">
        <v>0</v>
      </c>
      <c r="R2017" t="n">
        <v>0</v>
      </c>
      <c r="S2017">
        <f>IFERROR(O2017/N2017,0)</f>
        <v/>
      </c>
      <c r="T2017" t="n">
        <v>0</v>
      </c>
      <c r="V2017" t="n">
        <v>0</v>
      </c>
    </row>
    <row r="2018">
      <c r="A2018">
        <f>Skills!A15</f>
        <v/>
      </c>
      <c r="B2018">
        <f>Skills!B15</f>
        <v/>
      </c>
      <c r="C2018">
        <f>Inputs!$B$3&gt;=117</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IF(B2046=0,0,O2018/B2046)</f>
        <v/>
      </c>
      <c r="Q2018">
        <f>IFERROR(1/(IF(Inputs!$B$38="pvp",15,MAX(0.1,Skills!D15-IF(Skills!E15=TRUE,Inputs!$B$32,0)))*(1-IF(AND(ArtifactsInput!$M$27,Inputs!$B$4="Chapter Hunt"),CHOOSE(ArtifactsInput!$N$27+1,20,24,28,32,36,40),0)/100)),0)</f>
        <v/>
      </c>
      <c r="R2018">
        <f>IF(AND(Inputs!$B$38&lt;&gt;"pvp",Inputs!$B$43&gt;0),IF(Inputs!$B$43&lt;=0,0,(INT(Inputs!$B$43/(IF(Inputs!$B$38="pvp",15,MAX(0.1,Skills!D15-IF(Skills!E15=TRUE,Inputs!$B$32,0)))*(1-IF(AND(ArtifactsInput!$M$27,Inputs!$B$4="Chapter Hunt"),CHOOSE(ArtifactsInput!$N$27+1,20,24,28,32,36,40),0)/100)))+1)),0)</f>
        <v/>
      </c>
      <c r="S2018">
        <f>IFERROR(O2018/N2018,0)</f>
        <v/>
      </c>
      <c r="T2018" t="n">
        <v>0</v>
      </c>
      <c r="V2018" t="n">
        <v>0</v>
      </c>
    </row>
    <row r="2019">
      <c r="A2019">
        <f>Skills!A16</f>
        <v/>
      </c>
      <c r="B2019">
        <f>Skills!B16</f>
        <v/>
      </c>
      <c r="C2019">
        <f>Inputs!$B$3&gt;=115</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IF(B2046=0,0,O2019/B2046)</f>
        <v/>
      </c>
      <c r="Q2019">
        <f>IFERROR(1/(IF(Inputs!$B$38="pvp",15,MAX(0.1,Skills!D16-IF(Skills!E16=TRUE,Inputs!$B$32,0)))*(1-IF(AND(ArtifactsInput!$M$27,Inputs!$B$4="Chapter Hunt"),CHOOSE(ArtifactsInput!$N$27+1,20,24,28,32,36,40),0)/100)),0)</f>
        <v/>
      </c>
      <c r="R2019">
        <f>IF(AND(Inputs!$B$38&lt;&gt;"pvp",Inputs!$B$43&gt;0),IF(Inputs!$B$43&lt;=0,0,(INT(Inputs!$B$43/(IF(Inputs!$B$38="pvp",15,MAX(0.1,Skills!D16-IF(Skills!E16=TRUE,Inputs!$B$32,0)))*(1-IF(AND(ArtifactsInput!$M$27,Inputs!$B$4="Chapter Hunt"),CHOOSE(ArtifactsInput!$N$27+1,20,24,28,32,36,40),0)/100)))+1)),0)</f>
        <v/>
      </c>
      <c r="S2019">
        <f>IFERROR(O2019/N2019,0)</f>
        <v/>
      </c>
      <c r="T2019" t="n">
        <v>0</v>
      </c>
      <c r="V2019" t="n">
        <v>0</v>
      </c>
    </row>
    <row r="2020">
      <c r="A2020">
        <f>Skills!A17</f>
        <v/>
      </c>
      <c r="B2020">
        <f>Skills!B17</f>
        <v/>
      </c>
      <c r="C2020">
        <f>Inputs!$B$3&gt;=66</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IF(B2046=0,0,O2020/B2046)</f>
        <v/>
      </c>
      <c r="Q2020" t="n">
        <v>0</v>
      </c>
      <c r="R2020" t="n">
        <v>0</v>
      </c>
      <c r="S2020">
        <f>IFERROR(O2020/N2020,0)</f>
        <v/>
      </c>
      <c r="T2020" t="n">
        <v>0</v>
      </c>
      <c r="V2020" t="n">
        <v>0</v>
      </c>
    </row>
    <row r="2021">
      <c r="A2021">
        <f>Skills!A18</f>
        <v/>
      </c>
      <c r="B2021">
        <f>Skills!B18</f>
        <v/>
      </c>
      <c r="C2021">
        <f>Inputs!$B$3&gt;=72</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IF(B2046=0,0,O2021/B2046)</f>
        <v/>
      </c>
      <c r="Q2021" t="n">
        <v>0</v>
      </c>
      <c r="R2021" t="n">
        <v>0</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IF(B2046=0,0,O2022/B2046)</f>
        <v/>
      </c>
      <c r="Q2022">
        <f>IFERROR(1/(IF(Inputs!$B$38="pvp",15,MAX(0.1,Skills!D19-IF(Skills!E19=TRUE,Inputs!$B$32,0)))*(1-IF(AND(ArtifactsInput!$M$27,Inputs!$B$4="Chapter Hunt"),CHOOSE(ArtifactsInput!$N$27+1,20,24,28,32,36,40),0)/100)),0)</f>
        <v/>
      </c>
      <c r="R2022">
        <f>IF(AND(Inputs!$B$38&lt;&gt;"pvp",Inputs!$B$43&gt;0),IF(Inputs!$B$43&lt;=0,0,(INT(Inputs!$B$43/(IF(Inputs!$B$38="pvp",15,MAX(0.1,Skills!D19-IF(Skills!E19=TRUE,Inputs!$B$32,0)))*(1-IF(AND(ArtifactsInput!$M$27,Inputs!$B$4="Chapter Hunt"),CHOOSE(ArtifactsInput!$N$27+1,20,24,28,32,36,40),0)/100)))+1)),0)</f>
        <v/>
      </c>
      <c r="S2022">
        <f>IFERROR(O2022/N2022,0)</f>
        <v/>
      </c>
      <c r="T2022" t="n">
        <v>0</v>
      </c>
      <c r="V2022" t="n">
        <v>0</v>
      </c>
    </row>
    <row r="2023">
      <c r="A2023">
        <f>Skills!A20</f>
        <v/>
      </c>
      <c r="B2023">
        <f>Skills!B20</f>
        <v/>
      </c>
      <c r="C2023">
        <f>Inputs!$B$3&gt;=15</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IF(B2046=0,0,O2023/B2046)</f>
        <v/>
      </c>
      <c r="Q2023" t="n">
        <v>0</v>
      </c>
      <c r="R2023" t="n">
        <v>0</v>
      </c>
      <c r="S2023">
        <f>IFERROR(O2023/N2023,0)</f>
        <v/>
      </c>
      <c r="T2023" t="n">
        <v>0</v>
      </c>
      <c r="V2023" t="n">
        <v>0</v>
      </c>
    </row>
    <row r="2024">
      <c r="A2024">
        <f>Skills!A21</f>
        <v/>
      </c>
      <c r="B2024">
        <f>Skills!B21</f>
        <v/>
      </c>
      <c r="C2024">
        <f>Inputs!$B$3&gt;=10</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IF(B2046=0,0,O2024/B2046)</f>
        <v/>
      </c>
      <c r="Q2024" t="n">
        <v>0</v>
      </c>
      <c r="R2024" t="n">
        <v>0</v>
      </c>
      <c r="S2024">
        <f>IFERROR(O2024/N2024,0)</f>
        <v/>
      </c>
      <c r="T2024" t="n">
        <v>0</v>
      </c>
      <c r="V2024" t="n">
        <v>0</v>
      </c>
    </row>
    <row r="2025">
      <c r="A2025">
        <f>Skills!A22</f>
        <v/>
      </c>
      <c r="B2025">
        <f>Skills!B22</f>
        <v/>
      </c>
      <c r="C2025">
        <f>Inputs!$B$3&gt;=33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IF(B2046=0,0,O2025/B2046)</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IF(B2046=0,0,O2026/B2046)</f>
        <v/>
      </c>
      <c r="Q2026" t="n">
        <v>0</v>
      </c>
      <c r="R2026" t="n">
        <v>0</v>
      </c>
      <c r="S2026">
        <f>IFERROR(O2026/N2026,0)</f>
        <v/>
      </c>
      <c r="T2026" t="n">
        <v>0</v>
      </c>
      <c r="V2026" t="n">
        <v>0</v>
      </c>
    </row>
    <row r="2027">
      <c r="A2027">
        <f>Skills!A24</f>
        <v/>
      </c>
      <c r="B2027">
        <f>Skills!B24</f>
        <v/>
      </c>
      <c r="C2027">
        <f>Inputs!$B$3&gt;=43</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IF(B2046=0,0,O2027/B2046)</f>
        <v/>
      </c>
      <c r="Q2027" t="n">
        <v>0</v>
      </c>
      <c r="R2027" t="n">
        <v>0</v>
      </c>
      <c r="S2027">
        <f>IFERROR(O2027/N2027,0)</f>
        <v/>
      </c>
      <c r="T2027" t="n">
        <v>0</v>
      </c>
      <c r="V2027" t="n">
        <v>0</v>
      </c>
    </row>
    <row r="2028">
      <c r="A2028">
        <f>Skills!A25</f>
        <v/>
      </c>
      <c r="B2028">
        <f>Skills!B25</f>
        <v/>
      </c>
      <c r="C2028">
        <f>Inputs!$B$3&gt;=75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IF(B2046=0,0,O2028/B2046)</f>
        <v/>
      </c>
      <c r="Q2028" t="n">
        <v>0</v>
      </c>
      <c r="R2028" t="n">
        <v>0</v>
      </c>
      <c r="S2028">
        <f>IFERROR(O2028/N2028,0)</f>
        <v/>
      </c>
      <c r="T2028" t="n">
        <v>0</v>
      </c>
      <c r="V2028" t="n">
        <v>0</v>
      </c>
    </row>
    <row r="2029">
      <c r="A2029">
        <f>Skills!A26</f>
        <v/>
      </c>
      <c r="B2029">
        <f>Skills!B26</f>
        <v/>
      </c>
      <c r="C2029">
        <f>Inputs!$B$3&gt;=125</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IF(B2046=0,0,O2029/B2046)</f>
        <v/>
      </c>
      <c r="Q2029" t="n">
        <v>0</v>
      </c>
      <c r="R2029" t="n">
        <v>0</v>
      </c>
      <c r="S2029">
        <f>IFERROR(O2029/N2029,0)</f>
        <v/>
      </c>
      <c r="T2029" t="n">
        <v>0</v>
      </c>
      <c r="V2029" t="n">
        <v>0</v>
      </c>
    </row>
    <row r="2030">
      <c r="A2030">
        <f>Skills!A27</f>
        <v/>
      </c>
      <c r="B2030">
        <f>Skills!B27</f>
        <v/>
      </c>
      <c r="C2030">
        <f>Inputs!$B$3&gt;=125</f>
        <v/>
      </c>
      <c r="D2030">
        <f>IF(Skills!C27=1,60+Inputs!$B$25+Inputs!$B$29,IF(Skills!C27=2,90+Inputs!$B$26+Inputs!$B$29,IF(Skills!C27=3,120+Inputs!$B$27+Inputs!$B$29,MAX(0,(Inputs!$B$3-100)*3)+Inputs!$B$28+Inputs!$B$29)))</f>
        <v/>
      </c>
      <c r="E2030">
        <f>INDEX(FactorTable!$B$2:$Y$301, MATCH(ROUND(MIN(300,MAX(1,D2030)),0), FactorTable!$A$2:$A$301,0), Skills!M27+1)</f>
        <v/>
      </c>
      <c r="F2030">
        <f>IF(Skills!N27=TRUE,(Skills!L27/10)*(E2030/1000),Skills!L27/10)+Skills!O27</f>
        <v/>
      </c>
      <c r="G2030">
        <f>Skills!G27*IF(Skills!H27&gt;0,Skills!I27/Skills!H27,1)</f>
        <v/>
      </c>
      <c r="H2030">
        <f>1-(1-Skills!J27/100)^Skills!K27</f>
        <v/>
      </c>
      <c r="I2030" t="inlineStr">
        <is>
          <t>1</t>
        </is>
      </c>
      <c r="J2030" t="inlineStr"/>
      <c r="K2030" t="inlineStr"/>
      <c r="L2030" t="inlineStr"/>
      <c r="M2030" t="inlineStr"/>
      <c r="N2030" t="inlineStr"/>
      <c r="O2030">
        <f>(1-Summary!$B$11)*T2030+Summary!$B$11*V2030</f>
        <v/>
      </c>
      <c r="P2030">
        <f>IF(B2046=0,0,O2030/B2046)</f>
        <v/>
      </c>
      <c r="Q2030" t="n">
        <v>0</v>
      </c>
      <c r="R2030" t="n">
        <v>0</v>
      </c>
      <c r="S2030">
        <f>IFERROR(O2030/N2030,0)</f>
        <v/>
      </c>
      <c r="T2030" t="n">
        <v>0</v>
      </c>
      <c r="V2030" t="n">
        <v>0</v>
      </c>
    </row>
    <row r="2031">
      <c r="A2031">
        <f>Skills!A28</f>
        <v/>
      </c>
      <c r="B2031">
        <f>Skills!B28</f>
        <v/>
      </c>
      <c r="C2031">
        <f>Inputs!$B$3&gt;=120</f>
        <v/>
      </c>
      <c r="D2031">
        <f>IF(Skills!C28=1,60+Inputs!$B$25+Inputs!$B$29,IF(Skills!C28=2,90+Inputs!$B$26+Inputs!$B$29,IF(Skills!C28=3,120+Inputs!$B$27+Inputs!$B$29,MAX(0,(Inputs!$B$3-100)*3)+Inputs!$B$28+Inputs!$B$29)))</f>
        <v/>
      </c>
      <c r="E2031">
        <f>INDEX(FactorTable!$B$2:$Y$301, MATCH(ROUND(MIN(300,MAX(1,D2031)),0), FactorTable!$A$2:$A$301,0), Skills!M28+1)</f>
        <v/>
      </c>
      <c r="F2031">
        <f>IF(Skills!N28=TRUE,(Skills!L28/10)*(E2031/1000),Skills!L28/10)+Skills!O28</f>
        <v/>
      </c>
      <c r="G2031">
        <f>Skills!G28*IF(Skills!H28&gt;0,Skills!I28/Skills!H28,1)</f>
        <v/>
      </c>
      <c r="H2031">
        <f>1-(1-Skills!J28/100)^Skills!K28</f>
        <v/>
      </c>
      <c r="I2031" t="inlineStr">
        <is>
          <t>1</t>
        </is>
      </c>
      <c r="J2031" t="inlineStr"/>
      <c r="K2031" t="inlineStr"/>
      <c r="L2031" t="inlineStr"/>
      <c r="M2031" t="inlineStr"/>
      <c r="N2031" t="inlineStr"/>
      <c r="O2031">
        <f>(1-Summary!$B$11)*T2031+Summary!$B$11*V2031</f>
        <v/>
      </c>
      <c r="P2031">
        <f>IF(B2046=0,0,O2031/B2046)</f>
        <v/>
      </c>
      <c r="Q2031" t="n">
        <v>0</v>
      </c>
      <c r="R2031" t="n">
        <v>0</v>
      </c>
      <c r="S2031">
        <f>IFERROR(O2031/N2031,0)</f>
        <v/>
      </c>
      <c r="T2031" t="n">
        <v>0</v>
      </c>
      <c r="V2031" t="n">
        <v>0</v>
      </c>
    </row>
    <row r="2032">
      <c r="A2032">
        <f>Skills!A29</f>
        <v/>
      </c>
      <c r="B2032">
        <f>Skills!B29</f>
        <v/>
      </c>
      <c r="C2032">
        <f>Inputs!$B$3&gt;=120</f>
        <v/>
      </c>
      <c r="D2032">
        <f>IF(Skills!C29=1,60+Inputs!$B$25+Inputs!$B$29,IF(Skills!C29=2,90+Inputs!$B$26+Inputs!$B$29,IF(Skills!C29=3,120+Inputs!$B$27+Inputs!$B$29,MAX(0,(Inputs!$B$3-100)*3)+Inputs!$B$28+Inputs!$B$29)))</f>
        <v/>
      </c>
      <c r="E2032">
        <f>INDEX(FactorTable!$B$2:$Y$301, MATCH(ROUND(MIN(300,MAX(1,D2032)),0), FactorTable!$A$2:$A$301,0), Skills!M29+1)</f>
        <v/>
      </c>
      <c r="F2032">
        <f>IF(Skills!N29=TRUE,(Skills!L29/10)*(E2032/1000),Skills!L29/10)+Skills!O29</f>
        <v/>
      </c>
      <c r="G2032">
        <f>Skills!G29*IF(Skills!H29&gt;0,Skills!I29/Skills!H29,1)</f>
        <v/>
      </c>
      <c r="H2032">
        <f>1-(1-Skills!J29/100)^Skills!K29</f>
        <v/>
      </c>
      <c r="I2032" t="inlineStr">
        <is>
          <t>1</t>
        </is>
      </c>
      <c r="J2032" t="inlineStr"/>
      <c r="K2032" t="inlineStr"/>
      <c r="L2032" t="inlineStr"/>
      <c r="M2032" t="inlineStr"/>
      <c r="N2032" t="inlineStr"/>
      <c r="O2032">
        <f>(1-Summary!$B$11)*T2032+Summary!$B$11*V2032</f>
        <v/>
      </c>
      <c r="P2032">
        <f>IF(B2046=0,0,O2032/B2046)</f>
        <v/>
      </c>
      <c r="Q2032" t="n">
        <v>0</v>
      </c>
      <c r="R2032" t="n">
        <v>0</v>
      </c>
      <c r="S2032">
        <f>IFERROR(O2032/N2032,0)</f>
        <v/>
      </c>
      <c r="T2032" t="n">
        <v>0</v>
      </c>
      <c r="V2032" t="n">
        <v>0</v>
      </c>
    </row>
    <row r="2033">
      <c r="A2033">
        <f>Skills!A30</f>
        <v/>
      </c>
      <c r="B2033">
        <f>Skills!B30</f>
        <v/>
      </c>
      <c r="C2033">
        <f>Inputs!$B$3&gt;=45</f>
        <v/>
      </c>
      <c r="D2033">
        <f>IF(Skills!C30=1,60+Inputs!$B$25+Inputs!$B$29,IF(Skills!C30=2,90+Inputs!$B$26+Inputs!$B$29,IF(Skills!C30=3,120+Inputs!$B$27+Inputs!$B$29,MAX(0,(Inputs!$B$3-100)*3)+Inputs!$B$28+Inputs!$B$29)))</f>
        <v/>
      </c>
      <c r="E2033">
        <f>INDEX(FactorTable!$B$2:$Y$301, MATCH(ROUND(MIN(300,MAX(1,D2033)),0), FactorTable!$A$2:$A$301,0), Skills!M30+1)</f>
        <v/>
      </c>
      <c r="F2033">
        <f>IF(Skills!N30=TRUE,(Skills!L30/10)*(E2033/1000),Skills!L30/10)+Skills!O30</f>
        <v/>
      </c>
      <c r="G2033">
        <f>Skills!G30*IF(Skills!H30&gt;0,Skills!I30/Skills!H30,1)</f>
        <v/>
      </c>
      <c r="H2033">
        <f>1-(1-Skills!J30/100)^Skills!K30</f>
        <v/>
      </c>
      <c r="I2033" t="inlineStr">
        <is>
          <t>1</t>
        </is>
      </c>
      <c r="J2033" t="inlineStr"/>
      <c r="K2033" t="inlineStr"/>
      <c r="L2033" t="inlineStr"/>
      <c r="M2033" t="inlineStr"/>
      <c r="N2033" t="inlineStr"/>
      <c r="O2033">
        <f>(1-Summary!$B$11)*T2033+Summary!$B$11*V2033</f>
        <v/>
      </c>
      <c r="P2033">
        <f>IF(B2046=0,0,O2033/B2046)</f>
        <v/>
      </c>
      <c r="Q2033" t="n">
        <v>0</v>
      </c>
      <c r="R2033" t="n">
        <v>0</v>
      </c>
      <c r="S2033">
        <f>IFERROR(O2033/N2033,0)</f>
        <v/>
      </c>
      <c r="T2033" t="n">
        <v>0</v>
      </c>
      <c r="V2033" t="n">
        <v>0</v>
      </c>
    </row>
    <row r="2035">
      <c r="A2035" t="inlineStr">
        <is>
          <t>Attack% Bucket Multiplier</t>
        </is>
      </c>
      <c r="B2035">
        <f>(1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6">
      <c r="A2036" t="inlineStr">
        <is>
          <t>Global Crit Rate Bonus %</t>
        </is>
      </c>
      <c r="B2036">
        <f>(C2019=TRUE)*20*IF(AND(Inputs!$B$38&lt;&gt;"pvp",Inputs!$B$43&gt;0),(((R2019-1)*(Skills!T16*(1+Inputs!$B$34/100))+MIN((Skills!T16*(1+Inputs!$B$34/100)),MAX(0,Inputs!$B$43-((R2019-1)*Skills!D16))))/Inputs!$B$43),IF(Inputs!$B$38="pvp",MIN((Skills!T16*(1+Inputs!$B$34/100)),15)/15,(Skills!T16*(1+Inputs!$B$34/100))/Skills!D16))</f>
        <v/>
      </c>
    </row>
    <row r="2037">
      <c r="A2037" t="inlineStr">
        <is>
          <t>Attack Speed Buff Bonus %</t>
        </is>
      </c>
      <c r="B2037">
        <f>((C2022=TRUE)*F2022*IF(AND(Inputs!$B$38&lt;&gt;"pvp",Inputs!$B$43&gt;0),(((R2022-1)*(Skills!T19*(1+Inputs!$B$34/100))+MIN((Skills!T19*(1+Inputs!$B$34/100)),MAX(0,Inputs!$B$43-((R2022-1)*Skills!D19))))/Inputs!$B$43),IF(Inputs!$B$38="pvp",MIN((Skills!T19*(1+Inputs!$B$34/100)),15)/15,(Skills!T19*(1+Inputs!$B$34/100))/Skills!D19)))</f>
        <v/>
      </c>
    </row>
    <row r="2038">
      <c r="A2038" t="inlineStr">
        <is>
          <t>Actions Per Second</t>
        </is>
      </c>
      <c r="B2038">
        <f>1+MIN(150,150*(1-(1-(Inputs!$B$11+((C2024=TRUE)*(F2024-Calc!F21))+((C2025=TRUE)*(F2025-Calc!F22)))/150)*(1-B2037/150)))/100</f>
        <v/>
      </c>
    </row>
    <row r="2039">
      <c r="A2039" t="inlineStr">
        <is>
          <t>Skill + Buff Cast Rate</t>
        </is>
      </c>
      <c r="B2039">
        <f>IF(AND(Inputs!$B$38&lt;&gt;"pvp",Inputs!$B$43&gt;0),SUMPRODUCT((Skills!E2:E30=TRUE)*(C2005:C2033=TRUE)*R2005:R2033*Skills!F2:F30)/Inputs!$B$43,SUMPRODUCT((Skills!E2:E30=TRUE)*(C2005:C2033=TRUE)*Q2005:Q2033*Skills!F2:F30))</f>
        <v/>
      </c>
    </row>
    <row r="2040">
      <c r="A2040" t="inlineStr">
        <is>
          <t>Arrow Stream Casts Per Second</t>
        </is>
      </c>
      <c r="B2040">
        <f>MAX(0,B2038-B2039)</f>
        <v/>
      </c>
    </row>
    <row r="2041">
      <c r="A2041" t="inlineStr">
        <is>
          <t>Global Critical Damage Bonus % (Sharp Eyes + Concentration)</t>
        </is>
      </c>
      <c r="B2041">
        <f>(C2019=TRUE)*F2019*IF(AND(Inputs!$B$38&lt;&gt;"pvp",Inputs!$B$43&gt;0),(((R2019-1)*(Skills!T16*(1+Inputs!$B$34/100))+MIN((Skills!T16*(1+Inputs!$B$34/100)),MAX(0,Inputs!$B$43-((R2019-1)*Skills!D16))))/Inputs!$B$43),IF(Inputs!$B$38="pvp",MIN((Skills!T16*(1+Inputs!$B$34/100)),15)/15,(Skills!T16*(1+Inputs!$B$34/100))/Skills!D16))+(C2020=TRUE)*30</f>
        <v/>
      </c>
    </row>
    <row r="2042">
      <c r="A2042" t="inlineStr">
        <is>
          <t>Global Final Damage Bonus % (Mortal Blow)</t>
        </is>
      </c>
      <c r="B2042">
        <f>(C2021=TRUE)*F2021</f>
        <v/>
      </c>
    </row>
    <row r="2043">
      <c r="A2043" t="inlineStr">
        <is>
          <t>Buff-Casting Startup Delay (s, fixed-duration only)</t>
        </is>
      </c>
      <c r="B2043">
        <f>IF(AND(Inputs!$B$38&lt;&gt;"pvp",Inputs!$B$43&gt;0),SUMPRODUCT((Skills!T2:T30&gt;0)*(Skills!E2:E30=TRUE)*(C2005:C2033=TRUE))/B2038,0)</f>
        <v/>
      </c>
    </row>
    <row r="2044">
      <c r="A2044" t="inlineStr">
        <is>
          <t>Boss-Only Total DPS (this block's swept value)</t>
        </is>
      </c>
      <c r="B2044">
        <f>SUM(T2005:T2033)</f>
        <v/>
      </c>
    </row>
    <row r="2045">
      <c r="A2045" t="inlineStr">
        <is>
          <t>Normal-Only Total DPS (this block's swept value)</t>
        </is>
      </c>
      <c r="B2045">
        <f>SUM(V2005:V2033)</f>
        <v/>
      </c>
    </row>
    <row r="2046">
      <c r="A2046" s="6" t="inlineStr">
        <is>
          <t>TOTAL DPS</t>
        </is>
      </c>
      <c r="B2046" s="6">
        <f>SUM(O2005:O2033)</f>
        <v/>
      </c>
    </row>
    <row r="2049">
      <c r="A2049" s="6" t="inlineStr">
        <is>
          <t>Stat: Book of Ancient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2073=TRUE)*(F2073-Calc!F24)),(Inputs!$B$23+((C2078=TRUE)*(F2078-Calc!F29))+(IF(ArtifactsInput!$M$15,CHOOSE(ArtifactsInput!$N$15+1,25,30,35,40,45,50)/100*(Inputs!$B$11-Inputs!$B$11),0))))/100+(Inputs!$B$23+((C2078=TRUE)*(F2078-Calc!F29))+(IF(ArtifactsInput!$M$15,CHOOSE(ArtifactsInput!$N$15+1,25,30,35,40,45,50)/100*(Inputs!$B$11-Inputs!$B$11),0)))/100)/2</f>
        <v/>
      </c>
      <c r="M2051">
        <f>L2051*(1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1">
        <f>L2051*(1-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IF(B2092=0,0,O2051/B2092)</f>
        <v/>
      </c>
      <c r="Q2051" t="n">
        <v>0</v>
      </c>
      <c r="R2051" t="n">
        <v>0</v>
      </c>
      <c r="S2051">
        <f>IFERROR(O2051/N2051,0)</f>
        <v/>
      </c>
      <c r="T2051">
        <f>IF(C2051,(Skills!G2*N2051*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2051*(1-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Inputs!$B$3&gt;=50</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U2052">
        <f>INDEX(FactorTable!$B$2:$Y$301, MATCH(ROUND(MIN(300,MAX(1,U2051)),0), FactorTable!$A$2:$A$301,0), 22)</f>
        <v/>
      </c>
      <c r="V2052" t="inlineStr"/>
    </row>
    <row r="2053">
      <c r="A2053">
        <f>Skills!A4</f>
        <v/>
      </c>
      <c r="B2053">
        <f>Skills!B4</f>
        <v/>
      </c>
      <c r="C2053">
        <f>Inputs!$B$3&gt;=105</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t="inlineStr"/>
      <c r="H2053" t="inlineStr"/>
      <c r="I2053" t="inlineStr">
        <is>
          <t>1</t>
        </is>
      </c>
      <c r="J2053" t="inlineStr"/>
      <c r="K2053" t="inlineStr"/>
      <c r="L2053" t="inlineStr"/>
      <c r="M2053" t="inlineStr"/>
      <c r="N2053" t="inlineStr"/>
      <c r="O2053" t="inlineStr"/>
      <c r="P2053" t="inlineStr"/>
      <c r="Q2053" t="inlineStr"/>
      <c r="R2053" t="inlineStr"/>
      <c r="S2053" t="inlineStr"/>
      <c r="T2053" t="inlineStr"/>
      <c r="U2053">
        <f>290*U2052/1000</f>
        <v/>
      </c>
      <c r="V2053" t="inlineStr"/>
    </row>
    <row r="2054">
      <c r="A2054">
        <f>Skills!A5</f>
        <v/>
      </c>
      <c r="B2054">
        <f>Skills!B5</f>
        <v/>
      </c>
      <c r="C2054">
        <f>Inputs!$B$3&gt;=35</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Skills!G5*IF(Skills!H5&gt;0,Skills!I5/Skills!H5,1)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24)),(Inputs!$B$23+((C2078=TRUE)*(F2078-Calc!F29))+(IF(ArtifactsInput!$M$15,CHOOSE(ArtifactsInput!$N$15+1,25,30,35,40,45,50)/100*(Inputs!$B$11-Inputs!$B$11),0))))/100+(Inputs!$B$23+((C2078=TRUE)*(F2078-Calc!F29))+(IF(ArtifactsInput!$M$15,CHOOSE(ArtifactsInput!$N$15+1,25,30,35,40,45,50)/100*(Inputs!$B$11-Inputs!$B$11),0)))/100)/2</f>
        <v/>
      </c>
      <c r="M2054">
        <f>L2054*(1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4">
        <f>L2054*(1-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IFERROR(1/(IF(Inputs!$B$38="pvp",15,MAX(0.1,Skills!D5-IF(Skills!E5=TRUE,Inputs!$B$32,0)))*(1-IF(AND(ArtifactsInput!$M$27,Inputs!$B$4="Chapter Hunt"),CHOOSE(ArtifactsInput!$N$27+1,20,24,28,32,36,40),0)/100)),0)</f>
        <v/>
      </c>
      <c r="R2054">
        <f>IF(AND(Inputs!$B$38&lt;&gt;"pvp",Inputs!$B$43&gt;0),IF(MAX(0,Inputs!$B$43-B2089)&lt;=0,0,(INT(MAX(0,Inputs!$B$43-B2089)/(IF(Inputs!$B$38="pvp",15,MAX(0.1,Skills!D5-IF(Skills!E5=TRUE,Inputs!$B$32,0)))*(1-IF(AND(ArtifactsInput!$M$27,Inputs!$B$4="Chapter Hunt"),CHOOSE(ArtifactsInput!$N$27+1,20,24,28,32,36,40),0)/100)))+1)),0)</f>
        <v/>
      </c>
      <c r="S2054">
        <f>IFERROR(O2054/N2054,0)</f>
        <v/>
      </c>
      <c r="T2054">
        <f>IF(C2054,(H2054*N2054*IF(AND(Inputs!$B$38&lt;&gt;"pvp",Inputs!$B$43&gt;0),((Skills!G5*((R2054-1)*IF(Skills!H5&gt;0,Skills!I5/Skills!H5,1)+IF(Skills!H5&gt;0,MIN(Skills!I5,MAX(0,MAX(0,Inputs!$B$43-B2089)-((R2054-1)*(IF(Inputs!$B$38="pvp",15,MAX(0.1,Skills!D5-IF(Skills!E5=TRUE,Inputs!$B$32,0)))*(1-IF(AND(ArtifactsInput!$M$27,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2054*(1-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Skills!I5/Skills!H5,1)+IF(Skills!H5&gt;0,MIN(Skills!I5,MAX(0,MAX(0,Inputs!$B$43-B2089)-((R2054-1)*(IF(Inputs!$B$38="pvp",15,MAX(0.1,Skills!D5-IF(Skills!E5=TRUE,Inputs!$B$32,0)))*(1-IF(AND(ArtifactsInput!$M$27,Inputs!$B$4="Chapter Hunt"),CHOOSE(ArtifactsInput!$N$27+1,20,24,28,32,36,40),0)/100)))))/Skills!H5,1)))/Inputs!$B$43),G2054*Q2054))*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Inputs!$B$3&gt;=40</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2056=TRUE,F2056,0)/100)*(1+(IF(Skills!A6="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24)),(Inputs!$B$23+((C2078=TRUE)*(F2078-Calc!F29))+(IF(ArtifactsInput!$M$15,CHOOSE(ArtifactsInput!$N$15+1,25,30,35,40,45,50)/100*(Inputs!$B$11-Inputs!$B$11),0))))/100+(Inputs!$B$23+((C2078=TRUE)*(F2078-Calc!F29))+(IF(ArtifactsInput!$M$15,CHOOSE(ArtifactsInput!$N$15+1,25,30,35,40,45,50)/100*(Inputs!$B$11-Inputs!$B$11),0)))/100)/2</f>
        <v/>
      </c>
      <c r="M2055">
        <f>L2055*(1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5">
        <f>L2055*(1-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IFERROR(1/(IF(Inputs!$B$38="pvp",15,MAX(0.1,Skills!D6-IF(Skills!E6=TRUE,Inputs!$B$32,0)))*(1-IF(AND(ArtifactsInput!$M$27,Inputs!$B$4="Chapter Hunt"),CHOOSE(ArtifactsInput!$N$27+1,20,24,28,32,36,40),0)/100)),0)</f>
        <v/>
      </c>
      <c r="R2055">
        <f>IF(AND(Inputs!$B$38&lt;&gt;"pvp",Inputs!$B$43&gt;0),IF(MAX(0,Inputs!$B$43-B2089)&lt;=0,0,(INT(MAX(0,Inputs!$B$43-B2089)/(IF(Inputs!$B$38="pvp",15,MAX(0.1,Skills!D6-IF(Skills!E6=TRUE,Inputs!$B$32,0)))*(1-IF(AND(ArtifactsInput!$M$27,Inputs!$B$4="Chapter Hunt"),CHOOSE(ArtifactsInput!$N$27+1,20,24,28,32,36,40),0)/100)))+1)),0)</f>
        <v/>
      </c>
      <c r="S2055">
        <f>IFERROR(O2055/N2055,0)</f>
        <v/>
      </c>
      <c r="T2055">
        <f>IF(C2055,(H2055*N2055*IF(AND(Inputs!$B$38&lt;&gt;"pvp",Inputs!$B$43&gt;0),((Skills!G6*((R2055-1)*IF(Skills!H6&gt;0,Skills!I6/Skills!H6,1)+IF(Skills!H6&gt;0,MIN(Skills!I6,MAX(0,MAX(0,Inputs!$B$43-B2089)-((R2055-1)*(IF(Inputs!$B$38="pvp",15,MAX(0.1,Skills!D6-IF(Skills!E6=TRUE,Inputs!$B$32,0)))*(1-IF(AND(ArtifactsInput!$M$27,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2089)-((R2055-1)*(IF(Inputs!$B$38="pvp",15,MAX(0.1,Skills!D6-IF(Skills!E6=TRUE,Inputs!$B$32,0)))*(1-IF(AND(ArtifactsInput!$M$27,Inputs!$B$4="Chapter Hunt"),CHOOSE(ArtifactsInput!$N$27+1,20,24,28,32,36,40),0)/100)))))/Skills!H6,1)))/Inputs!$B$43),G2055*Q2055))*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Inputs!$B$3&gt;=107</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Skills!A8</f>
        <v/>
      </c>
      <c r="B2057">
        <f>Skills!B8</f>
        <v/>
      </c>
      <c r="C2057">
        <f>Inputs!$B$3&gt;=69</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8="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24)),(Inputs!$B$23+((C2078=TRUE)*(F2078-Calc!F29))+(IF(ArtifactsInput!$M$15,CHOOSE(ArtifactsInput!$N$15+1,25,30,35,40,45,50)/100*(Inputs!$B$11-Inputs!$B$11),0))))/100+(Inputs!$B$23+((C2078=TRUE)*(F2078-Calc!F29))+(IF(ArtifactsInput!$M$15,CHOOSE(ArtifactsInput!$N$15+1,25,30,35,40,45,50)/100*(Inputs!$B$11-Inputs!$B$11),0)))/100)/2</f>
        <v/>
      </c>
      <c r="M2057">
        <f>L2057*(1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7">
        <f>L2057*(1-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IFERROR(1/(IF(Inputs!$B$38="pvp",15,MAX(0.1,Skills!D8-IF(Skills!E8=TRUE,Inputs!$B$32,0)))*(1-IF(AND(ArtifactsInput!$M$27,Inputs!$B$4="Chapter Hunt"),CHOOSE(ArtifactsInput!$N$27+1,20,24,28,32,36,40),0)/100)),0)</f>
        <v/>
      </c>
      <c r="R2057">
        <f>IF(AND(Inputs!$B$38&lt;&gt;"pvp",Inputs!$B$43&gt;0),IF(MAX(0,Inputs!$B$43-B2089)&lt;=0,0,(INT(MAX(0,Inputs!$B$43-B2089)/(IF(Inputs!$B$38="pvp",15,MAX(0.1,Skills!D8-IF(Skills!E8=TRUE,Inputs!$B$32,0)))*(1-IF(AND(ArtifactsInput!$M$27,Inputs!$B$4="Chapter Hunt"),CHOOSE(ArtifactsInput!$N$27+1,20,24,28,32,36,40),0)/100)))+1)),0)</f>
        <v/>
      </c>
      <c r="S2057">
        <f>IFERROR(O2057/N2057,0)</f>
        <v/>
      </c>
      <c r="T2057">
        <f>IF(C2057,(H2057*N2057*IF(AND(Inputs!$B$38&lt;&gt;"pvp",Inputs!$B$43&gt;0),((Skills!G8*((R2057-1)*IF(Skills!H8&gt;0,Skills!I8/Skills!H8,1)+IF(Skills!H8&gt;0,MIN(Skills!I8,MAX(0,MAX(0,Inputs!$B$43-B2089)-((R2057-1)*(IF(Inputs!$B$38="pvp",15,MAX(0.1,Skills!D8-IF(Skills!E8=TRUE,Inputs!$B$32,0)))*(1-IF(AND(ArtifactsInput!$M$27,Inputs!$B$4="Chapter Hunt"),CHOOSE(ArtifactsInput!$N$27+1,20,24,28,32,36,40),0)/100)))))/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2057*(1-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2089)-((R2057-1)*(IF(Inputs!$B$38="pvp",15,MAX(0.1,Skills!D8-IF(Skills!E8=TRUE,Inputs!$B$32,0)))*(1-IF(AND(ArtifactsInput!$M$27,Inputs!$B$4="Chapter Hunt"),CHOOSE(ArtifactsInput!$N$27+1,20,24,28,32,36,40),0)/100)))))/Skills!H8,1)))/Inputs!$B$43),G2057*Q2057))*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Inputs!$B$3&gt;=63</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9="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24)),(Inputs!$B$23+((C2078=TRUE)*(F2078-Calc!F29))+(IF(ArtifactsInput!$M$15,CHOOSE(ArtifactsInput!$N$15+1,25,30,35,40,45,50)/100*(Inputs!$B$11-Inputs!$B$11),0))))/100+(Inputs!$B$23+((C2078=TRUE)*(F2078-Calc!F29))+(IF(ArtifactsInput!$M$15,CHOOSE(ArtifactsInput!$N$15+1,25,30,35,40,45,50)/100*(Inputs!$B$11-Inputs!$B$11),0)))/100)/2</f>
        <v/>
      </c>
      <c r="M2058">
        <f>L2058*(1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8">
        <f>L2058*(1-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IFERROR(1/(IF(Inputs!$B$38="pvp",15,MAX(0.1,Skills!D9-IF(Skills!E9=TRUE,Inputs!$B$32,0)))*(1-IF(AND(ArtifactsInput!$M$27,Inputs!$B$4="Chapter Hunt"),CHOOSE(ArtifactsInput!$N$27+1,20,24,28,32,36,40),0)/100)),0)</f>
        <v/>
      </c>
      <c r="R2058">
        <f>IF(AND(Inputs!$B$38&lt;&gt;"pvp",Inputs!$B$43&gt;0),IF(MAX(0,Inputs!$B$43-B2089)&lt;=0,0,(INT(MAX(0,Inputs!$B$43-B2089)/(IF(Inputs!$B$38="pvp",15,MAX(0.1,Skills!D9-IF(Skills!E9=TRUE,Inputs!$B$32,0)))*(1-IF(AND(ArtifactsInput!$M$27,Inputs!$B$4="Chapter Hunt"),CHOOSE(ArtifactsInput!$N$27+1,20,24,28,32,36,40),0)/100)))+1)),0)</f>
        <v/>
      </c>
      <c r="S2058">
        <f>IFERROR(O2058/N2058,0)</f>
        <v/>
      </c>
      <c r="T2058">
        <f>IF(C2058,(H2058*N2058*IF(AND(Inputs!$B$38&lt;&gt;"pvp",Inputs!$B$43&gt;0),((Skills!G9*((R2058-1)*IF(Skills!H9&gt;0,Skills!I9/Skills!H9,1)+IF(Skills!H9&gt;0,MIN(Skills!I9,MAX(0,MAX(0,Inputs!$B$43-B2089)-((R2058-1)*(IF(Inputs!$B$38="pvp",15,MAX(0.1,Skills!D9-IF(Skills!E9=TRUE,Inputs!$B$32,0)))*(1-IF(AND(ArtifactsInput!$M$27,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2058*(1-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2089)-((R2058-1)*(IF(Inputs!$B$38="pvp",15,MAX(0.1,Skills!D9-IF(Skills!E9=TRUE,Inputs!$B$32,0)))*(1-IF(AND(ArtifactsInput!$M$27,Inputs!$B$4="Chapter Hunt"),CHOOSE(ArtifactsInput!$N$27+1,20,24,28,32,36,40),0)/100)))))/Skills!H9,1)))/Inputs!$B$43),G2058*Q2058))*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Inputs!$B$3&gt;=100</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Skills!A11</f>
        <v/>
      </c>
      <c r="B2060">
        <f>Skills!B11</f>
        <v/>
      </c>
      <c r="C2060">
        <f>Inputs!$B$3&gt;=60</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2061=TRUE,F2061,0)/100)*(1+(IF(Skills!A11="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24)),(Inputs!$B$23+((C2078=TRUE)*(F2078-Calc!F29))+(IF(ArtifactsInput!$M$15,CHOOSE(ArtifactsInput!$N$15+1,25,30,35,40,45,50)/100*(Inputs!$B$11-Inputs!$B$11),0))))/100+(Inputs!$B$23+((C2078=TRUE)*(F2078-Calc!F29))+(IF(ArtifactsInput!$M$15,CHOOSE(ArtifactsInput!$N$15+1,25,30,35,40,45,50)/100*(Inputs!$B$11-Inputs!$B$11),0)))/100)/2</f>
        <v/>
      </c>
      <c r="M2060">
        <f>L2060*(1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60">
        <f>L2060*(1-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IFERROR(1/(IF(Inputs!$B$38="pvp",15,MAX(0.1,Skills!D11-IF(Skills!E11=TRUE,Inputs!$B$32,0)))*(1-IF(AND(ArtifactsInput!$M$27,Inputs!$B$4="Chapter Hunt"),CHOOSE(ArtifactsInput!$N$27+1,20,24,28,32,36,40),0)/100)),0)</f>
        <v/>
      </c>
      <c r="R2060">
        <f>IF(AND(Inputs!$B$38&lt;&gt;"pvp",Inputs!$B$43&gt;0),IF(MAX(0,Inputs!$B$43-B2089)&lt;=0,0,(INT(MAX(0,Inputs!$B$43-B2089)/(IF(Inputs!$B$38="pvp",15,MAX(0.1,Skills!D11-IF(Skills!E11=TRUE,Inputs!$B$32,0)))*(1-IF(AND(ArtifactsInput!$M$27,Inputs!$B$4="Chapter Hunt"),CHOOSE(ArtifactsInput!$N$27+1,20,24,28,32,36,40),0)/100)))+1)),0)</f>
        <v/>
      </c>
      <c r="S2060">
        <f>IFERROR(O2060/N2060,0)</f>
        <v/>
      </c>
      <c r="T2060">
        <f>IF(C2060,(H2060*N2060*IF(AND(Inputs!$B$38&lt;&gt;"pvp",Inputs!$B$43&gt;0),((Skills!G11*((R2060-1)*IF(Skills!H11&gt;0,Skills!I11/Skills!H11,1)+IF(Skills!H11&gt;0,MIN(Skills!I11,MAX(0,MAX(0,Inputs!$B$43-B2089)-((R2060-1)*(IF(Inputs!$B$38="pvp",15,MAX(0.1,Skills!D11-IF(Skills!E11=TRUE,Inputs!$B$32,0)))*(1-IF(AND(ArtifactsInput!$M$27,Inputs!$B$4="Chapter Hunt"),CHOOSE(ArtifactsInput!$N$27+1,20,24,28,32,36,40),0)/100)))))/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2060*(1-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2089)-((R2060-1)*(IF(Inputs!$B$38="pvp",15,MAX(0.1,Skills!D11-IF(Skills!E11=TRUE,Inputs!$B$32,0)))*(1-IF(AND(ArtifactsInput!$M$27,Inputs!$B$4="Chapter Hunt"),CHOOSE(ArtifactsInput!$N$27+1,20,24,28,32,36,40),0)/100)))))/Skills!H11,1)))/Inputs!$B$43),G2060*Q2060))*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t="inlineStr"/>
      <c r="H2061" t="inlineStr"/>
      <c r="I2061" t="inlineStr">
        <is>
          <t>1</t>
        </is>
      </c>
      <c r="J2061" t="inlineStr"/>
      <c r="K2061" t="inlineStr"/>
      <c r="L2061" t="inlineStr"/>
      <c r="M2061" t="inlineStr"/>
      <c r="N2061" t="inlineStr"/>
      <c r="O2061" t="inlineStr"/>
      <c r="P2061" t="inlineStr"/>
      <c r="Q2061" t="inlineStr"/>
      <c r="R2061" t="inlineStr"/>
      <c r="S2061" t="inlineStr"/>
      <c r="T2061" t="inlineStr"/>
      <c r="V2061" t="inlineStr"/>
    </row>
    <row r="2062">
      <c r="A2062">
        <f>Skills!A13</f>
        <v/>
      </c>
      <c r="B2062">
        <f>Skills!B13</f>
        <v/>
      </c>
      <c r="C2062">
        <f>Inputs!$B$3&gt;=74</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t="inlineStr"/>
      <c r="K2062" t="inlineStr"/>
      <c r="L2062" t="inlineStr"/>
      <c r="M2062" t="inlineStr"/>
      <c r="N2062" t="inlineStr"/>
      <c r="O2062">
        <f>(1-Summary!$B$11)*T2062+Summary!$B$11*V2062</f>
        <v/>
      </c>
      <c r="P2062">
        <f>IF(B2092=0,0,O2062/B2092)</f>
        <v/>
      </c>
      <c r="Q2062" t="n">
        <v>0</v>
      </c>
      <c r="R2062" t="n">
        <v>0</v>
      </c>
      <c r="S2062">
        <f>IFERROR(O2062/N2062,0)</f>
        <v/>
      </c>
      <c r="T2062" t="n">
        <v>0</v>
      </c>
      <c r="V2062" t="n">
        <v>0</v>
      </c>
    </row>
    <row r="2063">
      <c r="A2063">
        <f>Skills!A14</f>
        <v/>
      </c>
      <c r="B2063">
        <f>Skills!B14</f>
        <v/>
      </c>
      <c r="C2063">
        <f>Inputs!$B$3&gt;=74</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t="inlineStr"/>
      <c r="K2063" t="inlineStr"/>
      <c r="L2063" t="inlineStr"/>
      <c r="M2063" t="inlineStr"/>
      <c r="N2063" t="inlineStr"/>
      <c r="O2063">
        <f>(1-Summary!$B$11)*T2063+Summary!$B$11*V2063</f>
        <v/>
      </c>
      <c r="P2063">
        <f>IF(B2092=0,0,O2063/B2092)</f>
        <v/>
      </c>
      <c r="Q2063" t="n">
        <v>0</v>
      </c>
      <c r="R2063" t="n">
        <v>0</v>
      </c>
      <c r="S2063">
        <f>IFERROR(O2063/N2063,0)</f>
        <v/>
      </c>
      <c r="T2063" t="n">
        <v>0</v>
      </c>
      <c r="V2063" t="n">
        <v>0</v>
      </c>
    </row>
    <row r="2064">
      <c r="A2064">
        <f>Skills!A15</f>
        <v/>
      </c>
      <c r="B2064">
        <f>Skills!B15</f>
        <v/>
      </c>
      <c r="C2064">
        <f>Inputs!$B$3&gt;=117</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f>Skills!G15*IF(Skills!H15&gt;0,Skills!I15/Skills!H15,1)</f>
        <v/>
      </c>
      <c r="H2064">
        <f>1-(1-Skills!J15/100)^Skills!K15</f>
        <v/>
      </c>
      <c r="I2064" t="inlineStr">
        <is>
          <t>1</t>
        </is>
      </c>
      <c r="J2064" t="inlineStr"/>
      <c r="K2064" t="inlineStr"/>
      <c r="L2064" t="inlineStr"/>
      <c r="M2064" t="inlineStr"/>
      <c r="N2064" t="inlineStr"/>
      <c r="O2064">
        <f>(1-Summary!$B$11)*T2064+Summary!$B$11*V2064</f>
        <v/>
      </c>
      <c r="P2064">
        <f>IF(B2092=0,0,O2064/B2092)</f>
        <v/>
      </c>
      <c r="Q2064">
        <f>IFERROR(1/(IF(Inputs!$B$38="pvp",15,MAX(0.1,Skills!D15-IF(Skills!E15=TRUE,Inputs!$B$32,0)))*(1-IF(AND(ArtifactsInput!$M$27,Inputs!$B$4="Chapter Hunt"),CHOOSE(ArtifactsInput!$N$27+1,20,24,28,32,36,40),0)/100)),0)</f>
        <v/>
      </c>
      <c r="R2064">
        <f>IF(AND(Inputs!$B$38&lt;&gt;"pvp",Inputs!$B$43&gt;0),IF(Inputs!$B$43&lt;=0,0,(INT(Inputs!$B$43/(IF(Inputs!$B$38="pvp",15,MAX(0.1,Skills!D15-IF(Skills!E15=TRUE,Inputs!$B$32,0)))*(1-IF(AND(ArtifactsInput!$M$27,Inputs!$B$4="Chapter Hunt"),CHOOSE(ArtifactsInput!$N$27+1,20,24,28,32,36,40),0)/100)))+1)),0)</f>
        <v/>
      </c>
      <c r="S2064">
        <f>IFERROR(O2064/N2064,0)</f>
        <v/>
      </c>
      <c r="T2064" t="n">
        <v>0</v>
      </c>
      <c r="V2064" t="n">
        <v>0</v>
      </c>
    </row>
    <row r="2065">
      <c r="A2065">
        <f>Skills!A16</f>
        <v/>
      </c>
      <c r="B2065">
        <f>Skills!B16</f>
        <v/>
      </c>
      <c r="C2065">
        <f>Inputs!$B$3&gt;=115</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f>Skills!G16*IF(Skills!H16&gt;0,Skills!I16/Skills!H16,1)</f>
        <v/>
      </c>
      <c r="H2065">
        <f>1-(1-Skills!J16/100)^Skills!K16</f>
        <v/>
      </c>
      <c r="I2065" t="inlineStr">
        <is>
          <t>1</t>
        </is>
      </c>
      <c r="J2065" t="inlineStr"/>
      <c r="K2065" t="inlineStr"/>
      <c r="L2065" t="inlineStr"/>
      <c r="M2065" t="inlineStr"/>
      <c r="N2065" t="inlineStr"/>
      <c r="O2065">
        <f>(1-Summary!$B$11)*T2065+Summary!$B$11*V2065</f>
        <v/>
      </c>
      <c r="P2065">
        <f>IF(B2092=0,0,O2065/B2092)</f>
        <v/>
      </c>
      <c r="Q2065">
        <f>IFERROR(1/(IF(Inputs!$B$38="pvp",15,MAX(0.1,Skills!D16-IF(Skills!E16=TRUE,Inputs!$B$32,0)))*(1-IF(AND(ArtifactsInput!$M$27,Inputs!$B$4="Chapter Hunt"),CHOOSE(ArtifactsInput!$N$27+1,20,24,28,32,36,40),0)/100)),0)</f>
        <v/>
      </c>
      <c r="R2065">
        <f>IF(AND(Inputs!$B$38&lt;&gt;"pvp",Inputs!$B$43&gt;0),IF(Inputs!$B$43&lt;=0,0,(INT(Inputs!$B$43/(IF(Inputs!$B$38="pvp",15,MAX(0.1,Skills!D16-IF(Skills!E16=TRUE,Inputs!$B$32,0)))*(1-IF(AND(ArtifactsInput!$M$27,Inputs!$B$4="Chapter Hunt"),CHOOSE(ArtifactsInput!$N$27+1,20,24,28,32,36,40),0)/100)))+1)),0)</f>
        <v/>
      </c>
      <c r="S2065">
        <f>IFERROR(O2065/N2065,0)</f>
        <v/>
      </c>
      <c r="T2065" t="n">
        <v>0</v>
      </c>
      <c r="V2065" t="n">
        <v>0</v>
      </c>
    </row>
    <row r="2066">
      <c r="A2066">
        <f>Skills!A17</f>
        <v/>
      </c>
      <c r="B2066">
        <f>Skills!B17</f>
        <v/>
      </c>
      <c r="C2066">
        <f>Inputs!$B$3&gt;=66</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IF(B2092=0,0,O2066/B2092)</f>
        <v/>
      </c>
      <c r="Q2066" t="n">
        <v>0</v>
      </c>
      <c r="R2066" t="n">
        <v>0</v>
      </c>
      <c r="S2066">
        <f>IFERROR(O2066/N2066,0)</f>
        <v/>
      </c>
      <c r="T2066" t="n">
        <v>0</v>
      </c>
      <c r="V2066" t="n">
        <v>0</v>
      </c>
    </row>
    <row r="2067">
      <c r="A2067">
        <f>Skills!A18</f>
        <v/>
      </c>
      <c r="B2067">
        <f>Skills!B18</f>
        <v/>
      </c>
      <c r="C2067">
        <f>Inputs!$B$3&gt;=72</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IF(B2092=0,0,O2067/B2092)</f>
        <v/>
      </c>
      <c r="Q2067" t="n">
        <v>0</v>
      </c>
      <c r="R2067" t="n">
        <v>0</v>
      </c>
      <c r="S2067">
        <f>IFERROR(O2067/N2067,0)</f>
        <v/>
      </c>
      <c r="T2067" t="n">
        <v>0</v>
      </c>
      <c r="V2067" t="n">
        <v>0</v>
      </c>
    </row>
    <row r="2068">
      <c r="A2068">
        <f>Skills!A19</f>
        <v/>
      </c>
      <c r="B2068">
        <f>Skills!B19</f>
        <v/>
      </c>
      <c r="C2068">
        <f>TRUE</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IF(B2092=0,0,O2068/B2092)</f>
        <v/>
      </c>
      <c r="Q2068">
        <f>IFERROR(1/(IF(Inputs!$B$38="pvp",15,MAX(0.1,Skills!D19-IF(Skills!E19=TRUE,Inputs!$B$32,0)))*(1-IF(AND(ArtifactsInput!$M$27,Inputs!$B$4="Chapter Hunt"),CHOOSE(ArtifactsInput!$N$27+1,20,24,28,32,36,40),0)/100)),0)</f>
        <v/>
      </c>
      <c r="R2068">
        <f>IF(AND(Inputs!$B$38&lt;&gt;"pvp",Inputs!$B$43&gt;0),IF(Inputs!$B$43&lt;=0,0,(INT(Inputs!$B$43/(IF(Inputs!$B$38="pvp",15,MAX(0.1,Skills!D19-IF(Skills!E19=TRUE,Inputs!$B$32,0)))*(1-IF(AND(ArtifactsInput!$M$27,Inputs!$B$4="Chapter Hunt"),CHOOSE(ArtifactsInput!$N$27+1,20,24,28,32,36,40),0)/100)))+1)),0)</f>
        <v/>
      </c>
      <c r="S2068">
        <f>IFERROR(O2068/N2068,0)</f>
        <v/>
      </c>
      <c r="T2068" t="n">
        <v>0</v>
      </c>
      <c r="V2068" t="n">
        <v>0</v>
      </c>
    </row>
    <row r="2069">
      <c r="A2069">
        <f>Skills!A20</f>
        <v/>
      </c>
      <c r="B2069">
        <f>Skills!B20</f>
        <v/>
      </c>
      <c r="C2069">
        <f>Inputs!$B$3&gt;=15</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IF(B2092=0,0,O2069/B2092)</f>
        <v/>
      </c>
      <c r="Q2069" t="n">
        <v>0</v>
      </c>
      <c r="R2069" t="n">
        <v>0</v>
      </c>
      <c r="S2069">
        <f>IFERROR(O2069/N2069,0)</f>
        <v/>
      </c>
      <c r="T2069" t="n">
        <v>0</v>
      </c>
      <c r="V2069" t="n">
        <v>0</v>
      </c>
    </row>
    <row r="2070">
      <c r="A2070">
        <f>Skills!A21</f>
        <v/>
      </c>
      <c r="B2070">
        <f>Skills!B21</f>
        <v/>
      </c>
      <c r="C2070">
        <f>Inputs!$B$3&gt;=10</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Skills!A22</f>
        <v/>
      </c>
      <c r="B2071">
        <f>Skills!B22</f>
        <v/>
      </c>
      <c r="C2071">
        <f>Inputs!$B$3&gt;=33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Skills!A24</f>
        <v/>
      </c>
      <c r="B2073">
        <f>Skills!B24</f>
        <v/>
      </c>
      <c r="C2073">
        <f>Inputs!$B$3&gt;=43</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Skills!A25</f>
        <v/>
      </c>
      <c r="B2074">
        <f>Skills!B25</f>
        <v/>
      </c>
      <c r="C2074">
        <f>Inputs!$B$3&gt;=75</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Skills!A26</f>
        <v/>
      </c>
      <c r="B2075">
        <f>Skills!B26</f>
        <v/>
      </c>
      <c r="C2075">
        <f>Inputs!$B$3&gt;=125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Skills!A27</f>
        <v/>
      </c>
      <c r="B2076">
        <f>Skills!B27</f>
        <v/>
      </c>
      <c r="C2076">
        <f>Inputs!$B$3&gt;=125</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Skills!A28</f>
        <v/>
      </c>
      <c r="B2077">
        <f>Skills!B28</f>
        <v/>
      </c>
      <c r="C2077">
        <f>Inputs!$B$3&gt;=120</f>
        <v/>
      </c>
      <c r="D2077">
        <f>IF(Skills!C28=1,60+Inputs!$B$25+Inputs!$B$29,IF(Skills!C28=2,90+Inputs!$B$26+Inputs!$B$29,IF(Skills!C28=3,120+Inputs!$B$27+Inputs!$B$29,MAX(0,(Inputs!$B$3-100)*3)+Inputs!$B$28+Inputs!$B$29)))</f>
        <v/>
      </c>
      <c r="E2077">
        <f>INDEX(FactorTable!$B$2:$Y$301, MATCH(ROUND(MIN(300,MAX(1,D2077)),0), FactorTable!$A$2:$A$301,0), Skills!M28+1)</f>
        <v/>
      </c>
      <c r="F2077">
        <f>IF(Skills!N28=TRUE,(Skills!L28/10)*(E2077/1000),Skills!L28/10)+Skills!O28</f>
        <v/>
      </c>
      <c r="G2077">
        <f>Skills!G28*IF(Skills!H28&gt;0,Skills!I28/Skills!H28,1)</f>
        <v/>
      </c>
      <c r="H2077">
        <f>1-(1-Skills!J28/100)^Skills!K28</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Skills!A29</f>
        <v/>
      </c>
      <c r="B2078">
        <f>Skills!B29</f>
        <v/>
      </c>
      <c r="C2078">
        <f>Inputs!$B$3&gt;=120</f>
        <v/>
      </c>
      <c r="D2078">
        <f>IF(Skills!C29=1,60+Inputs!$B$25+Inputs!$B$29,IF(Skills!C29=2,90+Inputs!$B$26+Inputs!$B$29,IF(Skills!C29=3,120+Inputs!$B$27+Inputs!$B$29,MAX(0,(Inputs!$B$3-100)*3)+Inputs!$B$28+Inputs!$B$29)))</f>
        <v/>
      </c>
      <c r="E2078">
        <f>INDEX(FactorTable!$B$2:$Y$301, MATCH(ROUND(MIN(300,MAX(1,D2078)),0), FactorTable!$A$2:$A$301,0), Skills!M29+1)</f>
        <v/>
      </c>
      <c r="F2078">
        <f>IF(Skills!N29=TRUE,(Skills!L29/10)*(E2078/1000),Skills!L29/10)+Skills!O29</f>
        <v/>
      </c>
      <c r="G2078">
        <f>Skills!G29*IF(Skills!H29&gt;0,Skills!I29/Skills!H29,1)</f>
        <v/>
      </c>
      <c r="H2078">
        <f>1-(1-Skills!J29/100)^Skills!K29</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Skills!A30</f>
        <v/>
      </c>
      <c r="B2079">
        <f>Skills!B30</f>
        <v/>
      </c>
      <c r="C2079">
        <f>Inputs!$B$3&gt;=45</f>
        <v/>
      </c>
      <c r="D2079">
        <f>IF(Skills!C30=1,60+Inputs!$B$25+Inputs!$B$29,IF(Skills!C30=2,90+Inputs!$B$26+Inputs!$B$29,IF(Skills!C30=3,120+Inputs!$B$27+Inputs!$B$29,MAX(0,(Inputs!$B$3-100)*3)+Inputs!$B$28+Inputs!$B$29)))</f>
        <v/>
      </c>
      <c r="E2079">
        <f>INDEX(FactorTable!$B$2:$Y$301, MATCH(ROUND(MIN(300,MAX(1,D2079)),0), FactorTable!$A$2:$A$301,0), Skills!M30+1)</f>
        <v/>
      </c>
      <c r="F2079">
        <f>IF(Skills!N30=TRUE,(Skills!L30/10)*(E2079/1000),Skills!L30/10)+Skills!O30</f>
        <v/>
      </c>
      <c r="G2079">
        <f>Skills!G30*IF(Skills!H30&gt;0,Skills!I30/Skills!H30,1)</f>
        <v/>
      </c>
      <c r="H2079">
        <f>1-(1-Skills!J30/100)^Skills!K30</f>
        <v/>
      </c>
      <c r="I2079" t="inlineStr">
        <is>
          <t>1</t>
        </is>
      </c>
      <c r="J2079" t="inlineStr"/>
      <c r="K2079" t="inlineStr"/>
      <c r="L2079" t="inlineStr"/>
      <c r="M2079" t="inlineStr"/>
      <c r="N2079" t="inlineStr"/>
      <c r="O2079">
        <f>(1-Summary!$B$11)*T2079+Summary!$B$11*V2079</f>
        <v/>
      </c>
      <c r="P2079">
        <f>IF(B2092=0,0,O2079/B2092)</f>
        <v/>
      </c>
      <c r="Q2079" t="n">
        <v>0</v>
      </c>
      <c r="R2079" t="n">
        <v>0</v>
      </c>
      <c r="S2079">
        <f>IFERROR(O2079/N2079,0)</f>
        <v/>
      </c>
      <c r="T2079" t="n">
        <v>0</v>
      </c>
      <c r="V2079" t="n">
        <v>0</v>
      </c>
    </row>
    <row r="2081">
      <c r="A2081" t="inlineStr">
        <is>
          <t>Attack% Bucket Multiplier</t>
        </is>
      </c>
      <c r="B2081">
        <f>(1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f>(C2065=TRUE)*20*IF(AND(Inputs!$B$38&lt;&gt;"pvp",Inputs!$B$43&gt;0),(((R2065-1)*(Skills!T16*(1+Inputs!$B$34/100))+MIN((Skills!T16*(1+Inputs!$B$34/100)),MAX(0,Inputs!$B$43-((R2065-1)*Skills!D16))))/Inputs!$B$43),IF(Inputs!$B$38="pvp",MIN((Skills!T16*(1+Inputs!$B$34/100)),15)/15,(Skills!T16*(1+Inputs!$B$34/100))/Skills!D16))</f>
        <v/>
      </c>
    </row>
    <row r="2083">
      <c r="A2083" t="inlineStr">
        <is>
          <t>Attack Speed Buff Bonus %</t>
        </is>
      </c>
      <c r="B2083">
        <f>((C2068=TRUE)*F2068*IF(AND(Inputs!$B$38&lt;&gt;"pvp",Inputs!$B$43&gt;0),(((R2068-1)*(Skills!T19*(1+Inputs!$B$34/100))+MIN((Skills!T19*(1+Inputs!$B$34/100)),MAX(0,Inputs!$B$43-((R2068-1)*Skills!D19))))/Inputs!$B$43),IF(Inputs!$B$38="pvp",MIN((Skills!T19*(1+Inputs!$B$34/100)),15)/15,(Skills!T19*(1+Inputs!$B$34/100))/Skills!D19)))</f>
        <v/>
      </c>
    </row>
    <row r="2084">
      <c r="A2084" t="inlineStr">
        <is>
          <t>Actions Per Second</t>
        </is>
      </c>
      <c r="B2084">
        <f>1+MIN(150,150*(1-(1-(Inputs!$B$11+((C2070=TRUE)*(F2070-Calc!F21))+((C2071=TRUE)*(F2071-Calc!F22)))/150)*(1-B2083/150)))/100</f>
        <v/>
      </c>
    </row>
    <row r="2085">
      <c r="A2085" t="inlineStr">
        <is>
          <t>Skill + Buff Cast Rate</t>
        </is>
      </c>
      <c r="B2085">
        <f>IF(AND(Inputs!$B$38&lt;&gt;"pvp",Inputs!$B$43&gt;0),SUMPRODUCT((Skills!E2:E30=TRUE)*(C2051:C2079=TRUE)*R2051:R2079*Skills!F2:F30)/Inputs!$B$43,SUMPRODUCT((Skills!E2:E30=TRUE)*(C2051:C2079=TRUE)*Q2051:Q2079*Skills!F2:F30))</f>
        <v/>
      </c>
    </row>
    <row r="2086">
      <c r="A2086" t="inlineStr">
        <is>
          <t>Arrow Stream Casts Per Second</t>
        </is>
      </c>
      <c r="B2086">
        <f>MAX(0,B2084-B2085)</f>
        <v/>
      </c>
    </row>
    <row r="2087">
      <c r="A2087" t="inlineStr">
        <is>
          <t>Global Critical Damage Bonus % (Sharp Eyes + Concentration)</t>
        </is>
      </c>
      <c r="B2087">
        <f>(C2065=TRUE)*F2065*IF(AND(Inputs!$B$38&lt;&gt;"pvp",Inputs!$B$43&gt;0),(((R2065-1)*(Skills!T16*(1+Inputs!$B$34/100))+MIN((Skills!T16*(1+Inputs!$B$34/100)),MAX(0,Inputs!$B$43-((R2065-1)*Skills!D16))))/Inputs!$B$43),IF(Inputs!$B$38="pvp",MIN((Skills!T16*(1+Inputs!$B$34/100)),15)/15,(Skills!T16*(1+Inputs!$B$34/100))/Skills!D16))+(C2066=TRUE)*30</f>
        <v/>
      </c>
    </row>
    <row r="2088">
      <c r="A2088" t="inlineStr">
        <is>
          <t>Global Final Damage Bonus % (Mortal Blow)</t>
        </is>
      </c>
      <c r="B2088">
        <f>(C2067=TRUE)*F2067</f>
        <v/>
      </c>
    </row>
    <row r="2089">
      <c r="A2089" t="inlineStr">
        <is>
          <t>Buff-Casting Startup Delay (s, fixed-duration only)</t>
        </is>
      </c>
      <c r="B2089">
        <f>IF(AND(Inputs!$B$38&lt;&gt;"pvp",Inputs!$B$43&gt;0),SUMPRODUCT((Skills!T2:T30&gt;0)*(Skills!E2:E30=TRUE)*(C2051:C2079=TRUE))/B2084,0)</f>
        <v/>
      </c>
    </row>
    <row r="2090">
      <c r="A2090" t="inlineStr">
        <is>
          <t>Boss-Only Total DPS (this block's swept value)</t>
        </is>
      </c>
      <c r="B2090">
        <f>SUM(T2051:T2079)</f>
        <v/>
      </c>
    </row>
    <row r="2091">
      <c r="A2091" t="inlineStr">
        <is>
          <t>Normal-Only Total DPS (this block's swept value)</t>
        </is>
      </c>
      <c r="B2091">
        <f>SUM(V2051:V2079)</f>
        <v/>
      </c>
    </row>
    <row r="2092">
      <c r="A2092" s="6" t="inlineStr">
        <is>
          <t>TOTAL DPS</t>
        </is>
      </c>
      <c r="B2092" s="6">
        <f>SUM(O2051:O2079)</f>
        <v/>
      </c>
    </row>
    <row r="2095">
      <c r="A2095" s="6" t="inlineStr">
        <is>
          <t>Stat: Lunar Dew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2119=TRUE)*(F2119-Calc!F24)),(Inputs!$B$23+((C2124=TRUE)*(F2124-Calc!F29))+(IF(ArtifactsInput!$M$15,CHOOSE(ArtifactsInput!$N$15+1,25,30,35,40,45,50)/100*(Inputs!$B$11-Inputs!$B$11),0))))/100+(Inputs!$B$23+((C2124=TRUE)*(F2124-Calc!F29))+(IF(ArtifactsInput!$M$15,CHOOSE(ArtifactsInput!$N$15+1,25,30,35,40,45,50)/100*(Inputs!$B$11-Inputs!$B$11),0)))/100)/2</f>
        <v/>
      </c>
      <c r="M2097">
        <f>L2097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IF(B2138=0,0,O2097/B2138)</f>
        <v/>
      </c>
      <c r="Q2097" t="n">
        <v>0</v>
      </c>
      <c r="R2097" t="n">
        <v>0</v>
      </c>
      <c r="S2097">
        <f>IFERROR(O2097/N2097,0)</f>
        <v/>
      </c>
      <c r="T2097">
        <f>IF(C2097,(Skills!G2*N2097*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2097*(1-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Inputs!$B$3&gt;=50</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t="inlineStr"/>
      <c r="H2098" t="inlineStr"/>
      <c r="I2098" t="inlineStr">
        <is>
          <t>1</t>
        </is>
      </c>
      <c r="J2098" t="inlineStr"/>
      <c r="K2098" t="inlineStr"/>
      <c r="L2098" t="inlineStr"/>
      <c r="M2098" t="inlineStr"/>
      <c r="N2098" t="inlineStr"/>
      <c r="O2098" t="inlineStr"/>
      <c r="P2098" t="inlineStr"/>
      <c r="Q2098" t="inlineStr"/>
      <c r="R2098" t="inlineStr"/>
      <c r="S2098" t="inlineStr"/>
      <c r="T2098" t="inlineStr"/>
      <c r="U2098">
        <f>INDEX(FactorTable!$B$2:$Y$301, MATCH(ROUND(MIN(300,MAX(1,U2097)),0), FactorTable!$A$2:$A$301,0), 22)</f>
        <v/>
      </c>
      <c r="V2098" t="inlineStr"/>
    </row>
    <row r="2099">
      <c r="A2099">
        <f>Skills!A4</f>
        <v/>
      </c>
      <c r="B2099">
        <f>Skills!B4</f>
        <v/>
      </c>
      <c r="C2099">
        <f>Inputs!$B$3&gt;=105</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290*U2098/1000</f>
        <v/>
      </c>
      <c r="V2099" t="inlineStr"/>
    </row>
    <row r="2100">
      <c r="A2100">
        <f>Skills!A5</f>
        <v/>
      </c>
      <c r="B2100">
        <f>Skills!B5</f>
        <v/>
      </c>
      <c r="C2100">
        <f>Inputs!$B$3&gt;=35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2105=TRUE,F2105,0)/100)*(1+(IF(Skills!A5="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2119=TRUE)*(F2119-Calc!F24)),(Inputs!$B$23+((C2124=TRUE)*(F2124-Calc!F29))+(IF(ArtifactsInput!$M$15,CHOOSE(ArtifactsInput!$N$15+1,25,30,35,40,45,50)/100*(Inputs!$B$11-Inputs!$B$11),0))))/100+(Inputs!$B$23+((C2124=TRUE)*(F2124-Calc!F29))+(IF(ArtifactsInput!$M$15,CHOOSE(ArtifactsInput!$N$15+1,25,30,35,40,45,50)/100*(Inputs!$B$11-Inputs!$B$11),0)))/100)/2</f>
        <v/>
      </c>
      <c r="M2100">
        <f>L2100*(1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IF(B2138=0,0,O2100/B2138)</f>
        <v/>
      </c>
      <c r="Q2100">
        <f>IFERROR(1/(IF(Inputs!$B$38="pvp",15,MAX(0.1,Skills!D5-IF(Skills!E5=TRUE,Inputs!$B$32,0)))*(1-IF(AND(ArtifactsInput!$M$27,Inputs!$B$4="Chapter Hunt"),CHOOSE(ArtifactsInput!$N$27+1,20,24,28,32,36,40),0)/100)),0)</f>
        <v/>
      </c>
      <c r="R2100">
        <f>IF(AND(Inputs!$B$38&lt;&gt;"pvp",Inputs!$B$43&gt;0),IF(MAX(0,Inputs!$B$43-B2135)&lt;=0,0,(INT(MAX(0,Inputs!$B$43-B2135)/(IF(Inputs!$B$38="pvp",15,MAX(0.1,Skills!D5-IF(Skills!E5=TRUE,Inputs!$B$32,0)))*(1-IF(AND(ArtifactsInput!$M$27,Inputs!$B$4="Chapter Hunt"),CHOOSE(ArtifactsInput!$N$27+1,20,24,28,32,36,40),0)/100)))+1)),0)</f>
        <v/>
      </c>
      <c r="S2100">
        <f>IFERROR(O2100/N2100,0)</f>
        <v/>
      </c>
      <c r="T2100">
        <f>IF(C2100,(H2100*N2100*IF(AND(Inputs!$B$38&lt;&gt;"pvp",Inputs!$B$43&gt;0),((Skills!G5*((R2100-1)*IF(Skills!H5&gt;0,Skills!I5/Skills!H5,1)+IF(Skills!H5&gt;0,MIN(Skills!I5,MAX(0,MAX(0,Inputs!$B$43-B2135)-((R2100-1)*(IF(Inputs!$B$38="pvp",15,MAX(0.1,Skills!D5-IF(Skills!E5=TRUE,Inputs!$B$32,0)))*(1-IF(AND(ArtifactsInput!$M$27,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2135)-((R2100-1)*(IF(Inputs!$B$38="pvp",15,MAX(0.1,Skills!D5-IF(Skills!E5=TRUE,Inputs!$B$32,0)))*(1-IF(AND(ArtifactsInput!$M$27,Inputs!$B$4="Chapter Hunt"),CHOOSE(ArtifactsInput!$N$27+1,20,24,28,32,36,40),0)/100)))))/Skills!H5,1)))/Inputs!$B$43),G2100*Q2100))*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Inputs!$B$3&gt;=40</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2102=TRUE,F2102,0)/100)*(1+(IF(Skills!A6="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24)),(Inputs!$B$23+((C2124=TRUE)*(F2124-Calc!F29))+(IF(ArtifactsInput!$M$15,CHOOSE(ArtifactsInput!$N$15+1,25,30,35,40,45,50)/100*(Inputs!$B$11-Inputs!$B$11),0))))/100+(Inputs!$B$23+((C2124=TRUE)*(F2124-Calc!F29))+(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IFERROR(1/(IF(Inputs!$B$38="pvp",15,MAX(0.1,Skills!D6-IF(Skills!E6=TRUE,Inputs!$B$32,0)))*(1-IF(AND(ArtifactsInput!$M$27,Inputs!$B$4="Chapter Hunt"),CHOOSE(ArtifactsInput!$N$27+1,20,24,28,32,36,40),0)/100)),0)</f>
        <v/>
      </c>
      <c r="R2101">
        <f>IF(AND(Inputs!$B$38&lt;&gt;"pvp",Inputs!$B$43&gt;0),IF(MAX(0,Inputs!$B$43-B2135)&lt;=0,0,(INT(MAX(0,Inputs!$B$43-B2135)/(IF(Inputs!$B$38="pvp",15,MAX(0.1,Skills!D6-IF(Skills!E6=TRUE,Inputs!$B$32,0)))*(1-IF(AND(ArtifactsInput!$M$27,Inputs!$B$4="Chapter Hunt"),CHOOSE(ArtifactsInput!$N$27+1,20,24,28,32,36,40),0)/100)))+1)),0)</f>
        <v/>
      </c>
      <c r="S2101">
        <f>IFERROR(O2101/N2101,0)</f>
        <v/>
      </c>
      <c r="T2101">
        <f>IF(C2101,(H2101*N2101*IF(AND(Inputs!$B$38&lt;&gt;"pvp",Inputs!$B$43&gt;0),((Skills!G6*((R2101-1)*IF(Skills!H6&gt;0,Skills!I6/Skills!H6,1)+IF(Skills!H6&gt;0,MIN(Skills!I6,MAX(0,MAX(0,Inputs!$B$43-B2135)-((R2101-1)*(IF(Inputs!$B$38="pvp",15,MAX(0.1,Skills!D6-IF(Skills!E6=TRUE,Inputs!$B$32,0)))*(1-IF(AND(ArtifactsInput!$M$27,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2101*(1-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2135)-((R2101-1)*(IF(Inputs!$B$38="pvp",15,MAX(0.1,Skills!D6-IF(Skills!E6=TRUE,Inputs!$B$32,0)))*(1-IF(AND(ArtifactsInput!$M$27,Inputs!$B$4="Chapter Hunt"),CHOOSE(ArtifactsInput!$N$27+1,20,24,28,32,36,40),0)/100)))))/Skills!H6,1)))/Inputs!$B$43),G2101*Q2101))*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Inputs!$B$3&gt;=107</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t="inlineStr"/>
      <c r="H2102" t="inlineStr"/>
      <c r="I2102" t="inlineStr">
        <is>
          <t>1</t>
        </is>
      </c>
      <c r="J2102" t="inlineStr"/>
      <c r="K2102" t="inlineStr"/>
      <c r="L2102" t="inlineStr"/>
      <c r="M2102" t="inlineStr"/>
      <c r="N2102" t="inlineStr"/>
      <c r="O2102" t="inlineStr"/>
      <c r="P2102" t="inlineStr"/>
      <c r="Q2102" t="inlineStr"/>
      <c r="R2102" t="inlineStr"/>
      <c r="S2102" t="inlineStr"/>
      <c r="T2102" t="inlineStr"/>
      <c r="V2102" t="inlineStr"/>
    </row>
    <row r="2103">
      <c r="A2103">
        <f>Skills!A8</f>
        <v/>
      </c>
      <c r="B2103">
        <f>Skills!B8</f>
        <v/>
      </c>
      <c r="C2103">
        <f>Inputs!$B$3&gt;=69</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2105=TRUE,F2105,0)/100)*(1+(IF(Skills!A8="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24)),(Inputs!$B$23+((C2124=TRUE)*(F2124-Calc!F29))+(IF(ArtifactsInput!$M$15,CHOOSE(ArtifactsInput!$N$15+1,25,30,35,40,45,50)/100*(Inputs!$B$11-Inputs!$B$11),0))))/100+(Inputs!$B$23+((C2124=TRUE)*(F2124-Calc!F29))+(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IFERROR(1/(IF(Inputs!$B$38="pvp",15,MAX(0.1,Skills!D8-IF(Skills!E8=TRUE,Inputs!$B$32,0)))*(1-IF(AND(ArtifactsInput!$M$27,Inputs!$B$4="Chapter Hunt"),CHOOSE(ArtifactsInput!$N$27+1,20,24,28,32,36,40),0)/100)),0)</f>
        <v/>
      </c>
      <c r="R2103">
        <f>IF(AND(Inputs!$B$38&lt;&gt;"pvp",Inputs!$B$43&gt;0),IF(MAX(0,Inputs!$B$43-B2135)&lt;=0,0,(INT(MAX(0,Inputs!$B$43-B2135)/(IF(Inputs!$B$38="pvp",15,MAX(0.1,Skills!D8-IF(Skills!E8=TRUE,Inputs!$B$32,0)))*(1-IF(AND(ArtifactsInput!$M$27,Inputs!$B$4="Chapter Hunt"),CHOOSE(ArtifactsInput!$N$27+1,20,24,28,32,36,40),0)/100)))+1)),0)</f>
        <v/>
      </c>
      <c r="S2103">
        <f>IFERROR(O2103/N2103,0)</f>
        <v/>
      </c>
      <c r="T2103">
        <f>IF(C2103,(H2103*N2103*IF(AND(Inputs!$B$38&lt;&gt;"pvp",Inputs!$B$43&gt;0),((Skills!G8*((R2103-1)*IF(Skills!H8&gt;0,Skills!I8/Skills!H8,1)+IF(Skills!H8&gt;0,MIN(Skills!I8,MAX(0,MAX(0,Inputs!$B$43-B2135)-((R2103-1)*(IF(Inputs!$B$38="pvp",15,MAX(0.1,Skills!D8-IF(Skills!E8=TRUE,Inputs!$B$32,0)))*(1-IF(AND(ArtifactsInput!$M$27,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2103*(1-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2135)-((R2103-1)*(IF(Inputs!$B$38="pvp",15,MAX(0.1,Skills!D8-IF(Skills!E8=TRUE,Inputs!$B$32,0)))*(1-IF(AND(ArtifactsInput!$M$27,Inputs!$B$4="Chapter Hunt"),CHOOSE(ArtifactsInput!$N$27+1,20,24,28,32,36,40),0)/100)))))/Skills!H8,1)))/Inputs!$B$43),G2103*Q2103))*IF(Inputs!$B$38="pvp",1,(1+(Inputs!$B$21+Skills!Q8+(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Inputs!$B$3&gt;=63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2105=TRUE,F2105,0)/100)*(1+(IF(Skills!A9="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2119=TRUE)*(F2119-Calc!F24)),(Inputs!$B$23+((C2124=TRUE)*(F2124-Calc!F29))+(IF(ArtifactsInput!$M$15,CHOOSE(ArtifactsInput!$N$15+1,25,30,35,40,45,50)/100*(Inputs!$B$11-Inputs!$B$11),0))))/100+(Inputs!$B$23+((C2124=TRUE)*(F2124-Calc!F29))+(IF(ArtifactsInput!$M$15,CHOOSE(ArtifactsInput!$N$15+1,25,30,35,40,45,50)/100*(Inputs!$B$11-Inputs!$B$11),0)))/100)/2</f>
        <v/>
      </c>
      <c r="M2104">
        <f>L2104*(1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IF(B2138=0,0,O2104/B2138)</f>
        <v/>
      </c>
      <c r="Q2104">
        <f>IFERROR(1/(IF(Inputs!$B$38="pvp",15,MAX(0.1,Skills!D9-IF(Skills!E9=TRUE,Inputs!$B$32,0)))*(1-IF(AND(ArtifactsInput!$M$27,Inputs!$B$4="Chapter Hunt"),CHOOSE(ArtifactsInput!$N$27+1,20,24,28,32,36,40),0)/100)),0)</f>
        <v/>
      </c>
      <c r="R2104">
        <f>IF(AND(Inputs!$B$38&lt;&gt;"pvp",Inputs!$B$43&gt;0),IF(MAX(0,Inputs!$B$43-B2135)&lt;=0,0,(INT(MAX(0,Inputs!$B$43-B2135)/(IF(Inputs!$B$38="pvp",15,MAX(0.1,Skills!D9-IF(Skills!E9=TRUE,Inputs!$B$32,0)))*(1-IF(AND(ArtifactsInput!$M$27,Inputs!$B$4="Chapter Hunt"),CHOOSE(ArtifactsInput!$N$27+1,20,24,28,32,36,40),0)/100)))+1)),0)</f>
        <v/>
      </c>
      <c r="S2104">
        <f>IFERROR(O2104/N2104,0)</f>
        <v/>
      </c>
      <c r="T2104">
        <f>IF(C2104,(H2104*N2104*IF(AND(Inputs!$B$38&lt;&gt;"pvp",Inputs!$B$43&gt;0),((Skills!G9*((R2104-1)*IF(Skills!H9&gt;0,Skills!I9/Skills!H9,1)+IF(Skills!H9&gt;0,MIN(Skills!I9,MAX(0,MAX(0,Inputs!$B$43-B2135)-((R2104-1)*(IF(Inputs!$B$38="pvp",15,MAX(0.1,Skills!D9-IF(Skills!E9=TRUE,Inputs!$B$32,0)))*(1-IF(AND(ArtifactsInput!$M$27,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2104*(1-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2135)-((R2104-1)*(IF(Inputs!$B$38="pvp",15,MAX(0.1,Skills!D9-IF(Skills!E9=TRUE,Inputs!$B$32,0)))*(1-IF(AND(ArtifactsInput!$M$27,Inputs!$B$4="Chapter Hunt"),CHOOSE(ArtifactsInput!$N$27+1,20,24,28,32,36,40),0)/100)))))/Skills!H9,1)))/Inputs!$B$43),G2104*Q2104))*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Inputs!$B$3&gt;=100</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Skills!A11</f>
        <v/>
      </c>
      <c r="B2106">
        <f>Skills!B11</f>
        <v/>
      </c>
      <c r="C2106">
        <f>Inputs!$B$3&gt;=60</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2107=TRUE,F2107,0)/100)*(1+(IF(Skills!A11="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24)),(Inputs!$B$23+((C2124=TRUE)*(F2124-Calc!F29))+(IF(ArtifactsInput!$M$15,CHOOSE(ArtifactsInput!$N$15+1,25,30,35,40,45,50)/100*(Inputs!$B$11-Inputs!$B$11),0))))/100+(Inputs!$B$23+((C2124=TRUE)*(F2124-Calc!F29))+(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f>IFERROR(1/(IF(Inputs!$B$38="pvp",15,MAX(0.1,Skills!D11-IF(Skills!E11=TRUE,Inputs!$B$32,0)))*(1-IF(AND(ArtifactsInput!$M$27,Inputs!$B$4="Chapter Hunt"),CHOOSE(ArtifactsInput!$N$27+1,20,24,28,32,36,40),0)/100)),0)</f>
        <v/>
      </c>
      <c r="R2106">
        <f>IF(AND(Inputs!$B$38&lt;&gt;"pvp",Inputs!$B$43&gt;0),IF(MAX(0,Inputs!$B$43-B2135)&lt;=0,0,(INT(MAX(0,Inputs!$B$43-B2135)/(IF(Inputs!$B$38="pvp",15,MAX(0.1,Skills!D11-IF(Skills!E11=TRUE,Inputs!$B$32,0)))*(1-IF(AND(ArtifactsInput!$M$27,Inputs!$B$4="Chapter Hunt"),CHOOSE(ArtifactsInput!$N$27+1,20,24,28,32,36,40),0)/100)))+1)),0)</f>
        <v/>
      </c>
      <c r="S2106">
        <f>IFERROR(O2106/N2106,0)</f>
        <v/>
      </c>
      <c r="T2106">
        <f>IF(C2106,(H2106*N2106*IF(AND(Inputs!$B$38&lt;&gt;"pvp",Inputs!$B$43&gt;0),((Skills!G11*((R2106-1)*IF(Skills!H11&gt;0,Skills!I11/Skills!H11,1)+IF(Skills!H11&gt;0,MIN(Skills!I11,MAX(0,MAX(0,Inputs!$B$43-B2135)-((R2106-1)*(IF(Inputs!$B$38="pvp",15,MAX(0.1,Skills!D11-IF(Skills!E11=TRUE,Inputs!$B$32,0)))*(1-IF(AND(ArtifactsInput!$M$27,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2106*(1-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2135)-((R2106-1)*(IF(Inputs!$B$38="pvp",15,MAX(0.1,Skills!D11-IF(Skills!E11=TRUE,Inputs!$B$32,0)))*(1-IF(AND(ArtifactsInput!$M$27,Inputs!$B$4="Chapter Hunt"),CHOOSE(ArtifactsInput!$N$27+1,20,24,28,32,36,40),0)/100)))))/Skills!H11,1)))/Inputs!$B$43),G2106*Q2106))*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t="inlineStr"/>
      <c r="H2107" t="inlineStr"/>
      <c r="I2107" t="inlineStr">
        <is>
          <t>1</t>
        </is>
      </c>
      <c r="J2107" t="inlineStr"/>
      <c r="K2107" t="inlineStr"/>
      <c r="L2107" t="inlineStr"/>
      <c r="M2107" t="inlineStr"/>
      <c r="N2107" t="inlineStr"/>
      <c r="O2107" t="inlineStr"/>
      <c r="P2107" t="inlineStr"/>
      <c r="Q2107" t="inlineStr"/>
      <c r="R2107" t="inlineStr"/>
      <c r="S2107" t="inlineStr"/>
      <c r="T2107" t="inlineStr"/>
      <c r="V2107" t="inlineStr"/>
    </row>
    <row r="2108">
      <c r="A2108">
        <f>Skills!A13</f>
        <v/>
      </c>
      <c r="B2108">
        <f>Skills!B13</f>
        <v/>
      </c>
      <c r="C2108">
        <f>Inputs!$B$3&gt;=74</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t="inlineStr"/>
      <c r="K2108" t="inlineStr"/>
      <c r="L2108" t="inlineStr"/>
      <c r="M2108" t="inlineStr"/>
      <c r="N2108" t="inlineStr"/>
      <c r="O2108">
        <f>(1-Summary!$B$11)*T2108+Summary!$B$11*V2108</f>
        <v/>
      </c>
      <c r="P2108">
        <f>IF(B2138=0,0,O2108/B2138)</f>
        <v/>
      </c>
      <c r="Q2108" t="n">
        <v>0</v>
      </c>
      <c r="R2108" t="n">
        <v>0</v>
      </c>
      <c r="S2108">
        <f>IFERROR(O2108/N2108,0)</f>
        <v/>
      </c>
      <c r="T2108" t="n">
        <v>0</v>
      </c>
      <c r="V2108" t="n">
        <v>0</v>
      </c>
    </row>
    <row r="2109">
      <c r="A2109">
        <f>Skills!A14</f>
        <v/>
      </c>
      <c r="B2109">
        <f>Skills!B14</f>
        <v/>
      </c>
      <c r="C2109">
        <f>Inputs!$B$3&gt;=74</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t="inlineStr"/>
      <c r="K2109" t="inlineStr"/>
      <c r="L2109" t="inlineStr"/>
      <c r="M2109" t="inlineStr"/>
      <c r="N2109" t="inlineStr"/>
      <c r="O2109">
        <f>(1-Summary!$B$11)*T2109+Summary!$B$11*V2109</f>
        <v/>
      </c>
      <c r="P2109">
        <f>IF(B2138=0,0,O2109/B2138)</f>
        <v/>
      </c>
      <c r="Q2109" t="n">
        <v>0</v>
      </c>
      <c r="R2109" t="n">
        <v>0</v>
      </c>
      <c r="S2109">
        <f>IFERROR(O2109/N2109,0)</f>
        <v/>
      </c>
      <c r="T2109" t="n">
        <v>0</v>
      </c>
      <c r="V2109" t="n">
        <v>0</v>
      </c>
    </row>
    <row r="2110">
      <c r="A2110">
        <f>Skills!A15</f>
        <v/>
      </c>
      <c r="B2110">
        <f>Skills!B15</f>
        <v/>
      </c>
      <c r="C2110">
        <f>Inputs!$B$3&gt;=117</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f>Skills!G15*IF(Skills!H15&gt;0,Skills!I15/Skills!H15,1)</f>
        <v/>
      </c>
      <c r="H2110">
        <f>1-(1-Skills!J15/100)^Skills!K15</f>
        <v/>
      </c>
      <c r="I2110" t="inlineStr">
        <is>
          <t>1</t>
        </is>
      </c>
      <c r="J2110" t="inlineStr"/>
      <c r="K2110" t="inlineStr"/>
      <c r="L2110" t="inlineStr"/>
      <c r="M2110" t="inlineStr"/>
      <c r="N2110" t="inlineStr"/>
      <c r="O2110">
        <f>(1-Summary!$B$11)*T2110+Summary!$B$11*V2110</f>
        <v/>
      </c>
      <c r="P2110">
        <f>IF(B2138=0,0,O2110/B2138)</f>
        <v/>
      </c>
      <c r="Q2110">
        <f>IFERROR(1/(IF(Inputs!$B$38="pvp",15,MAX(0.1,Skills!D15-IF(Skills!E15=TRUE,Inputs!$B$32,0)))*(1-IF(AND(ArtifactsInput!$M$27,Inputs!$B$4="Chapter Hunt"),CHOOSE(ArtifactsInput!$N$27+1,20,24,28,32,36,40),0)/100)),0)</f>
        <v/>
      </c>
      <c r="R2110">
        <f>IF(AND(Inputs!$B$38&lt;&gt;"pvp",Inputs!$B$43&gt;0),IF(Inputs!$B$43&lt;=0,0,(INT(Inputs!$B$43/(IF(Inputs!$B$38="pvp",15,MAX(0.1,Skills!D15-IF(Skills!E15=TRUE,Inputs!$B$32,0)))*(1-IF(AND(ArtifactsInput!$M$27,Inputs!$B$4="Chapter Hunt"),CHOOSE(ArtifactsInput!$N$27+1,20,24,28,32,36,40),0)/100)))+1)),0)</f>
        <v/>
      </c>
      <c r="S2110">
        <f>IFERROR(O2110/N2110,0)</f>
        <v/>
      </c>
      <c r="T2110" t="n">
        <v>0</v>
      </c>
      <c r="V2110" t="n">
        <v>0</v>
      </c>
    </row>
    <row r="2111">
      <c r="A2111">
        <f>Skills!A16</f>
        <v/>
      </c>
      <c r="B2111">
        <f>Skills!B16</f>
        <v/>
      </c>
      <c r="C2111">
        <f>Inputs!$B$3&gt;=115</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f>Skills!G16*IF(Skills!H16&gt;0,Skills!I16/Skills!H16,1)</f>
        <v/>
      </c>
      <c r="H2111">
        <f>1-(1-Skills!J16/100)^Skills!K16</f>
        <v/>
      </c>
      <c r="I2111" t="inlineStr">
        <is>
          <t>1</t>
        </is>
      </c>
      <c r="J2111" t="inlineStr"/>
      <c r="K2111" t="inlineStr"/>
      <c r="L2111" t="inlineStr"/>
      <c r="M2111" t="inlineStr"/>
      <c r="N2111" t="inlineStr"/>
      <c r="O2111">
        <f>(1-Summary!$B$11)*T2111+Summary!$B$11*V2111</f>
        <v/>
      </c>
      <c r="P2111">
        <f>IF(B2138=0,0,O2111/B2138)</f>
        <v/>
      </c>
      <c r="Q2111">
        <f>IFERROR(1/(IF(Inputs!$B$38="pvp",15,MAX(0.1,Skills!D16-IF(Skills!E16=TRUE,Inputs!$B$32,0)))*(1-IF(AND(ArtifactsInput!$M$27,Inputs!$B$4="Chapter Hunt"),CHOOSE(ArtifactsInput!$N$27+1,20,24,28,32,36,40),0)/100)),0)</f>
        <v/>
      </c>
      <c r="R2111">
        <f>IF(AND(Inputs!$B$38&lt;&gt;"pvp",Inputs!$B$43&gt;0),IF(Inputs!$B$43&lt;=0,0,(INT(Inputs!$B$43/(IF(Inputs!$B$38="pvp",15,MAX(0.1,Skills!D16-IF(Skills!E16=TRUE,Inputs!$B$32,0)))*(1-IF(AND(ArtifactsInput!$M$27,Inputs!$B$4="Chapter Hunt"),CHOOSE(ArtifactsInput!$N$27+1,20,24,28,32,36,40),0)/100)))+1)),0)</f>
        <v/>
      </c>
      <c r="S2111">
        <f>IFERROR(O2111/N2111,0)</f>
        <v/>
      </c>
      <c r="T2111" t="n">
        <v>0</v>
      </c>
      <c r="V2111" t="n">
        <v>0</v>
      </c>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IF(B2138=0,0,O2112/B2138)</f>
        <v/>
      </c>
      <c r="Q2112" t="n">
        <v>0</v>
      </c>
      <c r="R2112" t="n">
        <v>0</v>
      </c>
      <c r="S2112">
        <f>IFERROR(O2112/N2112,0)</f>
        <v/>
      </c>
      <c r="T2112" t="n">
        <v>0</v>
      </c>
      <c r="V2112" t="n">
        <v>0</v>
      </c>
    </row>
    <row r="2113">
      <c r="A2113">
        <f>Skills!A18</f>
        <v/>
      </c>
      <c r="B2113">
        <f>Skills!B18</f>
        <v/>
      </c>
      <c r="C2113">
        <f>Inputs!$B$3&gt;=72</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IF(B2138=0,0,O2113/B2138)</f>
        <v/>
      </c>
      <c r="Q2113" t="n">
        <v>0</v>
      </c>
      <c r="R2113" t="n">
        <v>0</v>
      </c>
      <c r="S2113">
        <f>IFERROR(O2113/N2113,0)</f>
        <v/>
      </c>
      <c r="T2113" t="n">
        <v>0</v>
      </c>
      <c r="V2113" t="n">
        <v>0</v>
      </c>
    </row>
    <row r="2114">
      <c r="A2114">
        <f>Skills!A19</f>
        <v/>
      </c>
      <c r="B2114">
        <f>Skills!B19</f>
        <v/>
      </c>
      <c r="C2114">
        <f>TRUE</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IF(B2138=0,0,O2114/B2138)</f>
        <v/>
      </c>
      <c r="Q2114">
        <f>IFERROR(1/(IF(Inputs!$B$38="pvp",15,MAX(0.1,Skills!D19-IF(Skills!E19=TRUE,Inputs!$B$32,0)))*(1-IF(AND(ArtifactsInput!$M$27,Inputs!$B$4="Chapter Hunt"),CHOOSE(ArtifactsInput!$N$27+1,20,24,28,32,36,40),0)/100)),0)</f>
        <v/>
      </c>
      <c r="R2114">
        <f>IF(AND(Inputs!$B$38&lt;&gt;"pvp",Inputs!$B$43&gt;0),IF(Inputs!$B$43&lt;=0,0,(INT(Inputs!$B$43/(IF(Inputs!$B$38="pvp",15,MAX(0.1,Skills!D19-IF(Skills!E19=TRUE,Inputs!$B$32,0)))*(1-IF(AND(ArtifactsInput!$M$27,Inputs!$B$4="Chapter Hunt"),CHOOSE(ArtifactsInput!$N$27+1,20,24,28,32,36,40),0)/100)))+1)),0)</f>
        <v/>
      </c>
      <c r="S2114">
        <f>IFERROR(O2114/N2114,0)</f>
        <v/>
      </c>
      <c r="T2114" t="n">
        <v>0</v>
      </c>
      <c r="V2114" t="n">
        <v>0</v>
      </c>
    </row>
    <row r="2115">
      <c r="A2115">
        <f>Skills!A20</f>
        <v/>
      </c>
      <c r="B2115">
        <f>Skills!B20</f>
        <v/>
      </c>
      <c r="C2115">
        <f>Inputs!$B$3&gt;=15</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IF(B2138=0,0,O2115/B2138)</f>
        <v/>
      </c>
      <c r="Q2115" t="n">
        <v>0</v>
      </c>
      <c r="R2115" t="n">
        <v>0</v>
      </c>
      <c r="S2115">
        <f>IFERROR(O2115/N2115,0)</f>
        <v/>
      </c>
      <c r="T2115" t="n">
        <v>0</v>
      </c>
      <c r="V2115" t="n">
        <v>0</v>
      </c>
    </row>
    <row r="2116">
      <c r="A2116">
        <f>Skills!A21</f>
        <v/>
      </c>
      <c r="B2116">
        <f>Skills!B21</f>
        <v/>
      </c>
      <c r="C2116">
        <f>Inputs!$B$3&gt;=10</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IF(B2138=0,0,O2116/B2138)</f>
        <v/>
      </c>
      <c r="Q2116" t="n">
        <v>0</v>
      </c>
      <c r="R2116" t="n">
        <v>0</v>
      </c>
      <c r="S2116">
        <f>IFERROR(O2116/N2116,0)</f>
        <v/>
      </c>
      <c r="T2116" t="n">
        <v>0</v>
      </c>
      <c r="V2116" t="n">
        <v>0</v>
      </c>
    </row>
    <row r="2117">
      <c r="A2117">
        <f>Skills!A22</f>
        <v/>
      </c>
      <c r="B2117">
        <f>Skills!B22</f>
        <v/>
      </c>
      <c r="C2117">
        <f>Inputs!$B$3&gt;=33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IF(B2138=0,0,O2117/B2138)</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IF(B2138=0,0,O2118/B2138)</f>
        <v/>
      </c>
      <c r="Q2118" t="n">
        <v>0</v>
      </c>
      <c r="R2118" t="n">
        <v>0</v>
      </c>
      <c r="S2118">
        <f>IFERROR(O2118/N2118,0)</f>
        <v/>
      </c>
      <c r="T2118" t="n">
        <v>0</v>
      </c>
      <c r="V2118" t="n">
        <v>0</v>
      </c>
    </row>
    <row r="2119">
      <c r="A2119">
        <f>Skills!A24</f>
        <v/>
      </c>
      <c r="B2119">
        <f>Skills!B24</f>
        <v/>
      </c>
      <c r="C2119">
        <f>Inputs!$B$3&gt;=43</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IF(B2138=0,0,O2119/B2138)</f>
        <v/>
      </c>
      <c r="Q2119" t="n">
        <v>0</v>
      </c>
      <c r="R2119" t="n">
        <v>0</v>
      </c>
      <c r="S2119">
        <f>IFERROR(O2119/N2119,0)</f>
        <v/>
      </c>
      <c r="T2119" t="n">
        <v>0</v>
      </c>
      <c r="V2119" t="n">
        <v>0</v>
      </c>
    </row>
    <row r="2120">
      <c r="A2120">
        <f>Skills!A25</f>
        <v/>
      </c>
      <c r="B2120">
        <f>Skills!B25</f>
        <v/>
      </c>
      <c r="C2120">
        <f>Inputs!$B$3&gt;=75</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IF(B2138=0,0,O2120/B2138)</f>
        <v/>
      </c>
      <c r="Q2120" t="n">
        <v>0</v>
      </c>
      <c r="R2120" t="n">
        <v>0</v>
      </c>
      <c r="S2120">
        <f>IFERROR(O2120/N2120,0)</f>
        <v/>
      </c>
      <c r="T2120" t="n">
        <v>0</v>
      </c>
      <c r="V2120" t="n">
        <v>0</v>
      </c>
    </row>
    <row r="2121">
      <c r="A2121">
        <f>Skills!A26</f>
        <v/>
      </c>
      <c r="B2121">
        <f>Skills!B26</f>
        <v/>
      </c>
      <c r="C2121">
        <f>Inputs!$B$3&gt;=125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IF(B2138=0,0,O2121/B2138)</f>
        <v/>
      </c>
      <c r="Q2121" t="n">
        <v>0</v>
      </c>
      <c r="R2121" t="n">
        <v>0</v>
      </c>
      <c r="S2121">
        <f>IFERROR(O2121/N2121,0)</f>
        <v/>
      </c>
      <c r="T2121" t="n">
        <v>0</v>
      </c>
      <c r="V2121" t="n">
        <v>0</v>
      </c>
    </row>
    <row r="2122">
      <c r="A2122">
        <f>Skills!A27</f>
        <v/>
      </c>
      <c r="B2122">
        <f>Skills!B27</f>
        <v/>
      </c>
      <c r="C2122">
        <f>Inputs!$B$3&gt;=125</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IF(B2138=0,0,O2122/B2138)</f>
        <v/>
      </c>
      <c r="Q2122" t="n">
        <v>0</v>
      </c>
      <c r="R2122" t="n">
        <v>0</v>
      </c>
      <c r="S2122">
        <f>IFERROR(O2122/N2122,0)</f>
        <v/>
      </c>
      <c r="T2122" t="n">
        <v>0</v>
      </c>
      <c r="V2122" t="n">
        <v>0</v>
      </c>
    </row>
    <row r="2123">
      <c r="A2123">
        <f>Skills!A28</f>
        <v/>
      </c>
      <c r="B2123">
        <f>Skills!B28</f>
        <v/>
      </c>
      <c r="C2123">
        <f>Inputs!$B$3&gt;=120</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IF(B2138=0,0,O2123/B2138)</f>
        <v/>
      </c>
      <c r="Q2123" t="n">
        <v>0</v>
      </c>
      <c r="R2123" t="n">
        <v>0</v>
      </c>
      <c r="S2123">
        <f>IFERROR(O2123/N2123,0)</f>
        <v/>
      </c>
      <c r="T2123" t="n">
        <v>0</v>
      </c>
      <c r="V2123" t="n">
        <v>0</v>
      </c>
    </row>
    <row r="2124">
      <c r="A2124">
        <f>Skills!A29</f>
        <v/>
      </c>
      <c r="B2124">
        <f>Skills!B29</f>
        <v/>
      </c>
      <c r="C2124">
        <f>Inputs!$B$3&gt;=120</f>
        <v/>
      </c>
      <c r="D2124">
        <f>IF(Skills!C29=1,60+Inputs!$B$25+Inputs!$B$29,IF(Skills!C29=2,90+Inputs!$B$26+Inputs!$B$29,IF(Skills!C29=3,120+Inputs!$B$27+Inputs!$B$29,MAX(0,(Inputs!$B$3-100)*3)+Inputs!$B$28+Inputs!$B$29)))</f>
        <v/>
      </c>
      <c r="E2124">
        <f>INDEX(FactorTable!$B$2:$Y$301, MATCH(ROUND(MIN(300,MAX(1,D2124)),0), FactorTable!$A$2:$A$301,0), Skills!M29+1)</f>
        <v/>
      </c>
      <c r="F2124">
        <f>IF(Skills!N29=TRUE,(Skills!L29/10)*(E2124/1000),Skills!L29/10)+Skills!O29</f>
        <v/>
      </c>
      <c r="G2124">
        <f>Skills!G29*IF(Skills!H29&gt;0,Skills!I29/Skills!H29,1)</f>
        <v/>
      </c>
      <c r="H2124">
        <f>1-(1-Skills!J29/100)^Skills!K29</f>
        <v/>
      </c>
      <c r="I2124" t="inlineStr">
        <is>
          <t>1</t>
        </is>
      </c>
      <c r="J2124" t="inlineStr"/>
      <c r="K2124" t="inlineStr"/>
      <c r="L2124" t="inlineStr"/>
      <c r="M2124" t="inlineStr"/>
      <c r="N2124" t="inlineStr"/>
      <c r="O2124">
        <f>(1-Summary!$B$11)*T2124+Summary!$B$11*V2124</f>
        <v/>
      </c>
      <c r="P2124">
        <f>IF(B2138=0,0,O2124/B2138)</f>
        <v/>
      </c>
      <c r="Q2124" t="n">
        <v>0</v>
      </c>
      <c r="R2124" t="n">
        <v>0</v>
      </c>
      <c r="S2124">
        <f>IFERROR(O2124/N2124,0)</f>
        <v/>
      </c>
      <c r="T2124" t="n">
        <v>0</v>
      </c>
      <c r="V2124" t="n">
        <v>0</v>
      </c>
    </row>
    <row r="2125">
      <c r="A2125">
        <f>Skills!A30</f>
        <v/>
      </c>
      <c r="B2125">
        <f>Skills!B30</f>
        <v/>
      </c>
      <c r="C2125">
        <f>Inputs!$B$3&gt;=45</f>
        <v/>
      </c>
      <c r="D2125">
        <f>IF(Skills!C30=1,60+Inputs!$B$25+Inputs!$B$29,IF(Skills!C30=2,90+Inputs!$B$26+Inputs!$B$29,IF(Skills!C30=3,120+Inputs!$B$27+Inputs!$B$29,MAX(0,(Inputs!$B$3-100)*3)+Inputs!$B$28+Inputs!$B$29)))</f>
        <v/>
      </c>
      <c r="E2125">
        <f>INDEX(FactorTable!$B$2:$Y$301, MATCH(ROUND(MIN(300,MAX(1,D2125)),0), FactorTable!$A$2:$A$301,0), Skills!M30+1)</f>
        <v/>
      </c>
      <c r="F2125">
        <f>IF(Skills!N30=TRUE,(Skills!L30/10)*(E2125/1000),Skills!L30/10)+Skills!O30</f>
        <v/>
      </c>
      <c r="G2125">
        <f>Skills!G30*IF(Skills!H30&gt;0,Skills!I30/Skills!H30,1)</f>
        <v/>
      </c>
      <c r="H2125">
        <f>1-(1-Skills!J30/100)^Skills!K30</f>
        <v/>
      </c>
      <c r="I2125" t="inlineStr">
        <is>
          <t>1</t>
        </is>
      </c>
      <c r="J2125" t="inlineStr"/>
      <c r="K2125" t="inlineStr"/>
      <c r="L2125" t="inlineStr"/>
      <c r="M2125" t="inlineStr"/>
      <c r="N2125" t="inlineStr"/>
      <c r="O2125">
        <f>(1-Summary!$B$11)*T2125+Summary!$B$11*V2125</f>
        <v/>
      </c>
      <c r="P2125">
        <f>IF(B2138=0,0,O2125/B2138)</f>
        <v/>
      </c>
      <c r="Q2125" t="n">
        <v>0</v>
      </c>
      <c r="R2125" t="n">
        <v>0</v>
      </c>
      <c r="S2125">
        <f>IFERROR(O2125/N2125,0)</f>
        <v/>
      </c>
      <c r="T2125" t="n">
        <v>0</v>
      </c>
      <c r="V2125" t="n">
        <v>0</v>
      </c>
    </row>
    <row r="2127">
      <c r="A2127" t="inlineStr">
        <is>
          <t>Attack% Bucket Multiplier</t>
        </is>
      </c>
      <c r="B2127">
        <f>(1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2111=TRUE)*20*IF(AND(Inputs!$B$38&lt;&gt;"pvp",Inputs!$B$43&gt;0),(((R2111-1)*(Skills!T16*(1+Inputs!$B$34/100))+MIN((Skills!T16*(1+Inputs!$B$34/100)),MAX(0,Inputs!$B$43-((R2111-1)*Skills!D16))))/Inputs!$B$43),IF(Inputs!$B$38="pvp",MIN((Skills!T16*(1+Inputs!$B$34/100)),15)/15,(Skills!T16*(1+Inputs!$B$34/100))/Skills!D16))</f>
        <v/>
      </c>
    </row>
    <row r="2129">
      <c r="A2129" t="inlineStr">
        <is>
          <t>Attack Speed Buff Bonus %</t>
        </is>
      </c>
      <c r="B2129">
        <f>((C2114=TRUE)*F2114*IF(AND(Inputs!$B$38&lt;&gt;"pvp",Inputs!$B$43&gt;0),(((R2114-1)*(Skills!T19*(1+Inputs!$B$34/100))+MIN((Skills!T19*(1+Inputs!$B$34/100)),MAX(0,Inputs!$B$43-((R2114-1)*Skills!D19))))/Inputs!$B$43),IF(Inputs!$B$38="pvp",MIN((Skills!T19*(1+Inputs!$B$34/100)),15)/15,(Skills!T19*(1+Inputs!$B$34/100))/Skills!D19)))</f>
        <v/>
      </c>
    </row>
    <row r="2130">
      <c r="A2130" t="inlineStr">
        <is>
          <t>Actions Per Second</t>
        </is>
      </c>
      <c r="B2130">
        <f>1+MIN(150,150*(1-(1-(Inputs!$B$11+((C2116=TRUE)*(F2116-Calc!F21))+((C2117=TRUE)*(F2117-Calc!F22)))/150)*(1-B2129/150)))/100</f>
        <v/>
      </c>
    </row>
    <row r="2131">
      <c r="A2131" t="inlineStr">
        <is>
          <t>Skill + Buff Cast Rate</t>
        </is>
      </c>
      <c r="B2131">
        <f>IF(AND(Inputs!$B$38&lt;&gt;"pvp",Inputs!$B$43&gt;0),SUMPRODUCT((Skills!E2:E30=TRUE)*(C2097:C2125=TRUE)*R2097:R2125*Skills!F2:F30)/Inputs!$B$43,SUMPRODUCT((Skills!E2:E30=TRUE)*(C2097:C2125=TRUE)*Q2097:Q2125*Skills!F2:F30))</f>
        <v/>
      </c>
    </row>
    <row r="2132">
      <c r="A2132" t="inlineStr">
        <is>
          <t>Arrow Stream Casts Per Second</t>
        </is>
      </c>
      <c r="B2132">
        <f>MAX(0,B2130-B2131)</f>
        <v/>
      </c>
    </row>
    <row r="2133">
      <c r="A2133" t="inlineStr">
        <is>
          <t>Global Critical Damage Bonus % (Sharp Eyes + Concentration)</t>
        </is>
      </c>
      <c r="B2133">
        <f>(C2111=TRUE)*F2111*IF(AND(Inputs!$B$38&lt;&gt;"pvp",Inputs!$B$43&gt;0),(((R2111-1)*(Skills!T16*(1+Inputs!$B$34/100))+MIN((Skills!T16*(1+Inputs!$B$34/100)),MAX(0,Inputs!$B$43-((R2111-1)*Skills!D16))))/Inputs!$B$43),IF(Inputs!$B$38="pvp",MIN((Skills!T16*(1+Inputs!$B$34/100)),15)/15,(Skills!T16*(1+Inputs!$B$34/100))/Skills!D16))+(C2112=TRUE)*30</f>
        <v/>
      </c>
    </row>
    <row r="2134">
      <c r="A2134" t="inlineStr">
        <is>
          <t>Global Final Damage Bonus % (Mortal Blow)</t>
        </is>
      </c>
      <c r="B2134">
        <f>(C2113=TRUE)*F2113</f>
        <v/>
      </c>
    </row>
    <row r="2135">
      <c r="A2135" t="inlineStr">
        <is>
          <t>Buff-Casting Startup Delay (s, fixed-duration only)</t>
        </is>
      </c>
      <c r="B2135">
        <f>IF(AND(Inputs!$B$38&lt;&gt;"pvp",Inputs!$B$43&gt;0),SUMPRODUCT((Skills!T2:T30&gt;0)*(Skills!E2:E30=TRUE)*(C2097:C2125=TRUE))/B2130,0)</f>
        <v/>
      </c>
    </row>
    <row r="2136">
      <c r="A2136" t="inlineStr">
        <is>
          <t>Boss-Only Total DPS (this block's swept value)</t>
        </is>
      </c>
      <c r="B2136">
        <f>SUM(T2097:T2125)</f>
        <v/>
      </c>
    </row>
    <row r="2137">
      <c r="A2137" t="inlineStr">
        <is>
          <t>Normal-Only Total DPS (this block's swept value)</t>
        </is>
      </c>
      <c r="B2137">
        <f>SUM(V2097:V2125)</f>
        <v/>
      </c>
    </row>
    <row r="2138">
      <c r="A2138" s="6" t="inlineStr">
        <is>
          <t>TOTAL DPS</t>
        </is>
      </c>
      <c r="B2138" s="6">
        <f>SUM(O2097:O2125)</f>
        <v/>
      </c>
    </row>
    <row r="2141">
      <c r="A2141" s="6" t="inlineStr">
        <is>
          <t>Stat: Fire Flower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2165=TRUE)*(F2165-Calc!F24)),(Inputs!$B$23+((C2170=TRUE)*(F2170-Calc!F29))+(IF(ArtifactsInput!$M$15,CHOOSE(ArtifactsInput!$N$15+1,25,30,35,40,45,50)/100*(Inputs!$B$11-Inputs!$B$11),0))))/100+(Inputs!$B$23+((C2170=TRUE)*(F2170-Calc!F29))+(IF(ArtifactsInput!$M$15,CHOOSE(ArtifactsInput!$N$15+1,25,30,35,40,45,50)/100*(Inputs!$B$11-Inputs!$B$11),0)))/100)/2</f>
        <v/>
      </c>
      <c r="M2143">
        <f>L2143*(1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IF(B2184=0,0,O2143/B2184)</f>
        <v/>
      </c>
      <c r="Q2143" t="n">
        <v>0</v>
      </c>
      <c r="R2143" t="n">
        <v>0</v>
      </c>
      <c r="S2143">
        <f>IFERROR(O2143/N2143,0)</f>
        <v/>
      </c>
      <c r="T2143">
        <f>IF(C2143,(Skills!G2*N2143*B2178)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2143*(1-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IF(C2143,(Skills!G2*N2143*B2178)*IF(Inputs!$B$38="pvp",1,(1+(Inputs!$B$21+Skills!Q2+(IF(ArtifactsInput!$M$33,CHOOSE(ArtifactsInput!$N$33+1,30,36,42,48,54,60),0))+(IF(AND(ArtifactsInput!$M$35,Inputs!$B$4&lt;&gt;"Chapter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2151=TRUE,F2151,0)/100)*(1+(IF(Skills!A5="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2165=TRUE)*(F2165-Calc!F24)),(Inputs!$B$23+((C2170=TRUE)*(F2170-Calc!F29))+(IF(ArtifactsInput!$M$15,CHOOSE(ArtifactsInput!$N$15+1,25,30,35,40,45,50)/100*(Inputs!$B$11-Inputs!$B$11),0))))/100+(Inputs!$B$23+((C2170=TRUE)*(F2170-Calc!F29))+(IF(ArtifactsInput!$M$15,CHOOSE(ArtifactsInput!$N$15+1,25,30,35,40,45,50)/100*(Inputs!$B$11-Inputs!$B$11),0)))/100)/2</f>
        <v/>
      </c>
      <c r="M2146">
        <f>L2146*(1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IF(B2184=0,0,O2146/B2184)</f>
        <v/>
      </c>
      <c r="Q2146">
        <f>IFERROR(1/(IF(Inputs!$B$38="pvp",15,MAX(0.1,Skills!D5-IF(Skills!E5=TRUE,Inputs!$B$32,0)))*(1-IF(AND(ArtifactsInput!$M$27,Inputs!$B$4="Chapter Hunt"),CHOOSE(ArtifactsInput!$N$27+1,20,24,28,32,36,40),0)/100)),0)</f>
        <v/>
      </c>
      <c r="R2146">
        <f>IF(AND(Inputs!$B$38&lt;&gt;"pvp",Inputs!$B$43&gt;0),IF(MAX(0,Inputs!$B$43-B2181)&lt;=0,0,(INT(MAX(0,Inputs!$B$43-B2181)/(IF(Inputs!$B$38="pvp",15,MAX(0.1,Skills!D5-IF(Skills!E5=TRUE,Inputs!$B$32,0)))*(1-IF(AND(ArtifactsInput!$M$27,Inputs!$B$4="Chapter Hunt"),CHOOSE(ArtifactsInput!$N$27+1,20,24,28,32,36,40),0)/100)))+1)),0)</f>
        <v/>
      </c>
      <c r="S2146">
        <f>IFERROR(O2146/N2146,0)</f>
        <v/>
      </c>
      <c r="T2146">
        <f>IF(C2146,(H2146*N2146*IF(AND(Inputs!$B$38&lt;&gt;"pvp",Inputs!$B$43&gt;0),((Skills!G5*((R2146-1)*IF(Skills!H5&gt;0,Skills!I5/Skills!H5,1)+IF(Skills!H5&gt;0,MIN(Skills!I5,MAX(0,MAX(0,Inputs!$B$43-B2181)-((R2146-1)*(IF(Inputs!$B$38="pvp",15,MAX(0.1,Skills!D5-IF(Skills!E5=TRUE,Inputs!$B$32,0)))*(1-IF(AND(ArtifactsInput!$M$27,Inputs!$B$4="Chapter Hunt"),CHOOSE(ArtifactsInput!$N$27+1,20,24,28,32,36,40),0)/100)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2146*(1-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2181)-((R2146-1)*(IF(Inputs!$B$38="pvp",15,MAX(0.1,Skills!D5-IF(Skills!E5=TRUE,Inputs!$B$32,0)))*(1-IF(AND(ArtifactsInput!$M$27,Inputs!$B$4="Chapter Hunt"),CHOOSE(ArtifactsInput!$N$27+1,20,24,28,32,36,40),0)/100)))))/Skills!H5,1)))/Inputs!$B$43),G2146*Q2146))*IF(Inputs!$B$38="pvp",1,(1+(Inputs!$B$21+Skills!Q5+(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Inputs!$B$3&gt;=40</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2148=TRUE,F2148,0)/100)*(1+(IF(Skills!A6="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2165=TRUE)*(F2165-Calc!F24)),(Inputs!$B$23+((C2170=TRUE)*(F2170-Calc!F29))+(IF(ArtifactsInput!$M$15,CHOOSE(ArtifactsInput!$N$15+1,25,30,35,40,45,50)/100*(Inputs!$B$11-Inputs!$B$11),0))))/100+(Inputs!$B$23+((C2170=TRUE)*(F2170-Calc!F29))+(IF(ArtifactsInput!$M$15,CHOOSE(ArtifactsInput!$N$15+1,25,30,35,40,45,50)/100*(Inputs!$B$11-Inputs!$B$11),0)))/100)/2</f>
        <v/>
      </c>
      <c r="M2147">
        <f>L2147*(1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IF(B2184=0,0,O2147/B2184)</f>
        <v/>
      </c>
      <c r="Q2147">
        <f>IFERROR(1/(IF(Inputs!$B$38="pvp",15,MAX(0.1,Skills!D6-IF(Skills!E6=TRUE,Inputs!$B$32,0)))*(1-IF(AND(ArtifactsInput!$M$27,Inputs!$B$4="Chapter Hunt"),CHOOSE(ArtifactsInput!$N$27+1,20,24,28,32,36,40),0)/100)),0)</f>
        <v/>
      </c>
      <c r="R2147">
        <f>IF(AND(Inputs!$B$38&lt;&gt;"pvp",Inputs!$B$43&gt;0),IF(MAX(0,Inputs!$B$43-B2181)&lt;=0,0,(INT(MAX(0,Inputs!$B$43-B2181)/(IF(Inputs!$B$38="pvp",15,MAX(0.1,Skills!D6-IF(Skills!E6=TRUE,Inputs!$B$32,0)))*(1-IF(AND(ArtifactsInput!$M$27,Inputs!$B$4="Chapter Hunt"),CHOOSE(ArtifactsInput!$N$27+1,20,24,28,32,36,40),0)/100)))+1)),0)</f>
        <v/>
      </c>
      <c r="S2147">
        <f>IFERROR(O2147/N2147,0)</f>
        <v/>
      </c>
      <c r="T2147">
        <f>IF(C2147,(H2147*N2147*IF(AND(Inputs!$B$38&lt;&gt;"pvp",Inputs!$B$43&gt;0),((Skills!G6*((R2147-1)*IF(Skills!H6&gt;0,Skills!I6/Skills!H6,1)+IF(Skills!H6&gt;0,MIN(Skills!I6,MAX(0,MAX(0,Inputs!$B$43-B2181)-((R2147-1)*(IF(Inputs!$B$38="pvp",15,MAX(0.1,Skills!D6-IF(Skills!E6=TRUE,Inputs!$B$32,0)))*(1-IF(AND(ArtifactsInput!$M$27,Inputs!$B$4="Chapter Hunt"),CHOOSE(ArtifactsInput!$N$27+1,20,24,28,32,36,40),0)/100)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2147*(1-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2181)-((R2147-1)*(IF(Inputs!$B$38="pvp",15,MAX(0.1,Skills!D6-IF(Skills!E6=TRUE,Inputs!$B$32,0)))*(1-IF(AND(ArtifactsInput!$M$27,Inputs!$B$4="Chapter Hunt"),CHOOSE(ArtifactsInput!$N$27+1,20,24,28,32,36,40),0)/100)))))/Skills!H6,1)))/Inputs!$B$43),G2147*Q2147))*IF(Inputs!$B$38="pvp",1,(1+(Inputs!$B$21+Skills!Q6+(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Inputs!$B$3&gt;=107</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t="inlineStr"/>
      <c r="H2148" t="inlineStr"/>
      <c r="I2148" t="inlineStr">
        <is>
          <t>1</t>
        </is>
      </c>
      <c r="J2148" t="inlineStr"/>
      <c r="K2148" t="inlineStr"/>
      <c r="L2148" t="inlineStr"/>
      <c r="M2148" t="inlineStr"/>
      <c r="N2148" t="inlineStr"/>
      <c r="O2148" t="inlineStr"/>
      <c r="P2148" t="inlineStr"/>
      <c r="Q2148" t="inlineStr"/>
      <c r="R2148" t="inlineStr"/>
      <c r="S2148" t="inlineStr"/>
      <c r="T2148" t="inlineStr"/>
      <c r="V2148" t="inlineStr"/>
    </row>
    <row r="2149">
      <c r="A2149">
        <f>Skills!A8</f>
        <v/>
      </c>
      <c r="B2149">
        <f>Skills!B8</f>
        <v/>
      </c>
      <c r="C2149">
        <f>Inputs!$B$3&gt;=69</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Skills!G8*IF(Skills!H8&gt;0,Skills!I8/Skills!H8,1)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2151=TRUE,F2151,0)/100)*(1+(IF(Skills!A8="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2165=TRUE)*(F2165-Calc!F24)),(Inputs!$B$23+((C2170=TRUE)*(F2170-Calc!F29))+(IF(ArtifactsInput!$M$15,CHOOSE(ArtifactsInput!$N$15+1,25,30,35,40,45,50)/100*(Inputs!$B$11-Inputs!$B$11),0))))/100+(Inputs!$B$23+((C2170=TRUE)*(F2170-Calc!F29))+(IF(ArtifactsInput!$M$15,CHOOSE(ArtifactsInput!$N$15+1,25,30,35,40,45,50)/100*(Inputs!$B$11-Inputs!$B$11),0)))/100)/2</f>
        <v/>
      </c>
      <c r="M2149">
        <f>L2149*(1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IF(B2184=0,0,O2149/B2184)</f>
        <v/>
      </c>
      <c r="Q2149">
        <f>IFERROR(1/(IF(Inputs!$B$38="pvp",15,MAX(0.1,Skills!D8-IF(Skills!E8=TRUE,Inputs!$B$32,0)))*(1-IF(AND(ArtifactsInput!$M$27,Inputs!$B$4="Chapter Hunt"),CHOOSE(ArtifactsInput!$N$27+1,20,24,28,32,36,40),0)/100)),0)</f>
        <v/>
      </c>
      <c r="R2149">
        <f>IF(AND(Inputs!$B$38&lt;&gt;"pvp",Inputs!$B$43&gt;0),IF(MAX(0,Inputs!$B$43-B2181)&lt;=0,0,(INT(MAX(0,Inputs!$B$43-B2181)/(IF(Inputs!$B$38="pvp",15,MAX(0.1,Skills!D8-IF(Skills!E8=TRUE,Inputs!$B$32,0)))*(1-IF(AND(ArtifactsInput!$M$27,Inputs!$B$4="Chapter Hunt"),CHOOSE(ArtifactsInput!$N$27+1,20,24,28,32,36,40),0)/100)))+1)),0)</f>
        <v/>
      </c>
      <c r="S2149">
        <f>IFERROR(O2149/N2149,0)</f>
        <v/>
      </c>
      <c r="T2149">
        <f>IF(C2149,(H2149*N2149*IF(AND(Inputs!$B$38&lt;&gt;"pvp",Inputs!$B$43&gt;0),((Skills!G8*((R2149-1)*IF(Skills!H8&gt;0,Skills!I8/Skills!H8,1)+IF(Skills!H8&gt;0,MIN(Skills!I8,MAX(0,MAX(0,Inputs!$B$43-B2181)-((R2149-1)*(IF(Inputs!$B$38="pvp",15,MAX(0.1,Skills!D8-IF(Skills!E8=TRUE,Inputs!$B$32,0)))*(1-IF(AND(ArtifactsInput!$M$27,Inputs!$B$4="Chapter Hunt"),CHOOSE(ArtifactsInput!$N$27+1,20,24,28,32,36,40),0)/100)))))/Skills!H8,1)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2149*(1-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Skills!I8/Skills!H8,1)+IF(Skills!H8&gt;0,MIN(Skills!I8,MAX(0,MAX(0,Inputs!$B$43-B2181)-((R2149-1)*(IF(Inputs!$B$38="pvp",15,MAX(0.1,Skills!D8-IF(Skills!E8=TRUE,Inputs!$B$32,0)))*(1-IF(AND(ArtifactsInput!$M$27,Inputs!$B$4="Chapter Hunt"),CHOOSE(ArtifactsInput!$N$27+1,20,24,28,32,36,40),0)/100)))))/Skills!H8,1)))/Inputs!$B$43),G2149*Q2149))*IF(Inputs!$B$38="pvp",1,(1+(Inputs!$B$21+Skills!Q8+(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Inputs!$B$3&gt;=63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2151=TRUE,F2151,0)/100)*(1+(IF(Skills!A9="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2165=TRUE)*(F2165-Calc!F24)),(Inputs!$B$23+((C2170=TRUE)*(F2170-Calc!F29))+(IF(ArtifactsInput!$M$15,CHOOSE(ArtifactsInput!$N$15+1,25,30,35,40,45,50)/100*(Inputs!$B$11-Inputs!$B$11),0))))/100+(Inputs!$B$23+((C2170=TRUE)*(F2170-Calc!F29))+(IF(ArtifactsInput!$M$15,CHOOSE(ArtifactsInput!$N$15+1,25,30,35,40,45,50)/100*(Inputs!$B$11-Inputs!$B$11),0)))/100)/2</f>
        <v/>
      </c>
      <c r="M2150">
        <f>L2150*(1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IF(B2184=0,0,O2150/B2184)</f>
        <v/>
      </c>
      <c r="Q2150">
        <f>IFERROR(1/(IF(Inputs!$B$38="pvp",15,MAX(0.1,Skills!D9-IF(Skills!E9=TRUE,Inputs!$B$32,0)))*(1-IF(AND(ArtifactsInput!$M$27,Inputs!$B$4="Chapter Hunt"),CHOOSE(ArtifactsInput!$N$27+1,20,24,28,32,36,40),0)/100)),0)</f>
        <v/>
      </c>
      <c r="R2150">
        <f>IF(AND(Inputs!$B$38&lt;&gt;"pvp",Inputs!$B$43&gt;0),IF(MAX(0,Inputs!$B$43-B2181)&lt;=0,0,(INT(MAX(0,Inputs!$B$43-B2181)/(IF(Inputs!$B$38="pvp",15,MAX(0.1,Skills!D9-IF(Skills!E9=TRUE,Inputs!$B$32,0)))*(1-IF(AND(ArtifactsInput!$M$27,Inputs!$B$4="Chapter Hunt"),CHOOSE(ArtifactsInput!$N$27+1,20,24,28,32,36,40),0)/100)))+1)),0)</f>
        <v/>
      </c>
      <c r="S2150">
        <f>IFERROR(O2150/N2150,0)</f>
        <v/>
      </c>
      <c r="T2150">
        <f>IF(C2150,(H2150*N2150*IF(AND(Inputs!$B$38&lt;&gt;"pvp",Inputs!$B$43&gt;0),((Skills!G9*((R2150-1)*IF(Skills!H9&gt;0,Skills!I9/Skills!H9,1)+IF(Skills!H9&gt;0,MIN(Skills!I9,MAX(0,MAX(0,Inputs!$B$43-B2181)-((R2150-1)*(IF(Inputs!$B$38="pvp",15,MAX(0.1,Skills!D9-IF(Skills!E9=TRUE,Inputs!$B$32,0)))*(1-IF(AND(ArtifactsInput!$M$27,Inputs!$B$4="Chapter Hunt"),CHOOSE(ArtifactsInput!$N$27+1,20,24,28,32,36,40),0)/100)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2150*(1-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2181)-((R2150-1)*(IF(Inputs!$B$38="pvp",15,MAX(0.1,Skills!D9-IF(Skills!E9=TRUE,Inputs!$B$32,0)))*(1-IF(AND(ArtifactsInput!$M$27,Inputs!$B$4="Chapter Hunt"),CHOOSE(ArtifactsInput!$N$27+1,20,24,28,32,36,40),0)/100)))))/Skills!H9,1)))/Inputs!$B$43),G2150*Q2150))*IF(Inputs!$B$38="pvp",1,(1+(Inputs!$B$21+Skills!Q9+(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Inputs!$B$3&gt;=100</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t="inlineStr"/>
      <c r="H2151" t="inlineStr"/>
      <c r="I2151" t="inlineStr">
        <is>
          <t>1</t>
        </is>
      </c>
      <c r="J2151" t="inlineStr"/>
      <c r="K2151" t="inlineStr"/>
      <c r="L2151" t="inlineStr"/>
      <c r="M2151" t="inlineStr"/>
      <c r="N2151" t="inlineStr"/>
      <c r="O2151" t="inlineStr"/>
      <c r="P2151" t="inlineStr"/>
      <c r="Q2151" t="inlineStr"/>
      <c r="R2151" t="inlineStr"/>
      <c r="S2151" t="inlineStr"/>
      <c r="T2151" t="inlineStr"/>
      <c r="V2151" t="inlineStr"/>
    </row>
    <row r="2152">
      <c r="A2152">
        <f>Skills!A11</f>
        <v/>
      </c>
      <c r="B2152">
        <f>Skills!B11</f>
        <v/>
      </c>
      <c r="C2152">
        <f>Inputs!$B$3&gt;=60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2153=TRUE,F2153,0)/100)*(1+(IF(Skills!A11="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2165=TRUE)*(F2165-Calc!F24)),(Inputs!$B$23+((C2170=TRUE)*(F2170-Calc!F29))+(IF(ArtifactsInput!$M$15,CHOOSE(ArtifactsInput!$N$15+1,25,30,35,40,45,50)/100*(Inputs!$B$11-Inputs!$B$11),0))))/100+(Inputs!$B$23+((C2170=TRUE)*(F2170-Calc!F29))+(IF(ArtifactsInput!$M$15,CHOOSE(ArtifactsInput!$N$15+1,25,30,35,40,45,50)/100*(Inputs!$B$11-Inputs!$B$11),0)))/100)/2</f>
        <v/>
      </c>
      <c r="M2152">
        <f>L2152*(1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IF(B2184=0,0,O2152/B2184)</f>
        <v/>
      </c>
      <c r="Q2152">
        <f>IFERROR(1/(IF(Inputs!$B$38="pvp",15,MAX(0.1,Skills!D11-IF(Skills!E11=TRUE,Inputs!$B$32,0)))*(1-IF(AND(ArtifactsInput!$M$27,Inputs!$B$4="Chapter Hunt"),CHOOSE(ArtifactsInput!$N$27+1,20,24,28,32,36,40),0)/100)),0)</f>
        <v/>
      </c>
      <c r="R2152">
        <f>IF(AND(Inputs!$B$38&lt;&gt;"pvp",Inputs!$B$43&gt;0),IF(MAX(0,Inputs!$B$43-B2181)&lt;=0,0,(INT(MAX(0,Inputs!$B$43-B2181)/(IF(Inputs!$B$38="pvp",15,MAX(0.1,Skills!D11-IF(Skills!E11=TRUE,Inputs!$B$32,0)))*(1-IF(AND(ArtifactsInput!$M$27,Inputs!$B$4="Chapter Hunt"),CHOOSE(ArtifactsInput!$N$27+1,20,24,28,32,36,40),0)/100)))+1)),0)</f>
        <v/>
      </c>
      <c r="S2152">
        <f>IFERROR(O2152/N2152,0)</f>
        <v/>
      </c>
      <c r="T2152">
        <f>IF(C2152,(H2152*N2152*IF(AND(Inputs!$B$38&lt;&gt;"pvp",Inputs!$B$43&gt;0),((Skills!G11*((R2152-1)*IF(Skills!H11&gt;0,Skills!I11/Skills!H11,1)+IF(Skills!H11&gt;0,MIN(Skills!I11,MAX(0,MAX(0,Inputs!$B$43-B2181)-((R2152-1)*(IF(Inputs!$B$38="pvp",15,MAX(0.1,Skills!D11-IF(Skills!E11=TRUE,Inputs!$B$32,0)))*(1-IF(AND(ArtifactsInput!$M$27,Inputs!$B$4="Chapter Hunt"),CHOOSE(ArtifactsInput!$N$27+1,20,24,28,32,36,40),0)/100)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2152*(1-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2181)-((R2152-1)*(IF(Inputs!$B$38="pvp",15,MAX(0.1,Skills!D11-IF(Skills!E11=TRUE,Inputs!$B$32,0)))*(1-IF(AND(ArtifactsInput!$M$27,Inputs!$B$4="Chapter Hunt"),CHOOSE(ArtifactsInput!$N$27+1,20,24,28,32,36,40),0)/100)))))/Skills!H11,1)))/Inputs!$B$43),G2152*Q2152))*IF(Inputs!$B$38="pvp",1,(1+(Inputs!$B$21+Skills!Q11+(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Inputs!$B$3&gt;=110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t="inlineStr"/>
      <c r="H2153" t="inlineStr"/>
      <c r="I2153" t="inlineStr">
        <is>
          <t>1</t>
        </is>
      </c>
      <c r="J2153" t="inlineStr"/>
      <c r="K2153" t="inlineStr"/>
      <c r="L2153" t="inlineStr"/>
      <c r="M2153" t="inlineStr"/>
      <c r="N2153" t="inlineStr"/>
      <c r="O2153" t="inlineStr"/>
      <c r="P2153" t="inlineStr"/>
      <c r="Q2153" t="inlineStr"/>
      <c r="R2153" t="inlineStr"/>
      <c r="S2153" t="inlineStr"/>
      <c r="T2153" t="inlineStr"/>
      <c r="V2153" t="inlineStr"/>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IF(B2184=0,0,O2154/B2184)</f>
        <v/>
      </c>
      <c r="Q2154" t="n">
        <v>0</v>
      </c>
      <c r="R2154" t="n">
        <v>0</v>
      </c>
      <c r="S2154">
        <f>IFERROR(O2154/N2154,0)</f>
        <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IF(B2184=0,0,O2155/B2184)</f>
        <v/>
      </c>
      <c r="Q2155" t="n">
        <v>0</v>
      </c>
      <c r="R2155" t="n">
        <v>0</v>
      </c>
      <c r="S2155">
        <f>IFERROR(O2155/N2155,0)</f>
        <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IF(B2184=0,0,O2156/B2184)</f>
        <v/>
      </c>
      <c r="Q2156">
        <f>IFERROR(1/(IF(Inputs!$B$38="pvp",15,MAX(0.1,Skills!D15-IF(Skills!E15=TRUE,Inputs!$B$32,0)))*(1-IF(AND(ArtifactsInput!$M$27,Inputs!$B$4="Chapter Hunt"),CHOOSE(ArtifactsInput!$N$27+1,20,24,28,32,36,40),0)/100)),0)</f>
        <v/>
      </c>
      <c r="R2156">
        <f>IF(AND(Inputs!$B$38&lt;&gt;"pvp",Inputs!$B$43&gt;0),IF(Inputs!$B$43&lt;=0,0,(INT(Inputs!$B$43/(IF(Inputs!$B$38="pvp",15,MAX(0.1,Skills!D15-IF(Skills!E15=TRUE,Inputs!$B$32,0)))*(1-IF(AND(ArtifactsInput!$M$27,Inputs!$B$4="Chapter Hunt"),CHOOSE(ArtifactsInput!$N$27+1,20,24,28,32,36,40),0)/100)))+1)),0)</f>
        <v/>
      </c>
      <c r="S2156">
        <f>IFERROR(O2156/N2156,0)</f>
        <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IF(B2184=0,0,O2157/B2184)</f>
        <v/>
      </c>
      <c r="Q2157">
        <f>IFERROR(1/(IF(Inputs!$B$38="pvp",15,MAX(0.1,Skills!D16-IF(Skills!E16=TRUE,Inputs!$B$32,0)))*(1-IF(AND(ArtifactsInput!$M$27,Inputs!$B$4="Chapter Hunt"),CHOOSE(ArtifactsInput!$N$27+1,20,24,28,32,36,40),0)/100)),0)</f>
        <v/>
      </c>
      <c r="R2157">
        <f>IF(AND(Inputs!$B$38&lt;&gt;"pvp",Inputs!$B$43&gt;0),IF(Inputs!$B$43&lt;=0,0,(INT(Inputs!$B$43/(IF(Inputs!$B$38="pvp",15,MAX(0.1,Skills!D16-IF(Skills!E16=TRUE,Inputs!$B$32,0)))*(1-IF(AND(ArtifactsInput!$M$27,Inputs!$B$4="Chapter Hunt"),CHOOSE(ArtifactsInput!$N$27+1,20,24,28,32,36,40),0)/100)))+1)),0)</f>
        <v/>
      </c>
      <c r="S2157">
        <f>IFERROR(O2157/N2157,0)</f>
        <v/>
      </c>
      <c r="T2157" t="n">
        <v>0</v>
      </c>
      <c r="V2157" t="n">
        <v>0</v>
      </c>
    </row>
    <row r="2158">
      <c r="A2158">
        <f>Skills!A17</f>
        <v/>
      </c>
      <c r="B2158">
        <f>Skills!B17</f>
        <v/>
      </c>
      <c r="C2158">
        <f>Inputs!$B$3&gt;=66</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IF(B2184=0,0,O2158/B2184)</f>
        <v/>
      </c>
      <c r="Q2158" t="n">
        <v>0</v>
      </c>
      <c r="R2158" t="n">
        <v>0</v>
      </c>
      <c r="S2158">
        <f>IFERROR(O2158/N2158,0)</f>
        <v/>
      </c>
      <c r="T2158" t="n">
        <v>0</v>
      </c>
      <c r="V2158" t="n">
        <v>0</v>
      </c>
    </row>
    <row r="2159">
      <c r="A2159">
        <f>Skills!A18</f>
        <v/>
      </c>
      <c r="B2159">
        <f>Skills!B18</f>
        <v/>
      </c>
      <c r="C2159">
        <f>Inputs!$B$3&gt;=72</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IF(B2184=0,0,O2159/B2184)</f>
        <v/>
      </c>
      <c r="Q2159" t="n">
        <v>0</v>
      </c>
      <c r="R2159" t="n">
        <v>0</v>
      </c>
      <c r="S2159">
        <f>IFERROR(O2159/N2159,0)</f>
        <v/>
      </c>
      <c r="T2159" t="n">
        <v>0</v>
      </c>
      <c r="V2159" t="n">
        <v>0</v>
      </c>
    </row>
    <row r="2160">
      <c r="A2160">
        <f>Skills!A19</f>
        <v/>
      </c>
      <c r="B2160">
        <f>Skills!B19</f>
        <v/>
      </c>
      <c r="C2160">
        <f>TRUE</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IF(B2184=0,0,O2160/B2184)</f>
        <v/>
      </c>
      <c r="Q2160">
        <f>IFERROR(1/(IF(Inputs!$B$38="pvp",15,MAX(0.1,Skills!D19-IF(Skills!E19=TRUE,Inputs!$B$32,0)))*(1-IF(AND(ArtifactsInput!$M$27,Inputs!$B$4="Chapter Hunt"),CHOOSE(ArtifactsInput!$N$27+1,20,24,28,32,36,40),0)/100)),0)</f>
        <v/>
      </c>
      <c r="R2160">
        <f>IF(AND(Inputs!$B$38&lt;&gt;"pvp",Inputs!$B$43&gt;0),IF(Inputs!$B$43&lt;=0,0,(INT(Inputs!$B$43/(IF(Inputs!$B$38="pvp",15,MAX(0.1,Skills!D19-IF(Skills!E19=TRUE,Inputs!$B$32,0)))*(1-IF(AND(ArtifactsInput!$M$27,Inputs!$B$4="Chapter Hunt"),CHOOSE(ArtifactsInput!$N$27+1,20,24,28,32,36,40),0)/100)))+1)),0)</f>
        <v/>
      </c>
      <c r="S2160">
        <f>IFERROR(O2160/N2160,0)</f>
        <v/>
      </c>
      <c r="T2160" t="n">
        <v>0</v>
      </c>
      <c r="V2160" t="n">
        <v>0</v>
      </c>
    </row>
    <row r="2161">
      <c r="A2161">
        <f>Skills!A20</f>
        <v/>
      </c>
      <c r="B2161">
        <f>Skills!B20</f>
        <v/>
      </c>
      <c r="C2161">
        <f>Inputs!$B$3&gt;=15</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IF(B2184=0,0,O2161/B2184)</f>
        <v/>
      </c>
      <c r="Q2161" t="n">
        <v>0</v>
      </c>
      <c r="R2161" t="n">
        <v>0</v>
      </c>
      <c r="S2161">
        <f>IFERROR(O2161/N2161,0)</f>
        <v/>
      </c>
      <c r="T2161" t="n">
        <v>0</v>
      </c>
      <c r="V2161" t="n">
        <v>0</v>
      </c>
    </row>
    <row r="2162">
      <c r="A2162">
        <f>Skills!A21</f>
        <v/>
      </c>
      <c r="B2162">
        <f>Skills!B21</f>
        <v/>
      </c>
      <c r="C2162">
        <f>Inputs!$B$3&gt;=10</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IF(B2184=0,0,O2162/B2184)</f>
        <v/>
      </c>
      <c r="Q2162" t="n">
        <v>0</v>
      </c>
      <c r="R2162" t="n">
        <v>0</v>
      </c>
      <c r="S2162">
        <f>IFERROR(O2162/N2162,0)</f>
        <v/>
      </c>
      <c r="T2162" t="n">
        <v>0</v>
      </c>
      <c r="V2162" t="n">
        <v>0</v>
      </c>
    </row>
    <row r="2163">
      <c r="A2163">
        <f>Skills!A22</f>
        <v/>
      </c>
      <c r="B2163">
        <f>Skills!B22</f>
        <v/>
      </c>
      <c r="C2163">
        <f>Inputs!$B$3&gt;=33</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IF(B2184=0,0,O2163/B2184)</f>
        <v/>
      </c>
      <c r="Q2163" t="n">
        <v>0</v>
      </c>
      <c r="R2163" t="n">
        <v>0</v>
      </c>
      <c r="S2163">
        <f>IFERROR(O2163/N2163,0)</f>
        <v/>
      </c>
      <c r="T2163" t="n">
        <v>0</v>
      </c>
      <c r="V2163" t="n">
        <v>0</v>
      </c>
    </row>
    <row r="2164">
      <c r="A2164">
        <f>Skills!A23</f>
        <v/>
      </c>
      <c r="B2164">
        <f>Skills!B23</f>
        <v/>
      </c>
      <c r="C2164">
        <f>Inputs!$B$3&gt;=38</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IF(B2184=0,0,O2164/B2184)</f>
        <v/>
      </c>
      <c r="Q2164" t="n">
        <v>0</v>
      </c>
      <c r="R2164" t="n">
        <v>0</v>
      </c>
      <c r="S2164">
        <f>IFERROR(O2164/N2164,0)</f>
        <v/>
      </c>
      <c r="T2164" t="n">
        <v>0</v>
      </c>
      <c r="V2164" t="n">
        <v>0</v>
      </c>
    </row>
    <row r="2165">
      <c r="A2165">
        <f>Skills!A24</f>
        <v/>
      </c>
      <c r="B2165">
        <f>Skills!B24</f>
        <v/>
      </c>
      <c r="C2165">
        <f>Inputs!$B$3&gt;=43</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IF(B2184=0,0,O2165/B2184)</f>
        <v/>
      </c>
      <c r="Q2165" t="n">
        <v>0</v>
      </c>
      <c r="R2165" t="n">
        <v>0</v>
      </c>
      <c r="S2165">
        <f>IFERROR(O2165/N2165,0)</f>
        <v/>
      </c>
      <c r="T2165" t="n">
        <v>0</v>
      </c>
      <c r="V2165" t="n">
        <v>0</v>
      </c>
    </row>
    <row r="2166">
      <c r="A2166">
        <f>Skills!A25</f>
        <v/>
      </c>
      <c r="B2166">
        <f>Skills!B25</f>
        <v/>
      </c>
      <c r="C2166">
        <f>Inputs!$B$3&gt;=75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IF(B2184=0,0,O2166/B2184)</f>
        <v/>
      </c>
      <c r="Q2166" t="n">
        <v>0</v>
      </c>
      <c r="R2166" t="n">
        <v>0</v>
      </c>
      <c r="S2166">
        <f>IFERROR(O2166/N2166,0)</f>
        <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IF(B2184=0,0,O2167/B2184)</f>
        <v/>
      </c>
      <c r="Q2167" t="n">
        <v>0</v>
      </c>
      <c r="R2167" t="n">
        <v>0</v>
      </c>
      <c r="S2167">
        <f>IFERROR(O2167/N2167,0)</f>
        <v/>
      </c>
      <c r="T2167" t="n">
        <v>0</v>
      </c>
      <c r="V2167" t="n">
        <v>0</v>
      </c>
    </row>
    <row r="2168">
      <c r="A2168">
        <f>Skills!A27</f>
        <v/>
      </c>
      <c r="B2168">
        <f>Skills!B27</f>
        <v/>
      </c>
      <c r="C2168">
        <f>Inputs!$B$3&gt;=125</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IF(B2184=0,0,O2168/B2184)</f>
        <v/>
      </c>
      <c r="Q2168" t="n">
        <v>0</v>
      </c>
      <c r="R2168" t="n">
        <v>0</v>
      </c>
      <c r="S2168">
        <f>IFERROR(O2168/N2168,0)</f>
        <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IF(B2184=0,0,O2169/B2184)</f>
        <v/>
      </c>
      <c r="Q2169" t="n">
        <v>0</v>
      </c>
      <c r="R2169" t="n">
        <v>0</v>
      </c>
      <c r="S2169">
        <f>IFERROR(O2169/N2169,0)</f>
        <v/>
      </c>
      <c r="T2169" t="n">
        <v>0</v>
      </c>
      <c r="V2169" t="n">
        <v>0</v>
      </c>
    </row>
    <row r="2170">
      <c r="A2170">
        <f>Skills!A29</f>
        <v/>
      </c>
      <c r="B2170">
        <f>Skills!B29</f>
        <v/>
      </c>
      <c r="C2170">
        <f>Inputs!$B$3&gt;=120</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IF(B2184=0,0,O2170/B2184)</f>
        <v/>
      </c>
      <c r="Q2170" t="n">
        <v>0</v>
      </c>
      <c r="R2170" t="n">
        <v>0</v>
      </c>
      <c r="S2170">
        <f>IFERROR(O2170/N2170,0)</f>
        <v/>
      </c>
      <c r="T2170" t="n">
        <v>0</v>
      </c>
      <c r="V2170" t="n">
        <v>0</v>
      </c>
    </row>
    <row r="2171">
      <c r="A2171">
        <f>Skills!A30</f>
        <v/>
      </c>
      <c r="B2171">
        <f>Skills!B30</f>
        <v/>
      </c>
      <c r="C2171">
        <f>Inputs!$B$3&gt;=45</f>
        <v/>
      </c>
      <c r="D2171">
        <f>IF(Skills!C30=1,60+Inputs!$B$25+Inputs!$B$29,IF(Skills!C30=2,90+Inputs!$B$26+Inputs!$B$29,IF(Skills!C30=3,120+Inputs!$B$27+Inputs!$B$29,MAX(0,(Inputs!$B$3-100)*3)+Inputs!$B$28+Inputs!$B$29)))</f>
        <v/>
      </c>
      <c r="E2171">
        <f>INDEX(FactorTable!$B$2:$Y$301, MATCH(ROUND(MIN(300,MAX(1,D2171)),0), FactorTable!$A$2:$A$301,0), Skills!M30+1)</f>
        <v/>
      </c>
      <c r="F2171">
        <f>IF(Skills!N30=TRUE,(Skills!L30/10)*(E2171/1000),Skills!L30/10)+Skills!O30</f>
        <v/>
      </c>
      <c r="G2171">
        <f>Skills!G30*IF(Skills!H30&gt;0,Skills!I30/Skills!H30,1)</f>
        <v/>
      </c>
      <c r="H2171">
        <f>1-(1-Skills!J30/100)^Skills!K30</f>
        <v/>
      </c>
      <c r="I2171" t="inlineStr">
        <is>
          <t>1</t>
        </is>
      </c>
      <c r="J2171" t="inlineStr"/>
      <c r="K2171" t="inlineStr"/>
      <c r="L2171" t="inlineStr"/>
      <c r="M2171" t="inlineStr"/>
      <c r="N2171" t="inlineStr"/>
      <c r="O2171">
        <f>(1-Summary!$B$11)*T2171+Summary!$B$11*V2171</f>
        <v/>
      </c>
      <c r="P2171">
        <f>IF(B2184=0,0,O2171/B2184)</f>
        <v/>
      </c>
      <c r="Q2171" t="n">
        <v>0</v>
      </c>
      <c r="R2171" t="n">
        <v>0</v>
      </c>
      <c r="S2171">
        <f>IFERROR(O2171/N2171,0)</f>
        <v/>
      </c>
      <c r="T2171" t="n">
        <v>0</v>
      </c>
      <c r="V2171" t="n">
        <v>0</v>
      </c>
    </row>
    <row r="2173">
      <c r="A2173" t="inlineStr">
        <is>
          <t>Attack% Bucket Multiplier</t>
        </is>
      </c>
      <c r="B2173">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4">
      <c r="A2174" t="inlineStr">
        <is>
          <t>Global Crit Rate Bonus %</t>
        </is>
      </c>
      <c r="B2174">
        <f>(C2157=TRUE)*20*IF(AND(Inputs!$B$38&lt;&gt;"pvp",Inputs!$B$43&gt;0),(((R2157-1)*(Skills!T16*(1+Inputs!$B$34/100))+MIN((Skills!T16*(1+Inputs!$B$34/100)),MAX(0,Inputs!$B$43-((R2157-1)*Skills!D16))))/Inputs!$B$43),IF(Inputs!$B$38="pvp",MIN((Skills!T16*(1+Inputs!$B$34/100)),15)/15,(Skills!T16*(1+Inputs!$B$34/100))/Skills!D16))</f>
        <v/>
      </c>
    </row>
    <row r="2175">
      <c r="A2175" t="inlineStr">
        <is>
          <t>Attack Speed Buff Bonus %</t>
        </is>
      </c>
      <c r="B2175">
        <f>((C2160=TRUE)*F2160*IF(AND(Inputs!$B$38&lt;&gt;"pvp",Inputs!$B$43&gt;0),(((R2160-1)*(Skills!T19*(1+Inputs!$B$34/100))+MIN((Skills!T19*(1+Inputs!$B$34/100)),MAX(0,Inputs!$B$43-((R2160-1)*Skills!D19))))/Inputs!$B$43),IF(Inputs!$B$38="pvp",MIN((Skills!T19*(1+Inputs!$B$34/100)),15)/15,(Skills!T19*(1+Inputs!$B$34/100))/Skills!D19)))</f>
        <v/>
      </c>
    </row>
    <row r="2176">
      <c r="A2176" t="inlineStr">
        <is>
          <t>Actions Per Second</t>
        </is>
      </c>
      <c r="B2176">
        <f>1+MIN(150,150*(1-(1-(Inputs!$B$11+((C2162=TRUE)*(F2162-Calc!F21))+((C2163=TRUE)*(F2163-Calc!F22)))/150)*(1-B2175/150)))/100</f>
        <v/>
      </c>
    </row>
    <row r="2177">
      <c r="A2177" t="inlineStr">
        <is>
          <t>Skill + Buff Cast Rate</t>
        </is>
      </c>
      <c r="B2177">
        <f>IF(AND(Inputs!$B$38&lt;&gt;"pvp",Inputs!$B$43&gt;0),SUMPRODUCT((Skills!E2:E30=TRUE)*(C2143:C2171=TRUE)*R2143:R2171*Skills!F2:F30)/Inputs!$B$43,SUMPRODUCT((Skills!E2:E30=TRUE)*(C2143:C2171=TRUE)*Q2143:Q2171*Skills!F2:F30))</f>
        <v/>
      </c>
    </row>
    <row r="2178">
      <c r="A2178" t="inlineStr">
        <is>
          <t>Arrow Stream Casts Per Second</t>
        </is>
      </c>
      <c r="B2178">
        <f>MAX(0,B2176-B2177)</f>
        <v/>
      </c>
    </row>
    <row r="2179">
      <c r="A2179" t="inlineStr">
        <is>
          <t>Global Critical Damage Bonus % (Sharp Eyes + Concentration)</t>
        </is>
      </c>
      <c r="B2179">
        <f>(C2157=TRUE)*F2157*IF(AND(Inputs!$B$38&lt;&gt;"pvp",Inputs!$B$43&gt;0),(((R2157-1)*(Skills!T16*(1+Inputs!$B$34/100))+MIN((Skills!T16*(1+Inputs!$B$34/100)),MAX(0,Inputs!$B$43-((R2157-1)*Skills!D16))))/Inputs!$B$43),IF(Inputs!$B$38="pvp",MIN((Skills!T16*(1+Inputs!$B$34/100)),15)/15,(Skills!T16*(1+Inputs!$B$34/100))/Skills!D16))+(C2158=TRUE)*30</f>
        <v/>
      </c>
    </row>
    <row r="2180">
      <c r="A2180" t="inlineStr">
        <is>
          <t>Global Final Damage Bonus % (Mortal Blow)</t>
        </is>
      </c>
      <c r="B2180">
        <f>(C2159=TRUE)*F2159</f>
        <v/>
      </c>
    </row>
    <row r="2181">
      <c r="A2181" t="inlineStr">
        <is>
          <t>Buff-Casting Startup Delay (s, fixed-duration only)</t>
        </is>
      </c>
      <c r="B2181">
        <f>IF(AND(Inputs!$B$38&lt;&gt;"pvp",Inputs!$B$43&gt;0),SUMPRODUCT((Skills!T2:T30&gt;0)*(Skills!E2:E30=TRUE)*(C2143:C2171=TRUE))/B2176,0)</f>
        <v/>
      </c>
    </row>
    <row r="2182">
      <c r="A2182" t="inlineStr">
        <is>
          <t>Boss-Only Total DPS (this block's swept value)</t>
        </is>
      </c>
      <c r="B2182">
        <f>SUM(T2143:T2171)</f>
        <v/>
      </c>
    </row>
    <row r="2183">
      <c r="A2183" t="inlineStr">
        <is>
          <t>Normal-Only Total DPS (this block's swept value)</t>
        </is>
      </c>
      <c r="B2183">
        <f>SUM(V2143:V2171)</f>
        <v/>
      </c>
    </row>
    <row r="2184">
      <c r="A2184" s="6" t="inlineStr">
        <is>
          <t>TOTAL DPS</t>
        </is>
      </c>
      <c r="B2184" s="6">
        <f>SUM(O2143:O2171)</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Q2188" s="5" t="inlineStr">
        <is>
          <t>InvCooldown</t>
        </is>
      </c>
      <c r="R2188" s="5" t="inlineStr">
        <is>
          <t>CastsInFight</t>
        </is>
      </c>
      <c r="S2188" s="5" t="inlineStr">
        <is>
          <t>HitRate(perSec)</t>
        </is>
      </c>
      <c r="U2188" t="inlineStr">
        <is>
          <t>helpers</t>
        </is>
      </c>
    </row>
    <row r="2189">
      <c r="A2189">
        <f>Skills!A2</f>
        <v/>
      </c>
      <c r="B2189">
        <f>Skills!B2</f>
        <v/>
      </c>
      <c r="C2189">
        <f>Inputs!$B$3&gt;=100</f>
        <v/>
      </c>
      <c r="D2189" t="inlineStr"/>
      <c r="E2189" t="inlineStr"/>
      <c r="F2189">
        <f>U2191+Skills!O2</f>
        <v/>
      </c>
      <c r="G2189">
        <f>Skills!G2*IF(Skills!H2&gt;0,Skills!I2/Skills!H2,1)</f>
        <v/>
      </c>
      <c r="H2189">
        <f>1-(1-Skills!J2/100)^Skills!K2</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24)),(Inputs!$B$23+((C2216=TRUE)*(F2216-Calc!F29))+(IF(ArtifactsInput!$M$15,CHOOSE(ArtifactsInput!$N$15+1,25,30,35,40,45,50)/100*(Inputs!$B$11-Inputs!$B$11),0))))/100+(Inputs!$B$23+((C2216=TRUE)*(F2216-Calc!F29))+(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t="n">
        <v>0</v>
      </c>
      <c r="R2189" t="n">
        <v>0</v>
      </c>
      <c r="S2189">
        <f>IFERROR(O2189/N2189,0)</f>
        <v/>
      </c>
      <c r="T2189">
        <f>IF(C2189,(Skills!G2*N2189*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2189*(1-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MAX(0,(Inputs!$B$3-100)*3)+Inputs!$B$28+Inputs!$B$29</f>
        <v/>
      </c>
      <c r="V2189">
        <f>IF(C2189,(Skills!G2*N2189*B2224)*IF(Inputs!$B$38="pvp",1,(1+(Inputs!$B$21+Skills!Q2+(IF(ArtifactsInput!$M$33,CHOOSE(ArtifactsInput!$N$33+1,30,36,42,48,54,60),0))+(IF(AND(ArtifactsInput!$M$35,Inputs!$B$4&lt;&gt;"Chapter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Skills!A3</f>
        <v/>
      </c>
      <c r="B2190">
        <f>Skills!B3</f>
        <v/>
      </c>
      <c r="C2190">
        <f>Inputs!$B$3&gt;=50</f>
        <v/>
      </c>
      <c r="D2190">
        <f>IF(Skills!C3=1,60+Inputs!$B$25+Inputs!$B$29,IF(Skills!C3=2,90+Inputs!$B$26+Inputs!$B$29,IF(Skills!C3=3,120+Inputs!$B$27+Inputs!$B$29,MAX(0,(Inputs!$B$3-100)*3)+Inputs!$B$28+Inputs!$B$29)))</f>
        <v/>
      </c>
      <c r="E2190">
        <f>INDEX(FactorTable!$B$2:$Y$301, MATCH(ROUND(MIN(300,MAX(1,D2190)),0), FactorTable!$A$2:$A$301,0), Skills!M3+1)</f>
        <v/>
      </c>
      <c r="F2190">
        <f>IF(Skills!N3=TRUE,(Skills!L3/10)*(E2190/1000),Skills!L3/10)+Skills!O3</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INDEX(FactorTable!$B$2:$Y$301, MATCH(ROUND(MIN(300,MAX(1,U2189)),0), FactorTable!$A$2:$A$301,0), 22)</f>
        <v/>
      </c>
      <c r="V2190" t="inlineStr"/>
    </row>
    <row r="2191">
      <c r="A2191">
        <f>Skills!A4</f>
        <v/>
      </c>
      <c r="B2191">
        <f>Skills!B4</f>
        <v/>
      </c>
      <c r="C2191">
        <f>Inputs!$B$3&gt;=105</f>
        <v/>
      </c>
      <c r="D2191">
        <f>IF(Skills!C4=1,60+Inputs!$B$25+Inputs!$B$29,IF(Skills!C4=2,90+Inputs!$B$26+Inputs!$B$29,IF(Skills!C4=3,120+Inputs!$B$27+Inputs!$B$29,MAX(0,(Inputs!$B$3-100)*3)+Inputs!$B$28+Inputs!$B$29)))</f>
        <v/>
      </c>
      <c r="E2191">
        <f>INDEX(FactorTable!$B$2:$Y$301, MATCH(ROUND(MIN(300,MAX(1,D2191)),0), FactorTable!$A$2:$A$301,0), Skills!M4+1)</f>
        <v/>
      </c>
      <c r="F2191">
        <f>IF(Skills!N4=TRUE,(Skills!L4/10)*(E2191/1000),Skills!L4/10)+Skills!O4</f>
        <v/>
      </c>
      <c r="G2191" t="inlineStr"/>
      <c r="H2191" t="inlineStr"/>
      <c r="I2191" t="inlineStr">
        <is>
          <t>1</t>
        </is>
      </c>
      <c r="J2191" t="inlineStr"/>
      <c r="K2191" t="inlineStr"/>
      <c r="L2191" t="inlineStr"/>
      <c r="M2191" t="inlineStr"/>
      <c r="N2191" t="inlineStr"/>
      <c r="O2191" t="inlineStr"/>
      <c r="P2191" t="inlineStr"/>
      <c r="Q2191" t="inlineStr"/>
      <c r="R2191" t="inlineStr"/>
      <c r="S2191" t="inlineStr"/>
      <c r="T2191" t="inlineStr"/>
      <c r="U2191">
        <f>290*U2190/1000</f>
        <v/>
      </c>
      <c r="V2191" t="inlineStr"/>
    </row>
    <row r="2192">
      <c r="A2192">
        <f>Skills!A5</f>
        <v/>
      </c>
      <c r="B2192">
        <f>Skills!B5</f>
        <v/>
      </c>
      <c r="C2192">
        <f>Inputs!$B$3&gt;=35</f>
        <v/>
      </c>
      <c r="D2192">
        <f>IF(Skills!C5=1,60+Inputs!$B$25+Inputs!$B$29,IF(Skills!C5=2,90+Inputs!$B$26+Inputs!$B$29,IF(Skills!C5=3,120+Inputs!$B$27+Inputs!$B$29,MAX(0,(Inputs!$B$3-100)*3)+Inputs!$B$28+Inputs!$B$29)))</f>
        <v/>
      </c>
      <c r="E2192">
        <f>INDEX(FactorTable!$B$2:$Y$301, MATCH(ROUND(MIN(300,MAX(1,D2192)),0), FactorTable!$A$2:$A$301,0), Skills!M5+1)</f>
        <v/>
      </c>
      <c r="F2192">
        <f>IF(Skills!N5=TRUE,(Skills!L5/10)*(E2192/1000),Skills!L5/10)+Skills!O5</f>
        <v/>
      </c>
      <c r="G2192">
        <f>Skills!G5*IF(Skills!H5&gt;0,Skills!I5/Skills!H5,1)</f>
        <v/>
      </c>
      <c r="H2192">
        <f>1-(1-Skills!J5/100)^Skills!K5</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24)),(Inputs!$B$23+((C2216=TRUE)*(F2216-Calc!F29))+(IF(ArtifactsInput!$M$15,CHOOSE(ArtifactsInput!$N$15+1,25,30,35,40,45,50)/100*(Inputs!$B$11-Inputs!$B$11),0))))/100+(Inputs!$B$23+((C2216=TRUE)*(F2216-Calc!F29))+(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IFERROR(1/(IF(Inputs!$B$38="pvp",15,MAX(0.1,Skills!D5-IF(Skills!E5=TRUE,Inputs!$B$32,0)))*(1-IF(AND(IF(ArtifactsInput!$M$27,FALSE,TRUE),Inputs!$B$4="Chapter Hunt"),CHOOSE(ArtifactsInput!$N$27+1,20,24,28,32,36,40),0)/100)),0)</f>
        <v/>
      </c>
      <c r="R2192">
        <f>IF(AND(Inputs!$B$38&lt;&gt;"pvp",Inputs!$B$43&gt;0),IF(MAX(0,Inputs!$B$43-B2227)&lt;=0,0,(INT(MAX(0,Inputs!$B$43-B2227)/(IF(Inputs!$B$38="pvp",15,MAX(0.1,Skills!D5-IF(Skills!E5=TRUE,Inputs!$B$32,0)))*(1-IF(AND(IF(ArtifactsInput!$M$27,FALSE,TRUE),Inputs!$B$4="Chapter Hunt"),CHOOSE(ArtifactsInput!$N$27+1,20,24,28,32,36,40),0)/100)))+1)),0)</f>
        <v/>
      </c>
      <c r="S2192">
        <f>IFERROR(O2192/N2192,0)</f>
        <v/>
      </c>
      <c r="T2192">
        <f>IF(C2192,(H2192*N2192*IF(AND(Inputs!$B$38&lt;&gt;"pvp",Inputs!$B$43&gt;0),((Skills!G5*((R2192-1)*IF(Skills!H5&gt;0,Skills!I5/Skills!H5,1)+IF(Skills!H5&gt;0,MIN(Skills!I5,MAX(0,MAX(0,Inputs!$B$43-B2227)-((R2192-1)*(IF(Inputs!$B$38="pvp",15,MAX(0.1,Skills!D5-IF(Skills!E5=TRUE,Inputs!$B$32,0)))*(1-IF(AND(IF(ArtifactsInput!$M$27,FALSE,TRUE),Inputs!$B$4="Chapter Hunt"),CHOOSE(ArtifactsInput!$N$27+1,20,24,28,32,36,40),0)/100)))))/Skills!H5,1)))/Inputs!$B$43),G2192*Q2192)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2192*(1-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5*((R2192-1)*IF(Skills!H5&gt;0,Skills!I5/Skills!H5,1)+IF(Skills!H5&gt;0,MIN(Skills!I5,MAX(0,MAX(0,Inputs!$B$43-B2227)-((R2192-1)*(IF(Inputs!$B$38="pvp",15,MAX(0.1,Skills!D5-IF(Skills!E5=TRUE,Inputs!$B$32,0)))*(1-IF(AND(IF(ArtifactsInput!$M$27,FALSE,TRUE),Inputs!$B$4="Chapter Hunt"),CHOOSE(ArtifactsInput!$N$27+1,20,24,28,32,36,40),0)/100)))))/Skills!H5,1)))/Inputs!$B$43),G2192*Q2192))*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Skills!A6</f>
        <v/>
      </c>
      <c r="B2193">
        <f>Skills!B6</f>
        <v/>
      </c>
      <c r="C2193">
        <f>Inputs!$B$3&gt;=40</f>
        <v/>
      </c>
      <c r="D2193">
        <f>IF(Skills!C6=1,60+Inputs!$B$25+Inputs!$B$29,IF(Skills!C6=2,90+Inputs!$B$26+Inputs!$B$29,IF(Skills!C6=3,120+Inputs!$B$27+Inputs!$B$29,MAX(0,(Inputs!$B$3-100)*3)+Inputs!$B$28+Inputs!$B$29)))</f>
        <v/>
      </c>
      <c r="E2193">
        <f>INDEX(FactorTable!$B$2:$Y$301, MATCH(ROUND(MIN(300,MAX(1,D2193)),0), FactorTable!$A$2:$A$301,0), Skills!M6+1)</f>
        <v/>
      </c>
      <c r="F2193">
        <f>IF(Skills!N6=TRUE,(Skills!L6/10)*(E2193/1000),Skills!L6/10)+Skills!O6</f>
        <v/>
      </c>
      <c r="G2193">
        <f>Skills!G6*IF(Skills!H6&gt;0,Skills!I6/Skills!H6,1)</f>
        <v/>
      </c>
      <c r="H2193">
        <f>1-(1-Skills!J6/100)^Skills!K6</f>
        <v/>
      </c>
      <c r="I2193" t="inlineStr">
        <is>
          <t>1</t>
        </is>
      </c>
      <c r="J2193">
        <f>((Inputs!$B$6*(1+Inputs!$B$7/100))+(((Inputs!$B$12*(1+Inputs!$B$13/100))-(Inputs!$B$12*(1+Inputs!$B$13/100)))+0.25*(Inputs!$B$14-Inputs!$B$14))*(1+Inputs!$B$7/100))*(F2193/100)</f>
        <v/>
      </c>
      <c r="K2193">
        <f>J2193*(1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2194=TRUE,F2194,0)/100)*(1+(IF(Skills!A6="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2211=TRUE)*(F2211-Calc!F24)),(Inputs!$B$23+((C2216=TRUE)*(F2216-Calc!F29))+(IF(ArtifactsInput!$M$15,CHOOSE(ArtifactsInput!$N$15+1,25,30,35,40,45,50)/100*(Inputs!$B$11-Inputs!$B$11),0))))/100+(Inputs!$B$23+((C2216=TRUE)*(F2216-Calc!F29))+(IF(ArtifactsInput!$M$15,CHOOSE(ArtifactsInput!$N$15+1,25,30,35,40,45,50)/100*(Inputs!$B$11-Inputs!$B$11),0)))/100)/2</f>
        <v/>
      </c>
      <c r="M2193">
        <f>L2193*(1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IF(B2230=0,0,O2193/B2230)</f>
        <v/>
      </c>
      <c r="Q2193">
        <f>IFERROR(1/(IF(Inputs!$B$38="pvp",15,MAX(0.1,Skills!D6-IF(Skills!E6=TRUE,Inputs!$B$32,0)))*(1-IF(AND(IF(ArtifactsInput!$M$27,FALSE,TRUE),Inputs!$B$4="Chapter Hunt"),CHOOSE(ArtifactsInput!$N$27+1,20,24,28,32,36,40),0)/100)),0)</f>
        <v/>
      </c>
      <c r="R2193">
        <f>IF(AND(Inputs!$B$38&lt;&gt;"pvp",Inputs!$B$43&gt;0),IF(MAX(0,Inputs!$B$43-B2227)&lt;=0,0,(INT(MAX(0,Inputs!$B$43-B2227)/(IF(Inputs!$B$38="pvp",15,MAX(0.1,Skills!D6-IF(Skills!E6=TRUE,Inputs!$B$32,0)))*(1-IF(AND(IF(ArtifactsInput!$M$27,FALSE,TRUE),Inputs!$B$4="Chapter Hunt"),CHOOSE(ArtifactsInput!$N$27+1,20,24,28,32,36,40),0)/100)))+1)),0)</f>
        <v/>
      </c>
      <c r="S2193">
        <f>IFERROR(O2193/N2193,0)</f>
        <v/>
      </c>
      <c r="T2193">
        <f>IF(C2193,(H2193*N2193*IF(AND(Inputs!$B$38&lt;&gt;"pvp",Inputs!$B$43&gt;0),((Skills!G6*((R2193-1)*IF(Skills!H6&gt;0,Skills!I6/Skills!H6,1)+IF(Skills!H6&gt;0,MIN(Skills!I6,MAX(0,MAX(0,Inputs!$B$43-B2227)-((R2193-1)*(IF(Inputs!$B$38="pvp",15,MAX(0.1,Skills!D6-IF(Skills!E6=TRUE,Inputs!$B$32,0)))*(1-IF(AND(IF(ArtifactsInput!$M$27,FALSE,TRUE),Inputs!$B$4="Chapter Hunt"),CHOOSE(ArtifactsInput!$N$27+1,20,24,28,32,36,40),0)/100)))))/Skills!H6,1)))/Inputs!$B$43),G2193*Q2193)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2193*(1-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6*((R2193-1)*IF(Skills!H6&gt;0,Skills!I6/Skills!H6,1)+IF(Skills!H6&gt;0,MIN(Skills!I6,MAX(0,MAX(0,Inputs!$B$43-B2227)-((R2193-1)*(IF(Inputs!$B$38="pvp",15,MAX(0.1,Skills!D6-IF(Skills!E6=TRUE,Inputs!$B$32,0)))*(1-IF(AND(IF(ArtifactsInput!$M$27,FALSE,TRUE),Inputs!$B$4="Chapter Hunt"),CHOOSE(ArtifactsInput!$N$27+1,20,24,28,32,36,40),0)/100)))))/Skills!H6,1)))/Inputs!$B$43),G2193*Q2193))*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Skills!A7</f>
        <v/>
      </c>
      <c r="B2194">
        <f>Skills!B7</f>
        <v/>
      </c>
      <c r="C2194">
        <f>Inputs!$B$3&gt;=107</f>
        <v/>
      </c>
      <c r="D2194">
        <f>IF(Skills!C7=1,60+Inputs!$B$25+Inputs!$B$29,IF(Skills!C7=2,90+Inputs!$B$26+Inputs!$B$29,IF(Skills!C7=3,120+Inputs!$B$27+Inputs!$B$29,MAX(0,(Inputs!$B$3-100)*3)+Inputs!$B$28+Inputs!$B$29)))</f>
        <v/>
      </c>
      <c r="E2194">
        <f>INDEX(FactorTable!$B$2:$Y$301, MATCH(ROUND(MIN(300,MAX(1,D2194)),0), FactorTable!$A$2:$A$301,0), Skills!M7+1)</f>
        <v/>
      </c>
      <c r="F2194">
        <f>IF(Skills!N7=TRUE,(Skills!L7/10)*(E2194/1000),Skills!L7/10)+Skills!O7</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Skills!A8</f>
        <v/>
      </c>
      <c r="B2195">
        <f>Skills!B8</f>
        <v/>
      </c>
      <c r="C2195">
        <f>Inputs!$B$3&gt;=69</f>
        <v/>
      </c>
      <c r="D2195">
        <f>IF(Skills!C8=1,60+Inputs!$B$25+Inputs!$B$29,IF(Skills!C8=2,90+Inputs!$B$26+Inputs!$B$29,IF(Skills!C8=3,120+Inputs!$B$27+Inputs!$B$29,MAX(0,(Inputs!$B$3-100)*3)+Inputs!$B$28+Inputs!$B$29)))</f>
        <v/>
      </c>
      <c r="E2195">
        <f>INDEX(FactorTable!$B$2:$Y$301, MATCH(ROUND(MIN(300,MAX(1,D2195)),0), FactorTable!$A$2:$A$301,0), Skills!M8+1)</f>
        <v/>
      </c>
      <c r="F2195">
        <f>IF(Skills!N8=TRUE,(Skills!L8/10)*(E2195/1000),Skills!L8/10)+Skills!O8</f>
        <v/>
      </c>
      <c r="G2195">
        <f>Skills!G8*IF(Skills!H8&gt;0,Skills!I8/Skills!H8,1)</f>
        <v/>
      </c>
      <c r="H2195">
        <f>1-(1-Skills!J8/100)^Skills!K8</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24)),(Inputs!$B$23+((C2216=TRUE)*(F2216-Calc!F29))+(IF(ArtifactsInput!$M$15,CHOOSE(ArtifactsInput!$N$15+1,25,30,35,40,45,50)/100*(Inputs!$B$11-Inputs!$B$11),0))))/100+(Inputs!$B$23+((C2216=TRUE)*(F2216-Calc!F29))+(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IFERROR(1/(IF(Inputs!$B$38="pvp",15,MAX(0.1,Skills!D8-IF(Skills!E8=TRUE,Inputs!$B$32,0)))*(1-IF(AND(IF(ArtifactsInput!$M$27,FALSE,TRUE),Inputs!$B$4="Chapter Hunt"),CHOOSE(ArtifactsInput!$N$27+1,20,24,28,32,36,40),0)/100)),0)</f>
        <v/>
      </c>
      <c r="R2195">
        <f>IF(AND(Inputs!$B$38&lt;&gt;"pvp",Inputs!$B$43&gt;0),IF(MAX(0,Inputs!$B$43-B2227)&lt;=0,0,(INT(MAX(0,Inputs!$B$43-B2227)/(IF(Inputs!$B$38="pvp",15,MAX(0.1,Skills!D8-IF(Skills!E8=TRUE,Inputs!$B$32,0)))*(1-IF(AND(IF(ArtifactsInput!$M$27,FALSE,TRUE),Inputs!$B$4="Chapter Hunt"),CHOOSE(ArtifactsInput!$N$27+1,20,24,28,32,36,40),0)/100)))+1)),0)</f>
        <v/>
      </c>
      <c r="S2195">
        <f>IFERROR(O2195/N2195,0)</f>
        <v/>
      </c>
      <c r="T2195">
        <f>IF(C2195,(H2195*N2195*IF(AND(Inputs!$B$38&lt;&gt;"pvp",Inputs!$B$43&gt;0),((Skills!G8*((R2195-1)*IF(Skills!H8&gt;0,Skills!I8/Skills!H8,1)+IF(Skills!H8&gt;0,MIN(Skills!I8,MAX(0,MAX(0,Inputs!$B$43-B2227)-((R2195-1)*(IF(Inputs!$B$38="pvp",15,MAX(0.1,Skills!D8-IF(Skills!E8=TRUE,Inputs!$B$32,0)))*(1-IF(AND(IF(ArtifactsInput!$M$27,FALSE,TRUE),Inputs!$B$4="Chapter Hunt"),CHOOSE(ArtifactsInput!$N$27+1,20,24,28,32,36,40),0)/100)))))/Skills!H8,1)))/Inputs!$B$43),G2195*Q2195)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2195*(1-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8*((R2195-1)*IF(Skills!H8&gt;0,Skills!I8/Skills!H8,1)+IF(Skills!H8&gt;0,MIN(Skills!I8,MAX(0,MAX(0,Inputs!$B$43-B2227)-((R2195-1)*(IF(Inputs!$B$38="pvp",15,MAX(0.1,Skills!D8-IF(Skills!E8=TRUE,Inputs!$B$32,0)))*(1-IF(AND(IF(ArtifactsInput!$M$27,FALSE,TRUE),Inputs!$B$4="Chapter Hunt"),CHOOSE(ArtifactsInput!$N$27+1,20,24,28,32,36,40),0)/100)))))/Skills!H8,1)))/Inputs!$B$43),G2195*Q2195))*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Skills!A9</f>
        <v/>
      </c>
      <c r="B2196">
        <f>Skills!B9</f>
        <v/>
      </c>
      <c r="C2196">
        <f>Inputs!$B$3&gt;=63</f>
        <v/>
      </c>
      <c r="D2196">
        <f>IF(Skills!C9=1,60+Inputs!$B$25+Inputs!$B$29,IF(Skills!C9=2,90+Inputs!$B$26+Inputs!$B$29,IF(Skills!C9=3,120+Inputs!$B$27+Inputs!$B$29,MAX(0,(Inputs!$B$3-100)*3)+Inputs!$B$28+Inputs!$B$29)))</f>
        <v/>
      </c>
      <c r="E2196">
        <f>INDEX(FactorTable!$B$2:$Y$301, MATCH(ROUND(MIN(300,MAX(1,D2196)),0), FactorTable!$A$2:$A$301,0), Skills!M9+1)</f>
        <v/>
      </c>
      <c r="F2196">
        <f>IF(Skills!N9=TRUE,(Skills!L9/10)*(E2196/1000),Skills!L9/10)+Skills!O9</f>
        <v/>
      </c>
      <c r="G2196">
        <f>Skills!G9*IF(Skills!H9&gt;0,Skills!I9/Skills!H9,1)</f>
        <v/>
      </c>
      <c r="H2196">
        <f>1-(1-Skills!J9/100)^Skills!K9</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24)),(Inputs!$B$23+((C2216=TRUE)*(F2216-Calc!F29))+(IF(ArtifactsInput!$M$15,CHOOSE(ArtifactsInput!$N$15+1,25,30,35,40,45,50)/100*(Inputs!$B$11-Inputs!$B$11),0))))/100+(Inputs!$B$23+((C2216=TRUE)*(F2216-Calc!F29))+(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IFERROR(1/(IF(Inputs!$B$38="pvp",15,MAX(0.1,Skills!D9-IF(Skills!E9=TRUE,Inputs!$B$32,0)))*(1-IF(AND(IF(ArtifactsInput!$M$27,FALSE,TRUE),Inputs!$B$4="Chapter Hunt"),CHOOSE(ArtifactsInput!$N$27+1,20,24,28,32,36,40),0)/100)),0)</f>
        <v/>
      </c>
      <c r="R2196">
        <f>IF(AND(Inputs!$B$38&lt;&gt;"pvp",Inputs!$B$43&gt;0),IF(MAX(0,Inputs!$B$43-B2227)&lt;=0,0,(INT(MAX(0,Inputs!$B$43-B2227)/(IF(Inputs!$B$38="pvp",15,MAX(0.1,Skills!D9-IF(Skills!E9=TRUE,Inputs!$B$32,0)))*(1-IF(AND(IF(ArtifactsInput!$M$27,FALSE,TRUE),Inputs!$B$4="Chapter Hunt"),CHOOSE(ArtifactsInput!$N$27+1,20,24,28,32,36,40),0)/100)))+1)),0)</f>
        <v/>
      </c>
      <c r="S2196">
        <f>IFERROR(O2196/N2196,0)</f>
        <v/>
      </c>
      <c r="T2196">
        <f>IF(C2196,(H2196*N2196*IF(AND(Inputs!$B$38&lt;&gt;"pvp",Inputs!$B$43&gt;0),((Skills!G9*((R2196-1)*IF(Skills!H9&gt;0,Skills!I9/Skills!H9,1)+IF(Skills!H9&gt;0,MIN(Skills!I9,MAX(0,MAX(0,Inputs!$B$43-B2227)-((R2196-1)*(IF(Inputs!$B$38="pvp",15,MAX(0.1,Skills!D9-IF(Skills!E9=TRUE,Inputs!$B$32,0)))*(1-IF(AND(IF(ArtifactsInput!$M$27,FALSE,TRUE),Inputs!$B$4="Chapter Hunt"),CHOOSE(ArtifactsInput!$N$27+1,20,24,28,32,36,40),0)/100)))))/Skills!H9,1)))/Inputs!$B$43),G2196*Q2196)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2196*(1-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9*((R2196-1)*IF(Skills!H9&gt;0,Skills!I9/Skills!H9,1)+IF(Skills!H9&gt;0,MIN(Skills!I9,MAX(0,MAX(0,Inputs!$B$43-B2227)-((R2196-1)*(IF(Inputs!$B$38="pvp",15,MAX(0.1,Skills!D9-IF(Skills!E9=TRUE,Inputs!$B$32,0)))*(1-IF(AND(IF(ArtifactsInput!$M$27,FALSE,TRUE),Inputs!$B$4="Chapter Hunt"),CHOOSE(ArtifactsInput!$N$27+1,20,24,28,32,36,40),0)/100)))))/Skills!H9,1)))/Inputs!$B$43),G2196*Q2196))*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Skills!A10</f>
        <v/>
      </c>
      <c r="B2197">
        <f>Skills!B10</f>
        <v/>
      </c>
      <c r="C2197">
        <f>Inputs!$B$3&gt;=100</f>
        <v/>
      </c>
      <c r="D2197">
        <f>IF(Skills!C10=1,60+Inputs!$B$25+Inputs!$B$29,IF(Skills!C10=2,90+Inputs!$B$26+Inputs!$B$29,IF(Skills!C10=3,120+Inputs!$B$27+Inputs!$B$29,MAX(0,(Inputs!$B$3-100)*3)+Inputs!$B$28+Inputs!$B$29)))</f>
        <v/>
      </c>
      <c r="E2197">
        <f>INDEX(FactorTable!$B$2:$Y$301, MATCH(ROUND(MIN(300,MAX(1,D2197)),0), FactorTable!$A$2:$A$301,0), Skills!M10+1)</f>
        <v/>
      </c>
      <c r="F2197">
        <f>IF(Skills!N10=TRUE,(Skills!L10/10)*(E2197/1000),Skills!L10/10)+Skills!O10</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Skills!A11</f>
        <v/>
      </c>
      <c r="B2198">
        <f>Skills!B11</f>
        <v/>
      </c>
      <c r="C2198">
        <f>Inputs!$B$3&gt;=60</f>
        <v/>
      </c>
      <c r="D2198">
        <f>IF(Skills!C11=1,60+Inputs!$B$25+Inputs!$B$29,IF(Skills!C11=2,90+Inputs!$B$26+Inputs!$B$29,IF(Skills!C11=3,120+Inputs!$B$27+Inputs!$B$29,MAX(0,(Inputs!$B$3-100)*3)+Inputs!$B$28+Inputs!$B$29)))</f>
        <v/>
      </c>
      <c r="E2198">
        <f>INDEX(FactorTable!$B$2:$Y$301, MATCH(ROUND(MIN(300,MAX(1,D2198)),0), FactorTable!$A$2:$A$301,0), Skills!M11+1)</f>
        <v/>
      </c>
      <c r="F2198">
        <f>IF(Skills!N11=TRUE,(Skills!L11/10)*(E2198/1000),Skills!L11/10)+Skills!O11</f>
        <v/>
      </c>
      <c r="G2198">
        <f>Skills!G11*IF(Skills!H11&gt;0,Skills!I11/Skills!H11,1)</f>
        <v/>
      </c>
      <c r="H2198">
        <f>1-(1-Skills!J11/100)^Skills!K11</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11="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24)),(Inputs!$B$23+((C2216=TRUE)*(F2216-Calc!F29))+(IF(ArtifactsInput!$M$15,CHOOSE(ArtifactsInput!$N$15+1,25,30,35,40,45,50)/100*(Inputs!$B$11-Inputs!$B$11),0))))/100+(Inputs!$B$23+((C2216=TRUE)*(F2216-Calc!F29))+(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IFERROR(1/(IF(Inputs!$B$38="pvp",15,MAX(0.1,Skills!D11-IF(Skills!E11=TRUE,Inputs!$B$32,0)))*(1-IF(AND(IF(ArtifactsInput!$M$27,FALSE,TRUE),Inputs!$B$4="Chapter Hunt"),CHOOSE(ArtifactsInput!$N$27+1,20,24,28,32,36,40),0)/100)),0)</f>
        <v/>
      </c>
      <c r="R2198">
        <f>IF(AND(Inputs!$B$38&lt;&gt;"pvp",Inputs!$B$43&gt;0),IF(MAX(0,Inputs!$B$43-B2227)&lt;=0,0,(INT(MAX(0,Inputs!$B$43-B2227)/(IF(Inputs!$B$38="pvp",15,MAX(0.1,Skills!D11-IF(Skills!E11=TRUE,Inputs!$B$32,0)))*(1-IF(AND(IF(ArtifactsInput!$M$27,FALSE,TRUE),Inputs!$B$4="Chapter Hunt"),CHOOSE(ArtifactsInput!$N$27+1,20,24,28,32,36,40),0)/100)))+1)),0)</f>
        <v/>
      </c>
      <c r="S2198">
        <f>IFERROR(O2198/N2198,0)</f>
        <v/>
      </c>
      <c r="T2198">
        <f>IF(C2198,(H2198*N2198*IF(AND(Inputs!$B$38&lt;&gt;"pvp",Inputs!$B$43&gt;0),((Skills!G11*((R2198-1)*IF(Skills!H11&gt;0,Skills!I11/Skills!H11,1)+IF(Skills!H11&gt;0,MIN(Skills!I11,MAX(0,MAX(0,Inputs!$B$43-B2227)-((R2198-1)*(IF(Inputs!$B$38="pvp",15,MAX(0.1,Skills!D11-IF(Skills!E11=TRUE,Inputs!$B$32,0)))*(1-IF(AND(IF(ArtifactsInput!$M$27,FALSE,TRUE),Inputs!$B$4="Chapter Hunt"),CHOOSE(ArtifactsInput!$N$27+1,20,24,28,32,36,40),0)/100)))))/Skills!H11,1)))/Inputs!$B$43),G2198*Q2198)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2198*(1-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11*((R2198-1)*IF(Skills!H11&gt;0,Skills!I11/Skills!H11,1)+IF(Skills!H11&gt;0,MIN(Skills!I11,MAX(0,MAX(0,Inputs!$B$43-B2227)-((R2198-1)*(IF(Inputs!$B$38="pvp",15,MAX(0.1,Skills!D11-IF(Skills!E11=TRUE,Inputs!$B$32,0)))*(1-IF(AND(IF(ArtifactsInput!$M$27,FALSE,TRUE),Inputs!$B$4="Chapter Hunt"),CHOOSE(ArtifactsInput!$N$27+1,20,24,28,32,36,40),0)/100)))))/Skills!H11,1)))/Inputs!$B$43),G2198*Q2198))*IF(Inputs!$B$38="pvp",1,(1+(Inputs!$B$21+Skills!Q11+(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Skills!A12</f>
        <v/>
      </c>
      <c r="B2199">
        <f>Skills!B12</f>
        <v/>
      </c>
      <c r="C2199">
        <f>Inputs!$B$3&gt;=110</f>
        <v/>
      </c>
      <c r="D2199">
        <f>IF(Skills!C12=1,60+Inputs!$B$25+Inputs!$B$29,IF(Skills!C12=2,90+Inputs!$B$26+Inputs!$B$29,IF(Skills!C12=3,120+Inputs!$B$27+Inputs!$B$29,MAX(0,(Inputs!$B$3-100)*3)+Inputs!$B$28+Inputs!$B$29)))</f>
        <v/>
      </c>
      <c r="E2199">
        <f>INDEX(FactorTable!$B$2:$Y$301, MATCH(ROUND(MIN(300,MAX(1,D2199)),0), FactorTable!$A$2:$A$301,0), Skills!M12+1)</f>
        <v/>
      </c>
      <c r="F2199">
        <f>IF(Skills!N12=TRUE,(Skills!L12/10)*(E2199/1000),Skills!L12/10)+Skills!O12</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Skills!A13</f>
        <v/>
      </c>
      <c r="B2200">
        <f>Skills!B13</f>
        <v/>
      </c>
      <c r="C2200">
        <f>Inputs!$B$3&gt;=74</f>
        <v/>
      </c>
      <c r="D2200">
        <f>IF(Skills!C13=1,60+Inputs!$B$25+Inputs!$B$29,IF(Skills!C13=2,90+Inputs!$B$26+Inputs!$B$29,IF(Skills!C13=3,120+Inputs!$B$27+Inputs!$B$29,MAX(0,(Inputs!$B$3-100)*3)+Inputs!$B$28+Inputs!$B$29)))</f>
        <v/>
      </c>
      <c r="E2200">
        <f>INDEX(FactorTable!$B$2:$Y$301, MATCH(ROUND(MIN(300,MAX(1,D2200)),0), FactorTable!$A$2:$A$301,0), Skills!M13+1)</f>
        <v/>
      </c>
      <c r="F2200">
        <f>IF(Skills!N13=TRUE,(Skills!L13/10)*(E2200/1000),Skills!L13/10)+Skills!O13</f>
        <v/>
      </c>
      <c r="G2200">
        <f>Skills!G13*IF(Skills!H13&gt;0,Skills!I13/Skills!H13,1)</f>
        <v/>
      </c>
      <c r="H2200">
        <f>1-(1-Skills!J13/100)^Skills!K13</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Skills!A14</f>
        <v/>
      </c>
      <c r="B2201">
        <f>Skills!B14</f>
        <v/>
      </c>
      <c r="C2201">
        <f>Inputs!$B$3&gt;=74</f>
        <v/>
      </c>
      <c r="D2201">
        <f>IF(Skills!C14=1,60+Inputs!$B$25+Inputs!$B$29,IF(Skills!C14=2,90+Inputs!$B$26+Inputs!$B$29,IF(Skills!C14=3,120+Inputs!$B$27+Inputs!$B$29,MAX(0,(Inputs!$B$3-100)*3)+Inputs!$B$28+Inputs!$B$29)))</f>
        <v/>
      </c>
      <c r="E2201">
        <f>INDEX(FactorTable!$B$2:$Y$301, MATCH(ROUND(MIN(300,MAX(1,D2201)),0), FactorTable!$A$2:$A$301,0), Skills!M14+1)</f>
        <v/>
      </c>
      <c r="F2201">
        <f>IF(Skills!N14=TRUE,(Skills!L14/10)*(E2201/1000),Skills!L14/10)+Skills!O14</f>
        <v/>
      </c>
      <c r="G2201">
        <f>Skills!G14*IF(Skills!H14&gt;0,Skills!I14/Skills!H14,1)</f>
        <v/>
      </c>
      <c r="H2201">
        <f>1-(1-Skills!J14/100)^Skills!K14</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Skills!A15</f>
        <v/>
      </c>
      <c r="B2202">
        <f>Skills!B15</f>
        <v/>
      </c>
      <c r="C2202">
        <f>Inputs!$B$3&gt;=117</f>
        <v/>
      </c>
      <c r="D2202">
        <f>IF(Skills!C15=1,60+Inputs!$B$25+Inputs!$B$29,IF(Skills!C15=2,90+Inputs!$B$26+Inputs!$B$29,IF(Skills!C15=3,120+Inputs!$B$27+Inputs!$B$29,MAX(0,(Inputs!$B$3-100)*3)+Inputs!$B$28+Inputs!$B$29)))</f>
        <v/>
      </c>
      <c r="E2202">
        <f>INDEX(FactorTable!$B$2:$Y$301, MATCH(ROUND(MIN(300,MAX(1,D2202)),0), FactorTable!$A$2:$A$301,0), Skills!M15+1)</f>
        <v/>
      </c>
      <c r="F2202">
        <f>IF(Skills!N15=TRUE,(Skills!L15/10)*(E2202/1000),Skills!L15/10)+Skills!O15</f>
        <v/>
      </c>
      <c r="G2202">
        <f>Skills!G15*IF(Skills!H15&gt;0,Skills!I15/Skills!H15,1)</f>
        <v/>
      </c>
      <c r="H2202">
        <f>1-(1-Skills!J15/100)^Skills!K15</f>
        <v/>
      </c>
      <c r="I2202" t="inlineStr">
        <is>
          <t>1</t>
        </is>
      </c>
      <c r="J2202" t="inlineStr"/>
      <c r="K2202" t="inlineStr"/>
      <c r="L2202" t="inlineStr"/>
      <c r="M2202" t="inlineStr"/>
      <c r="N2202" t="inlineStr"/>
      <c r="O2202">
        <f>(1-Summary!$B$11)*T2202+Summary!$B$11*V2202</f>
        <v/>
      </c>
      <c r="P2202">
        <f>IF(B2230=0,0,O2202/B2230)</f>
        <v/>
      </c>
      <c r="Q2202">
        <f>IFERROR(1/(IF(Inputs!$B$38="pvp",15,MAX(0.1,Skills!D15-IF(Skills!E15=TRUE,Inputs!$B$32,0)))*(1-IF(AND(IF(ArtifactsInput!$M$27,FALSE,TRUE),Inputs!$B$4="Chapter Hunt"),CHOOSE(ArtifactsInput!$N$27+1,20,24,28,32,36,40),0)/100)),0)</f>
        <v/>
      </c>
      <c r="R2202">
        <f>IF(AND(Inputs!$B$38&lt;&gt;"pvp",Inputs!$B$43&gt;0),IF(Inputs!$B$43&lt;=0,0,(INT(Inputs!$B$43/(IF(Inputs!$B$38="pvp",15,MAX(0.1,Skills!D15-IF(Skills!E15=TRUE,Inputs!$B$32,0)))*(1-IF(AND(IF(ArtifactsInput!$M$27,FALSE,TRUE),Inputs!$B$4="Chapter Hunt"),CHOOSE(ArtifactsInput!$N$27+1,20,24,28,32,36,40),0)/100)))+1)),0)</f>
        <v/>
      </c>
      <c r="S2202">
        <f>IFERROR(O2202/N2202,0)</f>
        <v/>
      </c>
      <c r="T2202" t="n">
        <v>0</v>
      </c>
      <c r="V2202" t="n">
        <v>0</v>
      </c>
    </row>
    <row r="2203">
      <c r="A2203">
        <f>Skills!A16</f>
        <v/>
      </c>
      <c r="B2203">
        <f>Skills!B16</f>
        <v/>
      </c>
      <c r="C2203">
        <f>Inputs!$B$3&gt;=115</f>
        <v/>
      </c>
      <c r="D2203">
        <f>IF(Skills!C16=1,60+Inputs!$B$25+Inputs!$B$29,IF(Skills!C16=2,90+Inputs!$B$26+Inputs!$B$29,IF(Skills!C16=3,120+Inputs!$B$27+Inputs!$B$29,MAX(0,(Inputs!$B$3-100)*3)+Inputs!$B$28+Inputs!$B$29)))</f>
        <v/>
      </c>
      <c r="E2203">
        <f>INDEX(FactorTable!$B$2:$Y$301, MATCH(ROUND(MIN(300,MAX(1,D2203)),0), FactorTable!$A$2:$A$301,0), Skills!M16+1)</f>
        <v/>
      </c>
      <c r="F2203">
        <f>IF(Skills!N16=TRUE,(Skills!L16/10)*(E2203/1000),Skills!L16/10)+Skills!O16</f>
        <v/>
      </c>
      <c r="G2203">
        <f>Skills!G16*IF(Skills!H16&gt;0,Skills!I16/Skills!H16,1)</f>
        <v/>
      </c>
      <c r="H2203">
        <f>1-(1-Skills!J16/100)^Skills!K16</f>
        <v/>
      </c>
      <c r="I2203" t="inlineStr">
        <is>
          <t>1</t>
        </is>
      </c>
      <c r="J2203" t="inlineStr"/>
      <c r="K2203" t="inlineStr"/>
      <c r="L2203" t="inlineStr"/>
      <c r="M2203" t="inlineStr"/>
      <c r="N2203" t="inlineStr"/>
      <c r="O2203">
        <f>(1-Summary!$B$11)*T2203+Summary!$B$11*V2203</f>
        <v/>
      </c>
      <c r="P2203">
        <f>IF(B2230=0,0,O2203/B2230)</f>
        <v/>
      </c>
      <c r="Q2203">
        <f>IFERROR(1/(IF(Inputs!$B$38="pvp",15,MAX(0.1,Skills!D16-IF(Skills!E16=TRUE,Inputs!$B$32,0)))*(1-IF(AND(IF(ArtifactsInput!$M$27,FALSE,TRUE),Inputs!$B$4="Chapter Hunt"),CHOOSE(ArtifactsInput!$N$27+1,20,24,28,32,36,40),0)/100)),0)</f>
        <v/>
      </c>
      <c r="R2203">
        <f>IF(AND(Inputs!$B$38&lt;&gt;"pvp",Inputs!$B$43&gt;0),IF(Inputs!$B$43&lt;=0,0,(INT(Inputs!$B$43/(IF(Inputs!$B$38="pvp",15,MAX(0.1,Skills!D16-IF(Skills!E16=TRUE,Inputs!$B$32,0)))*(1-IF(AND(IF(ArtifactsInput!$M$27,FALSE,TRUE),Inputs!$B$4="Chapter Hunt"),CHOOSE(ArtifactsInput!$N$27+1,20,24,28,32,36,40),0)/100)))+1)),0)</f>
        <v/>
      </c>
      <c r="S2203">
        <f>IFERROR(O2203/N2203,0)</f>
        <v/>
      </c>
      <c r="T2203" t="n">
        <v>0</v>
      </c>
      <c r="V2203" t="n">
        <v>0</v>
      </c>
    </row>
    <row r="2204">
      <c r="A2204">
        <f>Skills!A17</f>
        <v/>
      </c>
      <c r="B2204">
        <f>Skills!B17</f>
        <v/>
      </c>
      <c r="C2204">
        <f>Inputs!$B$3&gt;=66</f>
        <v/>
      </c>
      <c r="D2204">
        <f>IF(Skills!C17=1,60+Inputs!$B$25+Inputs!$B$29,IF(Skills!C17=2,90+Inputs!$B$26+Inputs!$B$29,IF(Skills!C17=3,120+Inputs!$B$27+Inputs!$B$29,MAX(0,(Inputs!$B$3-100)*3)+Inputs!$B$28+Inputs!$B$29)))</f>
        <v/>
      </c>
      <c r="E2204">
        <f>INDEX(FactorTable!$B$2:$Y$301, MATCH(ROUND(MIN(300,MAX(1,D2204)),0), FactorTable!$A$2:$A$301,0), Skills!M17+1)</f>
        <v/>
      </c>
      <c r="F2204">
        <f>IF(Skills!N17=TRUE,(Skills!L17/10)*(E2204/1000),Skills!L17/10)+Skills!O17</f>
        <v/>
      </c>
      <c r="G2204">
        <f>Skills!G17*IF(Skills!H17&gt;0,Skills!I17/Skills!H17,1)</f>
        <v/>
      </c>
      <c r="H2204">
        <f>1-(1-Skills!J17/100)^Skills!K17</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Skills!A18</f>
        <v/>
      </c>
      <c r="B2205">
        <f>Skills!B18</f>
        <v/>
      </c>
      <c r="C2205">
        <f>Inputs!$B$3&gt;=72</f>
        <v/>
      </c>
      <c r="D2205">
        <f>IF(Skills!C18=1,60+Inputs!$B$25+Inputs!$B$29,IF(Skills!C18=2,90+Inputs!$B$26+Inputs!$B$29,IF(Skills!C18=3,120+Inputs!$B$27+Inputs!$B$29,MAX(0,(Inputs!$B$3-100)*3)+Inputs!$B$28+Inputs!$B$29)))</f>
        <v/>
      </c>
      <c r="E2205">
        <f>INDEX(FactorTable!$B$2:$Y$301, MATCH(ROUND(MIN(300,MAX(1,D2205)),0), FactorTable!$A$2:$A$301,0), Skills!M18+1)</f>
        <v/>
      </c>
      <c r="F2205">
        <f>IF(Skills!N18=TRUE,(Skills!L18/10)*(E2205/1000),Skills!L18/10)+Skills!O18</f>
        <v/>
      </c>
      <c r="G2205">
        <f>Skills!G18*IF(Skills!H18&gt;0,Skills!I18/Skills!H18,1)</f>
        <v/>
      </c>
      <c r="H2205">
        <f>1-(1-Skills!J18/100)^Skills!K18</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Skills!A19</f>
        <v/>
      </c>
      <c r="B2206">
        <f>Skills!B19</f>
        <v/>
      </c>
      <c r="C2206">
        <f>TRUE</f>
        <v/>
      </c>
      <c r="D2206">
        <f>IF(Skills!C19=1,60+Inputs!$B$25+Inputs!$B$29,IF(Skills!C19=2,90+Inputs!$B$26+Inputs!$B$29,IF(Skills!C19=3,120+Inputs!$B$27+Inputs!$B$29,MAX(0,(Inputs!$B$3-100)*3)+Inputs!$B$28+Inputs!$B$29)))</f>
        <v/>
      </c>
      <c r="E2206">
        <f>INDEX(FactorTable!$B$2:$Y$301, MATCH(ROUND(MIN(300,MAX(1,D2206)),0), FactorTable!$A$2:$A$301,0), Skills!M19+1)</f>
        <v/>
      </c>
      <c r="F2206">
        <f>IF(Skills!N19=TRUE,(Skills!L19/10)*(E2206/1000),Skills!L19/10)+Skills!O19</f>
        <v/>
      </c>
      <c r="G2206">
        <f>Skills!G19*IF(Skills!H19&gt;0,Skills!I19/Skills!H19,1)</f>
        <v/>
      </c>
      <c r="H2206">
        <f>1-(1-Skills!J19/100)^Skills!K19</f>
        <v/>
      </c>
      <c r="I2206" t="inlineStr">
        <is>
          <t>1</t>
        </is>
      </c>
      <c r="J2206" t="inlineStr"/>
      <c r="K2206" t="inlineStr"/>
      <c r="L2206" t="inlineStr"/>
      <c r="M2206" t="inlineStr"/>
      <c r="N2206" t="inlineStr"/>
      <c r="O2206">
        <f>(1-Summary!$B$11)*T2206+Summary!$B$11*V2206</f>
        <v/>
      </c>
      <c r="P2206">
        <f>IF(B2230=0,0,O2206/B2230)</f>
        <v/>
      </c>
      <c r="Q2206">
        <f>IFERROR(1/(IF(Inputs!$B$38="pvp",15,MAX(0.1,Skills!D19-IF(Skills!E19=TRUE,Inputs!$B$32,0)))*(1-IF(AND(IF(ArtifactsInput!$M$27,FALSE,TRUE),Inputs!$B$4="Chapter Hunt"),CHOOSE(ArtifactsInput!$N$27+1,20,24,28,32,36,40),0)/100)),0)</f>
        <v/>
      </c>
      <c r="R2206">
        <f>IF(AND(Inputs!$B$38&lt;&gt;"pvp",Inputs!$B$43&gt;0),IF(Inputs!$B$43&lt;=0,0,(INT(Inputs!$B$43/(IF(Inputs!$B$38="pvp",15,MAX(0.1,Skills!D19-IF(Skills!E19=TRUE,Inputs!$B$32,0)))*(1-IF(AND(IF(ArtifactsInput!$M$27,FALSE,TRUE),Inputs!$B$4="Chapter Hunt"),CHOOSE(ArtifactsInput!$N$27+1,20,24,28,32,36,40),0)/100)))+1)),0)</f>
        <v/>
      </c>
      <c r="S2206">
        <f>IFERROR(O2206/N2206,0)</f>
        <v/>
      </c>
      <c r="T2206" t="n">
        <v>0</v>
      </c>
      <c r="V2206" t="n">
        <v>0</v>
      </c>
    </row>
    <row r="2207">
      <c r="A2207">
        <f>Skills!A20</f>
        <v/>
      </c>
      <c r="B2207">
        <f>Skills!B20</f>
        <v/>
      </c>
      <c r="C2207">
        <f>Inputs!$B$3&gt;=15</f>
        <v/>
      </c>
      <c r="D2207">
        <f>IF(Skills!C20=1,60+Inputs!$B$25+Inputs!$B$29,IF(Skills!C20=2,90+Inputs!$B$26+Inputs!$B$29,IF(Skills!C20=3,120+Inputs!$B$27+Inputs!$B$29,MAX(0,(Inputs!$B$3-100)*3)+Inputs!$B$28+Inputs!$B$29)))</f>
        <v/>
      </c>
      <c r="E2207">
        <f>INDEX(FactorTable!$B$2:$Y$301, MATCH(ROUND(MIN(300,MAX(1,D2207)),0), FactorTable!$A$2:$A$301,0), Skills!M20+1)</f>
        <v/>
      </c>
      <c r="F2207">
        <f>IF(Skills!N20=TRUE,(Skills!L20/10)*(E2207/1000),Skills!L20/10)+Skills!O20</f>
        <v/>
      </c>
      <c r="G2207">
        <f>Skills!G20*IF(Skills!H20&gt;0,Skills!I20/Skills!H20,1)</f>
        <v/>
      </c>
      <c r="H2207">
        <f>1-(1-Skills!J20/100)^Skills!K20</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Skills!A21</f>
        <v/>
      </c>
      <c r="B2208">
        <f>Skills!B21</f>
        <v/>
      </c>
      <c r="C2208">
        <f>Inputs!$B$3&gt;=10</f>
        <v/>
      </c>
      <c r="D2208">
        <f>IF(Skills!C21=1,60+Inputs!$B$25+Inputs!$B$29,IF(Skills!C21=2,90+Inputs!$B$26+Inputs!$B$29,IF(Skills!C21=3,120+Inputs!$B$27+Inputs!$B$29,MAX(0,(Inputs!$B$3-100)*3)+Inputs!$B$28+Inputs!$B$29)))</f>
        <v/>
      </c>
      <c r="E2208">
        <f>INDEX(FactorTable!$B$2:$Y$301, MATCH(ROUND(MIN(300,MAX(1,D2208)),0), FactorTable!$A$2:$A$301,0), Skills!M21+1)</f>
        <v/>
      </c>
      <c r="F2208">
        <f>IF(Skills!N21=TRUE,(Skills!L21/10)*(E2208/1000),Skills!L21/10)+Skills!O21</f>
        <v/>
      </c>
      <c r="G2208">
        <f>Skills!G21*IF(Skills!H21&gt;0,Skills!I21/Skills!H21,1)</f>
        <v/>
      </c>
      <c r="H2208">
        <f>1-(1-Skills!J21/100)^Skills!K21</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Skills!A22</f>
        <v/>
      </c>
      <c r="B2209">
        <f>Skills!B22</f>
        <v/>
      </c>
      <c r="C2209">
        <f>Inputs!$B$3&gt;=33</f>
        <v/>
      </c>
      <c r="D2209">
        <f>IF(Skills!C22=1,60+Inputs!$B$25+Inputs!$B$29,IF(Skills!C22=2,90+Inputs!$B$26+Inputs!$B$29,IF(Skills!C22=3,120+Inputs!$B$27+Inputs!$B$29,MAX(0,(Inputs!$B$3-100)*3)+Inputs!$B$28+Inputs!$B$29)))</f>
        <v/>
      </c>
      <c r="E2209">
        <f>INDEX(FactorTable!$B$2:$Y$301, MATCH(ROUND(MIN(300,MAX(1,D2209)),0), FactorTable!$A$2:$A$301,0), Skills!M22+1)</f>
        <v/>
      </c>
      <c r="F2209">
        <f>IF(Skills!N22=TRUE,(Skills!L22/10)*(E2209/1000),Skills!L22/10)+Skills!O22</f>
        <v/>
      </c>
      <c r="G2209">
        <f>Skills!G22*IF(Skills!H22&gt;0,Skills!I22/Skills!H22,1)</f>
        <v/>
      </c>
      <c r="H2209">
        <f>1-(1-Skills!J22/100)^Skills!K22</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Skills!A23</f>
        <v/>
      </c>
      <c r="B2210">
        <f>Skills!B23</f>
        <v/>
      </c>
      <c r="C2210">
        <f>Inputs!$B$3&gt;=38</f>
        <v/>
      </c>
      <c r="D2210">
        <f>IF(Skills!C23=1,60+Inputs!$B$25+Inputs!$B$29,IF(Skills!C23=2,90+Inputs!$B$26+Inputs!$B$29,IF(Skills!C23=3,120+Inputs!$B$27+Inputs!$B$29,MAX(0,(Inputs!$B$3-100)*3)+Inputs!$B$28+Inputs!$B$29)))</f>
        <v/>
      </c>
      <c r="E2210">
        <f>INDEX(FactorTable!$B$2:$Y$301, MATCH(ROUND(MIN(300,MAX(1,D2210)),0), FactorTable!$A$2:$A$301,0), Skills!M23+1)</f>
        <v/>
      </c>
      <c r="F2210">
        <f>IF(Skills!N23=TRUE,(Skills!L23/10)*(E2210/1000),Skills!L23/10)+Skills!O23</f>
        <v/>
      </c>
      <c r="G2210">
        <f>Skills!G23*IF(Skills!H23&gt;0,Skills!I23/Skills!H23,1)</f>
        <v/>
      </c>
      <c r="H2210">
        <f>1-(1-Skills!J23/100)^Skills!K23</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Skills!A24</f>
        <v/>
      </c>
      <c r="B2211">
        <f>Skills!B24</f>
        <v/>
      </c>
      <c r="C2211">
        <f>Inputs!$B$3&gt;=43</f>
        <v/>
      </c>
      <c r="D2211">
        <f>IF(Skills!C24=1,60+Inputs!$B$25+Inputs!$B$29,IF(Skills!C24=2,90+Inputs!$B$26+Inputs!$B$29,IF(Skills!C24=3,120+Inputs!$B$27+Inputs!$B$29,MAX(0,(Inputs!$B$3-100)*3)+Inputs!$B$28+Inputs!$B$29)))</f>
        <v/>
      </c>
      <c r="E2211">
        <f>INDEX(FactorTable!$B$2:$Y$301, MATCH(ROUND(MIN(300,MAX(1,D2211)),0), FactorTable!$A$2:$A$301,0), Skills!M24+1)</f>
        <v/>
      </c>
      <c r="F2211">
        <f>IF(Skills!N24=TRUE,(Skills!L24/10)*(E2211/1000),Skills!L24/10)+Skills!O24</f>
        <v/>
      </c>
      <c r="G2211">
        <f>Skills!G24*IF(Skills!H24&gt;0,Skills!I24/Skills!H24,1)</f>
        <v/>
      </c>
      <c r="H2211">
        <f>1-(1-Skills!J24/100)^Skills!K24</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Skills!A25</f>
        <v/>
      </c>
      <c r="B2212">
        <f>Skills!B25</f>
        <v/>
      </c>
      <c r="C2212">
        <f>Inputs!$B$3&gt;=75</f>
        <v/>
      </c>
      <c r="D2212">
        <f>IF(Skills!C25=1,60+Inputs!$B$25+Inputs!$B$29,IF(Skills!C25=2,90+Inputs!$B$26+Inputs!$B$29,IF(Skills!C25=3,120+Inputs!$B$27+Inputs!$B$29,MAX(0,(Inputs!$B$3-100)*3)+Inputs!$B$28+Inputs!$B$29)))</f>
        <v/>
      </c>
      <c r="E2212">
        <f>INDEX(FactorTable!$B$2:$Y$301, MATCH(ROUND(MIN(300,MAX(1,D2212)),0), FactorTable!$A$2:$A$301,0), Skills!M25+1)</f>
        <v/>
      </c>
      <c r="F2212">
        <f>IF(Skills!N25=TRUE,(Skills!L25/10)*(E2212/1000),Skills!L25/10)+Skills!O25</f>
        <v/>
      </c>
      <c r="G2212">
        <f>Skills!G25*IF(Skills!H25&gt;0,Skills!I25/Skills!H25,1)</f>
        <v/>
      </c>
      <c r="H2212">
        <f>1-(1-Skills!J25/100)^Skills!K25</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Skills!A26</f>
        <v/>
      </c>
      <c r="B2213">
        <f>Skills!B26</f>
        <v/>
      </c>
      <c r="C2213">
        <f>Inputs!$B$3&gt;=125</f>
        <v/>
      </c>
      <c r="D2213">
        <f>IF(Skills!C26=1,60+Inputs!$B$25+Inputs!$B$29,IF(Skills!C26=2,90+Inputs!$B$26+Inputs!$B$29,IF(Skills!C26=3,120+Inputs!$B$27+Inputs!$B$29,MAX(0,(Inputs!$B$3-100)*3)+Inputs!$B$28+Inputs!$B$29)))</f>
        <v/>
      </c>
      <c r="E2213">
        <f>INDEX(FactorTable!$B$2:$Y$301, MATCH(ROUND(MIN(300,MAX(1,D2213)),0), FactorTable!$A$2:$A$301,0), Skills!M26+1)</f>
        <v/>
      </c>
      <c r="F2213">
        <f>IF(Skills!N26=TRUE,(Skills!L26/10)*(E2213/1000),Skills!L26/10)+Skills!O26</f>
        <v/>
      </c>
      <c r="G2213">
        <f>Skills!G26*IF(Skills!H26&gt;0,Skills!I26/Skills!H26,1)</f>
        <v/>
      </c>
      <c r="H2213">
        <f>1-(1-Skills!J26/100)^Skills!K26</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Skills!A27</f>
        <v/>
      </c>
      <c r="B2214">
        <f>Skills!B27</f>
        <v/>
      </c>
      <c r="C2214">
        <f>Inputs!$B$3&gt;=125</f>
        <v/>
      </c>
      <c r="D2214">
        <f>IF(Skills!C27=1,60+Inputs!$B$25+Inputs!$B$29,IF(Skills!C27=2,90+Inputs!$B$26+Inputs!$B$29,IF(Skills!C27=3,120+Inputs!$B$27+Inputs!$B$29,MAX(0,(Inputs!$B$3-100)*3)+Inputs!$B$28+Inputs!$B$29)))</f>
        <v/>
      </c>
      <c r="E2214">
        <f>INDEX(FactorTable!$B$2:$Y$301, MATCH(ROUND(MIN(300,MAX(1,D2214)),0), FactorTable!$A$2:$A$301,0), Skills!M27+1)</f>
        <v/>
      </c>
      <c r="F2214">
        <f>IF(Skills!N27=TRUE,(Skills!L27/10)*(E2214/1000),Skills!L27/10)+Skills!O27</f>
        <v/>
      </c>
      <c r="G2214">
        <f>Skills!G27*IF(Skills!H27&gt;0,Skills!I27/Skills!H27,1)</f>
        <v/>
      </c>
      <c r="H2214">
        <f>1-(1-Skills!J27/100)^Skills!K27</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Skills!A28</f>
        <v/>
      </c>
      <c r="B2215">
        <f>Skills!B28</f>
        <v/>
      </c>
      <c r="C2215">
        <f>Inputs!$B$3&gt;=120</f>
        <v/>
      </c>
      <c r="D2215">
        <f>IF(Skills!C28=1,60+Inputs!$B$25+Inputs!$B$29,IF(Skills!C28=2,90+Inputs!$B$26+Inputs!$B$29,IF(Skills!C28=3,120+Inputs!$B$27+Inputs!$B$29,MAX(0,(Inputs!$B$3-100)*3)+Inputs!$B$28+Inputs!$B$29)))</f>
        <v/>
      </c>
      <c r="E2215">
        <f>INDEX(FactorTable!$B$2:$Y$301, MATCH(ROUND(MIN(300,MAX(1,D2215)),0), FactorTable!$A$2:$A$301,0), Skills!M28+1)</f>
        <v/>
      </c>
      <c r="F2215">
        <f>IF(Skills!N28=TRUE,(Skills!L28/10)*(E2215/1000),Skills!L28/10)+Skills!O28</f>
        <v/>
      </c>
      <c r="G2215">
        <f>Skills!G28*IF(Skills!H28&gt;0,Skills!I28/Skills!H28,1)</f>
        <v/>
      </c>
      <c r="H2215">
        <f>1-(1-Skills!J28/100)^Skills!K28</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Skills!A29</f>
        <v/>
      </c>
      <c r="B2216">
        <f>Skills!B29</f>
        <v/>
      </c>
      <c r="C2216">
        <f>Inputs!$B$3&gt;=120</f>
        <v/>
      </c>
      <c r="D2216">
        <f>IF(Skills!C29=1,60+Inputs!$B$25+Inputs!$B$29,IF(Skills!C29=2,90+Inputs!$B$26+Inputs!$B$29,IF(Skills!C29=3,120+Inputs!$B$27+Inputs!$B$29,MAX(0,(Inputs!$B$3-100)*3)+Inputs!$B$28+Inputs!$B$29)))</f>
        <v/>
      </c>
      <c r="E2216">
        <f>INDEX(FactorTable!$B$2:$Y$301, MATCH(ROUND(MIN(300,MAX(1,D2216)),0), FactorTable!$A$2:$A$301,0), Skills!M29+1)</f>
        <v/>
      </c>
      <c r="F2216">
        <f>IF(Skills!N29=TRUE,(Skills!L29/10)*(E2216/1000),Skills!L29/10)+Skills!O29</f>
        <v/>
      </c>
      <c r="G2216">
        <f>Skills!G29*IF(Skills!H29&gt;0,Skills!I29/Skills!H29,1)</f>
        <v/>
      </c>
      <c r="H2216">
        <f>1-(1-Skills!J29/100)^Skills!K29</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Skills!A30</f>
        <v/>
      </c>
      <c r="B2217">
        <f>Skills!B30</f>
        <v/>
      </c>
      <c r="C2217">
        <f>Inputs!$B$3&gt;=45</f>
        <v/>
      </c>
      <c r="D2217">
        <f>IF(Skills!C30=1,60+Inputs!$B$25+Inputs!$B$29,IF(Skills!C30=2,90+Inputs!$B$26+Inputs!$B$29,IF(Skills!C30=3,120+Inputs!$B$27+Inputs!$B$29,MAX(0,(Inputs!$B$3-100)*3)+Inputs!$B$28+Inputs!$B$29)))</f>
        <v/>
      </c>
      <c r="E2217">
        <f>INDEX(FactorTable!$B$2:$Y$301, MATCH(ROUND(MIN(300,MAX(1,D2217)),0), FactorTable!$A$2:$A$301,0), Skills!M30+1)</f>
        <v/>
      </c>
      <c r="F2217">
        <f>IF(Skills!N30=TRUE,(Skills!L30/10)*(E2217/1000),Skills!L30/10)+Skills!O30</f>
        <v/>
      </c>
      <c r="G2217">
        <f>Skills!G30*IF(Skills!H30&gt;0,Skills!I30/Skills!H30,1)</f>
        <v/>
      </c>
      <c r="H2217">
        <f>1-(1-Skills!J30/100)^Skills!K30</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16*(1+Inputs!$B$34/100))+MIN((Skills!T16*(1+Inputs!$B$34/100)),MAX(0,Inputs!$B$43-((R2203-1)*Skills!D16))))/Inputs!$B$43),IF(Inputs!$B$38="pvp",MIN((Skills!T16*(1+Inputs!$B$34/100)),15)/15,(Skills!T16*(1+Inputs!$B$34/100))/Skills!D16))</f>
        <v/>
      </c>
    </row>
    <row r="2221">
      <c r="A2221" t="inlineStr">
        <is>
          <t>Attack Speed Buff Bonus %</t>
        </is>
      </c>
      <c r="B2221">
        <f>((C2206=TRUE)*F2206*IF(AND(Inputs!$B$38&lt;&gt;"pvp",Inputs!$B$43&gt;0),(((R2206-1)*(Skills!T19*(1+Inputs!$B$34/100))+MIN((Skills!T19*(1+Inputs!$B$34/100)),MAX(0,Inputs!$B$43-((R2206-1)*Skills!D19))))/Inputs!$B$43),IF(Inputs!$B$38="pvp",MIN((Skills!T19*(1+Inputs!$B$34/100)),15)/15,(Skills!T19*(1+Inputs!$B$34/100))/Skills!D19)))</f>
        <v/>
      </c>
    </row>
    <row r="2222">
      <c r="A2222" t="inlineStr">
        <is>
          <t>Actions Per Second</t>
        </is>
      </c>
      <c r="B2222">
        <f>1+MIN(150,150*(1-(1-(Inputs!$B$11+((C2208=TRUE)*(F2208-Calc!F21))+((C2209=TRUE)*(F2209-Calc!F22)))/150)*(1-B2221/150)))/100</f>
        <v/>
      </c>
    </row>
    <row r="2223">
      <c r="A2223" t="inlineStr">
        <is>
          <t>Skill + Buff Cast Rate</t>
        </is>
      </c>
      <c r="B2223">
        <f>IF(AND(Inputs!$B$38&lt;&gt;"pvp",Inputs!$B$43&gt;0),SUMPRODUCT((Skills!E2:E30=TRUE)*(C2189:C2217=TRUE)*R2189:R2217*Skills!F2:F30)/Inputs!$B$43,SUMPRODUCT((Skills!E2:E30=TRUE)*(C2189:C2217=TRUE)*Q2189:Q2217*Skills!F2:F30))</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16*(1+Inputs!$B$34/100))+MIN((Skills!T16*(1+Inputs!$B$34/100)),MAX(0,Inputs!$B$43-((R2203-1)*Skills!D16))))/Inputs!$B$43),IF(Inputs!$B$38="pvp",MIN((Skills!T16*(1+Inputs!$B$34/100)),15)/15,(Skills!T16*(1+Inputs!$B$34/100))/Skills!D16))+(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IF(AND(Inputs!$B$38&lt;&gt;"pvp",Inputs!$B$43&gt;0),SUMPRODUCT((Skills!T2:T30&gt;0)*(Skills!E2:E30=TRUE)*(C2189:C2217=TRUE))/B2222,0)</f>
        <v/>
      </c>
    </row>
    <row r="2228">
      <c r="A2228" t="inlineStr">
        <is>
          <t>Boss-Only Total DPS (this block's swept value)</t>
        </is>
      </c>
      <c r="B2228">
        <f>SUM(T2189:T2217)</f>
        <v/>
      </c>
    </row>
    <row r="2229">
      <c r="A2229" t="inlineStr">
        <is>
          <t>Normal-Only Total DPS (this block's swept value)</t>
        </is>
      </c>
      <c r="B2229">
        <f>SUM(V2189:V2217)</f>
        <v/>
      </c>
    </row>
    <row r="2230">
      <c r="A2230" s="6" t="inlineStr">
        <is>
          <t>TOTAL DPS</t>
        </is>
      </c>
      <c r="B2230" s="6">
        <f>SUM(O2189:O2217)</f>
        <v/>
      </c>
    </row>
    <row r="2233">
      <c r="A2233" s="6" t="inlineStr">
        <is>
          <t>Stat: Lit Lamp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2257=TRUE)*(F2257-Calc!F24)),(Inputs!$B$23+((C2262=TRUE)*(F2262-Calc!F29))+(IF(ArtifactsInput!$M$15,CHOOSE(ArtifactsInput!$N$15+1,25,30,35,40,45,50)/100*(Inputs!$B$11-Inputs!$B$11),0))))/100+(Inputs!$B$23+((C2262=TRUE)*(F2262-Calc!F29))+(IF(ArtifactsInput!$M$15,CHOOSE(ArtifactsInput!$N$15+1,25,30,35,40,45,50)/100*(Inputs!$B$11-Inputs!$B$11),0)))/100)/2</f>
        <v/>
      </c>
      <c r="M2235">
        <f>L2235*(1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IF(B2276=0,0,O2235/B2276)</f>
        <v/>
      </c>
      <c r="Q2235" t="n">
        <v>0</v>
      </c>
      <c r="R2235" t="n">
        <v>0</v>
      </c>
      <c r="S2235">
        <f>IFERROR(O2235/N2235,0)</f>
        <v/>
      </c>
      <c r="T2235">
        <f>IF(C2235,(Skills!G2*N2235*B2270)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2235*(1-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IF(C2235,(Skills!G2*N2235*B2270)*IF(Inputs!$B$38="pvp",1,(1+(Inputs!$B$21+Skills!Q2+(IF(ArtifactsInput!$M$33,CHOOSE(ArtifactsInput!$N$33+1,30,36,42,48,54,60),0))+(IF(AND(ArtifactsInput!$M$35,Inputs!$B$4&lt;&gt;"Chapter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t="inlineStr"/>
      <c r="H2236" t="inlineStr"/>
      <c r="I2236" t="inlineStr">
        <is>
          <t>1</t>
        </is>
      </c>
      <c r="J2236" t="inlineStr"/>
      <c r="K2236" t="inlineStr"/>
      <c r="L2236" t="inlineStr"/>
      <c r="M2236" t="inlineStr"/>
      <c r="N2236" t="inlineStr"/>
      <c r="O2236" t="inlineStr"/>
      <c r="P2236" t="inlineStr"/>
      <c r="Q2236" t="inlineStr"/>
      <c r="R2236" t="inlineStr"/>
      <c r="S2236" t="inlineStr"/>
      <c r="T2236" t="inlineStr"/>
      <c r="U2236">
        <f>INDEX(FactorTable!$B$2:$Y$301, MATCH(ROUND(MIN(300,MAX(1,U2235)),0), FactorTable!$A$2:$A$301,0), 22)</f>
        <v/>
      </c>
      <c r="V2236" t="inlineStr"/>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5="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2257=TRUE)*(F2257-Calc!F24)),(Inputs!$B$23+((C2262=TRUE)*(F2262-Calc!F29))+(IF(ArtifactsInput!$M$15,CHOOSE(ArtifactsInput!$N$15+1,25,30,35,40,45,50)/100*(Inputs!$B$11-Inputs!$B$11),0))))/100+(Inputs!$B$23+((C2262=TRUE)*(F2262-Calc!F29))+(IF(ArtifactsInput!$M$15,CHOOSE(ArtifactsInput!$N$15+1,25,30,35,40,45,50)/100*(Inputs!$B$11-Inputs!$B$11),0)))/100)/2</f>
        <v/>
      </c>
      <c r="M2238">
        <f>L2238*(1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IF(B2276=0,0,O2238/B2276)</f>
        <v/>
      </c>
      <c r="Q2238">
        <f>IFERROR(1/(IF(Inputs!$B$38="pvp",15,MAX(0.1,Skills!D5-IF(Skills!E5=TRUE,Inputs!$B$32,0)))*(1-IF(AND(ArtifactsInput!$M$27,Inputs!$B$4="Chapter Hunt"),CHOOSE(ArtifactsInput!$N$27+1,20,24,28,32,36,40),0)/100)),0)</f>
        <v/>
      </c>
      <c r="R2238">
        <f>IF(AND(Inputs!$B$38&lt;&gt;"pvp",Inputs!$B$43&gt;0),IF(MAX(0,Inputs!$B$43-B2273)&lt;=0,0,(INT(MAX(0,Inputs!$B$43-B2273)/(IF(Inputs!$B$38="pvp",15,MAX(0.1,Skills!D5-IF(Skills!E5=TRUE,Inputs!$B$32,0)))*(1-IF(AND(ArtifactsInput!$M$27,Inputs!$B$4="Chapter Hunt"),CHOOSE(ArtifactsInput!$N$27+1,20,24,28,32,36,40),0)/100)))+1)),0)</f>
        <v/>
      </c>
      <c r="S2238">
        <f>IFERROR(O2238/N2238,0)</f>
        <v/>
      </c>
      <c r="T2238">
        <f>IF(C2238,(H2238*N2238*IF(AND(Inputs!$B$38&lt;&gt;"pvp",Inputs!$B$43&gt;0),((Skills!G5*((R2238-1)*IF(Skills!H5&gt;0,Skills!I5/Skills!H5,1)+IF(Skills!H5&gt;0,MIN(Skills!I5,MAX(0,MAX(0,Inputs!$B$43-B2273)-((R2238-1)*(IF(Inputs!$B$38="pvp",15,MAX(0.1,Skills!D5-IF(Skills!E5=TRUE,Inputs!$B$32,0)))*(1-IF(AND(ArtifactsInput!$M$27,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2238*(1-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2273)-((R2238-1)*(IF(Inputs!$B$38="pvp",15,MAX(0.1,Skills!D5-IF(Skills!E5=TRUE,Inputs!$B$32,0)))*(1-IF(AND(ArtifactsInput!$M$27,Inputs!$B$4="Chapter Hunt"),CHOOSE(ArtifactsInput!$N$27+1,20,24,28,32,36,40),0)/100)))))/Skills!H5,1)))/Inputs!$B$43),G2238*Q2238))*IF(Inputs!$B$38="pvp",1,(1+(Inputs!$B$21+Skills!Q5+(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24)),(Inputs!$B$23+((C2262=TRUE)*(F2262-Calc!F29))+(IF(ArtifactsInput!$M$15,CHOOSE(ArtifactsInput!$N$15+1,25,30,35,40,45,50)/100*(Inputs!$B$11-Inputs!$B$11),0))))/100+(Inputs!$B$23+((C2262=TRUE)*(F2262-Calc!F29))+(IF(ArtifactsInput!$M$15,CHOOSE(ArtifactsInput!$N$15+1,25,30,35,40,45,50)/100*(Inputs!$B$11-Inputs!$B$11),0)))/100)/2</f>
        <v/>
      </c>
      <c r="M2239">
        <f>L2239*(1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IF(B2276=0,0,O2239/B2276)</f>
        <v/>
      </c>
      <c r="Q2239">
        <f>IFERROR(1/(IF(Inputs!$B$38="pvp",15,MAX(0.1,Skills!D6-IF(Skills!E6=TRUE,Inputs!$B$32,0)))*(1-IF(AND(ArtifactsInput!$M$27,Inputs!$B$4="Chapter Hunt"),CHOOSE(ArtifactsInput!$N$27+1,20,24,28,32,36,40),0)/100)),0)</f>
        <v/>
      </c>
      <c r="R2239">
        <f>IF(AND(Inputs!$B$38&lt;&gt;"pvp",Inputs!$B$43&gt;0),IF(MAX(0,Inputs!$B$43-B2273)&lt;=0,0,(INT(MAX(0,Inputs!$B$43-B2273)/(IF(Inputs!$B$38="pvp",15,MAX(0.1,Skills!D6-IF(Skills!E6=TRUE,Inputs!$B$32,0)))*(1-IF(AND(ArtifactsInput!$M$27,Inputs!$B$4="Chapter Hunt"),CHOOSE(ArtifactsInput!$N$27+1,20,24,28,32,36,40),0)/100)))+1)),0)</f>
        <v/>
      </c>
      <c r="S2239">
        <f>IFERROR(O2239/N2239,0)</f>
        <v/>
      </c>
      <c r="T2239">
        <f>IF(C2239,(H2239*N2239*IF(AND(Inputs!$B$38&lt;&gt;"pvp",Inputs!$B$43&gt;0),((Skills!G6*((R2239-1)*IF(Skills!H6&gt;0,Skills!I6/Skills!H6,1)+IF(Skills!H6&gt;0,MIN(Skills!I6,MAX(0,MAX(0,Inputs!$B$43-B2273)-((R2239-1)*(IF(Inputs!$B$38="pvp",15,MAX(0.1,Skills!D6-IF(Skills!E6=TRUE,Inputs!$B$32,0)))*(1-IF(AND(ArtifactsInput!$M$27,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2239*(1-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2273)-((R2239-1)*(IF(Inputs!$B$38="pvp",15,MAX(0.1,Skills!D6-IF(Skills!E6=TRUE,Inputs!$B$32,0)))*(1-IF(AND(ArtifactsInput!$M$27,Inputs!$B$4="Chapter Hunt"),CHOOSE(ArtifactsInput!$N$27+1,20,24,28,32,36,40),0)/100)))))/Skills!H6,1)))/Inputs!$B$43),G2239*Q2239))*IF(Inputs!$B$38="pvp",1,(1+(Inputs!$B$21+Skills!Q6+(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2243=TRUE,F2243,0)/100)*(1+(IF(Skills!A8="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24)),(Inputs!$B$23+((C2262=TRUE)*(F2262-Calc!F29))+(IF(ArtifactsInput!$M$15,CHOOSE(ArtifactsInput!$N$15+1,25,30,35,40,45,50)/100*(Inputs!$B$11-Inputs!$B$11),0))))/100+(Inputs!$B$23+((C2262=TRUE)*(F2262-Calc!F29))+(IF(ArtifactsInput!$M$15,CHOOSE(ArtifactsInput!$N$15+1,25,30,35,40,45,50)/100*(Inputs!$B$11-Inputs!$B$11),0)))/100)/2</f>
        <v/>
      </c>
      <c r="M2241">
        <f>L2241*(1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IF(B2276=0,0,O2241/B2276)</f>
        <v/>
      </c>
      <c r="Q2241">
        <f>IFERROR(1/(IF(Inputs!$B$38="pvp",15,MAX(0.1,Skills!D8-IF(Skills!E8=TRUE,Inputs!$B$32,0)))*(1-IF(AND(ArtifactsInput!$M$27,Inputs!$B$4="Chapter Hunt"),CHOOSE(ArtifactsInput!$N$27+1,20,24,28,32,36,40),0)/100)),0)</f>
        <v/>
      </c>
      <c r="R2241">
        <f>IF(AND(Inputs!$B$38&lt;&gt;"pvp",Inputs!$B$43&gt;0),IF(MAX(0,Inputs!$B$43-B2273)&lt;=0,0,(INT(MAX(0,Inputs!$B$43-B2273)/(IF(Inputs!$B$38="pvp",15,MAX(0.1,Skills!D8-IF(Skills!E8=TRUE,Inputs!$B$32,0)))*(1-IF(AND(ArtifactsInput!$M$27,Inputs!$B$4="Chapter Hunt"),CHOOSE(ArtifactsInput!$N$27+1,20,24,28,32,36,40),0)/100)))+1)),0)</f>
        <v/>
      </c>
      <c r="S2241">
        <f>IFERROR(O2241/N2241,0)</f>
        <v/>
      </c>
      <c r="T2241">
        <f>IF(C2241,(H2241*N2241*IF(AND(Inputs!$B$38&lt;&gt;"pvp",Inputs!$B$43&gt;0),((Skills!G8*((R2241-1)*IF(Skills!H8&gt;0,Skills!I8/Skills!H8,1)+IF(Skills!H8&gt;0,MIN(Skills!I8,MAX(0,MAX(0,Inputs!$B$43-B2273)-((R2241-1)*(IF(Inputs!$B$38="pvp",15,MAX(0.1,Skills!D8-IF(Skills!E8=TRUE,Inputs!$B$32,0)))*(1-IF(AND(ArtifactsInput!$M$27,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2241*(1-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2273)-((R2241-1)*(IF(Inputs!$B$38="pvp",15,MAX(0.1,Skills!D8-IF(Skills!E8=TRUE,Inputs!$B$32,0)))*(1-IF(AND(ArtifactsInput!$M$27,Inputs!$B$4="Chapter Hunt"),CHOOSE(ArtifactsInput!$N$27+1,20,24,28,32,36,40),0)/100)))))/Skills!H8,1)))/Inputs!$B$43),G2241*Q2241))*IF(Inputs!$B$38="pvp",1,(1+(Inputs!$B$21+Skills!Q8+(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9="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2257=TRUE)*(F2257-Calc!F24)),(Inputs!$B$23+((C2262=TRUE)*(F2262-Calc!F29))+(IF(ArtifactsInput!$M$15,CHOOSE(ArtifactsInput!$N$15+1,25,30,35,40,45,50)/100*(Inputs!$B$11-Inputs!$B$11),0))))/100+(Inputs!$B$23+((C2262=TRUE)*(F2262-Calc!F29))+(IF(ArtifactsInput!$M$15,CHOOSE(ArtifactsInput!$N$15+1,25,30,35,40,45,50)/100*(Inputs!$B$11-Inputs!$B$11),0)))/100)/2</f>
        <v/>
      </c>
      <c r="M2242">
        <f>L2242*(1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IF(B2276=0,0,O2242/B2276)</f>
        <v/>
      </c>
      <c r="Q2242">
        <f>IFERROR(1/(IF(Inputs!$B$38="pvp",15,MAX(0.1,Skills!D9-IF(Skills!E9=TRUE,Inputs!$B$32,0)))*(1-IF(AND(ArtifactsInput!$M$27,Inputs!$B$4="Chapter Hunt"),CHOOSE(ArtifactsInput!$N$27+1,20,24,28,32,36,40),0)/100)),0)</f>
        <v/>
      </c>
      <c r="R2242">
        <f>IF(AND(Inputs!$B$38&lt;&gt;"pvp",Inputs!$B$43&gt;0),IF(MAX(0,Inputs!$B$43-B2273)&lt;=0,0,(INT(MAX(0,Inputs!$B$43-B2273)/(IF(Inputs!$B$38="pvp",15,MAX(0.1,Skills!D9-IF(Skills!E9=TRUE,Inputs!$B$32,0)))*(1-IF(AND(ArtifactsInput!$M$27,Inputs!$B$4="Chapter Hunt"),CHOOSE(ArtifactsInput!$N$27+1,20,24,28,32,36,40),0)/100)))+1)),0)</f>
        <v/>
      </c>
      <c r="S2242">
        <f>IFERROR(O2242/N2242,0)</f>
        <v/>
      </c>
      <c r="T2242">
        <f>IF(C2242,(H2242*N2242*IF(AND(Inputs!$B$38&lt;&gt;"pvp",Inputs!$B$43&gt;0),((Skills!G9*((R2242-1)*IF(Skills!H9&gt;0,Skills!I9/Skills!H9,1)+IF(Skills!H9&gt;0,MIN(Skills!I9,MAX(0,MAX(0,Inputs!$B$43-B2273)-((R2242-1)*(IF(Inputs!$B$38="pvp",15,MAX(0.1,Skills!D9-IF(Skills!E9=TRUE,Inputs!$B$32,0)))*(1-IF(AND(ArtifactsInput!$M$27,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2242*(1-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2273)-((R2242-1)*(IF(Inputs!$B$38="pvp",15,MAX(0.1,Skills!D9-IF(Skills!E9=TRUE,Inputs!$B$32,0)))*(1-IF(AND(ArtifactsInput!$M$27,Inputs!$B$4="Chapter Hunt"),CHOOSE(ArtifactsInput!$N$27+1,20,24,28,32,36,40),0)/100)))))/Skills!H9,1)))/Inputs!$B$43),G2242*Q2242))*IF(Inputs!$B$38="pvp",1,(1+(Inputs!$B$21+Skills!Q9+(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Inputs!$B$3&gt;=100</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Skills!A11</f>
        <v/>
      </c>
      <c r="B2244">
        <f>Skills!B11</f>
        <v/>
      </c>
      <c r="C2244">
        <f>Inputs!$B$3&gt;=60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f>Skills!G11*IF(Skills!H11&gt;0,Skills!I11/Skills!H11,1)</f>
        <v/>
      </c>
      <c r="H2244">
        <f>1-(1-Skills!J11/100)^Skills!K11</f>
        <v/>
      </c>
      <c r="I2244" t="inlineStr">
        <is>
          <t>1</t>
        </is>
      </c>
      <c r="J2244">
        <f>((Inputs!$B$6*(1+Inputs!$B$7/100))+(((Inputs!$B$12*(1+Inputs!$B$13/100))-(Inputs!$B$12*(1+Inputs!$B$13/100)))+0.25*(Inputs!$B$14-Inputs!$B$14))*(1+Inputs!$B$7/100))*(F2244/100)</f>
        <v/>
      </c>
      <c r="K2244">
        <f>J2244*(1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Skills!A11="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24)),(Inputs!$B$23+((C2262=TRUE)*(F2262-Calc!F29))+(IF(ArtifactsInput!$M$15,CHOOSE(ArtifactsInput!$N$15+1,25,30,35,40,45,50)/100*(Inputs!$B$11-Inputs!$B$11),0))))/100+(Inputs!$B$23+((C2262=TRUE)*(F2262-Calc!F29))+(IF(ArtifactsInput!$M$15,CHOOSE(ArtifactsInput!$N$15+1,25,30,35,40,45,50)/100*(Inputs!$B$11-Inputs!$B$11),0)))/100)/2</f>
        <v/>
      </c>
      <c r="M2244">
        <f>L2244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IF(B2276=0,0,O2244/B2276)</f>
        <v/>
      </c>
      <c r="Q2244">
        <f>IFERROR(1/(IF(Inputs!$B$38="pvp",15,MAX(0.1,Skills!D11-IF(Skills!E11=TRUE,Inputs!$B$32,0)))*(1-IF(AND(ArtifactsInput!$M$27,Inputs!$B$4="Chapter Hunt"),CHOOSE(ArtifactsInput!$N$27+1,20,24,28,32,36,40),0)/100)),0)</f>
        <v/>
      </c>
      <c r="R2244">
        <f>IF(AND(Inputs!$B$38&lt;&gt;"pvp",Inputs!$B$43&gt;0),IF(MAX(0,Inputs!$B$43-B2273)&lt;=0,0,(INT(MAX(0,Inputs!$B$43-B2273)/(IF(Inputs!$B$38="pvp",15,MAX(0.1,Skills!D11-IF(Skills!E11=TRUE,Inputs!$B$32,0)))*(1-IF(AND(ArtifactsInput!$M$27,Inputs!$B$4="Chapter Hunt"),CHOOSE(ArtifactsInput!$N$27+1,20,24,28,32,36,40),0)/100)))+1)),0)</f>
        <v/>
      </c>
      <c r="S2244">
        <f>IFERROR(O2244/N2244,0)</f>
        <v/>
      </c>
      <c r="T2244">
        <f>IF(C2244,(H2244*N2244*IF(AND(Inputs!$B$38&lt;&gt;"pvp",Inputs!$B$43&gt;0),((Skills!G11*((R2244-1)*IF(Skills!H11&gt;0,Skills!I11/Skills!H11,1)+IF(Skills!H11&gt;0,MIN(Skills!I11,MAX(0,MAX(0,Inputs!$B$43-B2273)-((R2244-1)*(IF(Inputs!$B$38="pvp",15,MAX(0.1,Skills!D11-IF(Skills!E11=TRUE,Inputs!$B$32,0)))*(1-IF(AND(ArtifactsInput!$M$27,Inputs!$B$4="Chapter Hunt"),CHOOSE(ArtifactsInput!$N$27+1,20,24,28,32,36,40),0)/100)))))/Skills!H11,1)))/Inputs!$B$43),G2244*Q2244)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11*((R2244-1)*IF(Skills!H11&gt;0,Skills!I11/Skills!H11,1)+IF(Skills!H11&gt;0,MIN(Skills!I11,MAX(0,MAX(0,Inputs!$B$43-B2273)-((R2244-1)*(IF(Inputs!$B$38="pvp",15,MAX(0.1,Skills!D11-IF(Skills!E11=TRUE,Inputs!$B$32,0)))*(1-IF(AND(ArtifactsInput!$M$27,Inputs!$B$4="Chapter Hunt"),CHOOSE(ArtifactsInput!$N$27+1,20,24,28,32,36,40),0)/100)))))/Skills!H11,1)))/Inputs!$B$43),G2244*Q2244))*IF(Inputs!$B$38="pvp",1,(1+(Inputs!$B$21+Skills!Q11+(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Skills!A12</f>
        <v/>
      </c>
      <c r="B2245">
        <f>Skills!B12</f>
        <v/>
      </c>
      <c r="C2245">
        <f>Inputs!$B$3&gt;=110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t="inlineStr"/>
      <c r="H2245" t="inlineStr"/>
      <c r="I2245" t="inlineStr">
        <is>
          <t>1</t>
        </is>
      </c>
      <c r="J2245" t="inlineStr"/>
      <c r="K2245" t="inlineStr"/>
      <c r="L2245" t="inlineStr"/>
      <c r="M2245" t="inlineStr"/>
      <c r="N2245" t="inlineStr"/>
      <c r="O2245" t="inlineStr"/>
      <c r="P2245" t="inlineStr"/>
      <c r="Q2245" t="inlineStr"/>
      <c r="R2245" t="inlineStr"/>
      <c r="S2245" t="inlineStr"/>
      <c r="T2245" t="inlineStr"/>
      <c r="V2245" t="inlineStr"/>
    </row>
    <row r="2246">
      <c r="A2246">
        <f>Skills!A13</f>
        <v/>
      </c>
      <c r="B2246">
        <f>Skills!B13</f>
        <v/>
      </c>
      <c r="C2246">
        <f>Inputs!$B$3&gt;=74</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f>Skills!G13*IF(Skills!H13&gt;0,Skills!I13/Skills!H13,1)</f>
        <v/>
      </c>
      <c r="H2246">
        <f>1-(1-Skills!J13/100)^Skills!K13</f>
        <v/>
      </c>
      <c r="I2246" t="inlineStr">
        <is>
          <t>1</t>
        </is>
      </c>
      <c r="J2246" t="inlineStr"/>
      <c r="K2246" t="inlineStr"/>
      <c r="L2246" t="inlineStr"/>
      <c r="M2246" t="inlineStr"/>
      <c r="N2246" t="inlineStr"/>
      <c r="O2246">
        <f>(1-Summary!$B$11)*T2246+Summary!$B$11*V2246</f>
        <v/>
      </c>
      <c r="P2246">
        <f>IF(B2276=0,0,O2246/B2276)</f>
        <v/>
      </c>
      <c r="Q2246" t="n">
        <v>0</v>
      </c>
      <c r="R2246" t="n">
        <v>0</v>
      </c>
      <c r="S2246">
        <f>IFERROR(O2246/N2246,0)</f>
        <v/>
      </c>
      <c r="T2246" t="n">
        <v>0</v>
      </c>
      <c r="V2246" t="n">
        <v>0</v>
      </c>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IF(B2276=0,0,O2247/B2276)</f>
        <v/>
      </c>
      <c r="Q2247" t="n">
        <v>0</v>
      </c>
      <c r="R2247" t="n">
        <v>0</v>
      </c>
      <c r="S2247">
        <f>IFERROR(O2247/N2247,0)</f>
        <v/>
      </c>
      <c r="T2247" t="n">
        <v>0</v>
      </c>
      <c r="V2247" t="n">
        <v>0</v>
      </c>
    </row>
    <row r="2248">
      <c r="A2248">
        <f>Skills!A15</f>
        <v/>
      </c>
      <c r="B2248">
        <f>Skills!B15</f>
        <v/>
      </c>
      <c r="C2248">
        <f>Inputs!$B$3&gt;=117</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IF(B2276=0,0,O2248/B2276)</f>
        <v/>
      </c>
      <c r="Q2248">
        <f>IFERROR(1/(IF(Inputs!$B$38="pvp",15,MAX(0.1,Skills!D15-IF(Skills!E15=TRUE,Inputs!$B$32,0)))*(1-IF(AND(ArtifactsInput!$M$27,Inputs!$B$4="Chapter Hunt"),CHOOSE(ArtifactsInput!$N$27+1,20,24,28,32,36,40),0)/100)),0)</f>
        <v/>
      </c>
      <c r="R2248">
        <f>IF(AND(Inputs!$B$38&lt;&gt;"pvp",Inputs!$B$43&gt;0),IF(Inputs!$B$43&lt;=0,0,(INT(Inputs!$B$43/(IF(Inputs!$B$38="pvp",15,MAX(0.1,Skills!D15-IF(Skills!E15=TRUE,Inputs!$B$32,0)))*(1-IF(AND(ArtifactsInput!$M$27,Inputs!$B$4="Chapter Hunt"),CHOOSE(ArtifactsInput!$N$27+1,20,24,28,32,36,40),0)/100)))+1)),0)</f>
        <v/>
      </c>
      <c r="S2248">
        <f>IFERROR(O2248/N2248,0)</f>
        <v/>
      </c>
      <c r="T2248" t="n">
        <v>0</v>
      </c>
      <c r="V2248" t="n">
        <v>0</v>
      </c>
    </row>
    <row r="2249">
      <c r="A2249">
        <f>Skills!A16</f>
        <v/>
      </c>
      <c r="B2249">
        <f>Skills!B16</f>
        <v/>
      </c>
      <c r="C2249">
        <f>Inputs!$B$3&gt;=115</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IF(B2276=0,0,O2249/B2276)</f>
        <v/>
      </c>
      <c r="Q2249">
        <f>IFERROR(1/(IF(Inputs!$B$38="pvp",15,MAX(0.1,Skills!D16-IF(Skills!E16=TRUE,Inputs!$B$32,0)))*(1-IF(AND(ArtifactsInput!$M$27,Inputs!$B$4="Chapter Hunt"),CHOOSE(ArtifactsInput!$N$27+1,20,24,28,32,36,40),0)/100)),0)</f>
        <v/>
      </c>
      <c r="R2249">
        <f>IF(AND(Inputs!$B$38&lt;&gt;"pvp",Inputs!$B$43&gt;0),IF(Inputs!$B$43&lt;=0,0,(INT(Inputs!$B$43/(IF(Inputs!$B$38="pvp",15,MAX(0.1,Skills!D16-IF(Skills!E16=TRUE,Inputs!$B$32,0)))*(1-IF(AND(ArtifactsInput!$M$27,Inputs!$B$4="Chapter Hunt"),CHOOSE(ArtifactsInput!$N$27+1,20,24,28,32,36,40),0)/100)))+1)),0)</f>
        <v/>
      </c>
      <c r="S2249">
        <f>IFERROR(O2249/N2249,0)</f>
        <v/>
      </c>
      <c r="T2249" t="n">
        <v>0</v>
      </c>
      <c r="V2249" t="n">
        <v>0</v>
      </c>
    </row>
    <row r="2250">
      <c r="A2250">
        <f>Skills!A17</f>
        <v/>
      </c>
      <c r="B2250">
        <f>Skills!B17</f>
        <v/>
      </c>
      <c r="C2250">
        <f>Inputs!$B$3&gt;=66</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IF(B2276=0,0,O2250/B2276)</f>
        <v/>
      </c>
      <c r="Q2250" t="n">
        <v>0</v>
      </c>
      <c r="R2250" t="n">
        <v>0</v>
      </c>
      <c r="S2250">
        <f>IFERROR(O2250/N2250,0)</f>
        <v/>
      </c>
      <c r="T2250" t="n">
        <v>0</v>
      </c>
      <c r="V2250" t="n">
        <v>0</v>
      </c>
    </row>
    <row r="2251">
      <c r="A2251">
        <f>Skills!A18</f>
        <v/>
      </c>
      <c r="B2251">
        <f>Skills!B18</f>
        <v/>
      </c>
      <c r="C2251">
        <f>Inputs!$B$3&gt;=72</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IF(B2276=0,0,O2251/B2276)</f>
        <v/>
      </c>
      <c r="Q2251" t="n">
        <v>0</v>
      </c>
      <c r="R2251" t="n">
        <v>0</v>
      </c>
      <c r="S2251">
        <f>IFERROR(O2251/N2251,0)</f>
        <v/>
      </c>
      <c r="T2251" t="n">
        <v>0</v>
      </c>
      <c r="V2251" t="n">
        <v>0</v>
      </c>
    </row>
    <row r="2252">
      <c r="A2252">
        <f>Skills!A19</f>
        <v/>
      </c>
      <c r="B2252">
        <f>Skills!B19</f>
        <v/>
      </c>
      <c r="C2252">
        <f>TRUE</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IF(B2276=0,0,O2252/B2276)</f>
        <v/>
      </c>
      <c r="Q2252">
        <f>IFERROR(1/(IF(Inputs!$B$38="pvp",15,MAX(0.1,Skills!D19-IF(Skills!E19=TRUE,Inputs!$B$32,0)))*(1-IF(AND(ArtifactsInput!$M$27,Inputs!$B$4="Chapter Hunt"),CHOOSE(ArtifactsInput!$N$27+1,20,24,28,32,36,40),0)/100)),0)</f>
        <v/>
      </c>
      <c r="R2252">
        <f>IF(AND(Inputs!$B$38&lt;&gt;"pvp",Inputs!$B$43&gt;0),IF(Inputs!$B$43&lt;=0,0,(INT(Inputs!$B$43/(IF(Inputs!$B$38="pvp",15,MAX(0.1,Skills!D19-IF(Skills!E19=TRUE,Inputs!$B$32,0)))*(1-IF(AND(ArtifactsInput!$M$27,Inputs!$B$4="Chapter Hunt"),CHOOSE(ArtifactsInput!$N$27+1,20,24,28,32,36,40),0)/100)))+1)),0)</f>
        <v/>
      </c>
      <c r="S2252">
        <f>IFERROR(O2252/N2252,0)</f>
        <v/>
      </c>
      <c r="T2252" t="n">
        <v>0</v>
      </c>
      <c r="V2252" t="n">
        <v>0</v>
      </c>
    </row>
    <row r="2253">
      <c r="A2253">
        <f>Skills!A20</f>
        <v/>
      </c>
      <c r="B2253">
        <f>Skills!B20</f>
        <v/>
      </c>
      <c r="C2253">
        <f>Inputs!$B$3&gt;=15</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IF(B2276=0,0,O2253/B2276)</f>
        <v/>
      </c>
      <c r="Q2253" t="n">
        <v>0</v>
      </c>
      <c r="R2253" t="n">
        <v>0</v>
      </c>
      <c r="S2253">
        <f>IFERROR(O2253/N2253,0)</f>
        <v/>
      </c>
      <c r="T2253" t="n">
        <v>0</v>
      </c>
      <c r="V2253" t="n">
        <v>0</v>
      </c>
    </row>
    <row r="2254">
      <c r="A2254">
        <f>Skills!A21</f>
        <v/>
      </c>
      <c r="B2254">
        <f>Skills!B21</f>
        <v/>
      </c>
      <c r="C2254">
        <f>Inputs!$B$3&gt;=10</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IF(B2276=0,0,O2254/B2276)</f>
        <v/>
      </c>
      <c r="Q2254" t="n">
        <v>0</v>
      </c>
      <c r="R2254" t="n">
        <v>0</v>
      </c>
      <c r="S2254">
        <f>IFERROR(O2254/N2254,0)</f>
        <v/>
      </c>
      <c r="T2254" t="n">
        <v>0</v>
      </c>
      <c r="V2254" t="n">
        <v>0</v>
      </c>
    </row>
    <row r="2255">
      <c r="A2255">
        <f>Skills!A22</f>
        <v/>
      </c>
      <c r="B2255">
        <f>Skills!B22</f>
        <v/>
      </c>
      <c r="C2255">
        <f>Inputs!$B$3&gt;=33</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IF(B2276=0,0,O2255/B2276)</f>
        <v/>
      </c>
      <c r="Q2255" t="n">
        <v>0</v>
      </c>
      <c r="R2255" t="n">
        <v>0</v>
      </c>
      <c r="S2255">
        <f>IFERROR(O2255/N2255,0)</f>
        <v/>
      </c>
      <c r="T2255" t="n">
        <v>0</v>
      </c>
      <c r="V2255" t="n">
        <v>0</v>
      </c>
    </row>
    <row r="2256">
      <c r="A2256">
        <f>Skills!A23</f>
        <v/>
      </c>
      <c r="B2256">
        <f>Skills!B23</f>
        <v/>
      </c>
      <c r="C2256">
        <f>Inputs!$B$3&gt;=38</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IF(B2276=0,0,O2256/B2276)</f>
        <v/>
      </c>
      <c r="Q2256" t="n">
        <v>0</v>
      </c>
      <c r="R2256" t="n">
        <v>0</v>
      </c>
      <c r="S2256">
        <f>IFERROR(O2256/N2256,0)</f>
        <v/>
      </c>
      <c r="T2256" t="n">
        <v>0</v>
      </c>
      <c r="V2256" t="n">
        <v>0</v>
      </c>
    </row>
    <row r="2257">
      <c r="A2257">
        <f>Skills!A24</f>
        <v/>
      </c>
      <c r="B2257">
        <f>Skills!B24</f>
        <v/>
      </c>
      <c r="C2257">
        <f>Inputs!$B$3&gt;=43</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IF(B2276=0,0,O2257/B2276)</f>
        <v/>
      </c>
      <c r="Q2257" t="n">
        <v>0</v>
      </c>
      <c r="R2257" t="n">
        <v>0</v>
      </c>
      <c r="S2257">
        <f>IFERROR(O2257/N2257,0)</f>
        <v/>
      </c>
      <c r="T2257" t="n">
        <v>0</v>
      </c>
      <c r="V2257" t="n">
        <v>0</v>
      </c>
    </row>
    <row r="2258">
      <c r="A2258">
        <f>Skills!A25</f>
        <v/>
      </c>
      <c r="B2258">
        <f>Skills!B25</f>
        <v/>
      </c>
      <c r="C2258">
        <f>Inputs!$B$3&gt;=75</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IF(B2276=0,0,O2258/B2276)</f>
        <v/>
      </c>
      <c r="Q2258" t="n">
        <v>0</v>
      </c>
      <c r="R2258" t="n">
        <v>0</v>
      </c>
      <c r="S2258">
        <f>IFERROR(O2258/N2258,0)</f>
        <v/>
      </c>
      <c r="T2258" t="n">
        <v>0</v>
      </c>
      <c r="V2258" t="n">
        <v>0</v>
      </c>
    </row>
    <row r="2259">
      <c r="A2259">
        <f>Skills!A26</f>
        <v/>
      </c>
      <c r="B2259">
        <f>Skills!B26</f>
        <v/>
      </c>
      <c r="C2259">
        <f>Inputs!$B$3&gt;=125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IF(B2276=0,0,O2259/B2276)</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IF(B2276=0,0,O2260/B2276)</f>
        <v/>
      </c>
      <c r="Q2260" t="n">
        <v>0</v>
      </c>
      <c r="R2260" t="n">
        <v>0</v>
      </c>
      <c r="S2260">
        <f>IFERROR(O2260/N2260,0)</f>
        <v/>
      </c>
      <c r="T2260" t="n">
        <v>0</v>
      </c>
      <c r="V2260" t="n">
        <v>0</v>
      </c>
    </row>
    <row r="2261">
      <c r="A2261">
        <f>Skills!A28</f>
        <v/>
      </c>
      <c r="B2261">
        <f>Skills!B28</f>
        <v/>
      </c>
      <c r="C2261">
        <f>Inputs!$B$3&gt;=120</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IF(B2276=0,0,O2261/B2276)</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IF(B2276=0,0,O2262/B2276)</f>
        <v/>
      </c>
      <c r="Q2262" t="n">
        <v>0</v>
      </c>
      <c r="R2262" t="n">
        <v>0</v>
      </c>
      <c r="S2262">
        <f>IFERROR(O2262/N2262,0)</f>
        <v/>
      </c>
      <c r="T2262" t="n">
        <v>0</v>
      </c>
      <c r="V2262" t="n">
        <v>0</v>
      </c>
    </row>
    <row r="2263">
      <c r="A2263">
        <f>Skills!A30</f>
        <v/>
      </c>
      <c r="B2263">
        <f>Skills!B30</f>
        <v/>
      </c>
      <c r="C2263">
        <f>Inputs!$B$3&gt;=45</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IF(B2276=0,0,O2263/B2276)</f>
        <v/>
      </c>
      <c r="Q2263" t="n">
        <v>0</v>
      </c>
      <c r="R2263" t="n">
        <v>0</v>
      </c>
      <c r="S2263">
        <f>IFERROR(O2263/N2263,0)</f>
        <v/>
      </c>
      <c r="T2263" t="n">
        <v>0</v>
      </c>
      <c r="V2263" t="n">
        <v>0</v>
      </c>
    </row>
    <row r="2265">
      <c r="A2265" t="inlineStr">
        <is>
          <t>Attack% Bucket Multiplier</t>
        </is>
      </c>
      <c r="B2265">
        <f>(1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6">
      <c r="A2266" t="inlineStr">
        <is>
          <t>Global Crit Rate Bonus %</t>
        </is>
      </c>
      <c r="B2266">
        <f>(C2249=TRUE)*20*IF(AND(Inputs!$B$38&lt;&gt;"pvp",Inputs!$B$43&gt;0),(((R2249-1)*(Skills!T16*(1+Inputs!$B$34/100))+MIN((Skills!T16*(1+Inputs!$B$34/100)),MAX(0,Inputs!$B$43-((R2249-1)*Skills!D16))))/Inputs!$B$43),IF(Inputs!$B$38="pvp",MIN((Skills!T16*(1+Inputs!$B$34/100)),15)/15,(Skills!T16*(1+Inputs!$B$34/100))/Skills!D16))</f>
        <v/>
      </c>
    </row>
    <row r="2267">
      <c r="A2267" t="inlineStr">
        <is>
          <t>Attack Speed Buff Bonus %</t>
        </is>
      </c>
      <c r="B2267">
        <f>((C2252=TRUE)*F2252*IF(AND(Inputs!$B$38&lt;&gt;"pvp",Inputs!$B$43&gt;0),(((R2252-1)*(Skills!T19*(1+Inputs!$B$34/100))+MIN((Skills!T19*(1+Inputs!$B$34/100)),MAX(0,Inputs!$B$43-((R2252-1)*Skills!D19))))/Inputs!$B$43),IF(Inputs!$B$38="pvp",MIN((Skills!T19*(1+Inputs!$B$34/100)),15)/15,(Skills!T19*(1+Inputs!$B$34/100))/Skills!D19)))</f>
        <v/>
      </c>
    </row>
    <row r="2268">
      <c r="A2268" t="inlineStr">
        <is>
          <t>Actions Per Second</t>
        </is>
      </c>
      <c r="B2268">
        <f>1+MIN(150,150*(1-(1-(Inputs!$B$11+((C2254=TRUE)*(F2254-Calc!F21))+((C2255=TRUE)*(F2255-Calc!F22)))/150)*(1-B2267/150)))/100</f>
        <v/>
      </c>
    </row>
    <row r="2269">
      <c r="A2269" t="inlineStr">
        <is>
          <t>Skill + Buff Cast Rate</t>
        </is>
      </c>
      <c r="B2269">
        <f>IF(AND(Inputs!$B$38&lt;&gt;"pvp",Inputs!$B$43&gt;0),SUMPRODUCT((Skills!E2:E30=TRUE)*(C2235:C2263=TRUE)*R2235:R2263*Skills!F2:F30)/Inputs!$B$43,SUMPRODUCT((Skills!E2:E30=TRUE)*(C2235:C2263=TRUE)*Q2235:Q2263*Skills!F2:F30))</f>
        <v/>
      </c>
    </row>
    <row r="2270">
      <c r="A2270" t="inlineStr">
        <is>
          <t>Arrow Stream Casts Per Second</t>
        </is>
      </c>
      <c r="B2270">
        <f>MAX(0,B2268-B2269)</f>
        <v/>
      </c>
    </row>
    <row r="2271">
      <c r="A2271" t="inlineStr">
        <is>
          <t>Global Critical Damage Bonus % (Sharp Eyes + Concentration)</t>
        </is>
      </c>
      <c r="B2271">
        <f>(C2249=TRUE)*F2249*IF(AND(Inputs!$B$38&lt;&gt;"pvp",Inputs!$B$43&gt;0),(((R2249-1)*(Skills!T16*(1+Inputs!$B$34/100))+MIN((Skills!T16*(1+Inputs!$B$34/100)),MAX(0,Inputs!$B$43-((R2249-1)*Skills!D16))))/Inputs!$B$43),IF(Inputs!$B$38="pvp",MIN((Skills!T16*(1+Inputs!$B$34/100)),15)/15,(Skills!T16*(1+Inputs!$B$34/100))/Skills!D16))+(C2250=TRUE)*30</f>
        <v/>
      </c>
    </row>
    <row r="2272">
      <c r="A2272" t="inlineStr">
        <is>
          <t>Global Final Damage Bonus % (Mortal Blow)</t>
        </is>
      </c>
      <c r="B2272">
        <f>(C2251=TRUE)*F2251</f>
        <v/>
      </c>
    </row>
    <row r="2273">
      <c r="A2273" t="inlineStr">
        <is>
          <t>Buff-Casting Startup Delay (s, fixed-duration only)</t>
        </is>
      </c>
      <c r="B2273">
        <f>IF(AND(Inputs!$B$38&lt;&gt;"pvp",Inputs!$B$43&gt;0),SUMPRODUCT((Skills!T2:T30&gt;0)*(Skills!E2:E30=TRUE)*(C2235:C2263=TRUE))/B2268,0)</f>
        <v/>
      </c>
    </row>
    <row r="2274">
      <c r="A2274" t="inlineStr">
        <is>
          <t>Boss-Only Total DPS (this block's swept value)</t>
        </is>
      </c>
      <c r="B2274">
        <f>SUM(T2235:T2263)</f>
        <v/>
      </c>
    </row>
    <row r="2275">
      <c r="A2275" t="inlineStr">
        <is>
          <t>Normal-Only Total DPS (this block's swept value)</t>
        </is>
      </c>
      <c r="B2275">
        <f>SUM(V2235:V2263)</f>
        <v/>
      </c>
    </row>
    <row r="2276">
      <c r="A2276" s="6" t="inlineStr">
        <is>
          <t>TOTAL DPS</t>
        </is>
      </c>
      <c r="B2276" s="6">
        <f>SUM(O2235:O2263)</f>
        <v/>
      </c>
    </row>
    <row r="2279">
      <c r="A2279" s="6" t="inlineStr">
        <is>
          <t>Stat: Soul Pouch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2303=TRUE)*(F2303-Calc!F24)),(Inputs!$B$23+((C2308=TRUE)*(F2308-Calc!F29))+(IF(ArtifactsInput!$M$15,CHOOSE(ArtifactsInput!$N$15+1,25,30,35,40,45,50)/100*(Inputs!$B$11-Inputs!$B$11),0))))/100+(Inputs!$B$23+((C2308=TRUE)*(F2308-Calc!F29))+(IF(ArtifactsInput!$M$15,CHOOSE(ArtifactsInput!$N$15+1,25,30,35,40,45,50)/100*(Inputs!$B$11-Inputs!$B$11),0)))/100)/2</f>
        <v/>
      </c>
      <c r="M2281">
        <f>L2281*(1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IF(B2322=0,0,O2281/B2322)</f>
        <v/>
      </c>
      <c r="Q2281" t="n">
        <v>0</v>
      </c>
      <c r="R2281" t="n">
        <v>0</v>
      </c>
      <c r="S2281">
        <f>IFERROR(O2281/N2281,0)</f>
        <v/>
      </c>
      <c r="T2281">
        <f>IF(C2281,(Skills!G2*N2281*B2316)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2281*(1-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IF(C2281,(Skills!G2*N2281*B2316)*IF(Inputs!$B$38="pvp",1,(1+(Inputs!$B$21+Skills!Q2+(IF(ArtifactsInput!$M$33,CHOOSE(ArtifactsInput!$N$33+1,30,36,42,48,54,60),0))+(IF(AND(ArtifactsInput!$M$35,Inputs!$B$4&lt;&gt;"Chapter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Inputs!$B$3&gt;=50</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t="inlineStr"/>
      <c r="H2282" t="inlineStr"/>
      <c r="I2282" t="inlineStr">
        <is>
          <t>1</t>
        </is>
      </c>
      <c r="J2282" t="inlineStr"/>
      <c r="K2282" t="inlineStr"/>
      <c r="L2282" t="inlineStr"/>
      <c r="M2282" t="inlineStr"/>
      <c r="N2282" t="inlineStr"/>
      <c r="O2282" t="inlineStr"/>
      <c r="P2282" t="inlineStr"/>
      <c r="Q2282" t="inlineStr"/>
      <c r="R2282" t="inlineStr"/>
      <c r="S2282" t="inlineStr"/>
      <c r="T2282" t="inlineStr"/>
      <c r="U2282">
        <f>INDEX(FactorTable!$B$2:$Y$301, MATCH(ROUND(MIN(300,MAX(1,U2281)),0), FactorTable!$A$2:$A$301,0), 22)</f>
        <v/>
      </c>
      <c r="V2282" t="inlineStr"/>
    </row>
    <row r="2283">
      <c r="A2283">
        <f>Skills!A4</f>
        <v/>
      </c>
      <c r="B2283">
        <f>Skills!B4</f>
        <v/>
      </c>
      <c r="C2283">
        <f>Inputs!$B$3&gt;=105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t="inlineStr"/>
      <c r="H2283" t="inlineStr"/>
      <c r="I2283" t="inlineStr">
        <is>
          <t>1</t>
        </is>
      </c>
      <c r="J2283" t="inlineStr"/>
      <c r="K2283" t="inlineStr"/>
      <c r="L2283" t="inlineStr"/>
      <c r="M2283" t="inlineStr"/>
      <c r="N2283" t="inlineStr"/>
      <c r="O2283" t="inlineStr"/>
      <c r="P2283" t="inlineStr"/>
      <c r="Q2283" t="inlineStr"/>
      <c r="R2283" t="inlineStr"/>
      <c r="S2283" t="inlineStr"/>
      <c r="T2283" t="inlineStr"/>
      <c r="U2283">
        <f>290*U2282/1000</f>
        <v/>
      </c>
      <c r="V2283" t="inlineStr"/>
    </row>
    <row r="2284">
      <c r="A2284">
        <f>Skills!A5</f>
        <v/>
      </c>
      <c r="B2284">
        <f>Skills!B5</f>
        <v/>
      </c>
      <c r="C2284">
        <f>Inputs!$B$3&gt;=35</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Skills!G5*IF(Skills!H5&gt;0,Skills!I5/Skills!H5,1)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2289=TRUE,F2289,0)/100)*(1+(IF(Skills!A5="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2303=TRUE)*(F2303-Calc!F24)),(Inputs!$B$23+((C2308=TRUE)*(F2308-Calc!F29))+(IF(ArtifactsInput!$M$15,CHOOSE(ArtifactsInput!$N$15+1,25,30,35,40,45,50)/100*(Inputs!$B$11-Inputs!$B$11),0))))/100+(Inputs!$B$23+((C2308=TRUE)*(F2308-Calc!F29))+(IF(ArtifactsInput!$M$15,CHOOSE(ArtifactsInput!$N$15+1,25,30,35,40,45,50)/100*(Inputs!$B$11-Inputs!$B$11),0)))/100)/2</f>
        <v/>
      </c>
      <c r="M2284">
        <f>L2284*(1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IF(B2322=0,0,O2284/B2322)</f>
        <v/>
      </c>
      <c r="Q2284">
        <f>IFERROR(1/(IF(Inputs!$B$38="pvp",15,MAX(0.1,Skills!D5-IF(Skills!E5=TRUE,Inputs!$B$32,0)))*(1-IF(AND(ArtifactsInput!$M$27,Inputs!$B$4="Chapter Hunt"),CHOOSE(ArtifactsInput!$N$27+1,20,24,28,32,36,40),0)/100)),0)</f>
        <v/>
      </c>
      <c r="R2284">
        <f>IF(AND(Inputs!$B$38&lt;&gt;"pvp",Inputs!$B$43&gt;0),IF(MAX(0,Inputs!$B$43-B2319)&lt;=0,0,(INT(MAX(0,Inputs!$B$43-B2319)/(IF(Inputs!$B$38="pvp",15,MAX(0.1,Skills!D5-IF(Skills!E5=TRUE,Inputs!$B$32,0)))*(1-IF(AND(ArtifactsInput!$M$27,Inputs!$B$4="Chapter Hunt"),CHOOSE(ArtifactsInput!$N$27+1,20,24,28,32,36,40),0)/100)))+1)),0)</f>
        <v/>
      </c>
      <c r="S2284">
        <f>IFERROR(O2284/N2284,0)</f>
        <v/>
      </c>
      <c r="T2284">
        <f>IF(C2284,(H2284*N2284*IF(AND(Inputs!$B$38&lt;&gt;"pvp",Inputs!$B$43&gt;0),((Skills!G5*((R2284-1)*IF(Skills!H5&gt;0,Skills!I5/Skills!H5,1)+IF(Skills!H5&gt;0,MIN(Skills!I5,MAX(0,MAX(0,Inputs!$B$43-B2319)-((R2284-1)*(IF(Inputs!$B$38="pvp",15,MAX(0.1,Skills!D5-IF(Skills!E5=TRUE,Inputs!$B$32,0)))*(1-IF(AND(ArtifactsInput!$M$27,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2284*(1-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Skills!I5/Skills!H5,1)+IF(Skills!H5&gt;0,MIN(Skills!I5,MAX(0,MAX(0,Inputs!$B$43-B2319)-((R2284-1)*(IF(Inputs!$B$38="pvp",15,MAX(0.1,Skills!D5-IF(Skills!E5=TRUE,Inputs!$B$32,0)))*(1-IF(AND(ArtifactsInput!$M$27,Inputs!$B$4="Chapter Hunt"),CHOOSE(ArtifactsInput!$N$27+1,20,24,28,32,36,40),0)/100)))))/Skills!H5,1)))/Inputs!$B$43),G2284*Q2284))*IF(Inputs!$B$38="pvp",1,(1+(Inputs!$B$21+Skills!Q5+(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Inputs!$B$3&gt;=40</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2286=TRUE,F2286,0)/100)*(1+(IF(Skills!A6="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2303=TRUE)*(F2303-Calc!F24)),(Inputs!$B$23+((C2308=TRUE)*(F2308-Calc!F29))+(IF(ArtifactsInput!$M$15,CHOOSE(ArtifactsInput!$N$15+1,25,30,35,40,45,50)/100*(Inputs!$B$11-Inputs!$B$11),0))))/100+(Inputs!$B$23+((C2308=TRUE)*(F2308-Calc!F29))+(IF(ArtifactsInput!$M$15,CHOOSE(ArtifactsInput!$N$15+1,25,30,35,40,45,50)/100*(Inputs!$B$11-Inputs!$B$11),0)))/100)/2</f>
        <v/>
      </c>
      <c r="M2285">
        <f>L2285*(1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IF(B2322=0,0,O2285/B2322)</f>
        <v/>
      </c>
      <c r="Q2285">
        <f>IFERROR(1/(IF(Inputs!$B$38="pvp",15,MAX(0.1,Skills!D6-IF(Skills!E6=TRUE,Inputs!$B$32,0)))*(1-IF(AND(ArtifactsInput!$M$27,Inputs!$B$4="Chapter Hunt"),CHOOSE(ArtifactsInput!$N$27+1,20,24,28,32,36,40),0)/100)),0)</f>
        <v/>
      </c>
      <c r="R2285">
        <f>IF(AND(Inputs!$B$38&lt;&gt;"pvp",Inputs!$B$43&gt;0),IF(MAX(0,Inputs!$B$43-B2319)&lt;=0,0,(INT(MAX(0,Inputs!$B$43-B2319)/(IF(Inputs!$B$38="pvp",15,MAX(0.1,Skills!D6-IF(Skills!E6=TRUE,Inputs!$B$32,0)))*(1-IF(AND(ArtifactsInput!$M$27,Inputs!$B$4="Chapter Hunt"),CHOOSE(ArtifactsInput!$N$27+1,20,24,28,32,36,40),0)/100)))+1)),0)</f>
        <v/>
      </c>
      <c r="S2285">
        <f>IFERROR(O2285/N2285,0)</f>
        <v/>
      </c>
      <c r="T2285">
        <f>IF(C2285,(H2285*N2285*IF(AND(Inputs!$B$38&lt;&gt;"pvp",Inputs!$B$43&gt;0),((Skills!G6*((R2285-1)*IF(Skills!H6&gt;0,Skills!I6/Skills!H6,1)+IF(Skills!H6&gt;0,MIN(Skills!I6,MAX(0,MAX(0,Inputs!$B$43-B2319)-((R2285-1)*(IF(Inputs!$B$38="pvp",15,MAX(0.1,Skills!D6-IF(Skills!E6=TRUE,Inputs!$B$32,0)))*(1-IF(AND(ArtifactsInput!$M$27,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2285*(1-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2319)-((R2285-1)*(IF(Inputs!$B$38="pvp",15,MAX(0.1,Skills!D6-IF(Skills!E6=TRUE,Inputs!$B$32,0)))*(1-IF(AND(ArtifactsInput!$M$27,Inputs!$B$4="Chapter Hunt"),CHOOSE(ArtifactsInput!$N$27+1,20,24,28,32,36,40),0)/100)))))/Skills!H6,1)))/Inputs!$B$43),G2285*Q2285))*IF(Inputs!$B$38="pvp",1,(1+(Inputs!$B$21+Skills!Q6+(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Inputs!$B$3&gt;=107</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t="inlineStr"/>
      <c r="H2286" t="inlineStr"/>
      <c r="I2286" t="inlineStr">
        <is>
          <t>1</t>
        </is>
      </c>
      <c r="J2286" t="inlineStr"/>
      <c r="K2286" t="inlineStr"/>
      <c r="L2286" t="inlineStr"/>
      <c r="M2286" t="inlineStr"/>
      <c r="N2286" t="inlineStr"/>
      <c r="O2286" t="inlineStr"/>
      <c r="P2286" t="inlineStr"/>
      <c r="Q2286" t="inlineStr"/>
      <c r="R2286" t="inlineStr"/>
      <c r="S2286" t="inlineStr"/>
      <c r="T2286" t="inlineStr"/>
      <c r="V2286" t="inlineStr"/>
    </row>
    <row r="2287">
      <c r="A2287">
        <f>Skills!A8</f>
        <v/>
      </c>
      <c r="B2287">
        <f>Skills!B8</f>
        <v/>
      </c>
      <c r="C2287">
        <f>Inputs!$B$3&gt;=69</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2289=TRUE,F2289,0)/100)*(1+(IF(Skills!A8="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2303=TRUE)*(F2303-Calc!F24)),(Inputs!$B$23+((C2308=TRUE)*(F2308-Calc!F29))+(IF(ArtifactsInput!$M$15,CHOOSE(ArtifactsInput!$N$15+1,25,30,35,40,45,50)/100*(Inputs!$B$11-Inputs!$B$11),0))))/100+(Inputs!$B$23+((C2308=TRUE)*(F2308-Calc!F29))+(IF(ArtifactsInput!$M$15,CHOOSE(ArtifactsInput!$N$15+1,25,30,35,40,45,50)/100*(Inputs!$B$11-Inputs!$B$11),0)))/100)/2</f>
        <v/>
      </c>
      <c r="M2287">
        <f>L2287*(1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IF(B2322=0,0,O2287/B2322)</f>
        <v/>
      </c>
      <c r="Q2287">
        <f>IFERROR(1/(IF(Inputs!$B$38="pvp",15,MAX(0.1,Skills!D8-IF(Skills!E8=TRUE,Inputs!$B$32,0)))*(1-IF(AND(ArtifactsInput!$M$27,Inputs!$B$4="Chapter Hunt"),CHOOSE(ArtifactsInput!$N$27+1,20,24,28,32,36,40),0)/100)),0)</f>
        <v/>
      </c>
      <c r="R2287">
        <f>IF(AND(Inputs!$B$38&lt;&gt;"pvp",Inputs!$B$43&gt;0),IF(MAX(0,Inputs!$B$43-B2319)&lt;=0,0,(INT(MAX(0,Inputs!$B$43-B2319)/(IF(Inputs!$B$38="pvp",15,MAX(0.1,Skills!D8-IF(Skills!E8=TRUE,Inputs!$B$32,0)))*(1-IF(AND(ArtifactsInput!$M$27,Inputs!$B$4="Chapter Hunt"),CHOOSE(ArtifactsInput!$N$27+1,20,24,28,32,36,40),0)/100)))+1)),0)</f>
        <v/>
      </c>
      <c r="S2287">
        <f>IFERROR(O2287/N2287,0)</f>
        <v/>
      </c>
      <c r="T2287">
        <f>IF(C2287,(H2287*N2287*IF(AND(Inputs!$B$38&lt;&gt;"pvp",Inputs!$B$43&gt;0),((Skills!G8*((R2287-1)*IF(Skills!H8&gt;0,Skills!I8/Skills!H8,1)+IF(Skills!H8&gt;0,MIN(Skills!I8,MAX(0,MAX(0,Inputs!$B$43-B2319)-((R2287-1)*(IF(Inputs!$B$38="pvp",15,MAX(0.1,Skills!D8-IF(Skills!E8=TRUE,Inputs!$B$32,0)))*(1-IF(AND(ArtifactsInput!$M$27,Inputs!$B$4="Chapter Hunt"),CHOOSE(ArtifactsInput!$N$27+1,20,24,28,32,36,40),0)/100)))))/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2287*(1-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2319)-((R2287-1)*(IF(Inputs!$B$38="pvp",15,MAX(0.1,Skills!D8-IF(Skills!E8=TRUE,Inputs!$B$32,0)))*(1-IF(AND(ArtifactsInput!$M$27,Inputs!$B$4="Chapter Hunt"),CHOOSE(ArtifactsInput!$N$27+1,20,24,28,32,36,40),0)/100)))))/Skills!H8,1)))/Inputs!$B$43),G2287*Q2287))*IF(Inputs!$B$38="pvp",1,(1+(Inputs!$B$21+Skills!Q8+(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Inputs!$B$3&gt;=63</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2289=TRUE,F2289,0)/100)*(1+(IF(Skills!A9="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2303=TRUE)*(F2303-Calc!F24)),(Inputs!$B$23+((C2308=TRUE)*(F2308-Calc!F29))+(IF(ArtifactsInput!$M$15,CHOOSE(ArtifactsInput!$N$15+1,25,30,35,40,45,50)/100*(Inputs!$B$11-Inputs!$B$11),0))))/100+(Inputs!$B$23+((C2308=TRUE)*(F2308-Calc!F29))+(IF(ArtifactsInput!$M$15,CHOOSE(ArtifactsInput!$N$15+1,25,30,35,40,45,50)/100*(Inputs!$B$11-Inputs!$B$11),0)))/100)/2</f>
        <v/>
      </c>
      <c r="M2288">
        <f>L2288*(1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IF(B2322=0,0,O2288/B2322)</f>
        <v/>
      </c>
      <c r="Q2288">
        <f>IFERROR(1/(IF(Inputs!$B$38="pvp",15,MAX(0.1,Skills!D9-IF(Skills!E9=TRUE,Inputs!$B$32,0)))*(1-IF(AND(ArtifactsInput!$M$27,Inputs!$B$4="Chapter Hunt"),CHOOSE(ArtifactsInput!$N$27+1,20,24,28,32,36,40),0)/100)),0)</f>
        <v/>
      </c>
      <c r="R2288">
        <f>IF(AND(Inputs!$B$38&lt;&gt;"pvp",Inputs!$B$43&gt;0),IF(MAX(0,Inputs!$B$43-B2319)&lt;=0,0,(INT(MAX(0,Inputs!$B$43-B2319)/(IF(Inputs!$B$38="pvp",15,MAX(0.1,Skills!D9-IF(Skills!E9=TRUE,Inputs!$B$32,0)))*(1-IF(AND(ArtifactsInput!$M$27,Inputs!$B$4="Chapter Hunt"),CHOOSE(ArtifactsInput!$N$27+1,20,24,28,32,36,40),0)/100)))+1)),0)</f>
        <v/>
      </c>
      <c r="S2288">
        <f>IFERROR(O2288/N2288,0)</f>
        <v/>
      </c>
      <c r="T2288">
        <f>IF(C2288,(H2288*N2288*IF(AND(Inputs!$B$38&lt;&gt;"pvp",Inputs!$B$43&gt;0),((Skills!G9*((R2288-1)*IF(Skills!H9&gt;0,Skills!I9/Skills!H9,1)+IF(Skills!H9&gt;0,MIN(Skills!I9,MAX(0,MAX(0,Inputs!$B$43-B2319)-((R2288-1)*(IF(Inputs!$B$38="pvp",15,MAX(0.1,Skills!D9-IF(Skills!E9=TRUE,Inputs!$B$32,0)))*(1-IF(AND(ArtifactsInput!$M$27,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2319)-((R2288-1)*(IF(Inputs!$B$38="pvp",15,MAX(0.1,Skills!D9-IF(Skills!E9=TRUE,Inputs!$B$32,0)))*(1-IF(AND(ArtifactsInput!$M$27,Inputs!$B$4="Chapter Hunt"),CHOOSE(ArtifactsInput!$N$27+1,20,24,28,32,36,40),0)/100)))))/Skills!H9,1)))/Inputs!$B$43),G2288*Q2288))*IF(Inputs!$B$38="pvp",1,(1+(Inputs!$B$21+Skills!Q9+(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Inputs!$B$3&gt;=100</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t="inlineStr"/>
      <c r="H2289" t="inlineStr"/>
      <c r="I2289" t="inlineStr">
        <is>
          <t>1</t>
        </is>
      </c>
      <c r="J2289" t="inlineStr"/>
      <c r="K2289" t="inlineStr"/>
      <c r="L2289" t="inlineStr"/>
      <c r="M2289" t="inlineStr"/>
      <c r="N2289" t="inlineStr"/>
      <c r="O2289" t="inlineStr"/>
      <c r="P2289" t="inlineStr"/>
      <c r="Q2289" t="inlineStr"/>
      <c r="R2289" t="inlineStr"/>
      <c r="S2289" t="inlineStr"/>
      <c r="T2289" t="inlineStr"/>
      <c r="V2289" t="inlineStr"/>
    </row>
    <row r="2290">
      <c r="A2290">
        <f>Skills!A11</f>
        <v/>
      </c>
      <c r="B2290">
        <f>Skills!B11</f>
        <v/>
      </c>
      <c r="C2290">
        <f>Inputs!$B$3&gt;=60</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2291=TRUE,F2291,0)/100)*(1+(IF(Skills!A11="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2303=TRUE)*(F2303-Calc!F24)),(Inputs!$B$23+((C2308=TRUE)*(F2308-Calc!F29))+(IF(ArtifactsInput!$M$15,CHOOSE(ArtifactsInput!$N$15+1,25,30,35,40,45,50)/100*(Inputs!$B$11-Inputs!$B$11),0))))/100+(Inputs!$B$23+((C2308=TRUE)*(F2308-Calc!F29))+(IF(ArtifactsInput!$M$15,CHOOSE(ArtifactsInput!$N$15+1,25,30,35,40,45,50)/100*(Inputs!$B$11-Inputs!$B$11),0)))/100)/2</f>
        <v/>
      </c>
      <c r="M2290">
        <f>L2290*(1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IF(B2322=0,0,O2290/B2322)</f>
        <v/>
      </c>
      <c r="Q2290">
        <f>IFERROR(1/(IF(Inputs!$B$38="pvp",15,MAX(0.1,Skills!D11-IF(Skills!E11=TRUE,Inputs!$B$32,0)))*(1-IF(AND(ArtifactsInput!$M$27,Inputs!$B$4="Chapter Hunt"),CHOOSE(ArtifactsInput!$N$27+1,20,24,28,32,36,40),0)/100)),0)</f>
        <v/>
      </c>
      <c r="R2290">
        <f>IF(AND(Inputs!$B$38&lt;&gt;"pvp",Inputs!$B$43&gt;0),IF(MAX(0,Inputs!$B$43-B2319)&lt;=0,0,(INT(MAX(0,Inputs!$B$43-B2319)/(IF(Inputs!$B$38="pvp",15,MAX(0.1,Skills!D11-IF(Skills!E11=TRUE,Inputs!$B$32,0)))*(1-IF(AND(ArtifactsInput!$M$27,Inputs!$B$4="Chapter Hunt"),CHOOSE(ArtifactsInput!$N$27+1,20,24,28,32,36,40),0)/100)))+1)),0)</f>
        <v/>
      </c>
      <c r="S2290">
        <f>IFERROR(O2290/N2290,0)</f>
        <v/>
      </c>
      <c r="T2290">
        <f>IF(C2290,(H2290*N2290*IF(AND(Inputs!$B$38&lt;&gt;"pvp",Inputs!$B$43&gt;0),((Skills!G11*((R2290-1)*IF(Skills!H11&gt;0,Skills!I11/Skills!H11,1)+IF(Skills!H11&gt;0,MIN(Skills!I11,MAX(0,MAX(0,Inputs!$B$43-B2319)-((R2290-1)*(IF(Inputs!$B$38="pvp",15,MAX(0.1,Skills!D11-IF(Skills!E11=TRUE,Inputs!$B$32,0)))*(1-IF(AND(ArtifactsInput!$M$27,Inputs!$B$4="Chapter Hunt"),CHOOSE(ArtifactsInput!$N$27+1,20,24,28,32,36,40),0)/100)))))/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2290*(1-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2319)-((R2290-1)*(IF(Inputs!$B$38="pvp",15,MAX(0.1,Skills!D11-IF(Skills!E11=TRUE,Inputs!$B$32,0)))*(1-IF(AND(ArtifactsInput!$M$27,Inputs!$B$4="Chapter Hunt"),CHOOSE(ArtifactsInput!$N$27+1,20,24,28,32,36,40),0)/100)))))/Skills!H11,1)))/Inputs!$B$43),G2290*Q2290))*IF(Inputs!$B$38="pvp",1,(1+(Inputs!$B$21+Skills!Q11+(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Inputs!$B$3&gt;=110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Skills!A13</f>
        <v/>
      </c>
      <c r="B2292">
        <f>Skills!B13</f>
        <v/>
      </c>
      <c r="C2292">
        <f>Inputs!$B$3&gt;=74</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Skills!G13*IF(Skills!H13&gt;0,Skills!I13/Skills!H13,1)</f>
        <v/>
      </c>
      <c r="H2292">
        <f>1-(1-Skills!J13/100)^Skills!K13</f>
        <v/>
      </c>
      <c r="I2292" t="inlineStr">
        <is>
          <t>1</t>
        </is>
      </c>
      <c r="J2292" t="inlineStr"/>
      <c r="K2292" t="inlineStr"/>
      <c r="L2292" t="inlineStr"/>
      <c r="M2292" t="inlineStr"/>
      <c r="N2292" t="inlineStr"/>
      <c r="O2292">
        <f>(1-Summary!$B$11)*T2292+Summary!$B$11*V2292</f>
        <v/>
      </c>
      <c r="P2292">
        <f>IF(B2322=0,0,O2292/B2322)</f>
        <v/>
      </c>
      <c r="Q2292" t="n">
        <v>0</v>
      </c>
      <c r="R2292" t="n">
        <v>0</v>
      </c>
      <c r="S2292">
        <f>IFERROR(O2292/N2292,0)</f>
        <v/>
      </c>
      <c r="T2292" t="n">
        <v>0</v>
      </c>
      <c r="V2292" t="n">
        <v>0</v>
      </c>
    </row>
    <row r="2293">
      <c r="A2293">
        <f>Skills!A14</f>
        <v/>
      </c>
      <c r="B2293">
        <f>Skills!B14</f>
        <v/>
      </c>
      <c r="C2293">
        <f>Inputs!$B$3&gt;=74</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f>Skills!G14*IF(Skills!H14&gt;0,Skills!I14/Skills!H14,1)</f>
        <v/>
      </c>
      <c r="H2293">
        <f>1-(1-Skills!J14/100)^Skills!K14</f>
        <v/>
      </c>
      <c r="I2293" t="inlineStr">
        <is>
          <t>1</t>
        </is>
      </c>
      <c r="J2293" t="inlineStr"/>
      <c r="K2293" t="inlineStr"/>
      <c r="L2293" t="inlineStr"/>
      <c r="M2293" t="inlineStr"/>
      <c r="N2293" t="inlineStr"/>
      <c r="O2293">
        <f>(1-Summary!$B$11)*T2293+Summary!$B$11*V2293</f>
        <v/>
      </c>
      <c r="P2293">
        <f>IF(B2322=0,0,O2293/B2322)</f>
        <v/>
      </c>
      <c r="Q2293" t="n">
        <v>0</v>
      </c>
      <c r="R2293" t="n">
        <v>0</v>
      </c>
      <c r="S2293">
        <f>IFERROR(O2293/N2293,0)</f>
        <v/>
      </c>
      <c r="T2293" t="n">
        <v>0</v>
      </c>
      <c r="V2293" t="n">
        <v>0</v>
      </c>
    </row>
    <row r="2294">
      <c r="A2294">
        <f>Skills!A15</f>
        <v/>
      </c>
      <c r="B2294">
        <f>Skills!B15</f>
        <v/>
      </c>
      <c r="C2294">
        <f>Inputs!$B$3&gt;=117</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f>Skills!G15*IF(Skills!H15&gt;0,Skills!I15/Skills!H15,1)</f>
        <v/>
      </c>
      <c r="H2294">
        <f>1-(1-Skills!J15/100)^Skills!K15</f>
        <v/>
      </c>
      <c r="I2294" t="inlineStr">
        <is>
          <t>1</t>
        </is>
      </c>
      <c r="J2294" t="inlineStr"/>
      <c r="K2294" t="inlineStr"/>
      <c r="L2294" t="inlineStr"/>
      <c r="M2294" t="inlineStr"/>
      <c r="N2294" t="inlineStr"/>
      <c r="O2294">
        <f>(1-Summary!$B$11)*T2294+Summary!$B$11*V2294</f>
        <v/>
      </c>
      <c r="P2294">
        <f>IF(B2322=0,0,O2294/B2322)</f>
        <v/>
      </c>
      <c r="Q2294">
        <f>IFERROR(1/(IF(Inputs!$B$38="pvp",15,MAX(0.1,Skills!D15-IF(Skills!E15=TRUE,Inputs!$B$32,0)))*(1-IF(AND(ArtifactsInput!$M$27,Inputs!$B$4="Chapter Hunt"),CHOOSE(ArtifactsInput!$N$27+1,20,24,28,32,36,40),0)/100)),0)</f>
        <v/>
      </c>
      <c r="R2294">
        <f>IF(AND(Inputs!$B$38&lt;&gt;"pvp",Inputs!$B$43&gt;0),IF(Inputs!$B$43&lt;=0,0,(INT(Inputs!$B$43/(IF(Inputs!$B$38="pvp",15,MAX(0.1,Skills!D15-IF(Skills!E15=TRUE,Inputs!$B$32,0)))*(1-IF(AND(ArtifactsInput!$M$27,Inputs!$B$4="Chapter Hunt"),CHOOSE(ArtifactsInput!$N$27+1,20,24,28,32,36,40),0)/100)))+1)),0)</f>
        <v/>
      </c>
      <c r="S2294">
        <f>IFERROR(O2294/N2294,0)</f>
        <v/>
      </c>
      <c r="T2294" t="n">
        <v>0</v>
      </c>
      <c r="V2294" t="n">
        <v>0</v>
      </c>
    </row>
    <row r="2295">
      <c r="A2295">
        <f>Skills!A16</f>
        <v/>
      </c>
      <c r="B2295">
        <f>Skills!B16</f>
        <v/>
      </c>
      <c r="C2295">
        <f>Inputs!$B$3&gt;=115</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f>Skills!G16*IF(Skills!H16&gt;0,Skills!I16/Skills!H16,1)</f>
        <v/>
      </c>
      <c r="H2295">
        <f>1-(1-Skills!J16/100)^Skills!K16</f>
        <v/>
      </c>
      <c r="I2295" t="inlineStr">
        <is>
          <t>1</t>
        </is>
      </c>
      <c r="J2295" t="inlineStr"/>
      <c r="K2295" t="inlineStr"/>
      <c r="L2295" t="inlineStr"/>
      <c r="M2295" t="inlineStr"/>
      <c r="N2295" t="inlineStr"/>
      <c r="O2295">
        <f>(1-Summary!$B$11)*T2295+Summary!$B$11*V2295</f>
        <v/>
      </c>
      <c r="P2295">
        <f>IF(B2322=0,0,O2295/B2322)</f>
        <v/>
      </c>
      <c r="Q2295">
        <f>IFERROR(1/(IF(Inputs!$B$38="pvp",15,MAX(0.1,Skills!D16-IF(Skills!E16=TRUE,Inputs!$B$32,0)))*(1-IF(AND(ArtifactsInput!$M$27,Inputs!$B$4="Chapter Hunt"),CHOOSE(ArtifactsInput!$N$27+1,20,24,28,32,36,40),0)/100)),0)</f>
        <v/>
      </c>
      <c r="R2295">
        <f>IF(AND(Inputs!$B$38&lt;&gt;"pvp",Inputs!$B$43&gt;0),IF(Inputs!$B$43&lt;=0,0,(INT(Inputs!$B$43/(IF(Inputs!$B$38="pvp",15,MAX(0.1,Skills!D16-IF(Skills!E16=TRUE,Inputs!$B$32,0)))*(1-IF(AND(ArtifactsInput!$M$27,Inputs!$B$4="Chapter Hunt"),CHOOSE(ArtifactsInput!$N$27+1,20,24,28,32,36,40),0)/100)))+1)),0)</f>
        <v/>
      </c>
      <c r="S2295">
        <f>IFERROR(O2295/N2295,0)</f>
        <v/>
      </c>
      <c r="T2295" t="n">
        <v>0</v>
      </c>
      <c r="V2295" t="n">
        <v>0</v>
      </c>
    </row>
    <row r="2296">
      <c r="A2296">
        <f>Skills!A17</f>
        <v/>
      </c>
      <c r="B2296">
        <f>Skills!B17</f>
        <v/>
      </c>
      <c r="C2296">
        <f>Inputs!$B$3&gt;=66</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Skills!G17*IF(Skills!H17&gt;0,Skills!I17/Skills!H17,1)</f>
        <v/>
      </c>
      <c r="H2296">
        <f>1-(1-Skills!J17/100)^Skills!K17</f>
        <v/>
      </c>
      <c r="I2296" t="inlineStr">
        <is>
          <t>1</t>
        </is>
      </c>
      <c r="J2296" t="inlineStr"/>
      <c r="K2296" t="inlineStr"/>
      <c r="L2296" t="inlineStr"/>
      <c r="M2296" t="inlineStr"/>
      <c r="N2296" t="inlineStr"/>
      <c r="O2296">
        <f>(1-Summary!$B$11)*T2296+Summary!$B$11*V2296</f>
        <v/>
      </c>
      <c r="P2296">
        <f>IF(B2322=0,0,O2296/B2322)</f>
        <v/>
      </c>
      <c r="Q2296" t="n">
        <v>0</v>
      </c>
      <c r="R2296" t="n">
        <v>0</v>
      </c>
      <c r="S2296">
        <f>IFERROR(O2296/N2296,0)</f>
        <v/>
      </c>
      <c r="T2296" t="n">
        <v>0</v>
      </c>
      <c r="V2296" t="n">
        <v>0</v>
      </c>
    </row>
    <row r="2297">
      <c r="A2297">
        <f>Skills!A18</f>
        <v/>
      </c>
      <c r="B2297">
        <f>Skills!B18</f>
        <v/>
      </c>
      <c r="C2297">
        <f>Inputs!$B$3&gt;=72</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Skills!G18*IF(Skills!H18&gt;0,Skills!I18/Skills!H18,1)</f>
        <v/>
      </c>
      <c r="H2297">
        <f>1-(1-Skills!J18/100)^Skills!K18</f>
        <v/>
      </c>
      <c r="I2297" t="inlineStr">
        <is>
          <t>1</t>
        </is>
      </c>
      <c r="J2297" t="inlineStr"/>
      <c r="K2297" t="inlineStr"/>
      <c r="L2297" t="inlineStr"/>
      <c r="M2297" t="inlineStr"/>
      <c r="N2297" t="inlineStr"/>
      <c r="O2297">
        <f>(1-Summary!$B$11)*T2297+Summary!$B$11*V2297</f>
        <v/>
      </c>
      <c r="P2297">
        <f>IF(B2322=0,0,O2297/B2322)</f>
        <v/>
      </c>
      <c r="Q2297" t="n">
        <v>0</v>
      </c>
      <c r="R2297" t="n">
        <v>0</v>
      </c>
      <c r="S2297">
        <f>IFERROR(O2297/N2297,0)</f>
        <v/>
      </c>
      <c r="T2297" t="n">
        <v>0</v>
      </c>
      <c r="V2297" t="n">
        <v>0</v>
      </c>
    </row>
    <row r="2298">
      <c r="A2298">
        <f>Skills!A19</f>
        <v/>
      </c>
      <c r="B2298">
        <f>Skills!B19</f>
        <v/>
      </c>
      <c r="C2298">
        <f>TRUE</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Skills!G19*IF(Skills!H19&gt;0,Skills!I19/Skills!H19,1)</f>
        <v/>
      </c>
      <c r="H2298">
        <f>1-(1-Skills!J19/100)^Skills!K19</f>
        <v/>
      </c>
      <c r="I2298" t="inlineStr">
        <is>
          <t>1</t>
        </is>
      </c>
      <c r="J2298" t="inlineStr"/>
      <c r="K2298" t="inlineStr"/>
      <c r="L2298" t="inlineStr"/>
      <c r="M2298" t="inlineStr"/>
      <c r="N2298" t="inlineStr"/>
      <c r="O2298">
        <f>(1-Summary!$B$11)*T2298+Summary!$B$11*V2298</f>
        <v/>
      </c>
      <c r="P2298">
        <f>IF(B2322=0,0,O2298/B2322)</f>
        <v/>
      </c>
      <c r="Q2298">
        <f>IFERROR(1/(IF(Inputs!$B$38="pvp",15,MAX(0.1,Skills!D19-IF(Skills!E19=TRUE,Inputs!$B$32,0)))*(1-IF(AND(ArtifactsInput!$M$27,Inputs!$B$4="Chapter Hunt"),CHOOSE(ArtifactsInput!$N$27+1,20,24,28,32,36,40),0)/100)),0)</f>
        <v/>
      </c>
      <c r="R2298">
        <f>IF(AND(Inputs!$B$38&lt;&gt;"pvp",Inputs!$B$43&gt;0),IF(Inputs!$B$43&lt;=0,0,(INT(Inputs!$B$43/(IF(Inputs!$B$38="pvp",15,MAX(0.1,Skills!D19-IF(Skills!E19=TRUE,Inputs!$B$32,0)))*(1-IF(AND(ArtifactsInput!$M$27,Inputs!$B$4="Chapter Hunt"),CHOOSE(ArtifactsInput!$N$27+1,20,24,28,32,36,40),0)/100)))+1)),0)</f>
        <v/>
      </c>
      <c r="S2298">
        <f>IFERROR(O2298/N2298,0)</f>
        <v/>
      </c>
      <c r="T2298" t="n">
        <v>0</v>
      </c>
      <c r="V2298" t="n">
        <v>0</v>
      </c>
    </row>
    <row r="2299">
      <c r="A2299">
        <f>Skills!A20</f>
        <v/>
      </c>
      <c r="B2299">
        <f>Skills!B20</f>
        <v/>
      </c>
      <c r="C2299">
        <f>Inputs!$B$3&gt;=15</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Skills!G20*IF(Skills!H20&gt;0,Skills!I20/Skills!H20,1)</f>
        <v/>
      </c>
      <c r="H2299">
        <f>1-(1-Skills!J20/100)^Skills!K20</f>
        <v/>
      </c>
      <c r="I2299" t="inlineStr">
        <is>
          <t>1</t>
        </is>
      </c>
      <c r="J2299" t="inlineStr"/>
      <c r="K2299" t="inlineStr"/>
      <c r="L2299" t="inlineStr"/>
      <c r="M2299" t="inlineStr"/>
      <c r="N2299" t="inlineStr"/>
      <c r="O2299">
        <f>(1-Summary!$B$11)*T2299+Summary!$B$11*V2299</f>
        <v/>
      </c>
      <c r="P2299">
        <f>IF(B2322=0,0,O2299/B2322)</f>
        <v/>
      </c>
      <c r="Q2299" t="n">
        <v>0</v>
      </c>
      <c r="R2299" t="n">
        <v>0</v>
      </c>
      <c r="S2299">
        <f>IFERROR(O2299/N2299,0)</f>
        <v/>
      </c>
      <c r="T2299" t="n">
        <v>0</v>
      </c>
      <c r="V2299" t="n">
        <v>0</v>
      </c>
    </row>
    <row r="2300">
      <c r="A2300">
        <f>Skills!A21</f>
        <v/>
      </c>
      <c r="B2300">
        <f>Skills!B21</f>
        <v/>
      </c>
      <c r="C2300">
        <f>Inputs!$B$3&gt;=10</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Skills!G21*IF(Skills!H21&gt;0,Skills!I21/Skills!H21,1)</f>
        <v/>
      </c>
      <c r="H2300">
        <f>1-(1-Skills!J21/100)^Skills!K21</f>
        <v/>
      </c>
      <c r="I2300" t="inlineStr">
        <is>
          <t>1</t>
        </is>
      </c>
      <c r="J2300" t="inlineStr"/>
      <c r="K2300" t="inlineStr"/>
      <c r="L2300" t="inlineStr"/>
      <c r="M2300" t="inlineStr"/>
      <c r="N2300" t="inlineStr"/>
      <c r="O2300">
        <f>(1-Summary!$B$11)*T2300+Summary!$B$11*V2300</f>
        <v/>
      </c>
      <c r="P2300">
        <f>IF(B2322=0,0,O2300/B2322)</f>
        <v/>
      </c>
      <c r="Q2300" t="n">
        <v>0</v>
      </c>
      <c r="R2300" t="n">
        <v>0</v>
      </c>
      <c r="S2300">
        <f>IFERROR(O2300/N2300,0)</f>
        <v/>
      </c>
      <c r="T2300" t="n">
        <v>0</v>
      </c>
      <c r="V2300" t="n">
        <v>0</v>
      </c>
    </row>
    <row r="2301">
      <c r="A2301">
        <f>Skills!A22</f>
        <v/>
      </c>
      <c r="B2301">
        <f>Skills!B22</f>
        <v/>
      </c>
      <c r="C2301">
        <f>Inputs!$B$3&gt;=33</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Skills!G22*IF(Skills!H22&gt;0,Skills!I22/Skills!H22,1)</f>
        <v/>
      </c>
      <c r="H2301">
        <f>1-(1-Skills!J22/100)^Skills!K22</f>
        <v/>
      </c>
      <c r="I2301" t="inlineStr">
        <is>
          <t>1</t>
        </is>
      </c>
      <c r="J2301" t="inlineStr"/>
      <c r="K2301" t="inlineStr"/>
      <c r="L2301" t="inlineStr"/>
      <c r="M2301" t="inlineStr"/>
      <c r="N2301" t="inlineStr"/>
      <c r="O2301">
        <f>(1-Summary!$B$11)*T2301+Summary!$B$11*V2301</f>
        <v/>
      </c>
      <c r="P2301">
        <f>IF(B2322=0,0,O2301/B2322)</f>
        <v/>
      </c>
      <c r="Q2301" t="n">
        <v>0</v>
      </c>
      <c r="R2301" t="n">
        <v>0</v>
      </c>
      <c r="S2301">
        <f>IFERROR(O2301/N2301,0)</f>
        <v/>
      </c>
      <c r="T2301" t="n">
        <v>0</v>
      </c>
      <c r="V2301" t="n">
        <v>0</v>
      </c>
    </row>
    <row r="2302">
      <c r="A2302">
        <f>Skills!A23</f>
        <v/>
      </c>
      <c r="B2302">
        <f>Skills!B23</f>
        <v/>
      </c>
      <c r="C2302">
        <f>Inputs!$B$3&gt;=38</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Skills!G23*IF(Skills!H23&gt;0,Skills!I23/Skills!H23,1)</f>
        <v/>
      </c>
      <c r="H2302">
        <f>1-(1-Skills!J23/100)^Skills!K23</f>
        <v/>
      </c>
      <c r="I2302" t="inlineStr">
        <is>
          <t>1</t>
        </is>
      </c>
      <c r="J2302" t="inlineStr"/>
      <c r="K2302" t="inlineStr"/>
      <c r="L2302" t="inlineStr"/>
      <c r="M2302" t="inlineStr"/>
      <c r="N2302" t="inlineStr"/>
      <c r="O2302">
        <f>(1-Summary!$B$11)*T2302+Summary!$B$11*V2302</f>
        <v/>
      </c>
      <c r="P2302">
        <f>IF(B2322=0,0,O2302/B2322)</f>
        <v/>
      </c>
      <c r="Q2302" t="n">
        <v>0</v>
      </c>
      <c r="R2302" t="n">
        <v>0</v>
      </c>
      <c r="S2302">
        <f>IFERROR(O2302/N2302,0)</f>
        <v/>
      </c>
      <c r="T2302" t="n">
        <v>0</v>
      </c>
      <c r="V2302" t="n">
        <v>0</v>
      </c>
    </row>
    <row r="2303">
      <c r="A2303">
        <f>Skills!A24</f>
        <v/>
      </c>
      <c r="B2303">
        <f>Skills!B24</f>
        <v/>
      </c>
      <c r="C2303">
        <f>Inputs!$B$3&gt;=43</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Skills!G24*IF(Skills!H24&gt;0,Skills!I24/Skills!H24,1)</f>
        <v/>
      </c>
      <c r="H2303">
        <f>1-(1-Skills!J24/100)^Skills!K24</f>
        <v/>
      </c>
      <c r="I2303" t="inlineStr">
        <is>
          <t>1</t>
        </is>
      </c>
      <c r="J2303" t="inlineStr"/>
      <c r="K2303" t="inlineStr"/>
      <c r="L2303" t="inlineStr"/>
      <c r="M2303" t="inlineStr"/>
      <c r="N2303" t="inlineStr"/>
      <c r="O2303">
        <f>(1-Summary!$B$11)*T2303+Summary!$B$11*V2303</f>
        <v/>
      </c>
      <c r="P2303">
        <f>IF(B2322=0,0,O2303/B2322)</f>
        <v/>
      </c>
      <c r="Q2303" t="n">
        <v>0</v>
      </c>
      <c r="R2303" t="n">
        <v>0</v>
      </c>
      <c r="S2303">
        <f>IFERROR(O2303/N2303,0)</f>
        <v/>
      </c>
      <c r="T2303" t="n">
        <v>0</v>
      </c>
      <c r="V2303" t="n">
        <v>0</v>
      </c>
    </row>
    <row r="2304">
      <c r="A2304">
        <f>Skills!A25</f>
        <v/>
      </c>
      <c r="B2304">
        <f>Skills!B25</f>
        <v/>
      </c>
      <c r="C2304">
        <f>Inputs!$B$3&gt;=75</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Skills!G25*IF(Skills!H25&gt;0,Skills!I25/Skills!H25,1)</f>
        <v/>
      </c>
      <c r="H2304">
        <f>1-(1-Skills!J25/100)^Skills!K25</f>
        <v/>
      </c>
      <c r="I2304" t="inlineStr">
        <is>
          <t>1</t>
        </is>
      </c>
      <c r="J2304" t="inlineStr"/>
      <c r="K2304" t="inlineStr"/>
      <c r="L2304" t="inlineStr"/>
      <c r="M2304" t="inlineStr"/>
      <c r="N2304" t="inlineStr"/>
      <c r="O2304">
        <f>(1-Summary!$B$11)*T2304+Summary!$B$11*V2304</f>
        <v/>
      </c>
      <c r="P2304">
        <f>IF(B2322=0,0,O2304/B2322)</f>
        <v/>
      </c>
      <c r="Q2304" t="n">
        <v>0</v>
      </c>
      <c r="R2304" t="n">
        <v>0</v>
      </c>
      <c r="S2304">
        <f>IFERROR(O2304/N2304,0)</f>
        <v/>
      </c>
      <c r="T2304" t="n">
        <v>0</v>
      </c>
      <c r="V2304" t="n">
        <v>0</v>
      </c>
    </row>
    <row r="2305">
      <c r="A2305">
        <f>Skills!A26</f>
        <v/>
      </c>
      <c r="B2305">
        <f>Skills!B26</f>
        <v/>
      </c>
      <c r="C2305">
        <f>Inputs!$B$3&gt;=125</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Skills!G26*IF(Skills!H26&gt;0,Skills!I26/Skills!H26,1)</f>
        <v/>
      </c>
      <c r="H2305">
        <f>1-(1-Skills!J26/100)^Skills!K26</f>
        <v/>
      </c>
      <c r="I2305" t="inlineStr">
        <is>
          <t>1</t>
        </is>
      </c>
      <c r="J2305" t="inlineStr"/>
      <c r="K2305" t="inlineStr"/>
      <c r="L2305" t="inlineStr"/>
      <c r="M2305" t="inlineStr"/>
      <c r="N2305" t="inlineStr"/>
      <c r="O2305">
        <f>(1-Summary!$B$11)*T2305+Summary!$B$11*V2305</f>
        <v/>
      </c>
      <c r="P2305">
        <f>IF(B2322=0,0,O2305/B2322)</f>
        <v/>
      </c>
      <c r="Q2305" t="n">
        <v>0</v>
      </c>
      <c r="R2305" t="n">
        <v>0</v>
      </c>
      <c r="S2305">
        <f>IFERROR(O2305/N2305,0)</f>
        <v/>
      </c>
      <c r="T2305" t="n">
        <v>0</v>
      </c>
      <c r="V2305" t="n">
        <v>0</v>
      </c>
    </row>
    <row r="2306">
      <c r="A2306">
        <f>Skills!A27</f>
        <v/>
      </c>
      <c r="B2306">
        <f>Skills!B27</f>
        <v/>
      </c>
      <c r="C2306">
        <f>Inputs!$B$3&gt;=125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Skills!G27*IF(Skills!H27&gt;0,Skills!I27/Skills!H27,1)</f>
        <v/>
      </c>
      <c r="H2306">
        <f>1-(1-Skills!J27/100)^Skills!K27</f>
        <v/>
      </c>
      <c r="I2306" t="inlineStr">
        <is>
          <t>1</t>
        </is>
      </c>
      <c r="J2306" t="inlineStr"/>
      <c r="K2306" t="inlineStr"/>
      <c r="L2306" t="inlineStr"/>
      <c r="M2306" t="inlineStr"/>
      <c r="N2306" t="inlineStr"/>
      <c r="O2306">
        <f>(1-Summary!$B$11)*T2306+Summary!$B$11*V2306</f>
        <v/>
      </c>
      <c r="P2306">
        <f>IF(B2322=0,0,O2306/B2322)</f>
        <v/>
      </c>
      <c r="Q2306" t="n">
        <v>0</v>
      </c>
      <c r="R2306" t="n">
        <v>0</v>
      </c>
      <c r="S2306">
        <f>IFERROR(O2306/N2306,0)</f>
        <v/>
      </c>
      <c r="T2306" t="n">
        <v>0</v>
      </c>
      <c r="V2306" t="n">
        <v>0</v>
      </c>
    </row>
    <row r="2307">
      <c r="A2307">
        <f>Skills!A28</f>
        <v/>
      </c>
      <c r="B2307">
        <f>Skills!B28</f>
        <v/>
      </c>
      <c r="C2307">
        <f>Inputs!$B$3&gt;=120</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Skills!G28*IF(Skills!H28&gt;0,Skills!I28/Skills!H28,1)</f>
        <v/>
      </c>
      <c r="H2307">
        <f>1-(1-Skills!J28/100)^Skills!K28</f>
        <v/>
      </c>
      <c r="I2307" t="inlineStr">
        <is>
          <t>1</t>
        </is>
      </c>
      <c r="J2307" t="inlineStr"/>
      <c r="K2307" t="inlineStr"/>
      <c r="L2307" t="inlineStr"/>
      <c r="M2307" t="inlineStr"/>
      <c r="N2307" t="inlineStr"/>
      <c r="O2307">
        <f>(1-Summary!$B$11)*T2307+Summary!$B$11*V2307</f>
        <v/>
      </c>
      <c r="P2307">
        <f>IF(B2322=0,0,O2307/B2322)</f>
        <v/>
      </c>
      <c r="Q2307" t="n">
        <v>0</v>
      </c>
      <c r="R2307" t="n">
        <v>0</v>
      </c>
      <c r="S2307">
        <f>IFERROR(O2307/N2307,0)</f>
        <v/>
      </c>
      <c r="T2307" t="n">
        <v>0</v>
      </c>
      <c r="V2307" t="n">
        <v>0</v>
      </c>
    </row>
    <row r="2308">
      <c r="A2308">
        <f>Skills!A29</f>
        <v/>
      </c>
      <c r="B2308">
        <f>Skills!B29</f>
        <v/>
      </c>
      <c r="C2308">
        <f>Inputs!$B$3&gt;=120</f>
        <v/>
      </c>
      <c r="D2308">
        <f>IF(Skills!C29=1,60+Inputs!$B$25+Inputs!$B$29,IF(Skills!C29=2,90+Inputs!$B$26+Inputs!$B$29,IF(Skills!C29=3,120+Inputs!$B$27+Inputs!$B$29,MAX(0,(Inputs!$B$3-100)*3)+Inputs!$B$28+Inputs!$B$29)))</f>
        <v/>
      </c>
      <c r="E2308">
        <f>INDEX(FactorTable!$B$2:$Y$301, MATCH(ROUND(MIN(300,MAX(1,D2308)),0), FactorTable!$A$2:$A$301,0), Skills!M29+1)</f>
        <v/>
      </c>
      <c r="F2308">
        <f>IF(Skills!N29=TRUE,(Skills!L29/10)*(E2308/1000),Skills!L29/10)+Skills!O29</f>
        <v/>
      </c>
      <c r="G2308">
        <f>Skills!G29*IF(Skills!H29&gt;0,Skills!I29/Skills!H29,1)</f>
        <v/>
      </c>
      <c r="H2308">
        <f>1-(1-Skills!J29/100)^Skills!K29</f>
        <v/>
      </c>
      <c r="I2308" t="inlineStr">
        <is>
          <t>1</t>
        </is>
      </c>
      <c r="J2308" t="inlineStr"/>
      <c r="K2308" t="inlineStr"/>
      <c r="L2308" t="inlineStr"/>
      <c r="M2308" t="inlineStr"/>
      <c r="N2308" t="inlineStr"/>
      <c r="O2308">
        <f>(1-Summary!$B$11)*T2308+Summary!$B$11*V2308</f>
        <v/>
      </c>
      <c r="P2308">
        <f>IF(B2322=0,0,O2308/B2322)</f>
        <v/>
      </c>
      <c r="Q2308" t="n">
        <v>0</v>
      </c>
      <c r="R2308" t="n">
        <v>0</v>
      </c>
      <c r="S2308">
        <f>IFERROR(O2308/N2308,0)</f>
        <v/>
      </c>
      <c r="T2308" t="n">
        <v>0</v>
      </c>
      <c r="V2308" t="n">
        <v>0</v>
      </c>
    </row>
    <row r="2309">
      <c r="A2309">
        <f>Skills!A30</f>
        <v/>
      </c>
      <c r="B2309">
        <f>Skills!B30</f>
        <v/>
      </c>
      <c r="C2309">
        <f>Inputs!$B$3&gt;=45</f>
        <v/>
      </c>
      <c r="D2309">
        <f>IF(Skills!C30=1,60+Inputs!$B$25+Inputs!$B$29,IF(Skills!C30=2,90+Inputs!$B$26+Inputs!$B$29,IF(Skills!C30=3,120+Inputs!$B$27+Inputs!$B$29,MAX(0,(Inputs!$B$3-100)*3)+Inputs!$B$28+Inputs!$B$29)))</f>
        <v/>
      </c>
      <c r="E2309">
        <f>INDEX(FactorTable!$B$2:$Y$301, MATCH(ROUND(MIN(300,MAX(1,D2309)),0), FactorTable!$A$2:$A$301,0), Skills!M30+1)</f>
        <v/>
      </c>
      <c r="F2309">
        <f>IF(Skills!N30=TRUE,(Skills!L30/10)*(E2309/1000),Skills!L30/10)+Skills!O30</f>
        <v/>
      </c>
      <c r="G2309">
        <f>Skills!G30*IF(Skills!H30&gt;0,Skills!I30/Skills!H30,1)</f>
        <v/>
      </c>
      <c r="H2309">
        <f>1-(1-Skills!J30/100)^Skills!K30</f>
        <v/>
      </c>
      <c r="I2309" t="inlineStr">
        <is>
          <t>1</t>
        </is>
      </c>
      <c r="J2309" t="inlineStr"/>
      <c r="K2309" t="inlineStr"/>
      <c r="L2309" t="inlineStr"/>
      <c r="M2309" t="inlineStr"/>
      <c r="N2309" t="inlineStr"/>
      <c r="O2309">
        <f>(1-Summary!$B$11)*T2309+Summary!$B$11*V2309</f>
        <v/>
      </c>
      <c r="P2309">
        <f>IF(B2322=0,0,O2309/B2322)</f>
        <v/>
      </c>
      <c r="Q2309" t="n">
        <v>0</v>
      </c>
      <c r="R2309" t="n">
        <v>0</v>
      </c>
      <c r="S2309">
        <f>IFERROR(O2309/N2309,0)</f>
        <v/>
      </c>
      <c r="T2309" t="n">
        <v>0</v>
      </c>
      <c r="V2309" t="n">
        <v>0</v>
      </c>
    </row>
    <row r="2311">
      <c r="A2311" t="inlineStr">
        <is>
          <t>Attack% Bucket Multiplier</t>
        </is>
      </c>
      <c r="B2311">
        <f>(1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2">
      <c r="A2312" t="inlineStr">
        <is>
          <t>Global Crit Rate Bonus %</t>
        </is>
      </c>
      <c r="B2312">
        <f>(C2295=TRUE)*20*IF(AND(Inputs!$B$38&lt;&gt;"pvp",Inputs!$B$43&gt;0),(((R2295-1)*(Skills!T16*(1+Inputs!$B$34/100))+MIN((Skills!T16*(1+Inputs!$B$34/100)),MAX(0,Inputs!$B$43-((R2295-1)*Skills!D16))))/Inputs!$B$43),IF(Inputs!$B$38="pvp",MIN((Skills!T16*(1+Inputs!$B$34/100)),15)/15,(Skills!T16*(1+Inputs!$B$34/100))/Skills!D16))</f>
        <v/>
      </c>
    </row>
    <row r="2313">
      <c r="A2313" t="inlineStr">
        <is>
          <t>Attack Speed Buff Bonus %</t>
        </is>
      </c>
      <c r="B2313">
        <f>((C2298=TRUE)*F2298*IF(AND(Inputs!$B$38&lt;&gt;"pvp",Inputs!$B$43&gt;0),(((R2298-1)*(Skills!T19*(1+Inputs!$B$34/100))+MIN((Skills!T19*(1+Inputs!$B$34/100)),MAX(0,Inputs!$B$43-((R2298-1)*Skills!D19))))/Inputs!$B$43),IF(Inputs!$B$38="pvp",MIN((Skills!T19*(1+Inputs!$B$34/100)),15)/15,(Skills!T19*(1+Inputs!$B$34/100))/Skills!D19)))</f>
        <v/>
      </c>
    </row>
    <row r="2314">
      <c r="A2314" t="inlineStr">
        <is>
          <t>Actions Per Second</t>
        </is>
      </c>
      <c r="B2314">
        <f>1+MIN(150,150*(1-(1-(Inputs!$B$11+((C2300=TRUE)*(F2300-Calc!F21))+((C2301=TRUE)*(F2301-Calc!F22)))/150)*(1-B2313/150)))/100</f>
        <v/>
      </c>
    </row>
    <row r="2315">
      <c r="A2315" t="inlineStr">
        <is>
          <t>Skill + Buff Cast Rate</t>
        </is>
      </c>
      <c r="B2315">
        <f>IF(AND(Inputs!$B$38&lt;&gt;"pvp",Inputs!$B$43&gt;0),SUMPRODUCT((Skills!E2:E30=TRUE)*(C2281:C2309=TRUE)*R2281:R2309*Skills!F2:F30)/Inputs!$B$43,SUMPRODUCT((Skills!E2:E30=TRUE)*(C2281:C2309=TRUE)*Q2281:Q2309*Skills!F2:F30))</f>
        <v/>
      </c>
    </row>
    <row r="2316">
      <c r="A2316" t="inlineStr">
        <is>
          <t>Arrow Stream Casts Per Second</t>
        </is>
      </c>
      <c r="B2316">
        <f>MAX(0,B2314-B2315)</f>
        <v/>
      </c>
    </row>
    <row r="2317">
      <c r="A2317" t="inlineStr">
        <is>
          <t>Global Critical Damage Bonus % (Sharp Eyes + Concentration)</t>
        </is>
      </c>
      <c r="B2317">
        <f>(C2295=TRUE)*F2295*IF(AND(Inputs!$B$38&lt;&gt;"pvp",Inputs!$B$43&gt;0),(((R2295-1)*(Skills!T16*(1+Inputs!$B$34/100))+MIN((Skills!T16*(1+Inputs!$B$34/100)),MAX(0,Inputs!$B$43-((R2295-1)*Skills!D16))))/Inputs!$B$43),IF(Inputs!$B$38="pvp",MIN((Skills!T16*(1+Inputs!$B$34/100)),15)/15,(Skills!T16*(1+Inputs!$B$34/100))/Skills!D16))+(C2296=TRUE)*30</f>
        <v/>
      </c>
    </row>
    <row r="2318">
      <c r="A2318" t="inlineStr">
        <is>
          <t>Global Final Damage Bonus % (Mortal Blow)</t>
        </is>
      </c>
      <c r="B2318">
        <f>(C2297=TRUE)*F2297</f>
        <v/>
      </c>
    </row>
    <row r="2319">
      <c r="A2319" t="inlineStr">
        <is>
          <t>Buff-Casting Startup Delay (s, fixed-duration only)</t>
        </is>
      </c>
      <c r="B2319">
        <f>IF(AND(Inputs!$B$38&lt;&gt;"pvp",Inputs!$B$43&gt;0),SUMPRODUCT((Skills!T2:T30&gt;0)*(Skills!E2:E30=TRUE)*(C2281:C2309=TRUE))/B2314,0)</f>
        <v/>
      </c>
    </row>
    <row r="2320">
      <c r="A2320" t="inlineStr">
        <is>
          <t>Boss-Only Total DPS (this block's swept value)</t>
        </is>
      </c>
      <c r="B2320">
        <f>SUM(T2281:T2309)</f>
        <v/>
      </c>
    </row>
    <row r="2321">
      <c r="A2321" t="inlineStr">
        <is>
          <t>Normal-Only Total DPS (this block's swept value)</t>
        </is>
      </c>
      <c r="B2321">
        <f>SUM(V2281:V2309)</f>
        <v/>
      </c>
    </row>
    <row r="2322">
      <c r="A2322" s="6" t="inlineStr">
        <is>
          <t>TOTAL DPS</t>
        </is>
      </c>
      <c r="B2322" s="6">
        <f>SUM(O2281:O2309)</f>
        <v/>
      </c>
    </row>
    <row r="2325">
      <c r="A2325" s="6" t="inlineStr">
        <is>
          <t>Stat: Ancient Text Piece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Q2326" s="5" t="inlineStr">
        <is>
          <t>InvCooldown</t>
        </is>
      </c>
      <c r="R2326" s="5" t="inlineStr">
        <is>
          <t>CastsInFight</t>
        </is>
      </c>
      <c r="S2326" s="5" t="inlineStr">
        <is>
          <t>HitRate(perSec)</t>
        </is>
      </c>
      <c r="U2326" t="inlineStr">
        <is>
          <t>helpers</t>
        </is>
      </c>
    </row>
    <row r="2327">
      <c r="A2327">
        <f>Skills!A2</f>
        <v/>
      </c>
      <c r="B2327">
        <f>Skills!B2</f>
        <v/>
      </c>
      <c r="C2327">
        <f>Inputs!$B$3&gt;=100</f>
        <v/>
      </c>
      <c r="D2327" t="inlineStr"/>
      <c r="E2327" t="inlineStr"/>
      <c r="F2327">
        <f>U2329+Skills!O2</f>
        <v/>
      </c>
      <c r="G2327">
        <f>Skills!G2*IF(Skills!H2&gt;0,Skills!I2/Skills!H2,1)</f>
        <v/>
      </c>
      <c r="H2327">
        <f>1-(1-Skills!J2/100)^Skills!K2</f>
        <v/>
      </c>
      <c r="I2327" t="inlineStr">
        <is>
          <t>1</t>
        </is>
      </c>
      <c r="J2327">
        <f>((Inputs!$B$6*(1+Inputs!$B$7/100))+(((Inputs!$B$12*(1+Inputs!$B$13/100))-(Inputs!$B$12*(1+Inputs!$B$13/100)))+0.25*(Inputs!$B$14-Inputs!$B$14))*(1+Inputs!$B$7/100))*(F2327/100)</f>
        <v/>
      </c>
      <c r="K2327">
        <f>J2327*(1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2349=TRUE)*(F2349-Calc!F24)),(Inputs!$B$23+((C2354=TRUE)*(F2354-Calc!F29))+(IF(ArtifactsInput!$M$15,CHOOSE(ArtifactsInput!$N$15+1,25,30,35,40,45,50)/100*(Inputs!$B$11-Inputs!$B$11),0))))/100+(Inputs!$B$23+((C2354=TRUE)*(F2354-Calc!F29))+(IF(ArtifactsInput!$M$15,CHOOSE(ArtifactsInput!$N$15+1,25,30,35,40,45,50)/100*(Inputs!$B$11-Inputs!$B$11),0)))/100)/2</f>
        <v/>
      </c>
      <c r="M2327">
        <f>L2327*(1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IF(B2368=0,0,O2327/B2368)</f>
        <v/>
      </c>
      <c r="Q2327" t="n">
        <v>0</v>
      </c>
      <c r="R2327" t="n">
        <v>0</v>
      </c>
      <c r="S2327">
        <f>IFERROR(O2327/N2327,0)</f>
        <v/>
      </c>
      <c r="T2327">
        <f>IF(C2327,(Skills!G2*N2327*B2362)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2327*(1-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MAX(0,(Inputs!$B$3-100)*3)+Inputs!$B$28+Inputs!$B$29</f>
        <v/>
      </c>
      <c r="V2327">
        <f>IF(C2327,(Skills!G2*N2327*B2362)*IF(Inputs!$B$38="pvp",1,(1+(Inputs!$B$21+Skills!Q2+(IF(ArtifactsInput!$M$33,CHOOSE(ArtifactsInput!$N$33+1,30,36,42,48,54,60),0))+(IF(AND(ArtifactsInput!$M$35,Inputs!$B$4&lt;&gt;"Chapter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Skills!A3</f>
        <v/>
      </c>
      <c r="B2328">
        <f>Skills!B3</f>
        <v/>
      </c>
      <c r="C2328">
        <f>Inputs!$B$3&gt;=50</f>
        <v/>
      </c>
      <c r="D2328">
        <f>IF(Skills!C3=1,60+Inputs!$B$25+Inputs!$B$29,IF(Skills!C3=2,90+Inputs!$B$26+Inputs!$B$29,IF(Skills!C3=3,120+Inputs!$B$27+Inputs!$B$29,MAX(0,(Inputs!$B$3-100)*3)+Inputs!$B$28+Inputs!$B$29)))</f>
        <v/>
      </c>
      <c r="E2328">
        <f>INDEX(FactorTable!$B$2:$Y$301, MATCH(ROUND(MIN(300,MAX(1,D2328)),0), FactorTable!$A$2:$A$301,0), Skills!M3+1)</f>
        <v/>
      </c>
      <c r="F2328">
        <f>IF(Skills!N3=TRUE,(Skills!L3/10)*(E2328/1000),Skills!L3/10)+Skills!O3</f>
        <v/>
      </c>
      <c r="G2328" t="inlineStr"/>
      <c r="H2328" t="inlineStr"/>
      <c r="I2328" t="inlineStr">
        <is>
          <t>1</t>
        </is>
      </c>
      <c r="J2328" t="inlineStr"/>
      <c r="K2328" t="inlineStr"/>
      <c r="L2328" t="inlineStr"/>
      <c r="M2328" t="inlineStr"/>
      <c r="N2328" t="inlineStr"/>
      <c r="O2328" t="inlineStr"/>
      <c r="P2328" t="inlineStr"/>
      <c r="Q2328" t="inlineStr"/>
      <c r="R2328" t="inlineStr"/>
      <c r="S2328" t="inlineStr"/>
      <c r="T2328" t="inlineStr"/>
      <c r="U2328">
        <f>INDEX(FactorTable!$B$2:$Y$301, MATCH(ROUND(MIN(300,MAX(1,U2327)),0), FactorTable!$A$2:$A$301,0), 22)</f>
        <v/>
      </c>
      <c r="V2328" t="inlineStr"/>
    </row>
    <row r="2329">
      <c r="A2329">
        <f>Skills!A4</f>
        <v/>
      </c>
      <c r="B2329">
        <f>Skills!B4</f>
        <v/>
      </c>
      <c r="C2329">
        <f>Inputs!$B$3&gt;=105</f>
        <v/>
      </c>
      <c r="D2329">
        <f>IF(Skills!C4=1,60+Inputs!$B$25+Inputs!$B$29,IF(Skills!C4=2,90+Inputs!$B$26+Inputs!$B$29,IF(Skills!C4=3,120+Inputs!$B$27+Inputs!$B$29,MAX(0,(Inputs!$B$3-100)*3)+Inputs!$B$28+Inputs!$B$29)))</f>
        <v/>
      </c>
      <c r="E2329">
        <f>INDEX(FactorTable!$B$2:$Y$301, MATCH(ROUND(MIN(300,MAX(1,D2329)),0), FactorTable!$A$2:$A$301,0), Skills!M4+1)</f>
        <v/>
      </c>
      <c r="F2329">
        <f>IF(Skills!N4=TRUE,(Skills!L4/10)*(E2329/1000),Skills!L4/10)+Skills!O4</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U2329">
        <f>290*U2328/1000</f>
        <v/>
      </c>
      <c r="V2329" t="inlineStr"/>
    </row>
    <row r="2330">
      <c r="A2330">
        <f>Skills!A5</f>
        <v/>
      </c>
      <c r="B2330">
        <f>Skills!B5</f>
        <v/>
      </c>
      <c r="C2330">
        <f>Inputs!$B$3&gt;=35</f>
        <v/>
      </c>
      <c r="D2330">
        <f>IF(Skills!C5=1,60+Inputs!$B$25+Inputs!$B$29,IF(Skills!C5=2,90+Inputs!$B$26+Inputs!$B$29,IF(Skills!C5=3,120+Inputs!$B$27+Inputs!$B$29,MAX(0,(Inputs!$B$3-100)*3)+Inputs!$B$28+Inputs!$B$29)))</f>
        <v/>
      </c>
      <c r="E2330">
        <f>INDEX(FactorTable!$B$2:$Y$301, MATCH(ROUND(MIN(300,MAX(1,D2330)),0), FactorTable!$A$2:$A$301,0), Skills!M5+1)</f>
        <v/>
      </c>
      <c r="F2330">
        <f>IF(Skills!N5=TRUE,(Skills!L5/10)*(E2330/1000),Skills!L5/10)+Skills!O5</f>
        <v/>
      </c>
      <c r="G2330">
        <f>Skills!G5*IF(Skills!H5&gt;0,Skills!I5/Skills!H5,1)</f>
        <v/>
      </c>
      <c r="H2330">
        <f>1-(1-Skills!J5/100)^Skills!K5</f>
        <v/>
      </c>
      <c r="I2330" t="inlineStr">
        <is>
          <t>1</t>
        </is>
      </c>
      <c r="J2330">
        <f>((Inputs!$B$6*(1+Inputs!$B$7/100))+(((Inputs!$B$12*(1+Inputs!$B$13/100))-(Inputs!$B$12*(1+Inputs!$B$13/100)))+0.25*(Inputs!$B$14-Inputs!$B$14))*(1+Inputs!$B$7/100))*(F2330/100)</f>
        <v/>
      </c>
      <c r="K2330">
        <f>J2330*(1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2335=TRUE,F2335,0)/100)*(1+(IF(Skills!A5="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2349=TRUE)*(F2349-Calc!F24)),(Inputs!$B$23+((C2354=TRUE)*(F2354-Calc!F29))+(IF(ArtifactsInput!$M$15,CHOOSE(ArtifactsInput!$N$15+1,25,30,35,40,45,50)/100*(Inputs!$B$11-Inputs!$B$11),0))))/100+(Inputs!$B$23+((C2354=TRUE)*(F2354-Calc!F29))+(IF(ArtifactsInput!$M$15,CHOOSE(ArtifactsInput!$N$15+1,25,30,35,40,45,50)/100*(Inputs!$B$11-Inputs!$B$11),0)))/100)/2</f>
        <v/>
      </c>
      <c r="M2330">
        <f>L2330*(1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IF(B2368=0,0,O2330/B2368)</f>
        <v/>
      </c>
      <c r="Q2330">
        <f>IFERROR(1/(IF(Inputs!$B$38="pvp",15,MAX(0.1,Skills!D5-IF(Skills!E5=TRUE,Inputs!$B$32,0)))*(1-IF(AND(ArtifactsInput!$M$27,Inputs!$B$4="Chapter Hunt"),CHOOSE(ArtifactsInput!$N$27+1,20,24,28,32,36,40),0)/100)),0)</f>
        <v/>
      </c>
      <c r="R2330">
        <f>IF(AND(Inputs!$B$38&lt;&gt;"pvp",Inputs!$B$43&gt;0),IF(MAX(0,Inputs!$B$43-B2365)&lt;=0,0,(INT(MAX(0,Inputs!$B$43-B2365)/(IF(Inputs!$B$38="pvp",15,MAX(0.1,Skills!D5-IF(Skills!E5=TRUE,Inputs!$B$32,0)))*(1-IF(AND(ArtifactsInput!$M$27,Inputs!$B$4="Chapter Hunt"),CHOOSE(ArtifactsInput!$N$27+1,20,24,28,32,36,40),0)/100)))+1)),0)</f>
        <v/>
      </c>
      <c r="S2330">
        <f>IFERROR(O2330/N2330,0)</f>
        <v/>
      </c>
      <c r="T2330">
        <f>IF(C2330,(H2330*N2330*IF(AND(Inputs!$B$38&lt;&gt;"pvp",Inputs!$B$43&gt;0),((Skills!G5*((R2330-1)*IF(Skills!H5&gt;0,Skills!I5/Skills!H5,1)+IF(Skills!H5&gt;0,MIN(Skills!I5,MAX(0,MAX(0,Inputs!$B$43-B2365)-((R2330-1)*(IF(Inputs!$B$38="pvp",15,MAX(0.1,Skills!D5-IF(Skills!E5=TRUE,Inputs!$B$32,0)))*(1-IF(AND(ArtifactsInput!$M$27,Inputs!$B$4="Chapter Hunt"),CHOOSE(ArtifactsInput!$N$27+1,20,24,28,32,36,40),0)/100)))))/Skills!H5,1)))/Inputs!$B$43),G2330*Q2330)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2330*(1-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5*((R2330-1)*IF(Skills!H5&gt;0,Skills!I5/Skills!H5,1)+IF(Skills!H5&gt;0,MIN(Skills!I5,MAX(0,MAX(0,Inputs!$B$43-B2365)-((R2330-1)*(IF(Inputs!$B$38="pvp",15,MAX(0.1,Skills!D5-IF(Skills!E5=TRUE,Inputs!$B$32,0)))*(1-IF(AND(ArtifactsInput!$M$27,Inputs!$B$4="Chapter Hunt"),CHOOSE(ArtifactsInput!$N$27+1,20,24,28,32,36,40),0)/100)))))/Skills!H5,1)))/Inputs!$B$43),G2330*Q2330))*IF(Inputs!$B$38="pvp",1,(1+(Inputs!$B$21+Skills!Q5+(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Inputs!$B$3&gt;=40</f>
        <v/>
      </c>
      <c r="D2331">
        <f>IF(Skills!C6=1,60+Inputs!$B$25+Inputs!$B$29,IF(Skills!C6=2,90+Inputs!$B$26+Inputs!$B$29,IF(Skills!C6=3,120+Inputs!$B$27+Inputs!$B$29,MAX(0,(Inputs!$B$3-100)*3)+Inputs!$B$28+Inputs!$B$29)))</f>
        <v/>
      </c>
      <c r="E2331">
        <f>INDEX(FactorTable!$B$2:$Y$301, MATCH(ROUND(MIN(300,MAX(1,D2331)),0), FactorTable!$A$2:$A$301,0), Skills!M6+1)</f>
        <v/>
      </c>
      <c r="F2331">
        <f>IF(Skills!N6=TRUE,(Skills!L6/10)*(E2331/1000),Skills!L6/10)+Skills!O6</f>
        <v/>
      </c>
      <c r="G2331">
        <f>Skills!G6*IF(Skills!H6&gt;0,Skills!I6/Skills!H6,1)</f>
        <v/>
      </c>
      <c r="H2331">
        <f>1-(1-Skills!J6/100)^Skills!K6</f>
        <v/>
      </c>
      <c r="I2331" t="inlineStr">
        <is>
          <t>1</t>
        </is>
      </c>
      <c r="J2331">
        <f>((Inputs!$B$6*(1+Inputs!$B$7/100))+(((Inputs!$B$12*(1+Inputs!$B$13/100))-(Inputs!$B$12*(1+Inputs!$B$13/100)))+0.25*(Inputs!$B$14-Inputs!$B$14))*(1+Inputs!$B$7/100))*(F2331/100)</f>
        <v/>
      </c>
      <c r="K2331">
        <f>J2331*(1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2332=TRUE,F2332,0)/100)*(1+(IF(Skills!A6="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2349=TRUE)*(F2349-Calc!F24)),(Inputs!$B$23+((C2354=TRUE)*(F2354-Calc!F29))+(IF(ArtifactsInput!$M$15,CHOOSE(ArtifactsInput!$N$15+1,25,30,35,40,45,50)/100*(Inputs!$B$11-Inputs!$B$11),0))))/100+(Inputs!$B$23+((C2354=TRUE)*(F2354-Calc!F29))+(IF(ArtifactsInput!$M$15,CHOOSE(ArtifactsInput!$N$15+1,25,30,35,40,45,50)/100*(Inputs!$B$11-Inputs!$B$11),0)))/100)/2</f>
        <v/>
      </c>
      <c r="M2331">
        <f>L2331*(1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IF(B2368=0,0,O2331/B2368)</f>
        <v/>
      </c>
      <c r="Q2331">
        <f>IFERROR(1/(IF(Inputs!$B$38="pvp",15,MAX(0.1,Skills!D6-IF(Skills!E6=TRUE,Inputs!$B$32,0)))*(1-IF(AND(ArtifactsInput!$M$27,Inputs!$B$4="Chapter Hunt"),CHOOSE(ArtifactsInput!$N$27+1,20,24,28,32,36,40),0)/100)),0)</f>
        <v/>
      </c>
      <c r="R2331">
        <f>IF(AND(Inputs!$B$38&lt;&gt;"pvp",Inputs!$B$43&gt;0),IF(MAX(0,Inputs!$B$43-B2365)&lt;=0,0,(INT(MAX(0,Inputs!$B$43-B2365)/(IF(Inputs!$B$38="pvp",15,MAX(0.1,Skills!D6-IF(Skills!E6=TRUE,Inputs!$B$32,0)))*(1-IF(AND(ArtifactsInput!$M$27,Inputs!$B$4="Chapter Hunt"),CHOOSE(ArtifactsInput!$N$27+1,20,24,28,32,36,40),0)/100)))+1)),0)</f>
        <v/>
      </c>
      <c r="S2331">
        <f>IFERROR(O2331/N2331,0)</f>
        <v/>
      </c>
      <c r="T2331">
        <f>IF(C2331,(H2331*N2331*IF(AND(Inputs!$B$38&lt;&gt;"pvp",Inputs!$B$43&gt;0),((Skills!G6*((R2331-1)*IF(Skills!H6&gt;0,Skills!I6/Skills!H6,1)+IF(Skills!H6&gt;0,MIN(Skills!I6,MAX(0,MAX(0,Inputs!$B$43-B2365)-((R2331-1)*(IF(Inputs!$B$38="pvp",15,MAX(0.1,Skills!D6-IF(Skills!E6=TRUE,Inputs!$B$32,0)))*(1-IF(AND(ArtifactsInput!$M$27,Inputs!$B$4="Chapter Hunt"),CHOOSE(ArtifactsInput!$N$27+1,20,24,28,32,36,40),0)/100)))))/Skills!H6,1)))/Inputs!$B$43),G2331*Q2331)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2331*(1-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6*((R2331-1)*IF(Skills!H6&gt;0,Skills!I6/Skills!H6,1)+IF(Skills!H6&gt;0,MIN(Skills!I6,MAX(0,MAX(0,Inputs!$B$43-B2365)-((R2331-1)*(IF(Inputs!$B$38="pvp",15,MAX(0.1,Skills!D6-IF(Skills!E6=TRUE,Inputs!$B$32,0)))*(1-IF(AND(ArtifactsInput!$M$27,Inputs!$B$4="Chapter Hunt"),CHOOSE(ArtifactsInput!$N$27+1,20,24,28,32,36,40),0)/100)))))/Skills!H6,1)))/Inputs!$B$43),G2331*Q2331))*IF(Inputs!$B$38="pvp",1,(1+(Inputs!$B$21+Skills!Q6+(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Inputs!$B$3&gt;=107</f>
        <v/>
      </c>
      <c r="D2332">
        <f>IF(Skills!C7=1,60+Inputs!$B$25+Inputs!$B$29,IF(Skills!C7=2,90+Inputs!$B$26+Inputs!$B$29,IF(Skills!C7=3,120+Inputs!$B$27+Inputs!$B$29,MAX(0,(Inputs!$B$3-100)*3)+Inputs!$B$28+Inputs!$B$29)))</f>
        <v/>
      </c>
      <c r="E2332">
        <f>INDEX(FactorTable!$B$2:$Y$301, MATCH(ROUND(MIN(300,MAX(1,D2332)),0), FactorTable!$A$2:$A$301,0), Skills!M7+1)</f>
        <v/>
      </c>
      <c r="F2332">
        <f>IF(Skills!N7=TRUE,(Skills!L7/10)*(E2332/1000),Skills!L7/10)+Skills!O7</f>
        <v/>
      </c>
      <c r="G2332" t="inlineStr"/>
      <c r="H2332" t="inlineStr"/>
      <c r="I2332" t="inlineStr">
        <is>
          <t>1</t>
        </is>
      </c>
      <c r="J2332" t="inlineStr"/>
      <c r="K2332" t="inlineStr"/>
      <c r="L2332" t="inlineStr"/>
      <c r="M2332" t="inlineStr"/>
      <c r="N2332" t="inlineStr"/>
      <c r="O2332" t="inlineStr"/>
      <c r="P2332" t="inlineStr"/>
      <c r="Q2332" t="inlineStr"/>
      <c r="R2332" t="inlineStr"/>
      <c r="S2332" t="inlineStr"/>
      <c r="T2332" t="inlineStr"/>
      <c r="V2332" t="inlineStr"/>
    </row>
    <row r="2333">
      <c r="A2333">
        <f>Skills!A8</f>
        <v/>
      </c>
      <c r="B2333">
        <f>Skills!B8</f>
        <v/>
      </c>
      <c r="C2333">
        <f>Inputs!$B$3&gt;=69</f>
        <v/>
      </c>
      <c r="D2333">
        <f>IF(Skills!C8=1,60+Inputs!$B$25+Inputs!$B$29,IF(Skills!C8=2,90+Inputs!$B$26+Inputs!$B$29,IF(Skills!C8=3,120+Inputs!$B$27+Inputs!$B$29,MAX(0,(Inputs!$B$3-100)*3)+Inputs!$B$28+Inputs!$B$29)))</f>
        <v/>
      </c>
      <c r="E2333">
        <f>INDEX(FactorTable!$B$2:$Y$301, MATCH(ROUND(MIN(300,MAX(1,D2333)),0), FactorTable!$A$2:$A$301,0), Skills!M8+1)</f>
        <v/>
      </c>
      <c r="F2333">
        <f>IF(Skills!N8=TRUE,(Skills!L8/10)*(E2333/1000),Skills!L8/10)+Skills!O8</f>
        <v/>
      </c>
      <c r="G2333">
        <f>Skills!G8*IF(Skills!H8&gt;0,Skills!I8/Skills!H8,1)</f>
        <v/>
      </c>
      <c r="H2333">
        <f>1-(1-Skills!J8/100)^Skills!K8</f>
        <v/>
      </c>
      <c r="I2333" t="inlineStr">
        <is>
          <t>1</t>
        </is>
      </c>
      <c r="J2333">
        <f>((Inputs!$B$6*(1+Inputs!$B$7/100))+(((Inputs!$B$12*(1+Inputs!$B$13/100))-(Inputs!$B$12*(1+Inputs!$B$13/100)))+0.25*(Inputs!$B$14-Inputs!$B$14))*(1+Inputs!$B$7/100))*(F2333/100)</f>
        <v/>
      </c>
      <c r="K2333">
        <f>J2333*(1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2335=TRUE,F2335,0)/100)*(1+(IF(Skills!A8="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2349=TRUE)*(F2349-Calc!F24)),(Inputs!$B$23+((C2354=TRUE)*(F2354-Calc!F29))+(IF(ArtifactsInput!$M$15,CHOOSE(ArtifactsInput!$N$15+1,25,30,35,40,45,50)/100*(Inputs!$B$11-Inputs!$B$11),0))))/100+(Inputs!$B$23+((C2354=TRUE)*(F2354-Calc!F29))+(IF(ArtifactsInput!$M$15,CHOOSE(ArtifactsInput!$N$15+1,25,30,35,40,45,50)/100*(Inputs!$B$11-Inputs!$B$11),0)))/100)/2</f>
        <v/>
      </c>
      <c r="M2333">
        <f>L2333*(1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IF(B2368=0,0,O2333/B2368)</f>
        <v/>
      </c>
      <c r="Q2333">
        <f>IFERROR(1/(IF(Inputs!$B$38="pvp",15,MAX(0.1,Skills!D8-IF(Skills!E8=TRUE,Inputs!$B$32,0)))*(1-IF(AND(ArtifactsInput!$M$27,Inputs!$B$4="Chapter Hunt"),CHOOSE(ArtifactsInput!$N$27+1,20,24,28,32,36,40),0)/100)),0)</f>
        <v/>
      </c>
      <c r="R2333">
        <f>IF(AND(Inputs!$B$38&lt;&gt;"pvp",Inputs!$B$43&gt;0),IF(MAX(0,Inputs!$B$43-B2365)&lt;=0,0,(INT(MAX(0,Inputs!$B$43-B2365)/(IF(Inputs!$B$38="pvp",15,MAX(0.1,Skills!D8-IF(Skills!E8=TRUE,Inputs!$B$32,0)))*(1-IF(AND(ArtifactsInput!$M$27,Inputs!$B$4="Chapter Hunt"),CHOOSE(ArtifactsInput!$N$27+1,20,24,28,32,36,40),0)/100)))+1)),0)</f>
        <v/>
      </c>
      <c r="S2333">
        <f>IFERROR(O2333/N2333,0)</f>
        <v/>
      </c>
      <c r="T2333">
        <f>IF(C2333,(H2333*N2333*IF(AND(Inputs!$B$38&lt;&gt;"pvp",Inputs!$B$43&gt;0),((Skills!G8*((R2333-1)*IF(Skills!H8&gt;0,Skills!I8/Skills!H8,1)+IF(Skills!H8&gt;0,MIN(Skills!I8,MAX(0,MAX(0,Inputs!$B$43-B2365)-((R2333-1)*(IF(Inputs!$B$38="pvp",15,MAX(0.1,Skills!D8-IF(Skills!E8=TRUE,Inputs!$B$32,0)))*(1-IF(AND(ArtifactsInput!$M$27,Inputs!$B$4="Chapter Hunt"),CHOOSE(ArtifactsInput!$N$27+1,20,24,28,32,36,40),0)/100)))))/Skills!H8,1)))/Inputs!$B$43),G2333*Q2333)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8*((R2333-1)*IF(Skills!H8&gt;0,Skills!I8/Skills!H8,1)+IF(Skills!H8&gt;0,MIN(Skills!I8,MAX(0,MAX(0,Inputs!$B$43-B2365)-((R2333-1)*(IF(Inputs!$B$38="pvp",15,MAX(0.1,Skills!D8-IF(Skills!E8=TRUE,Inputs!$B$32,0)))*(1-IF(AND(ArtifactsInput!$M$27,Inputs!$B$4="Chapter Hunt"),CHOOSE(ArtifactsInput!$N$27+1,20,24,28,32,36,40),0)/100)))))/Skills!H8,1)))/Inputs!$B$43),G2333*Q2333))*IF(Inputs!$B$38="pvp",1,(1+(Inputs!$B$21+Skills!Q8+(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Inputs!$B$3&gt;=63</f>
        <v/>
      </c>
      <c r="D2334">
        <f>IF(Skills!C9=1,60+Inputs!$B$25+Inputs!$B$29,IF(Skills!C9=2,90+Inputs!$B$26+Inputs!$B$29,IF(Skills!C9=3,120+Inputs!$B$27+Inputs!$B$29,MAX(0,(Inputs!$B$3-100)*3)+Inputs!$B$28+Inputs!$B$29)))</f>
        <v/>
      </c>
      <c r="E2334">
        <f>INDEX(FactorTable!$B$2:$Y$301, MATCH(ROUND(MIN(300,MAX(1,D2334)),0), FactorTable!$A$2:$A$301,0), Skills!M9+1)</f>
        <v/>
      </c>
      <c r="F2334">
        <f>IF(Skills!N9=TRUE,(Skills!L9/10)*(E2334/1000),Skills!L9/10)+Skills!O9</f>
        <v/>
      </c>
      <c r="G2334">
        <f>Skills!G9*IF(Skills!H9&gt;0,Skills!I9/Skills!H9,1)</f>
        <v/>
      </c>
      <c r="H2334">
        <f>1-(1-Skills!J9/100)^Skills!K9</f>
        <v/>
      </c>
      <c r="I2334" t="inlineStr">
        <is>
          <t>1</t>
        </is>
      </c>
      <c r="J2334">
        <f>((Inputs!$B$6*(1+Inputs!$B$7/100))+(((Inputs!$B$12*(1+Inputs!$B$13/100))-(Inputs!$B$12*(1+Inputs!$B$13/100)))+0.25*(Inputs!$B$14-Inputs!$B$14))*(1+Inputs!$B$7/100))*(F2334/100)</f>
        <v/>
      </c>
      <c r="K2334">
        <f>J2334*(1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2335=TRUE,F2335,0)/100)*(1+(IF(Skills!A9="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C2349=TRUE)*(F2349-Calc!F24)),(Inputs!$B$23+((C2354=TRUE)*(F2354-Calc!F29))+(IF(ArtifactsInput!$M$15,CHOOSE(ArtifactsInput!$N$15+1,25,30,35,40,45,50)/100*(Inputs!$B$11-Inputs!$B$11),0))))/100+(Inputs!$B$23+((C2354=TRUE)*(F2354-Calc!F29))+(IF(ArtifactsInput!$M$15,CHOOSE(ArtifactsInput!$N$15+1,25,30,35,40,45,50)/100*(Inputs!$B$11-Inputs!$B$11),0)))/100)/2</f>
        <v/>
      </c>
      <c r="M2334">
        <f>L2334*(1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(1-Summary!$B$11)*T2334+Summary!$B$11*V2334</f>
        <v/>
      </c>
      <c r="P2334">
        <f>IF(B2368=0,0,O2334/B2368)</f>
        <v/>
      </c>
      <c r="Q2334">
        <f>IFERROR(1/(IF(Inputs!$B$38="pvp",15,MAX(0.1,Skills!D9-IF(Skills!E9=TRUE,Inputs!$B$32,0)))*(1-IF(AND(ArtifactsInput!$M$27,Inputs!$B$4="Chapter Hunt"),CHOOSE(ArtifactsInput!$N$27+1,20,24,28,32,36,40),0)/100)),0)</f>
        <v/>
      </c>
      <c r="R2334">
        <f>IF(AND(Inputs!$B$38&lt;&gt;"pvp",Inputs!$B$43&gt;0),IF(MAX(0,Inputs!$B$43-B2365)&lt;=0,0,(INT(MAX(0,Inputs!$B$43-B2365)/(IF(Inputs!$B$38="pvp",15,MAX(0.1,Skills!D9-IF(Skills!E9=TRUE,Inputs!$B$32,0)))*(1-IF(AND(ArtifactsInput!$M$27,Inputs!$B$4="Chapter Hunt"),CHOOSE(ArtifactsInput!$N$27+1,20,24,28,32,36,40),0)/100)))+1)),0)</f>
        <v/>
      </c>
      <c r="S2334">
        <f>IFERROR(O2334/N2334,0)</f>
        <v/>
      </c>
      <c r="T2334">
        <f>IF(C2334,(H2334*N2334*IF(AND(Inputs!$B$38&lt;&gt;"pvp",Inputs!$B$43&gt;0),((Skills!G9*((R2334-1)*IF(Skills!H9&gt;0,Skills!I9/Skills!H9,1)+IF(Skills!H9&gt;0,MIN(Skills!I9,MAX(0,MAX(0,Inputs!$B$43-B2365)-((R2334-1)*(IF(Inputs!$B$38="pvp",15,MAX(0.1,Skills!D9-IF(Skills!E9=TRUE,Inputs!$B$32,0)))*(1-IF(AND(ArtifactsInput!$M$27,Inputs!$B$4="Chapter Hunt"),CHOOSE(ArtifactsInput!$N$27+1,20,24,28,32,36,40),0)/100)))))/Skills!H9,1)))/Inputs!$B$43),G2334*Q2334)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2334*(1-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4">
        <f>IF(C2334,(H2334*N2334*IF(AND(Inputs!$B$38&lt;&gt;"pvp",Inputs!$B$43&gt;0),((Skills!G9*((R2334-1)*IF(Skills!H9&gt;0,Skills!I9/Skills!H9,1)+IF(Skills!H9&gt;0,MIN(Skills!I9,MAX(0,MAX(0,Inputs!$B$43-B2365)-((R2334-1)*(IF(Inputs!$B$38="pvp",15,MAX(0.1,Skills!D9-IF(Skills!E9=TRUE,Inputs!$B$32,0)))*(1-IF(AND(ArtifactsInput!$M$27,Inputs!$B$4="Chapter Hunt"),CHOOSE(ArtifactsInput!$N$27+1,20,24,28,32,36,40),0)/100)))))/Skills!H9,1)))/Inputs!$B$43),G2334*Q2334))*IF(Inputs!$B$38="pvp",1,(1+(Inputs!$B$21+Skills!Q9+(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Inputs!$B$3&gt;=100</f>
        <v/>
      </c>
      <c r="D2335">
        <f>IF(Skills!C10=1,60+Inputs!$B$25+Inputs!$B$29,IF(Skills!C10=2,90+Inputs!$B$26+Inputs!$B$29,IF(Skills!C10=3,120+Inputs!$B$27+Inputs!$B$29,MAX(0,(Inputs!$B$3-100)*3)+Inputs!$B$28+Inputs!$B$29)))</f>
        <v/>
      </c>
      <c r="E2335">
        <f>INDEX(FactorTable!$B$2:$Y$301, MATCH(ROUND(MIN(300,MAX(1,D2335)),0), FactorTable!$A$2:$A$301,0), Skills!M10+1)</f>
        <v/>
      </c>
      <c r="F2335">
        <f>IF(Skills!N10=TRUE,(Skills!L10/10)*(E2335/1000),Skills!L10/10)+Skills!O10</f>
        <v/>
      </c>
      <c r="G2335" t="inlineStr"/>
      <c r="H2335" t="inlineStr"/>
      <c r="I2335" t="inlineStr">
        <is>
          <t>1</t>
        </is>
      </c>
      <c r="J2335" t="inlineStr"/>
      <c r="K2335" t="inlineStr"/>
      <c r="L2335" t="inlineStr"/>
      <c r="M2335" t="inlineStr"/>
      <c r="N2335" t="inlineStr"/>
      <c r="O2335" t="inlineStr"/>
      <c r="P2335" t="inlineStr"/>
      <c r="Q2335" t="inlineStr"/>
      <c r="R2335" t="inlineStr"/>
      <c r="S2335" t="inlineStr"/>
      <c r="T2335" t="inlineStr"/>
      <c r="V2335" t="inlineStr"/>
    </row>
    <row r="2336">
      <c r="A2336">
        <f>Skills!A11</f>
        <v/>
      </c>
      <c r="B2336">
        <f>Skills!B11</f>
        <v/>
      </c>
      <c r="C2336">
        <f>Inputs!$B$3&gt;=60</f>
        <v/>
      </c>
      <c r="D2336">
        <f>IF(Skills!C11=1,60+Inputs!$B$25+Inputs!$B$29,IF(Skills!C11=2,90+Inputs!$B$26+Inputs!$B$29,IF(Skills!C11=3,120+Inputs!$B$27+Inputs!$B$29,MAX(0,(Inputs!$B$3-100)*3)+Inputs!$B$28+Inputs!$B$29)))</f>
        <v/>
      </c>
      <c r="E2336">
        <f>INDEX(FactorTable!$B$2:$Y$301, MATCH(ROUND(MIN(300,MAX(1,D2336)),0), FactorTable!$A$2:$A$301,0), Skills!M11+1)</f>
        <v/>
      </c>
      <c r="F2336">
        <f>IF(Skills!N11=TRUE,(Skills!L11/10)*(E2336/1000),Skills!L11/10)+Skills!O11</f>
        <v/>
      </c>
      <c r="G2336">
        <f>Skills!G11*IF(Skills!H11&gt;0,Skills!I11/Skills!H11,1)</f>
        <v/>
      </c>
      <c r="H2336">
        <f>1-(1-Skills!J11/100)^Skills!K11</f>
        <v/>
      </c>
      <c r="I2336" t="inlineStr">
        <is>
          <t>1</t>
        </is>
      </c>
      <c r="J2336">
        <f>((Inputs!$B$6*(1+Inputs!$B$7/100))+(((Inputs!$B$12*(1+Inputs!$B$13/100))-(Inputs!$B$12*(1+Inputs!$B$13/100)))+0.25*(Inputs!$B$14-Inputs!$B$14))*(1+Inputs!$B$7/100))*(F2336/100)</f>
        <v/>
      </c>
      <c r="K2336">
        <f>J2336*(1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2337=TRUE,F2337,0)/100)*(1+(IF(Skills!A11="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2349=TRUE)*(F2349-Calc!F24)),(Inputs!$B$23+((C2354=TRUE)*(F2354-Calc!F29))+(IF(ArtifactsInput!$M$15,CHOOSE(ArtifactsInput!$N$15+1,25,30,35,40,45,50)/100*(Inputs!$B$11-Inputs!$B$11),0))))/100+(Inputs!$B$23+((C2354=TRUE)*(F2354-Calc!F29))+(IF(ArtifactsInput!$M$15,CHOOSE(ArtifactsInput!$N$15+1,25,30,35,40,45,50)/100*(Inputs!$B$11-Inputs!$B$11),0)))/100)/2</f>
        <v/>
      </c>
      <c r="M2336">
        <f>L2336*(1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IF(B2368=0,0,O2336/B2368)</f>
        <v/>
      </c>
      <c r="Q2336">
        <f>IFERROR(1/(IF(Inputs!$B$38="pvp",15,MAX(0.1,Skills!D11-IF(Skills!E11=TRUE,Inputs!$B$32,0)))*(1-IF(AND(ArtifactsInput!$M$27,Inputs!$B$4="Chapter Hunt"),CHOOSE(ArtifactsInput!$N$27+1,20,24,28,32,36,40),0)/100)),0)</f>
        <v/>
      </c>
      <c r="R2336">
        <f>IF(AND(Inputs!$B$38&lt;&gt;"pvp",Inputs!$B$43&gt;0),IF(MAX(0,Inputs!$B$43-B2365)&lt;=0,0,(INT(MAX(0,Inputs!$B$43-B2365)/(IF(Inputs!$B$38="pvp",15,MAX(0.1,Skills!D11-IF(Skills!E11=TRUE,Inputs!$B$32,0)))*(1-IF(AND(ArtifactsInput!$M$27,Inputs!$B$4="Chapter Hunt"),CHOOSE(ArtifactsInput!$N$27+1,20,24,28,32,36,40),0)/100)))+1)),0)</f>
        <v/>
      </c>
      <c r="S2336">
        <f>IFERROR(O2336/N2336,0)</f>
        <v/>
      </c>
      <c r="T2336">
        <f>IF(C2336,(H2336*N2336*IF(AND(Inputs!$B$38&lt;&gt;"pvp",Inputs!$B$43&gt;0),((Skills!G11*((R2336-1)*IF(Skills!H11&gt;0,Skills!I11/Skills!H11,1)+IF(Skills!H11&gt;0,MIN(Skills!I11,MAX(0,MAX(0,Inputs!$B$43-B2365)-((R2336-1)*(IF(Inputs!$B$38="pvp",15,MAX(0.1,Skills!D11-IF(Skills!E11=TRUE,Inputs!$B$32,0)))*(1-IF(AND(ArtifactsInput!$M$27,Inputs!$B$4="Chapter Hunt"),CHOOSE(ArtifactsInput!$N$27+1,20,24,28,32,36,40),0)/100)))))/Skills!H11,1)))/Inputs!$B$43),G2336*Q2336)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2336*(1-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11*((R2336-1)*IF(Skills!H11&gt;0,Skills!I11/Skills!H11,1)+IF(Skills!H11&gt;0,MIN(Skills!I11,MAX(0,MAX(0,Inputs!$B$43-B2365)-((R2336-1)*(IF(Inputs!$B$38="pvp",15,MAX(0.1,Skills!D11-IF(Skills!E11=TRUE,Inputs!$B$32,0)))*(1-IF(AND(ArtifactsInput!$M$27,Inputs!$B$4="Chapter Hunt"),CHOOSE(ArtifactsInput!$N$27+1,20,24,28,32,36,40),0)/100)))))/Skills!H11,1)))/Inputs!$B$43),G2336*Q2336))*IF(Inputs!$B$38="pvp",1,(1+(Inputs!$B$21+Skills!Q11+(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Inputs!$B$3&gt;=110</f>
        <v/>
      </c>
      <c r="D2337">
        <f>IF(Skills!C12=1,60+Inputs!$B$25+Inputs!$B$29,IF(Skills!C12=2,90+Inputs!$B$26+Inputs!$B$29,IF(Skills!C12=3,120+Inputs!$B$27+Inputs!$B$29,MAX(0,(Inputs!$B$3-100)*3)+Inputs!$B$28+Inputs!$B$29)))</f>
        <v/>
      </c>
      <c r="E2337">
        <f>INDEX(FactorTable!$B$2:$Y$301, MATCH(ROUND(MIN(300,MAX(1,D2337)),0), FactorTable!$A$2:$A$301,0), Skills!M12+1)</f>
        <v/>
      </c>
      <c r="F2337">
        <f>IF(Skills!N12=TRUE,(Skills!L12/10)*(E2337/1000),Skills!L12/10)+Skills!O12</f>
        <v/>
      </c>
      <c r="G2337" t="inlineStr"/>
      <c r="H2337" t="inlineStr"/>
      <c r="I2337" t="inlineStr">
        <is>
          <t>1</t>
        </is>
      </c>
      <c r="J2337" t="inlineStr"/>
      <c r="K2337" t="inlineStr"/>
      <c r="L2337" t="inlineStr"/>
      <c r="M2337" t="inlineStr"/>
      <c r="N2337" t="inlineStr"/>
      <c r="O2337" t="inlineStr"/>
      <c r="P2337" t="inlineStr"/>
      <c r="Q2337" t="inlineStr"/>
      <c r="R2337" t="inlineStr"/>
      <c r="S2337" t="inlineStr"/>
      <c r="T2337" t="inlineStr"/>
      <c r="V2337" t="inlineStr"/>
    </row>
    <row r="2338">
      <c r="A2338">
        <f>Skills!A13</f>
        <v/>
      </c>
      <c r="B2338">
        <f>Skills!B13</f>
        <v/>
      </c>
      <c r="C2338">
        <f>Inputs!$B$3&gt;=74</f>
        <v/>
      </c>
      <c r="D2338">
        <f>IF(Skills!C13=1,60+Inputs!$B$25+Inputs!$B$29,IF(Skills!C13=2,90+Inputs!$B$26+Inputs!$B$29,IF(Skills!C13=3,120+Inputs!$B$27+Inputs!$B$29,MAX(0,(Inputs!$B$3-100)*3)+Inputs!$B$28+Inputs!$B$29)))</f>
        <v/>
      </c>
      <c r="E2338">
        <f>INDEX(FactorTable!$B$2:$Y$301, MATCH(ROUND(MIN(300,MAX(1,D2338)),0), FactorTable!$A$2:$A$301,0), Skills!M13+1)</f>
        <v/>
      </c>
      <c r="F2338">
        <f>IF(Skills!N13=TRUE,(Skills!L13/10)*(E2338/1000),Skills!L13/10)+Skills!O13</f>
        <v/>
      </c>
      <c r="G2338">
        <f>Skills!G13*IF(Skills!H13&gt;0,Skills!I13/Skills!H13,1)</f>
        <v/>
      </c>
      <c r="H2338">
        <f>1-(1-Skills!J13/100)^Skills!K13</f>
        <v/>
      </c>
      <c r="I2338" t="inlineStr">
        <is>
          <t>1</t>
        </is>
      </c>
      <c r="J2338" t="inlineStr"/>
      <c r="K2338" t="inlineStr"/>
      <c r="L2338" t="inlineStr"/>
      <c r="M2338" t="inlineStr"/>
      <c r="N2338" t="inlineStr"/>
      <c r="O2338">
        <f>(1-Summary!$B$11)*T2338+Summary!$B$11*V2338</f>
        <v/>
      </c>
      <c r="P2338">
        <f>IF(B2368=0,0,O2338/B2368)</f>
        <v/>
      </c>
      <c r="Q2338" t="n">
        <v>0</v>
      </c>
      <c r="R2338" t="n">
        <v>0</v>
      </c>
      <c r="S2338">
        <f>IFERROR(O2338/N2338,0)</f>
        <v/>
      </c>
      <c r="T2338" t="n">
        <v>0</v>
      </c>
      <c r="V2338" t="n">
        <v>0</v>
      </c>
    </row>
    <row r="2339">
      <c r="A2339">
        <f>Skills!A14</f>
        <v/>
      </c>
      <c r="B2339">
        <f>Skills!B14</f>
        <v/>
      </c>
      <c r="C2339">
        <f>Inputs!$B$3&gt;=74</f>
        <v/>
      </c>
      <c r="D2339">
        <f>IF(Skills!C14=1,60+Inputs!$B$25+Inputs!$B$29,IF(Skills!C14=2,90+Inputs!$B$26+Inputs!$B$29,IF(Skills!C14=3,120+Inputs!$B$27+Inputs!$B$29,MAX(0,(Inputs!$B$3-100)*3)+Inputs!$B$28+Inputs!$B$29)))</f>
        <v/>
      </c>
      <c r="E2339">
        <f>INDEX(FactorTable!$B$2:$Y$301, MATCH(ROUND(MIN(300,MAX(1,D2339)),0), FactorTable!$A$2:$A$301,0), Skills!M14+1)</f>
        <v/>
      </c>
      <c r="F2339">
        <f>IF(Skills!N14=TRUE,(Skills!L14/10)*(E2339/1000),Skills!L14/10)+Skills!O14</f>
        <v/>
      </c>
      <c r="G2339">
        <f>Skills!G14*IF(Skills!H14&gt;0,Skills!I14/Skills!H14,1)</f>
        <v/>
      </c>
      <c r="H2339">
        <f>1-(1-Skills!J14/100)^Skills!K14</f>
        <v/>
      </c>
      <c r="I2339" t="inlineStr">
        <is>
          <t>1</t>
        </is>
      </c>
      <c r="J2339" t="inlineStr"/>
      <c r="K2339" t="inlineStr"/>
      <c r="L2339" t="inlineStr"/>
      <c r="M2339" t="inlineStr"/>
      <c r="N2339" t="inlineStr"/>
      <c r="O2339">
        <f>(1-Summary!$B$11)*T2339+Summary!$B$11*V2339</f>
        <v/>
      </c>
      <c r="P2339">
        <f>IF(B2368=0,0,O2339/B2368)</f>
        <v/>
      </c>
      <c r="Q2339" t="n">
        <v>0</v>
      </c>
      <c r="R2339" t="n">
        <v>0</v>
      </c>
      <c r="S2339">
        <f>IFERROR(O2339/N2339,0)</f>
        <v/>
      </c>
      <c r="T2339" t="n">
        <v>0</v>
      </c>
      <c r="V2339" t="n">
        <v>0</v>
      </c>
    </row>
    <row r="2340">
      <c r="A2340">
        <f>Skills!A15</f>
        <v/>
      </c>
      <c r="B2340">
        <f>Skills!B15</f>
        <v/>
      </c>
      <c r="C2340">
        <f>Inputs!$B$3&gt;=117</f>
        <v/>
      </c>
      <c r="D2340">
        <f>IF(Skills!C15=1,60+Inputs!$B$25+Inputs!$B$29,IF(Skills!C15=2,90+Inputs!$B$26+Inputs!$B$29,IF(Skills!C15=3,120+Inputs!$B$27+Inputs!$B$29,MAX(0,(Inputs!$B$3-100)*3)+Inputs!$B$28+Inputs!$B$29)))</f>
        <v/>
      </c>
      <c r="E2340">
        <f>INDEX(FactorTable!$B$2:$Y$301, MATCH(ROUND(MIN(300,MAX(1,D2340)),0), FactorTable!$A$2:$A$301,0), Skills!M15+1)</f>
        <v/>
      </c>
      <c r="F2340">
        <f>IF(Skills!N15=TRUE,(Skills!L15/10)*(E2340/1000),Skills!L15/10)+Skills!O15</f>
        <v/>
      </c>
      <c r="G2340">
        <f>Skills!G15*IF(Skills!H15&gt;0,Skills!I15/Skills!H15,1)</f>
        <v/>
      </c>
      <c r="H2340">
        <f>1-(1-Skills!J15/100)^Skills!K15</f>
        <v/>
      </c>
      <c r="I2340" t="inlineStr">
        <is>
          <t>1</t>
        </is>
      </c>
      <c r="J2340" t="inlineStr"/>
      <c r="K2340" t="inlineStr"/>
      <c r="L2340" t="inlineStr"/>
      <c r="M2340" t="inlineStr"/>
      <c r="N2340" t="inlineStr"/>
      <c r="O2340">
        <f>(1-Summary!$B$11)*T2340+Summary!$B$11*V2340</f>
        <v/>
      </c>
      <c r="P2340">
        <f>IF(B2368=0,0,O2340/B2368)</f>
        <v/>
      </c>
      <c r="Q2340">
        <f>IFERROR(1/(IF(Inputs!$B$38="pvp",15,MAX(0.1,Skills!D15-IF(Skills!E15=TRUE,Inputs!$B$32,0)))*(1-IF(AND(ArtifactsInput!$M$27,Inputs!$B$4="Chapter Hunt"),CHOOSE(ArtifactsInput!$N$27+1,20,24,28,32,36,40),0)/100)),0)</f>
        <v/>
      </c>
      <c r="R2340">
        <f>IF(AND(Inputs!$B$38&lt;&gt;"pvp",Inputs!$B$43&gt;0),IF(Inputs!$B$43&lt;=0,0,(INT(Inputs!$B$43/(IF(Inputs!$B$38="pvp",15,MAX(0.1,Skills!D15-IF(Skills!E15=TRUE,Inputs!$B$32,0)))*(1-IF(AND(ArtifactsInput!$M$27,Inputs!$B$4="Chapter Hunt"),CHOOSE(ArtifactsInput!$N$27+1,20,24,28,32,36,40),0)/100)))+1)),0)</f>
        <v/>
      </c>
      <c r="S2340">
        <f>IFERROR(O2340/N2340,0)</f>
        <v/>
      </c>
      <c r="T2340" t="n">
        <v>0</v>
      </c>
      <c r="V2340" t="n">
        <v>0</v>
      </c>
    </row>
    <row r="2341">
      <c r="A2341">
        <f>Skills!A16</f>
        <v/>
      </c>
      <c r="B2341">
        <f>Skills!B16</f>
        <v/>
      </c>
      <c r="C2341">
        <f>Inputs!$B$3&gt;=115</f>
        <v/>
      </c>
      <c r="D2341">
        <f>IF(Skills!C16=1,60+Inputs!$B$25+Inputs!$B$29,IF(Skills!C16=2,90+Inputs!$B$26+Inputs!$B$29,IF(Skills!C16=3,120+Inputs!$B$27+Inputs!$B$29,MAX(0,(Inputs!$B$3-100)*3)+Inputs!$B$28+Inputs!$B$29)))</f>
        <v/>
      </c>
      <c r="E2341">
        <f>INDEX(FactorTable!$B$2:$Y$301, MATCH(ROUND(MIN(300,MAX(1,D2341)),0), FactorTable!$A$2:$A$301,0), Skills!M16+1)</f>
        <v/>
      </c>
      <c r="F2341">
        <f>IF(Skills!N16=TRUE,(Skills!L16/10)*(E2341/1000),Skills!L16/10)+Skills!O16</f>
        <v/>
      </c>
      <c r="G2341">
        <f>Skills!G16*IF(Skills!H16&gt;0,Skills!I16/Skills!H16,1)</f>
        <v/>
      </c>
      <c r="H2341">
        <f>1-(1-Skills!J16/100)^Skills!K16</f>
        <v/>
      </c>
      <c r="I2341" t="inlineStr">
        <is>
          <t>1</t>
        </is>
      </c>
      <c r="J2341" t="inlineStr"/>
      <c r="K2341" t="inlineStr"/>
      <c r="L2341" t="inlineStr"/>
      <c r="M2341" t="inlineStr"/>
      <c r="N2341" t="inlineStr"/>
      <c r="O2341">
        <f>(1-Summary!$B$11)*T2341+Summary!$B$11*V2341</f>
        <v/>
      </c>
      <c r="P2341">
        <f>IF(B2368=0,0,O2341/B2368)</f>
        <v/>
      </c>
      <c r="Q2341">
        <f>IFERROR(1/(IF(Inputs!$B$38="pvp",15,MAX(0.1,Skills!D16-IF(Skills!E16=TRUE,Inputs!$B$32,0)))*(1-IF(AND(ArtifactsInput!$M$27,Inputs!$B$4="Chapter Hunt"),CHOOSE(ArtifactsInput!$N$27+1,20,24,28,32,36,40),0)/100)),0)</f>
        <v/>
      </c>
      <c r="R2341">
        <f>IF(AND(Inputs!$B$38&lt;&gt;"pvp",Inputs!$B$43&gt;0),IF(Inputs!$B$43&lt;=0,0,(INT(Inputs!$B$43/(IF(Inputs!$B$38="pvp",15,MAX(0.1,Skills!D16-IF(Skills!E16=TRUE,Inputs!$B$32,0)))*(1-IF(AND(ArtifactsInput!$M$27,Inputs!$B$4="Chapter Hunt"),CHOOSE(ArtifactsInput!$N$27+1,20,24,28,32,36,40),0)/100)))+1)),0)</f>
        <v/>
      </c>
      <c r="S2341">
        <f>IFERROR(O2341/N2341,0)</f>
        <v/>
      </c>
      <c r="T2341" t="n">
        <v>0</v>
      </c>
      <c r="V2341" t="n">
        <v>0</v>
      </c>
    </row>
    <row r="2342">
      <c r="A2342">
        <f>Skills!A17</f>
        <v/>
      </c>
      <c r="B2342">
        <f>Skills!B17</f>
        <v/>
      </c>
      <c r="C2342">
        <f>Inputs!$B$3&gt;=66</f>
        <v/>
      </c>
      <c r="D2342">
        <f>IF(Skills!C17=1,60+Inputs!$B$25+Inputs!$B$29,IF(Skills!C17=2,90+Inputs!$B$26+Inputs!$B$29,IF(Skills!C17=3,120+Inputs!$B$27+Inputs!$B$29,MAX(0,(Inputs!$B$3-100)*3)+Inputs!$B$28+Inputs!$B$29)))</f>
        <v/>
      </c>
      <c r="E2342">
        <f>INDEX(FactorTable!$B$2:$Y$301, MATCH(ROUND(MIN(300,MAX(1,D2342)),0), FactorTable!$A$2:$A$301,0), Skills!M17+1)</f>
        <v/>
      </c>
      <c r="F2342">
        <f>IF(Skills!N17=TRUE,(Skills!L17/10)*(E2342/1000),Skills!L17/10)+Skills!O17</f>
        <v/>
      </c>
      <c r="G2342">
        <f>Skills!G17*IF(Skills!H17&gt;0,Skills!I17/Skills!H17,1)</f>
        <v/>
      </c>
      <c r="H2342">
        <f>1-(1-Skills!J17/100)^Skills!K17</f>
        <v/>
      </c>
      <c r="I2342" t="inlineStr">
        <is>
          <t>1</t>
        </is>
      </c>
      <c r="J2342" t="inlineStr"/>
      <c r="K2342" t="inlineStr"/>
      <c r="L2342" t="inlineStr"/>
      <c r="M2342" t="inlineStr"/>
      <c r="N2342" t="inlineStr"/>
      <c r="O2342">
        <f>(1-Summary!$B$11)*T2342+Summary!$B$11*V2342</f>
        <v/>
      </c>
      <c r="P2342">
        <f>IF(B2368=0,0,O2342/B2368)</f>
        <v/>
      </c>
      <c r="Q2342" t="n">
        <v>0</v>
      </c>
      <c r="R2342" t="n">
        <v>0</v>
      </c>
      <c r="S2342">
        <f>IFERROR(O2342/N2342,0)</f>
        <v/>
      </c>
      <c r="T2342" t="n">
        <v>0</v>
      </c>
      <c r="V2342" t="n">
        <v>0</v>
      </c>
    </row>
    <row r="2343">
      <c r="A2343">
        <f>Skills!A18</f>
        <v/>
      </c>
      <c r="B2343">
        <f>Skills!B18</f>
        <v/>
      </c>
      <c r="C2343">
        <f>Inputs!$B$3&gt;=72</f>
        <v/>
      </c>
      <c r="D2343">
        <f>IF(Skills!C18=1,60+Inputs!$B$25+Inputs!$B$29,IF(Skills!C18=2,90+Inputs!$B$26+Inputs!$B$29,IF(Skills!C18=3,120+Inputs!$B$27+Inputs!$B$29,MAX(0,(Inputs!$B$3-100)*3)+Inputs!$B$28+Inputs!$B$29)))</f>
        <v/>
      </c>
      <c r="E2343">
        <f>INDEX(FactorTable!$B$2:$Y$301, MATCH(ROUND(MIN(300,MAX(1,D2343)),0), FactorTable!$A$2:$A$301,0), Skills!M18+1)</f>
        <v/>
      </c>
      <c r="F2343">
        <f>IF(Skills!N18=TRUE,(Skills!L18/10)*(E2343/1000),Skills!L18/10)+Skills!O18</f>
        <v/>
      </c>
      <c r="G2343">
        <f>Skills!G18*IF(Skills!H18&gt;0,Skills!I18/Skills!H18,1)</f>
        <v/>
      </c>
      <c r="H2343">
        <f>1-(1-Skills!J18/100)^Skills!K18</f>
        <v/>
      </c>
      <c r="I2343" t="inlineStr">
        <is>
          <t>1</t>
        </is>
      </c>
      <c r="J2343" t="inlineStr"/>
      <c r="K2343" t="inlineStr"/>
      <c r="L2343" t="inlineStr"/>
      <c r="M2343" t="inlineStr"/>
      <c r="N2343" t="inlineStr"/>
      <c r="O2343">
        <f>(1-Summary!$B$11)*T2343+Summary!$B$11*V2343</f>
        <v/>
      </c>
      <c r="P2343">
        <f>IF(B2368=0,0,O2343/B2368)</f>
        <v/>
      </c>
      <c r="Q2343" t="n">
        <v>0</v>
      </c>
      <c r="R2343" t="n">
        <v>0</v>
      </c>
      <c r="S2343">
        <f>IFERROR(O2343/N2343,0)</f>
        <v/>
      </c>
      <c r="T2343" t="n">
        <v>0</v>
      </c>
      <c r="V2343" t="n">
        <v>0</v>
      </c>
    </row>
    <row r="2344">
      <c r="A2344">
        <f>Skills!A19</f>
        <v/>
      </c>
      <c r="B2344">
        <f>Skills!B19</f>
        <v/>
      </c>
      <c r="C2344">
        <f>TRUE</f>
        <v/>
      </c>
      <c r="D2344">
        <f>IF(Skills!C19=1,60+Inputs!$B$25+Inputs!$B$29,IF(Skills!C19=2,90+Inputs!$B$26+Inputs!$B$29,IF(Skills!C19=3,120+Inputs!$B$27+Inputs!$B$29,MAX(0,(Inputs!$B$3-100)*3)+Inputs!$B$28+Inputs!$B$29)))</f>
        <v/>
      </c>
      <c r="E2344">
        <f>INDEX(FactorTable!$B$2:$Y$301, MATCH(ROUND(MIN(300,MAX(1,D2344)),0), FactorTable!$A$2:$A$301,0), Skills!M19+1)</f>
        <v/>
      </c>
      <c r="F2344">
        <f>IF(Skills!N19=TRUE,(Skills!L19/10)*(E2344/1000),Skills!L19/10)+Skills!O19</f>
        <v/>
      </c>
      <c r="G2344">
        <f>Skills!G19*IF(Skills!H19&gt;0,Skills!I19/Skills!H19,1)</f>
        <v/>
      </c>
      <c r="H2344">
        <f>1-(1-Skills!J19/100)^Skills!K19</f>
        <v/>
      </c>
      <c r="I2344" t="inlineStr">
        <is>
          <t>1</t>
        </is>
      </c>
      <c r="J2344" t="inlineStr"/>
      <c r="K2344" t="inlineStr"/>
      <c r="L2344" t="inlineStr"/>
      <c r="M2344" t="inlineStr"/>
      <c r="N2344" t="inlineStr"/>
      <c r="O2344">
        <f>(1-Summary!$B$11)*T2344+Summary!$B$11*V2344</f>
        <v/>
      </c>
      <c r="P2344">
        <f>IF(B2368=0,0,O2344/B2368)</f>
        <v/>
      </c>
      <c r="Q2344">
        <f>IFERROR(1/(IF(Inputs!$B$38="pvp",15,MAX(0.1,Skills!D19-IF(Skills!E19=TRUE,Inputs!$B$32,0)))*(1-IF(AND(ArtifactsInput!$M$27,Inputs!$B$4="Chapter Hunt"),CHOOSE(ArtifactsInput!$N$27+1,20,24,28,32,36,40),0)/100)),0)</f>
        <v/>
      </c>
      <c r="R2344">
        <f>IF(AND(Inputs!$B$38&lt;&gt;"pvp",Inputs!$B$43&gt;0),IF(Inputs!$B$43&lt;=0,0,(INT(Inputs!$B$43/(IF(Inputs!$B$38="pvp",15,MAX(0.1,Skills!D19-IF(Skills!E19=TRUE,Inputs!$B$32,0)))*(1-IF(AND(ArtifactsInput!$M$27,Inputs!$B$4="Chapter Hunt"),CHOOSE(ArtifactsInput!$N$27+1,20,24,28,32,36,40),0)/100)))+1)),0)</f>
        <v/>
      </c>
      <c r="S2344">
        <f>IFERROR(O2344/N2344,0)</f>
        <v/>
      </c>
      <c r="T2344" t="n">
        <v>0</v>
      </c>
      <c r="V2344" t="n">
        <v>0</v>
      </c>
    </row>
    <row r="2345">
      <c r="A2345">
        <f>Skills!A20</f>
        <v/>
      </c>
      <c r="B2345">
        <f>Skills!B20</f>
        <v/>
      </c>
      <c r="C2345">
        <f>Inputs!$B$3&gt;=15</f>
        <v/>
      </c>
      <c r="D2345">
        <f>IF(Skills!C20=1,60+Inputs!$B$25+Inputs!$B$29,IF(Skills!C20=2,90+Inputs!$B$26+Inputs!$B$29,IF(Skills!C20=3,120+Inputs!$B$27+Inputs!$B$29,MAX(0,(Inputs!$B$3-100)*3)+Inputs!$B$28+Inputs!$B$29)))</f>
        <v/>
      </c>
      <c r="E2345">
        <f>INDEX(FactorTable!$B$2:$Y$301, MATCH(ROUND(MIN(300,MAX(1,D2345)),0), FactorTable!$A$2:$A$301,0), Skills!M20+1)</f>
        <v/>
      </c>
      <c r="F2345">
        <f>IF(Skills!N20=TRUE,(Skills!L20/10)*(E2345/1000),Skills!L20/10)+Skills!O20</f>
        <v/>
      </c>
      <c r="G2345">
        <f>Skills!G20*IF(Skills!H20&gt;0,Skills!I20/Skills!H20,1)</f>
        <v/>
      </c>
      <c r="H2345">
        <f>1-(1-Skills!J20/100)^Skills!K20</f>
        <v/>
      </c>
      <c r="I2345" t="inlineStr">
        <is>
          <t>1</t>
        </is>
      </c>
      <c r="J2345" t="inlineStr"/>
      <c r="K2345" t="inlineStr"/>
      <c r="L2345" t="inlineStr"/>
      <c r="M2345" t="inlineStr"/>
      <c r="N2345" t="inlineStr"/>
      <c r="O2345">
        <f>(1-Summary!$B$11)*T2345+Summary!$B$11*V2345</f>
        <v/>
      </c>
      <c r="P2345">
        <f>IF(B2368=0,0,O2345/B2368)</f>
        <v/>
      </c>
      <c r="Q2345" t="n">
        <v>0</v>
      </c>
      <c r="R2345" t="n">
        <v>0</v>
      </c>
      <c r="S2345">
        <f>IFERROR(O2345/N2345,0)</f>
        <v/>
      </c>
      <c r="T2345" t="n">
        <v>0</v>
      </c>
      <c r="V2345" t="n">
        <v>0</v>
      </c>
    </row>
    <row r="2346">
      <c r="A2346">
        <f>Skills!A21</f>
        <v/>
      </c>
      <c r="B2346">
        <f>Skills!B21</f>
        <v/>
      </c>
      <c r="C2346">
        <f>Inputs!$B$3&gt;=10</f>
        <v/>
      </c>
      <c r="D2346">
        <f>IF(Skills!C21=1,60+Inputs!$B$25+Inputs!$B$29,IF(Skills!C21=2,90+Inputs!$B$26+Inputs!$B$29,IF(Skills!C21=3,120+Inputs!$B$27+Inputs!$B$29,MAX(0,(Inputs!$B$3-100)*3)+Inputs!$B$28+Inputs!$B$29)))</f>
        <v/>
      </c>
      <c r="E2346">
        <f>INDEX(FactorTable!$B$2:$Y$301, MATCH(ROUND(MIN(300,MAX(1,D2346)),0), FactorTable!$A$2:$A$301,0), Skills!M21+1)</f>
        <v/>
      </c>
      <c r="F2346">
        <f>IF(Skills!N21=TRUE,(Skills!L21/10)*(E2346/1000),Skills!L21/10)+Skills!O21</f>
        <v/>
      </c>
      <c r="G2346">
        <f>Skills!G21*IF(Skills!H21&gt;0,Skills!I21/Skills!H21,1)</f>
        <v/>
      </c>
      <c r="H2346">
        <f>1-(1-Skills!J21/100)^Skills!K21</f>
        <v/>
      </c>
      <c r="I2346" t="inlineStr">
        <is>
          <t>1</t>
        </is>
      </c>
      <c r="J2346" t="inlineStr"/>
      <c r="K2346" t="inlineStr"/>
      <c r="L2346" t="inlineStr"/>
      <c r="M2346" t="inlineStr"/>
      <c r="N2346" t="inlineStr"/>
      <c r="O2346">
        <f>(1-Summary!$B$11)*T2346+Summary!$B$11*V2346</f>
        <v/>
      </c>
      <c r="P2346">
        <f>IF(B2368=0,0,O2346/B2368)</f>
        <v/>
      </c>
      <c r="Q2346" t="n">
        <v>0</v>
      </c>
      <c r="R2346" t="n">
        <v>0</v>
      </c>
      <c r="S2346">
        <f>IFERROR(O2346/N2346,0)</f>
        <v/>
      </c>
      <c r="T2346" t="n">
        <v>0</v>
      </c>
      <c r="V2346" t="n">
        <v>0</v>
      </c>
    </row>
    <row r="2347">
      <c r="A2347">
        <f>Skills!A22</f>
        <v/>
      </c>
      <c r="B2347">
        <f>Skills!B22</f>
        <v/>
      </c>
      <c r="C2347">
        <f>Inputs!$B$3&gt;=33</f>
        <v/>
      </c>
      <c r="D2347">
        <f>IF(Skills!C22=1,60+Inputs!$B$25+Inputs!$B$29,IF(Skills!C22=2,90+Inputs!$B$26+Inputs!$B$29,IF(Skills!C22=3,120+Inputs!$B$27+Inputs!$B$29,MAX(0,(Inputs!$B$3-100)*3)+Inputs!$B$28+Inputs!$B$29)))</f>
        <v/>
      </c>
      <c r="E2347">
        <f>INDEX(FactorTable!$B$2:$Y$301, MATCH(ROUND(MIN(300,MAX(1,D2347)),0), FactorTable!$A$2:$A$301,0), Skills!M22+1)</f>
        <v/>
      </c>
      <c r="F2347">
        <f>IF(Skills!N22=TRUE,(Skills!L22/10)*(E2347/1000),Skills!L22/10)+Skills!O22</f>
        <v/>
      </c>
      <c r="G2347">
        <f>Skills!G22*IF(Skills!H22&gt;0,Skills!I22/Skills!H22,1)</f>
        <v/>
      </c>
      <c r="H2347">
        <f>1-(1-Skills!J22/100)^Skills!K22</f>
        <v/>
      </c>
      <c r="I2347" t="inlineStr">
        <is>
          <t>1</t>
        </is>
      </c>
      <c r="J2347" t="inlineStr"/>
      <c r="K2347" t="inlineStr"/>
      <c r="L2347" t="inlineStr"/>
      <c r="M2347" t="inlineStr"/>
      <c r="N2347" t="inlineStr"/>
      <c r="O2347">
        <f>(1-Summary!$B$11)*T2347+Summary!$B$11*V2347</f>
        <v/>
      </c>
      <c r="P2347">
        <f>IF(B2368=0,0,O2347/B2368)</f>
        <v/>
      </c>
      <c r="Q2347" t="n">
        <v>0</v>
      </c>
      <c r="R2347" t="n">
        <v>0</v>
      </c>
      <c r="S2347">
        <f>IFERROR(O2347/N2347,0)</f>
        <v/>
      </c>
      <c r="T2347" t="n">
        <v>0</v>
      </c>
      <c r="V2347" t="n">
        <v>0</v>
      </c>
    </row>
    <row r="2348">
      <c r="A2348">
        <f>Skills!A23</f>
        <v/>
      </c>
      <c r="B2348">
        <f>Skills!B23</f>
        <v/>
      </c>
      <c r="C2348">
        <f>Inputs!$B$3&gt;=38</f>
        <v/>
      </c>
      <c r="D2348">
        <f>IF(Skills!C23=1,60+Inputs!$B$25+Inputs!$B$29,IF(Skills!C23=2,90+Inputs!$B$26+Inputs!$B$29,IF(Skills!C23=3,120+Inputs!$B$27+Inputs!$B$29,MAX(0,(Inputs!$B$3-100)*3)+Inputs!$B$28+Inputs!$B$29)))</f>
        <v/>
      </c>
      <c r="E2348">
        <f>INDEX(FactorTable!$B$2:$Y$301, MATCH(ROUND(MIN(300,MAX(1,D2348)),0), FactorTable!$A$2:$A$301,0), Skills!M23+1)</f>
        <v/>
      </c>
      <c r="F2348">
        <f>IF(Skills!N23=TRUE,(Skills!L23/10)*(E2348/1000),Skills!L23/10)+Skills!O23</f>
        <v/>
      </c>
      <c r="G2348">
        <f>Skills!G23*IF(Skills!H23&gt;0,Skills!I23/Skills!H23,1)</f>
        <v/>
      </c>
      <c r="H2348">
        <f>1-(1-Skills!J23/100)^Skills!K23</f>
        <v/>
      </c>
      <c r="I2348" t="inlineStr">
        <is>
          <t>1</t>
        </is>
      </c>
      <c r="J2348" t="inlineStr"/>
      <c r="K2348" t="inlineStr"/>
      <c r="L2348" t="inlineStr"/>
      <c r="M2348" t="inlineStr"/>
      <c r="N2348" t="inlineStr"/>
      <c r="O2348">
        <f>(1-Summary!$B$11)*T2348+Summary!$B$11*V2348</f>
        <v/>
      </c>
      <c r="P2348">
        <f>IF(B2368=0,0,O2348/B2368)</f>
        <v/>
      </c>
      <c r="Q2348" t="n">
        <v>0</v>
      </c>
      <c r="R2348" t="n">
        <v>0</v>
      </c>
      <c r="S2348">
        <f>IFERROR(O2348/N2348,0)</f>
        <v/>
      </c>
      <c r="T2348" t="n">
        <v>0</v>
      </c>
      <c r="V2348" t="n">
        <v>0</v>
      </c>
    </row>
    <row r="2349">
      <c r="A2349">
        <f>Skills!A24</f>
        <v/>
      </c>
      <c r="B2349">
        <f>Skills!B24</f>
        <v/>
      </c>
      <c r="C2349">
        <f>Inputs!$B$3&gt;=43</f>
        <v/>
      </c>
      <c r="D2349">
        <f>IF(Skills!C24=1,60+Inputs!$B$25+Inputs!$B$29,IF(Skills!C24=2,90+Inputs!$B$26+Inputs!$B$29,IF(Skills!C24=3,120+Inputs!$B$27+Inputs!$B$29,MAX(0,(Inputs!$B$3-100)*3)+Inputs!$B$28+Inputs!$B$29)))</f>
        <v/>
      </c>
      <c r="E2349">
        <f>INDEX(FactorTable!$B$2:$Y$301, MATCH(ROUND(MIN(300,MAX(1,D2349)),0), FactorTable!$A$2:$A$301,0), Skills!M24+1)</f>
        <v/>
      </c>
      <c r="F2349">
        <f>IF(Skills!N24=TRUE,(Skills!L24/10)*(E2349/1000),Skills!L24/10)+Skills!O24</f>
        <v/>
      </c>
      <c r="G2349">
        <f>Skills!G24*IF(Skills!H24&gt;0,Skills!I24/Skills!H24,1)</f>
        <v/>
      </c>
      <c r="H2349">
        <f>1-(1-Skills!J24/100)^Skills!K24</f>
        <v/>
      </c>
      <c r="I2349" t="inlineStr">
        <is>
          <t>1</t>
        </is>
      </c>
      <c r="J2349" t="inlineStr"/>
      <c r="K2349" t="inlineStr"/>
      <c r="L2349" t="inlineStr"/>
      <c r="M2349" t="inlineStr"/>
      <c r="N2349" t="inlineStr"/>
      <c r="O2349">
        <f>(1-Summary!$B$11)*T2349+Summary!$B$11*V2349</f>
        <v/>
      </c>
      <c r="P2349">
        <f>IF(B2368=0,0,O2349/B2368)</f>
        <v/>
      </c>
      <c r="Q2349" t="n">
        <v>0</v>
      </c>
      <c r="R2349" t="n">
        <v>0</v>
      </c>
      <c r="S2349">
        <f>IFERROR(O2349/N2349,0)</f>
        <v/>
      </c>
      <c r="T2349" t="n">
        <v>0</v>
      </c>
      <c r="V2349" t="n">
        <v>0</v>
      </c>
    </row>
    <row r="2350">
      <c r="A2350">
        <f>Skills!A25</f>
        <v/>
      </c>
      <c r="B2350">
        <f>Skills!B25</f>
        <v/>
      </c>
      <c r="C2350">
        <f>Inputs!$B$3&gt;=75</f>
        <v/>
      </c>
      <c r="D2350">
        <f>IF(Skills!C25=1,60+Inputs!$B$25+Inputs!$B$29,IF(Skills!C25=2,90+Inputs!$B$26+Inputs!$B$29,IF(Skills!C25=3,120+Inputs!$B$27+Inputs!$B$29,MAX(0,(Inputs!$B$3-100)*3)+Inputs!$B$28+Inputs!$B$29)))</f>
        <v/>
      </c>
      <c r="E2350">
        <f>INDEX(FactorTable!$B$2:$Y$301, MATCH(ROUND(MIN(300,MAX(1,D2350)),0), FactorTable!$A$2:$A$301,0), Skills!M25+1)</f>
        <v/>
      </c>
      <c r="F2350">
        <f>IF(Skills!N25=TRUE,(Skills!L25/10)*(E2350/1000),Skills!L25/10)+Skills!O25</f>
        <v/>
      </c>
      <c r="G2350">
        <f>Skills!G25*IF(Skills!H25&gt;0,Skills!I25/Skills!H25,1)</f>
        <v/>
      </c>
      <c r="H2350">
        <f>1-(1-Skills!J25/100)^Skills!K25</f>
        <v/>
      </c>
      <c r="I2350" t="inlineStr">
        <is>
          <t>1</t>
        </is>
      </c>
      <c r="J2350" t="inlineStr"/>
      <c r="K2350" t="inlineStr"/>
      <c r="L2350" t="inlineStr"/>
      <c r="M2350" t="inlineStr"/>
      <c r="N2350" t="inlineStr"/>
      <c r="O2350">
        <f>(1-Summary!$B$11)*T2350+Summary!$B$11*V2350</f>
        <v/>
      </c>
      <c r="P2350">
        <f>IF(B2368=0,0,O2350/B2368)</f>
        <v/>
      </c>
      <c r="Q2350" t="n">
        <v>0</v>
      </c>
      <c r="R2350" t="n">
        <v>0</v>
      </c>
      <c r="S2350">
        <f>IFERROR(O2350/N2350,0)</f>
        <v/>
      </c>
      <c r="T2350" t="n">
        <v>0</v>
      </c>
      <c r="V2350" t="n">
        <v>0</v>
      </c>
    </row>
    <row r="2351">
      <c r="A2351">
        <f>Skills!A26</f>
        <v/>
      </c>
      <c r="B2351">
        <f>Skills!B26</f>
        <v/>
      </c>
      <c r="C2351">
        <f>Inputs!$B$3&gt;=125</f>
        <v/>
      </c>
      <c r="D2351">
        <f>IF(Skills!C26=1,60+Inputs!$B$25+Inputs!$B$29,IF(Skills!C26=2,90+Inputs!$B$26+Inputs!$B$29,IF(Skills!C26=3,120+Inputs!$B$27+Inputs!$B$29,MAX(0,(Inputs!$B$3-100)*3)+Inputs!$B$28+Inputs!$B$29)))</f>
        <v/>
      </c>
      <c r="E2351">
        <f>INDEX(FactorTable!$B$2:$Y$301, MATCH(ROUND(MIN(300,MAX(1,D2351)),0), FactorTable!$A$2:$A$301,0), Skills!M26+1)</f>
        <v/>
      </c>
      <c r="F2351">
        <f>IF(Skills!N26=TRUE,(Skills!L26/10)*(E2351/1000),Skills!L26/10)+Skills!O26</f>
        <v/>
      </c>
      <c r="G2351">
        <f>Skills!G26*IF(Skills!H26&gt;0,Skills!I26/Skills!H26,1)</f>
        <v/>
      </c>
      <c r="H2351">
        <f>1-(1-Skills!J26/100)^Skills!K26</f>
        <v/>
      </c>
      <c r="I2351" t="inlineStr">
        <is>
          <t>1</t>
        </is>
      </c>
      <c r="J2351" t="inlineStr"/>
      <c r="K2351" t="inlineStr"/>
      <c r="L2351" t="inlineStr"/>
      <c r="M2351" t="inlineStr"/>
      <c r="N2351" t="inlineStr"/>
      <c r="O2351">
        <f>(1-Summary!$B$11)*T2351+Summary!$B$11*V2351</f>
        <v/>
      </c>
      <c r="P2351">
        <f>IF(B2368=0,0,O2351/B2368)</f>
        <v/>
      </c>
      <c r="Q2351" t="n">
        <v>0</v>
      </c>
      <c r="R2351" t="n">
        <v>0</v>
      </c>
      <c r="S2351">
        <f>IFERROR(O2351/N2351,0)</f>
        <v/>
      </c>
      <c r="T2351" t="n">
        <v>0</v>
      </c>
      <c r="V2351" t="n">
        <v>0</v>
      </c>
    </row>
    <row r="2352">
      <c r="A2352">
        <f>Skills!A27</f>
        <v/>
      </c>
      <c r="B2352">
        <f>Skills!B27</f>
        <v/>
      </c>
      <c r="C2352">
        <f>Inputs!$B$3&gt;=125</f>
        <v/>
      </c>
      <c r="D2352">
        <f>IF(Skills!C27=1,60+Inputs!$B$25+Inputs!$B$29,IF(Skills!C27=2,90+Inputs!$B$26+Inputs!$B$29,IF(Skills!C27=3,120+Inputs!$B$27+Inputs!$B$29,MAX(0,(Inputs!$B$3-100)*3)+Inputs!$B$28+Inputs!$B$29)))</f>
        <v/>
      </c>
      <c r="E2352">
        <f>INDEX(FactorTable!$B$2:$Y$301, MATCH(ROUND(MIN(300,MAX(1,D2352)),0), FactorTable!$A$2:$A$301,0), Skills!M27+1)</f>
        <v/>
      </c>
      <c r="F2352">
        <f>IF(Skills!N27=TRUE,(Skills!L27/10)*(E2352/1000),Skills!L27/10)+Skills!O27</f>
        <v/>
      </c>
      <c r="G2352">
        <f>Skills!G27*IF(Skills!H27&gt;0,Skills!I27/Skills!H27,1)</f>
        <v/>
      </c>
      <c r="H2352">
        <f>1-(1-Skills!J27/100)^Skills!K27</f>
        <v/>
      </c>
      <c r="I2352" t="inlineStr">
        <is>
          <t>1</t>
        </is>
      </c>
      <c r="J2352" t="inlineStr"/>
      <c r="K2352" t="inlineStr"/>
      <c r="L2352" t="inlineStr"/>
      <c r="M2352" t="inlineStr"/>
      <c r="N2352" t="inlineStr"/>
      <c r="O2352">
        <f>(1-Summary!$B$11)*T2352+Summary!$B$11*V2352</f>
        <v/>
      </c>
      <c r="P2352">
        <f>IF(B2368=0,0,O2352/B2368)</f>
        <v/>
      </c>
      <c r="Q2352" t="n">
        <v>0</v>
      </c>
      <c r="R2352" t="n">
        <v>0</v>
      </c>
      <c r="S2352">
        <f>IFERROR(O2352/N2352,0)</f>
        <v/>
      </c>
      <c r="T2352" t="n">
        <v>0</v>
      </c>
      <c r="V2352" t="n">
        <v>0</v>
      </c>
    </row>
    <row r="2353">
      <c r="A2353">
        <f>Skills!A28</f>
        <v/>
      </c>
      <c r="B2353">
        <f>Skills!B28</f>
        <v/>
      </c>
      <c r="C2353">
        <f>Inputs!$B$3&gt;=120</f>
        <v/>
      </c>
      <c r="D2353">
        <f>IF(Skills!C28=1,60+Inputs!$B$25+Inputs!$B$29,IF(Skills!C28=2,90+Inputs!$B$26+Inputs!$B$29,IF(Skills!C28=3,120+Inputs!$B$27+Inputs!$B$29,MAX(0,(Inputs!$B$3-100)*3)+Inputs!$B$28+Inputs!$B$29)))</f>
        <v/>
      </c>
      <c r="E2353">
        <f>INDEX(FactorTable!$B$2:$Y$301, MATCH(ROUND(MIN(300,MAX(1,D2353)),0), FactorTable!$A$2:$A$301,0), Skills!M28+1)</f>
        <v/>
      </c>
      <c r="F2353">
        <f>IF(Skills!N28=TRUE,(Skills!L28/10)*(E2353/1000),Skills!L28/10)+Skills!O28</f>
        <v/>
      </c>
      <c r="G2353">
        <f>Skills!G28*IF(Skills!H28&gt;0,Skills!I28/Skills!H28,1)</f>
        <v/>
      </c>
      <c r="H2353">
        <f>1-(1-Skills!J28/100)^Skills!K28</f>
        <v/>
      </c>
      <c r="I2353" t="inlineStr">
        <is>
          <t>1</t>
        </is>
      </c>
      <c r="J2353" t="inlineStr"/>
      <c r="K2353" t="inlineStr"/>
      <c r="L2353" t="inlineStr"/>
      <c r="M2353" t="inlineStr"/>
      <c r="N2353" t="inlineStr"/>
      <c r="O2353">
        <f>(1-Summary!$B$11)*T2353+Summary!$B$11*V2353</f>
        <v/>
      </c>
      <c r="P2353">
        <f>IF(B2368=0,0,O2353/B2368)</f>
        <v/>
      </c>
      <c r="Q2353" t="n">
        <v>0</v>
      </c>
      <c r="R2353" t="n">
        <v>0</v>
      </c>
      <c r="S2353">
        <f>IFERROR(O2353/N2353,0)</f>
        <v/>
      </c>
      <c r="T2353" t="n">
        <v>0</v>
      </c>
      <c r="V2353" t="n">
        <v>0</v>
      </c>
    </row>
    <row r="2354">
      <c r="A2354">
        <f>Skills!A29</f>
        <v/>
      </c>
      <c r="B2354">
        <f>Skills!B29</f>
        <v/>
      </c>
      <c r="C2354">
        <f>Inputs!$B$3&gt;=120</f>
        <v/>
      </c>
      <c r="D2354">
        <f>IF(Skills!C29=1,60+Inputs!$B$25+Inputs!$B$29,IF(Skills!C29=2,90+Inputs!$B$26+Inputs!$B$29,IF(Skills!C29=3,120+Inputs!$B$27+Inputs!$B$29,MAX(0,(Inputs!$B$3-100)*3)+Inputs!$B$28+Inputs!$B$29)))</f>
        <v/>
      </c>
      <c r="E2354">
        <f>INDEX(FactorTable!$B$2:$Y$301, MATCH(ROUND(MIN(300,MAX(1,D2354)),0), FactorTable!$A$2:$A$301,0), Skills!M29+1)</f>
        <v/>
      </c>
      <c r="F2354">
        <f>IF(Skills!N29=TRUE,(Skills!L29/10)*(E2354/1000),Skills!L29/10)+Skills!O29</f>
        <v/>
      </c>
      <c r="G2354">
        <f>Skills!G29*IF(Skills!H29&gt;0,Skills!I29/Skills!H29,1)</f>
        <v/>
      </c>
      <c r="H2354">
        <f>1-(1-Skills!J29/100)^Skills!K29</f>
        <v/>
      </c>
      <c r="I2354" t="inlineStr">
        <is>
          <t>1</t>
        </is>
      </c>
      <c r="J2354" t="inlineStr"/>
      <c r="K2354" t="inlineStr"/>
      <c r="L2354" t="inlineStr"/>
      <c r="M2354" t="inlineStr"/>
      <c r="N2354" t="inlineStr"/>
      <c r="O2354">
        <f>(1-Summary!$B$11)*T2354+Summary!$B$11*V2354</f>
        <v/>
      </c>
      <c r="P2354">
        <f>IF(B2368=0,0,O2354/B2368)</f>
        <v/>
      </c>
      <c r="Q2354" t="n">
        <v>0</v>
      </c>
      <c r="R2354" t="n">
        <v>0</v>
      </c>
      <c r="S2354">
        <f>IFERROR(O2354/N2354,0)</f>
        <v/>
      </c>
      <c r="T2354" t="n">
        <v>0</v>
      </c>
      <c r="V2354" t="n">
        <v>0</v>
      </c>
    </row>
    <row r="2355">
      <c r="A2355">
        <f>Skills!A30</f>
        <v/>
      </c>
      <c r="B2355">
        <f>Skills!B30</f>
        <v/>
      </c>
      <c r="C2355">
        <f>Inputs!$B$3&gt;=45</f>
        <v/>
      </c>
      <c r="D2355">
        <f>IF(Skills!C30=1,60+Inputs!$B$25+Inputs!$B$29,IF(Skills!C30=2,90+Inputs!$B$26+Inputs!$B$29,IF(Skills!C30=3,120+Inputs!$B$27+Inputs!$B$29,MAX(0,(Inputs!$B$3-100)*3)+Inputs!$B$28+Inputs!$B$29)))</f>
        <v/>
      </c>
      <c r="E2355">
        <f>INDEX(FactorTable!$B$2:$Y$301, MATCH(ROUND(MIN(300,MAX(1,D2355)),0), FactorTable!$A$2:$A$301,0), Skills!M30+1)</f>
        <v/>
      </c>
      <c r="F2355">
        <f>IF(Skills!N30=TRUE,(Skills!L30/10)*(E2355/1000),Skills!L30/10)+Skills!O30</f>
        <v/>
      </c>
      <c r="G2355">
        <f>Skills!G30*IF(Skills!H30&gt;0,Skills!I30/Skills!H30,1)</f>
        <v/>
      </c>
      <c r="H2355">
        <f>1-(1-Skills!J30/100)^Skills!K30</f>
        <v/>
      </c>
      <c r="I2355" t="inlineStr">
        <is>
          <t>1</t>
        </is>
      </c>
      <c r="J2355" t="inlineStr"/>
      <c r="K2355" t="inlineStr"/>
      <c r="L2355" t="inlineStr"/>
      <c r="M2355" t="inlineStr"/>
      <c r="N2355" t="inlineStr"/>
      <c r="O2355">
        <f>(1-Summary!$B$11)*T2355+Summary!$B$11*V2355</f>
        <v/>
      </c>
      <c r="P2355">
        <f>IF(B2368=0,0,O2355/B2368)</f>
        <v/>
      </c>
      <c r="Q2355" t="n">
        <v>0</v>
      </c>
      <c r="R2355" t="n">
        <v>0</v>
      </c>
      <c r="S2355">
        <f>IFERROR(O2355/N2355,0)</f>
        <v/>
      </c>
      <c r="T2355" t="n">
        <v>0</v>
      </c>
      <c r="V2355" t="n">
        <v>0</v>
      </c>
    </row>
    <row r="2357">
      <c r="A2357" t="inlineStr">
        <is>
          <t>Attack% Bucket Multiplier</t>
        </is>
      </c>
      <c r="B2357">
        <f>(1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8">
      <c r="A2358" t="inlineStr">
        <is>
          <t>Global Crit Rate Bonus %</t>
        </is>
      </c>
      <c r="B2358">
        <f>(C2341=TRUE)*20*IF(AND(Inputs!$B$38&lt;&gt;"pvp",Inputs!$B$43&gt;0),(((R2341-1)*(Skills!T16*(1+Inputs!$B$34/100))+MIN((Skills!T16*(1+Inputs!$B$34/100)),MAX(0,Inputs!$B$43-((R2341-1)*Skills!D16))))/Inputs!$B$43),IF(Inputs!$B$38="pvp",MIN((Skills!T16*(1+Inputs!$B$34/100)),15)/15,(Skills!T16*(1+Inputs!$B$34/100))/Skills!D16))</f>
        <v/>
      </c>
    </row>
    <row r="2359">
      <c r="A2359" t="inlineStr">
        <is>
          <t>Attack Speed Buff Bonus %</t>
        </is>
      </c>
      <c r="B2359">
        <f>((C2344=TRUE)*F2344*IF(AND(Inputs!$B$38&lt;&gt;"pvp",Inputs!$B$43&gt;0),(((R2344-1)*(Skills!T19*(1+Inputs!$B$34/100))+MIN((Skills!T19*(1+Inputs!$B$34/100)),MAX(0,Inputs!$B$43-((R2344-1)*Skills!D19))))/Inputs!$B$43),IF(Inputs!$B$38="pvp",MIN((Skills!T19*(1+Inputs!$B$34/100)),15)/15,(Skills!T19*(1+Inputs!$B$34/100))/Skills!D19)))</f>
        <v/>
      </c>
    </row>
    <row r="2360">
      <c r="A2360" t="inlineStr">
        <is>
          <t>Actions Per Second</t>
        </is>
      </c>
      <c r="B2360">
        <f>1+MIN(150,150*(1-(1-(Inputs!$B$11+((C2346=TRUE)*(F2346-Calc!F21))+((C2347=TRUE)*(F2347-Calc!F22)))/150)*(1-B2359/150)))/100</f>
        <v/>
      </c>
    </row>
    <row r="2361">
      <c r="A2361" t="inlineStr">
        <is>
          <t>Skill + Buff Cast Rate</t>
        </is>
      </c>
      <c r="B2361">
        <f>IF(AND(Inputs!$B$38&lt;&gt;"pvp",Inputs!$B$43&gt;0),SUMPRODUCT((Skills!E2:E30=TRUE)*(C2327:C2355=TRUE)*R2327:R2355*Skills!F2:F30)/Inputs!$B$43,SUMPRODUCT((Skills!E2:E30=TRUE)*(C2327:C2355=TRUE)*Q2327:Q2355*Skills!F2:F30))</f>
        <v/>
      </c>
    </row>
    <row r="2362">
      <c r="A2362" t="inlineStr">
        <is>
          <t>Arrow Stream Casts Per Second</t>
        </is>
      </c>
      <c r="B2362">
        <f>MAX(0,B2360-B2361)</f>
        <v/>
      </c>
    </row>
    <row r="2363">
      <c r="A2363" t="inlineStr">
        <is>
          <t>Global Critical Damage Bonus % (Sharp Eyes + Concentration)</t>
        </is>
      </c>
      <c r="B2363">
        <f>(C2341=TRUE)*F2341*IF(AND(Inputs!$B$38&lt;&gt;"pvp",Inputs!$B$43&gt;0),(((R2341-1)*(Skills!T16*(1+Inputs!$B$34/100))+MIN((Skills!T16*(1+Inputs!$B$34/100)),MAX(0,Inputs!$B$43-((R2341-1)*Skills!D16))))/Inputs!$B$43),IF(Inputs!$B$38="pvp",MIN((Skills!T16*(1+Inputs!$B$34/100)),15)/15,(Skills!T16*(1+Inputs!$B$34/100))/Skills!D16))+(C2342=TRUE)*30</f>
        <v/>
      </c>
    </row>
    <row r="2364">
      <c r="A2364" t="inlineStr">
        <is>
          <t>Global Final Damage Bonus % (Mortal Blow)</t>
        </is>
      </c>
      <c r="B2364">
        <f>(C2343=TRUE)*F2343</f>
        <v/>
      </c>
    </row>
    <row r="2365">
      <c r="A2365" t="inlineStr">
        <is>
          <t>Buff-Casting Startup Delay (s, fixed-duration only)</t>
        </is>
      </c>
      <c r="B2365">
        <f>IF(AND(Inputs!$B$38&lt;&gt;"pvp",Inputs!$B$43&gt;0),SUMPRODUCT((Skills!T2:T30&gt;0)*(Skills!E2:E30=TRUE)*(C2327:C2355=TRUE))/B2360,0)</f>
        <v/>
      </c>
    </row>
    <row r="2366">
      <c r="A2366" t="inlineStr">
        <is>
          <t>Boss-Only Total DPS (this block's swept value)</t>
        </is>
      </c>
      <c r="B2366">
        <f>SUM(T2327:T2355)</f>
        <v/>
      </c>
    </row>
    <row r="2367">
      <c r="A2367" t="inlineStr">
        <is>
          <t>Normal-Only Total DPS (this block's swept value)</t>
        </is>
      </c>
      <c r="B2367">
        <f>SUM(V2327:V2355)</f>
        <v/>
      </c>
    </row>
    <row r="2368">
      <c r="A2368" s="6" t="inlineStr">
        <is>
          <t>TOTAL DPS</t>
        </is>
      </c>
      <c r="B2368" s="6">
        <f>SUM(O2327:O2355)</f>
        <v/>
      </c>
    </row>
    <row r="2371">
      <c r="A2371" s="6" t="inlineStr">
        <is>
          <t>Stat: Icy Soul Rock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Q2372" s="5" t="inlineStr">
        <is>
          <t>InvCooldown</t>
        </is>
      </c>
      <c r="R2372" s="5" t="inlineStr">
        <is>
          <t>CastsInFight</t>
        </is>
      </c>
      <c r="S2372" s="5" t="inlineStr">
        <is>
          <t>HitRate(perSec)</t>
        </is>
      </c>
      <c r="U2372" t="inlineStr">
        <is>
          <t>helpers</t>
        </is>
      </c>
    </row>
    <row r="2373">
      <c r="A2373">
        <f>Skills!A2</f>
        <v/>
      </c>
      <c r="B2373">
        <f>Skills!B2</f>
        <v/>
      </c>
      <c r="C2373">
        <f>Inputs!$B$3&gt;=100</f>
        <v/>
      </c>
      <c r="D2373" t="inlineStr"/>
      <c r="E2373" t="inlineStr"/>
      <c r="F2373">
        <f>U2375+Skills!O2</f>
        <v/>
      </c>
      <c r="G2373">
        <f>Skills!G2*IF(Skills!H2&gt;0,Skills!I2/Skills!H2,1)</f>
        <v/>
      </c>
      <c r="H2373">
        <f>1-(1-Skills!J2/100)^Skills!K2</f>
        <v/>
      </c>
      <c r="I2373" t="inlineStr">
        <is>
          <t>1</t>
        </is>
      </c>
      <c r="J2373">
        <f>((Inputs!$B$6*(1+Inputs!$B$7/100))+(((Inputs!$B$12*(1+Inputs!$B$13/100))-(Inputs!$B$12*(1+Inputs!$B$13/100)))+0.25*(Inputs!$B$14-Inputs!$B$14))*(1+Inputs!$B$7/100))*(F2373/100)</f>
        <v/>
      </c>
      <c r="K2373">
        <f>J2373*(1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2395=TRUE)*(F2395-Calc!F24)),(Inputs!$B$23+((C2400=TRUE)*(F2400-Calc!F29))+(IF(ArtifactsInput!$M$15,CHOOSE(ArtifactsInput!$N$15+1,25,30,35,40,45,50)/100*(Inputs!$B$11-Inputs!$B$11),0))))/100+(Inputs!$B$23+((C2400=TRUE)*(F2400-Calc!F29))+(IF(ArtifactsInput!$M$15,CHOOSE(ArtifactsInput!$N$15+1,25,30,35,40,45,50)/100*(Inputs!$B$11-Inputs!$B$11),0)))/100)/2</f>
        <v/>
      </c>
      <c r="M2373">
        <f>L2373*(1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3">
        <f>L2373*(1-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IF(B2414=0,0,O2373/B2414)</f>
        <v/>
      </c>
      <c r="Q2373" t="n">
        <v>0</v>
      </c>
      <c r="R2373" t="n">
        <v>0</v>
      </c>
      <c r="S2373">
        <f>IFERROR(O2373/N2373,0)</f>
        <v/>
      </c>
      <c r="T2373">
        <f>IF(C2373,(Skills!G2*N2373*B2408)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2373*(1-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MAX(0,(Inputs!$B$3-100)*3)+Inputs!$B$28+Inputs!$B$29</f>
        <v/>
      </c>
      <c r="V2373">
        <f>IF(C2373,(Skills!G2*N2373*B2408)*IF(Inputs!$B$38="pvp",1,(1+(Inputs!$B$21+Skills!Q2+(IF(ArtifactsInput!$M$33,CHOOSE(ArtifactsInput!$N$33+1,30,36,42,48,54,60),0))+(IF(AND(ArtifactsInput!$M$35,Inputs!$B$4&lt;&gt;"Chapter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Skills!A3</f>
        <v/>
      </c>
      <c r="B2374">
        <f>Skills!B3</f>
        <v/>
      </c>
      <c r="C2374">
        <f>Inputs!$B$3&gt;=50</f>
        <v/>
      </c>
      <c r="D2374">
        <f>IF(Skills!C3=1,60+Inputs!$B$25+Inputs!$B$29,IF(Skills!C3=2,90+Inputs!$B$26+Inputs!$B$29,IF(Skills!C3=3,120+Inputs!$B$27+Inputs!$B$29,MAX(0,(Inputs!$B$3-100)*3)+Inputs!$B$28+Inputs!$B$29)))</f>
        <v/>
      </c>
      <c r="E2374">
        <f>INDEX(FactorTable!$B$2:$Y$301, MATCH(ROUND(MIN(300,MAX(1,D2374)),0), FactorTable!$A$2:$A$301,0), Skills!M3+1)</f>
        <v/>
      </c>
      <c r="F2374">
        <f>IF(Skills!N3=TRUE,(Skills!L3/10)*(E2374/1000),Skills!L3/10)+Skills!O3</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U2374">
        <f>INDEX(FactorTable!$B$2:$Y$301, MATCH(ROUND(MIN(300,MAX(1,U2373)),0), FactorTable!$A$2:$A$301,0), 22)</f>
        <v/>
      </c>
      <c r="V2374" t="inlineStr"/>
    </row>
    <row r="2375">
      <c r="A2375">
        <f>Skills!A4</f>
        <v/>
      </c>
      <c r="B2375">
        <f>Skills!B4</f>
        <v/>
      </c>
      <c r="C2375">
        <f>Inputs!$B$3&gt;=105</f>
        <v/>
      </c>
      <c r="D2375">
        <f>IF(Skills!C4=1,60+Inputs!$B$25+Inputs!$B$29,IF(Skills!C4=2,90+Inputs!$B$26+Inputs!$B$29,IF(Skills!C4=3,120+Inputs!$B$27+Inputs!$B$29,MAX(0,(Inputs!$B$3-100)*3)+Inputs!$B$28+Inputs!$B$29)))</f>
        <v/>
      </c>
      <c r="E2375">
        <f>INDEX(FactorTable!$B$2:$Y$301, MATCH(ROUND(MIN(300,MAX(1,D2375)),0), FactorTable!$A$2:$A$301,0), Skills!M4+1)</f>
        <v/>
      </c>
      <c r="F2375">
        <f>IF(Skills!N4=TRUE,(Skills!L4/10)*(E2375/1000),Skills!L4/10)+Skills!O4</f>
        <v/>
      </c>
      <c r="G2375" t="inlineStr"/>
      <c r="H2375" t="inlineStr"/>
      <c r="I2375" t="inlineStr">
        <is>
          <t>1</t>
        </is>
      </c>
      <c r="J2375" t="inlineStr"/>
      <c r="K2375" t="inlineStr"/>
      <c r="L2375" t="inlineStr"/>
      <c r="M2375" t="inlineStr"/>
      <c r="N2375" t="inlineStr"/>
      <c r="O2375" t="inlineStr"/>
      <c r="P2375" t="inlineStr"/>
      <c r="Q2375" t="inlineStr"/>
      <c r="R2375" t="inlineStr"/>
      <c r="S2375" t="inlineStr"/>
      <c r="T2375" t="inlineStr"/>
      <c r="U2375">
        <f>290*U2374/1000</f>
        <v/>
      </c>
      <c r="V2375" t="inlineStr"/>
    </row>
    <row r="2376">
      <c r="A2376">
        <f>Skills!A5</f>
        <v/>
      </c>
      <c r="B2376">
        <f>Skills!B5</f>
        <v/>
      </c>
      <c r="C2376">
        <f>Inputs!$B$3&gt;=35</f>
        <v/>
      </c>
      <c r="D2376">
        <f>IF(Skills!C5=1,60+Inputs!$B$25+Inputs!$B$29,IF(Skills!C5=2,90+Inputs!$B$26+Inputs!$B$29,IF(Skills!C5=3,120+Inputs!$B$27+Inputs!$B$29,MAX(0,(Inputs!$B$3-100)*3)+Inputs!$B$28+Inputs!$B$29)))</f>
        <v/>
      </c>
      <c r="E2376">
        <f>INDEX(FactorTable!$B$2:$Y$301, MATCH(ROUND(MIN(300,MAX(1,D2376)),0), FactorTable!$A$2:$A$301,0), Skills!M5+1)</f>
        <v/>
      </c>
      <c r="F2376">
        <f>IF(Skills!N5=TRUE,(Skills!L5/10)*(E2376/1000),Skills!L5/10)+Skills!O5</f>
        <v/>
      </c>
      <c r="G2376">
        <f>Skills!G5*IF(Skills!H5&gt;0,Skills!I5/Skills!H5,1)</f>
        <v/>
      </c>
      <c r="H2376">
        <f>1-(1-Skills!J5/100)^Skills!K5</f>
        <v/>
      </c>
      <c r="I2376" t="inlineStr">
        <is>
          <t>1</t>
        </is>
      </c>
      <c r="J2376">
        <f>((Inputs!$B$6*(1+Inputs!$B$7/100))+(((Inputs!$B$12*(1+Inputs!$B$13/100))-(Inputs!$B$12*(1+Inputs!$B$13/100)))+0.25*(Inputs!$B$14-Inputs!$B$14))*(1+Inputs!$B$7/100))*(F2376/100)</f>
        <v/>
      </c>
      <c r="K2376">
        <f>J2376*(1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2381=TRUE,F2381,0)/100)*(1+(IF(Skills!A5="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2395=TRUE)*(F2395-Calc!F24)),(Inputs!$B$23+((C2400=TRUE)*(F2400-Calc!F29))+(IF(ArtifactsInput!$M$15,CHOOSE(ArtifactsInput!$N$15+1,25,30,35,40,45,50)/100*(Inputs!$B$11-Inputs!$B$11),0))))/100+(Inputs!$B$23+((C2400=TRUE)*(F2400-Calc!F29))+(IF(ArtifactsInput!$M$15,CHOOSE(ArtifactsInput!$N$15+1,25,30,35,40,45,50)/100*(Inputs!$B$11-Inputs!$B$11),0)))/100)/2</f>
        <v/>
      </c>
      <c r="M2376">
        <f>L2376*(1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6">
        <f>L2376*(1-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IF(B2414=0,0,O2376/B2414)</f>
        <v/>
      </c>
      <c r="Q2376">
        <f>IFERROR(1/(IF(Inputs!$B$38="pvp",15,MAX(0.1,Skills!D5-IF(Skills!E5=TRUE,Inputs!$B$32,0)))*(1-IF(AND(ArtifactsInput!$M$27,Inputs!$B$4="Chapter Hunt"),CHOOSE(ArtifactsInput!$N$27+1,20,24,28,32,36,40),0)/100)),0)</f>
        <v/>
      </c>
      <c r="R2376">
        <f>IF(AND(Inputs!$B$38&lt;&gt;"pvp",Inputs!$B$43&gt;0),IF(MAX(0,Inputs!$B$43-B2411)&lt;=0,0,(INT(MAX(0,Inputs!$B$43-B2411)/(IF(Inputs!$B$38="pvp",15,MAX(0.1,Skills!D5-IF(Skills!E5=TRUE,Inputs!$B$32,0)))*(1-IF(AND(ArtifactsInput!$M$27,Inputs!$B$4="Chapter Hunt"),CHOOSE(ArtifactsInput!$N$27+1,20,24,28,32,36,40),0)/100)))+1)),0)</f>
        <v/>
      </c>
      <c r="S2376">
        <f>IFERROR(O2376/N2376,0)</f>
        <v/>
      </c>
      <c r="T2376">
        <f>IF(C2376,(H2376*N2376*IF(AND(Inputs!$B$38&lt;&gt;"pvp",Inputs!$B$43&gt;0),((Skills!G5*((R2376-1)*IF(Skills!H5&gt;0,Skills!I5/Skills!H5,1)+IF(Skills!H5&gt;0,MIN(Skills!I5,MAX(0,MAX(0,Inputs!$B$43-B2411)-((R2376-1)*(IF(Inputs!$B$38="pvp",15,MAX(0.1,Skills!D5-IF(Skills!E5=TRUE,Inputs!$B$32,0)))*(1-IF(AND(ArtifactsInput!$M$27,Inputs!$B$4="Chapter Hunt"),CHOOSE(ArtifactsInput!$N$27+1,20,24,28,32,36,40),0)/100)))))/Skills!H5,1)))/Inputs!$B$43),G2376*Q2376)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2376*(1-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5*((R2376-1)*IF(Skills!H5&gt;0,Skills!I5/Skills!H5,1)+IF(Skills!H5&gt;0,MIN(Skills!I5,MAX(0,MAX(0,Inputs!$B$43-B2411)-((R2376-1)*(IF(Inputs!$B$38="pvp",15,MAX(0.1,Skills!D5-IF(Skills!E5=TRUE,Inputs!$B$32,0)))*(1-IF(AND(ArtifactsInput!$M$27,Inputs!$B$4="Chapter Hunt"),CHOOSE(ArtifactsInput!$N$27+1,20,24,28,32,36,40),0)/100)))))/Skills!H5,1)))/Inputs!$B$43),G2376*Q2376))*IF(Inputs!$B$38="pvp",1,(1+(Inputs!$B$21+Skills!Q5+(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Inputs!$B$3&gt;=40</f>
        <v/>
      </c>
      <c r="D2377">
        <f>IF(Skills!C6=1,60+Inputs!$B$25+Inputs!$B$29,IF(Skills!C6=2,90+Inputs!$B$26+Inputs!$B$29,IF(Skills!C6=3,120+Inputs!$B$27+Inputs!$B$29,MAX(0,(Inputs!$B$3-100)*3)+Inputs!$B$28+Inputs!$B$29)))</f>
        <v/>
      </c>
      <c r="E2377">
        <f>INDEX(FactorTable!$B$2:$Y$301, MATCH(ROUND(MIN(300,MAX(1,D2377)),0), FactorTable!$A$2:$A$301,0), Skills!M6+1)</f>
        <v/>
      </c>
      <c r="F2377">
        <f>IF(Skills!N6=TRUE,(Skills!L6/10)*(E2377/1000),Skills!L6/10)+Skills!O6</f>
        <v/>
      </c>
      <c r="G2377">
        <f>Skills!G6*IF(Skills!H6&gt;0,Skills!I6/Skills!H6,1)</f>
        <v/>
      </c>
      <c r="H2377">
        <f>1-(1-Skills!J6/100)^Skills!K6</f>
        <v/>
      </c>
      <c r="I2377" t="inlineStr">
        <is>
          <t>1</t>
        </is>
      </c>
      <c r="J2377">
        <f>((Inputs!$B$6*(1+Inputs!$B$7/100))+(((Inputs!$B$12*(1+Inputs!$B$13/100))-(Inputs!$B$12*(1+Inputs!$B$13/100)))+0.25*(Inputs!$B$14-Inputs!$B$14))*(1+Inputs!$B$7/100))*(F2377/100)</f>
        <v/>
      </c>
      <c r="K2377">
        <f>J2377*(1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6="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2395=TRUE)*(F2395-Calc!F24)),(Inputs!$B$23+((C2400=TRUE)*(F2400-Calc!F29))+(IF(ArtifactsInput!$M$15,CHOOSE(ArtifactsInput!$N$15+1,25,30,35,40,45,50)/100*(Inputs!$B$11-Inputs!$B$11),0))))/100+(Inputs!$B$23+((C2400=TRUE)*(F2400-Calc!F29))+(IF(ArtifactsInput!$M$15,CHOOSE(ArtifactsInput!$N$15+1,25,30,35,40,45,50)/100*(Inputs!$B$11-Inputs!$B$11),0)))/100)/2</f>
        <v/>
      </c>
      <c r="M2377">
        <f>L2377*(1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7">
        <f>L2377*(1-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IF(B2414=0,0,O2377/B2414)</f>
        <v/>
      </c>
      <c r="Q2377">
        <f>IFERROR(1/(IF(Inputs!$B$38="pvp",15,MAX(0.1,Skills!D6-IF(Skills!E6=TRUE,Inputs!$B$32,0)))*(1-IF(AND(ArtifactsInput!$M$27,Inputs!$B$4="Chapter Hunt"),CHOOSE(ArtifactsInput!$N$27+1,20,24,28,32,36,40),0)/100)),0)</f>
        <v/>
      </c>
      <c r="R2377">
        <f>IF(AND(Inputs!$B$38&lt;&gt;"pvp",Inputs!$B$43&gt;0),IF(MAX(0,Inputs!$B$43-B2411)&lt;=0,0,(INT(MAX(0,Inputs!$B$43-B2411)/(IF(Inputs!$B$38="pvp",15,MAX(0.1,Skills!D6-IF(Skills!E6=TRUE,Inputs!$B$32,0)))*(1-IF(AND(ArtifactsInput!$M$27,Inputs!$B$4="Chapter Hunt"),CHOOSE(ArtifactsInput!$N$27+1,20,24,28,32,36,40),0)/100)))+1)),0)</f>
        <v/>
      </c>
      <c r="S2377">
        <f>IFERROR(O2377/N2377,0)</f>
        <v/>
      </c>
      <c r="T2377">
        <f>IF(C2377,(H2377*N2377*IF(AND(Inputs!$B$38&lt;&gt;"pvp",Inputs!$B$43&gt;0),((Skills!G6*((R2377-1)*IF(Skills!H6&gt;0,Skills!I6/Skills!H6,1)+IF(Skills!H6&gt;0,MIN(Skills!I6,MAX(0,MAX(0,Inputs!$B$43-B2411)-((R2377-1)*(IF(Inputs!$B$38="pvp",15,MAX(0.1,Skills!D6-IF(Skills!E6=TRUE,Inputs!$B$32,0)))*(1-IF(AND(ArtifactsInput!$M$27,Inputs!$B$4="Chapter Hunt"),CHOOSE(ArtifactsInput!$N$27+1,20,24,28,32,36,40),0)/100)))))/Skills!H6,1)))/Inputs!$B$43),G2377*Q2377)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2377*(1-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6*((R2377-1)*IF(Skills!H6&gt;0,Skills!I6/Skills!H6,1)+IF(Skills!H6&gt;0,MIN(Skills!I6,MAX(0,MAX(0,Inputs!$B$43-B2411)-((R2377-1)*(IF(Inputs!$B$38="pvp",15,MAX(0.1,Skills!D6-IF(Skills!E6=TRUE,Inputs!$B$32,0)))*(1-IF(AND(ArtifactsInput!$M$27,Inputs!$B$4="Chapter Hunt"),CHOOSE(ArtifactsInput!$N$27+1,20,24,28,32,36,40),0)/100)))))/Skills!H6,1)))/Inputs!$B$43),G2377*Q2377))*IF(Inputs!$B$38="pvp",1,(1+(Inputs!$B$21+Skills!Q6+(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Inputs!$B$3&gt;=107</f>
        <v/>
      </c>
      <c r="D2378">
        <f>IF(Skills!C7=1,60+Inputs!$B$25+Inputs!$B$29,IF(Skills!C7=2,90+Inputs!$B$26+Inputs!$B$29,IF(Skills!C7=3,120+Inputs!$B$27+Inputs!$B$29,MAX(0,(Inputs!$B$3-100)*3)+Inputs!$B$28+Inputs!$B$29)))</f>
        <v/>
      </c>
      <c r="E2378">
        <f>INDEX(FactorTable!$B$2:$Y$301, MATCH(ROUND(MIN(300,MAX(1,D2378)),0), FactorTable!$A$2:$A$301,0), Skills!M7+1)</f>
        <v/>
      </c>
      <c r="F2378">
        <f>IF(Skills!N7=TRUE,(Skills!L7/10)*(E2378/1000),Skills!L7/10)+Skills!O7</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V2378" t="inlineStr"/>
    </row>
    <row r="2379">
      <c r="A2379">
        <f>Skills!A8</f>
        <v/>
      </c>
      <c r="B2379">
        <f>Skills!B8</f>
        <v/>
      </c>
      <c r="C2379">
        <f>Inputs!$B$3&gt;=69</f>
        <v/>
      </c>
      <c r="D2379">
        <f>IF(Skills!C8=1,60+Inputs!$B$25+Inputs!$B$29,IF(Skills!C8=2,90+Inputs!$B$26+Inputs!$B$29,IF(Skills!C8=3,120+Inputs!$B$27+Inputs!$B$29,MAX(0,(Inputs!$B$3-100)*3)+Inputs!$B$28+Inputs!$B$29)))</f>
        <v/>
      </c>
      <c r="E2379">
        <f>INDEX(FactorTable!$B$2:$Y$301, MATCH(ROUND(MIN(300,MAX(1,D2379)),0), FactorTable!$A$2:$A$301,0), Skills!M8+1)</f>
        <v/>
      </c>
      <c r="F2379">
        <f>IF(Skills!N8=TRUE,(Skills!L8/10)*(E2379/1000),Skills!L8/10)+Skills!O8</f>
        <v/>
      </c>
      <c r="G2379">
        <f>Skills!G8*IF(Skills!H8&gt;0,Skills!I8/Skills!H8,1)</f>
        <v/>
      </c>
      <c r="H2379">
        <f>1-(1-Skills!J8/100)^Skills!K8</f>
        <v/>
      </c>
      <c r="I2379" t="inlineStr">
        <is>
          <t>1</t>
        </is>
      </c>
      <c r="J2379">
        <f>((Inputs!$B$6*(1+Inputs!$B$7/100))+(((Inputs!$B$12*(1+Inputs!$B$13/100))-(Inputs!$B$12*(1+Inputs!$B$13/100)))+0.25*(Inputs!$B$14-Inputs!$B$14))*(1+Inputs!$B$7/100))*(F2379/100)</f>
        <v/>
      </c>
      <c r="K2379">
        <f>J2379*(1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2381=TRUE,F2381,0)/100)*(1+(IF(Skills!A8="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2395=TRUE)*(F2395-Calc!F24)),(Inputs!$B$23+((C2400=TRUE)*(F2400-Calc!F29))+(IF(ArtifactsInput!$M$15,CHOOSE(ArtifactsInput!$N$15+1,25,30,35,40,45,50)/100*(Inputs!$B$11-Inputs!$B$11),0))))/100+(Inputs!$B$23+((C2400=TRUE)*(F2400-Calc!F29))+(IF(ArtifactsInput!$M$15,CHOOSE(ArtifactsInput!$N$15+1,25,30,35,40,45,50)/100*(Inputs!$B$11-Inputs!$B$11),0)))/100)/2</f>
        <v/>
      </c>
      <c r="M2379">
        <f>L2379*(1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9">
        <f>L2379*(1-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IF(B2414=0,0,O2379/B2414)</f>
        <v/>
      </c>
      <c r="Q2379">
        <f>IFERROR(1/(IF(Inputs!$B$38="pvp",15,MAX(0.1,Skills!D8-IF(Skills!E8=TRUE,Inputs!$B$32,0)))*(1-IF(AND(ArtifactsInput!$M$27,Inputs!$B$4="Chapter Hunt"),CHOOSE(ArtifactsInput!$N$27+1,20,24,28,32,36,40),0)/100)),0)</f>
        <v/>
      </c>
      <c r="R2379">
        <f>IF(AND(Inputs!$B$38&lt;&gt;"pvp",Inputs!$B$43&gt;0),IF(MAX(0,Inputs!$B$43-B2411)&lt;=0,0,(INT(MAX(0,Inputs!$B$43-B2411)/(IF(Inputs!$B$38="pvp",15,MAX(0.1,Skills!D8-IF(Skills!E8=TRUE,Inputs!$B$32,0)))*(1-IF(AND(ArtifactsInput!$M$27,Inputs!$B$4="Chapter Hunt"),CHOOSE(ArtifactsInput!$N$27+1,20,24,28,32,36,40),0)/100)))+1)),0)</f>
        <v/>
      </c>
      <c r="S2379">
        <f>IFERROR(O2379/N2379,0)</f>
        <v/>
      </c>
      <c r="T2379">
        <f>IF(C2379,(H2379*N2379*IF(AND(Inputs!$B$38&lt;&gt;"pvp",Inputs!$B$43&gt;0),((Skills!G8*((R2379-1)*IF(Skills!H8&gt;0,Skills!I8/Skills!H8,1)+IF(Skills!H8&gt;0,MIN(Skills!I8,MAX(0,MAX(0,Inputs!$B$43-B2411)-((R2379-1)*(IF(Inputs!$B$38="pvp",15,MAX(0.1,Skills!D8-IF(Skills!E8=TRUE,Inputs!$B$32,0)))*(1-IF(AND(ArtifactsInput!$M$27,Inputs!$B$4="Chapter Hunt"),CHOOSE(ArtifactsInput!$N$27+1,20,24,28,32,36,40),0)/100)))))/Skills!H8,1)))/Inputs!$B$43),G2379*Q2379)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2379*(1-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8*((R2379-1)*IF(Skills!H8&gt;0,Skills!I8/Skills!H8,1)+IF(Skills!H8&gt;0,MIN(Skills!I8,MAX(0,MAX(0,Inputs!$B$43-B2411)-((R2379-1)*(IF(Inputs!$B$38="pvp",15,MAX(0.1,Skills!D8-IF(Skills!E8=TRUE,Inputs!$B$32,0)))*(1-IF(AND(ArtifactsInput!$M$27,Inputs!$B$4="Chapter Hunt"),CHOOSE(ArtifactsInput!$N$27+1,20,24,28,32,36,40),0)/100)))))/Skills!H8,1)))/Inputs!$B$43),G2379*Q2379))*IF(Inputs!$B$38="pvp",1,(1+(Inputs!$B$21+Skills!Q8+(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Inputs!$B$3&gt;=63</f>
        <v/>
      </c>
      <c r="D2380">
        <f>IF(Skills!C9=1,60+Inputs!$B$25+Inputs!$B$29,IF(Skills!C9=2,90+Inputs!$B$26+Inputs!$B$29,IF(Skills!C9=3,120+Inputs!$B$27+Inputs!$B$29,MAX(0,(Inputs!$B$3-100)*3)+Inputs!$B$28+Inputs!$B$29)))</f>
        <v/>
      </c>
      <c r="E2380">
        <f>INDEX(FactorTable!$B$2:$Y$301, MATCH(ROUND(MIN(300,MAX(1,D2380)),0), FactorTable!$A$2:$A$301,0), Skills!M9+1)</f>
        <v/>
      </c>
      <c r="F2380">
        <f>IF(Skills!N9=TRUE,(Skills!L9/10)*(E2380/1000),Skills!L9/10)+Skills!O9</f>
        <v/>
      </c>
      <c r="G2380">
        <f>Skills!G9*IF(Skills!H9&gt;0,Skills!I9/Skills!H9,1)</f>
        <v/>
      </c>
      <c r="H2380">
        <f>1-(1-Skills!J9/100)^Skills!K9</f>
        <v/>
      </c>
      <c r="I2380" t="inlineStr">
        <is>
          <t>1</t>
        </is>
      </c>
      <c r="J2380">
        <f>((Inputs!$B$6*(1+Inputs!$B$7/100))+(((Inputs!$B$12*(1+Inputs!$B$13/100))-(Inputs!$B$12*(1+Inputs!$B$13/100)))+0.25*(Inputs!$B$14-Inputs!$B$14))*(1+Inputs!$B$7/100))*(F2380/100)</f>
        <v/>
      </c>
      <c r="K2380">
        <f>J2380*(1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2381=TRUE,F2381,0)/100)*(1+(IF(Skills!A9="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2395=TRUE)*(F2395-Calc!F24)),(Inputs!$B$23+((C2400=TRUE)*(F2400-Calc!F29))+(IF(ArtifactsInput!$M$15,CHOOSE(ArtifactsInput!$N$15+1,25,30,35,40,45,50)/100*(Inputs!$B$11-Inputs!$B$11),0))))/100+(Inputs!$B$23+((C2400=TRUE)*(F2400-Calc!F29))+(IF(ArtifactsInput!$M$15,CHOOSE(ArtifactsInput!$N$15+1,25,30,35,40,45,50)/100*(Inputs!$B$11-Inputs!$B$11),0)))/100)/2</f>
        <v/>
      </c>
      <c r="M2380">
        <f>L2380*(1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0">
        <f>L2380*(1-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IF(B2414=0,0,O2380/B2414)</f>
        <v/>
      </c>
      <c r="Q2380">
        <f>IFERROR(1/(IF(Inputs!$B$38="pvp",15,MAX(0.1,Skills!D9-IF(Skills!E9=TRUE,Inputs!$B$32,0)))*(1-IF(AND(ArtifactsInput!$M$27,Inputs!$B$4="Chapter Hunt"),CHOOSE(ArtifactsInput!$N$27+1,20,24,28,32,36,40),0)/100)),0)</f>
        <v/>
      </c>
      <c r="R2380">
        <f>IF(AND(Inputs!$B$38&lt;&gt;"pvp",Inputs!$B$43&gt;0),IF(MAX(0,Inputs!$B$43-B2411)&lt;=0,0,(INT(MAX(0,Inputs!$B$43-B2411)/(IF(Inputs!$B$38="pvp",15,MAX(0.1,Skills!D9-IF(Skills!E9=TRUE,Inputs!$B$32,0)))*(1-IF(AND(ArtifactsInput!$M$27,Inputs!$B$4="Chapter Hunt"),CHOOSE(ArtifactsInput!$N$27+1,20,24,28,32,36,40),0)/100)))+1)),0)</f>
        <v/>
      </c>
      <c r="S2380">
        <f>IFERROR(O2380/N2380,0)</f>
        <v/>
      </c>
      <c r="T2380">
        <f>IF(C2380,(H2380*N2380*IF(AND(Inputs!$B$38&lt;&gt;"pvp",Inputs!$B$43&gt;0),((Skills!G9*((R2380-1)*IF(Skills!H9&gt;0,Skills!I9/Skills!H9,1)+IF(Skills!H9&gt;0,MIN(Skills!I9,MAX(0,MAX(0,Inputs!$B$43-B2411)-((R2380-1)*(IF(Inputs!$B$38="pvp",15,MAX(0.1,Skills!D9-IF(Skills!E9=TRUE,Inputs!$B$32,0)))*(1-IF(AND(ArtifactsInput!$M$27,Inputs!$B$4="Chapter Hunt"),CHOOSE(ArtifactsInput!$N$27+1,20,24,28,32,36,40),0)/100)))))/Skills!H9,1)))/Inputs!$B$43),G2380*Q2380)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2380*(1-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9*((R2380-1)*IF(Skills!H9&gt;0,Skills!I9/Skills!H9,1)+IF(Skills!H9&gt;0,MIN(Skills!I9,MAX(0,MAX(0,Inputs!$B$43-B2411)-((R2380-1)*(IF(Inputs!$B$38="pvp",15,MAX(0.1,Skills!D9-IF(Skills!E9=TRUE,Inputs!$B$32,0)))*(1-IF(AND(ArtifactsInput!$M$27,Inputs!$B$4="Chapter Hunt"),CHOOSE(ArtifactsInput!$N$27+1,20,24,28,32,36,40),0)/100)))))/Skills!H9,1)))/Inputs!$B$43),G2380*Q2380))*IF(Inputs!$B$38="pvp",1,(1+(Inputs!$B$21+Skills!Q9+(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Inputs!$B$3&gt;=100</f>
        <v/>
      </c>
      <c r="D2381">
        <f>IF(Skills!C10=1,60+Inputs!$B$25+Inputs!$B$29,IF(Skills!C10=2,90+Inputs!$B$26+Inputs!$B$29,IF(Skills!C10=3,120+Inputs!$B$27+Inputs!$B$29,MAX(0,(Inputs!$B$3-100)*3)+Inputs!$B$28+Inputs!$B$29)))</f>
        <v/>
      </c>
      <c r="E2381">
        <f>INDEX(FactorTable!$B$2:$Y$301, MATCH(ROUND(MIN(300,MAX(1,D2381)),0), FactorTable!$A$2:$A$301,0), Skills!M10+1)</f>
        <v/>
      </c>
      <c r="F2381">
        <f>IF(Skills!N10=TRUE,(Skills!L10/10)*(E2381/1000),Skills!L10/10)+Skills!O10</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Skills!A11</f>
        <v/>
      </c>
      <c r="B2382">
        <f>Skills!B11</f>
        <v/>
      </c>
      <c r="C2382">
        <f>Inputs!$B$3&gt;=60</f>
        <v/>
      </c>
      <c r="D2382">
        <f>IF(Skills!C11=1,60+Inputs!$B$25+Inputs!$B$29,IF(Skills!C11=2,90+Inputs!$B$26+Inputs!$B$29,IF(Skills!C11=3,120+Inputs!$B$27+Inputs!$B$29,MAX(0,(Inputs!$B$3-100)*3)+Inputs!$B$28+Inputs!$B$29)))</f>
        <v/>
      </c>
      <c r="E2382">
        <f>INDEX(FactorTable!$B$2:$Y$301, MATCH(ROUND(MIN(300,MAX(1,D2382)),0), FactorTable!$A$2:$A$301,0), Skills!M11+1)</f>
        <v/>
      </c>
      <c r="F2382">
        <f>IF(Skills!N11=TRUE,(Skills!L11/10)*(E2382/1000),Skills!L11/10)+Skills!O11</f>
        <v/>
      </c>
      <c r="G2382">
        <f>Skills!G11*IF(Skills!H11&gt;0,Skills!I11/Skills!H11,1)</f>
        <v/>
      </c>
      <c r="H2382">
        <f>1-(1-Skills!J11/100)^Skills!K11</f>
        <v/>
      </c>
      <c r="I2382" t="inlineStr">
        <is>
          <t>1</t>
        </is>
      </c>
      <c r="J2382">
        <f>((Inputs!$B$6*(1+Inputs!$B$7/100))+(((Inputs!$B$12*(1+Inputs!$B$13/100))-(Inputs!$B$12*(1+Inputs!$B$13/100)))+0.25*(Inputs!$B$14-Inputs!$B$14))*(1+Inputs!$B$7/100))*(F2382/100)</f>
        <v/>
      </c>
      <c r="K2382">
        <f>J2382*(1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2383=TRUE,F2383,0)/100)*(1+(IF(Skills!A11="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2395=TRUE)*(F2395-Calc!F24)),(Inputs!$B$23+((C2400=TRUE)*(F2400-Calc!F29))+(IF(ArtifactsInput!$M$15,CHOOSE(ArtifactsInput!$N$15+1,25,30,35,40,45,50)/100*(Inputs!$B$11-Inputs!$B$11),0))))/100+(Inputs!$B$23+((C2400=TRUE)*(F2400-Calc!F29))+(IF(ArtifactsInput!$M$15,CHOOSE(ArtifactsInput!$N$15+1,25,30,35,40,45,50)/100*(Inputs!$B$11-Inputs!$B$11),0)))/100)/2</f>
        <v/>
      </c>
      <c r="M2382">
        <f>L2382*(1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2">
        <f>L2382*(1-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IF(B2414=0,0,O2382/B2414)</f>
        <v/>
      </c>
      <c r="Q2382">
        <f>IFERROR(1/(IF(Inputs!$B$38="pvp",15,MAX(0.1,Skills!D11-IF(Skills!E11=TRUE,Inputs!$B$32,0)))*(1-IF(AND(ArtifactsInput!$M$27,Inputs!$B$4="Chapter Hunt"),CHOOSE(ArtifactsInput!$N$27+1,20,24,28,32,36,40),0)/100)),0)</f>
        <v/>
      </c>
      <c r="R2382">
        <f>IF(AND(Inputs!$B$38&lt;&gt;"pvp",Inputs!$B$43&gt;0),IF(MAX(0,Inputs!$B$43-B2411)&lt;=0,0,(INT(MAX(0,Inputs!$B$43-B2411)/(IF(Inputs!$B$38="pvp",15,MAX(0.1,Skills!D11-IF(Skills!E11=TRUE,Inputs!$B$32,0)))*(1-IF(AND(ArtifactsInput!$M$27,Inputs!$B$4="Chapter Hunt"),CHOOSE(ArtifactsInput!$N$27+1,20,24,28,32,36,40),0)/100)))+1)),0)</f>
        <v/>
      </c>
      <c r="S2382">
        <f>IFERROR(O2382/N2382,0)</f>
        <v/>
      </c>
      <c r="T2382">
        <f>IF(C2382,(H2382*N2382*IF(AND(Inputs!$B$38&lt;&gt;"pvp",Inputs!$B$43&gt;0),((Skills!G11*((R2382-1)*IF(Skills!H11&gt;0,Skills!I11/Skills!H11,1)+IF(Skills!H11&gt;0,MIN(Skills!I11,MAX(0,MAX(0,Inputs!$B$43-B2411)-((R2382-1)*(IF(Inputs!$B$38="pvp",15,MAX(0.1,Skills!D11-IF(Skills!E11=TRUE,Inputs!$B$32,0)))*(1-IF(AND(ArtifactsInput!$M$27,Inputs!$B$4="Chapter Hunt"),CHOOSE(ArtifactsInput!$N$27+1,20,24,28,32,36,40),0)/100)))))/Skills!H11,1)))/Inputs!$B$43),G2382*Q2382)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2382*(1-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11*((R2382-1)*IF(Skills!H11&gt;0,Skills!I11/Skills!H11,1)+IF(Skills!H11&gt;0,MIN(Skills!I11,MAX(0,MAX(0,Inputs!$B$43-B2411)-((R2382-1)*(IF(Inputs!$B$38="pvp",15,MAX(0.1,Skills!D11-IF(Skills!E11=TRUE,Inputs!$B$32,0)))*(1-IF(AND(ArtifactsInput!$M$27,Inputs!$B$4="Chapter Hunt"),CHOOSE(ArtifactsInput!$N$27+1,20,24,28,32,36,40),0)/100)))))/Skills!H11,1)))/Inputs!$B$43),G2382*Q2382))*IF(Inputs!$B$38="pvp",1,(1+(Inputs!$B$21+Skills!Q11+(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Inputs!$B$3&gt;=110</f>
        <v/>
      </c>
      <c r="D2383">
        <f>IF(Skills!C12=1,60+Inputs!$B$25+Inputs!$B$29,IF(Skills!C12=2,90+Inputs!$B$26+Inputs!$B$29,IF(Skills!C12=3,120+Inputs!$B$27+Inputs!$B$29,MAX(0,(Inputs!$B$3-100)*3)+Inputs!$B$28+Inputs!$B$29)))</f>
        <v/>
      </c>
      <c r="E2383">
        <f>INDEX(FactorTable!$B$2:$Y$301, MATCH(ROUND(MIN(300,MAX(1,D2383)),0), FactorTable!$A$2:$A$301,0), Skills!M12+1)</f>
        <v/>
      </c>
      <c r="F2383">
        <f>IF(Skills!N12=TRUE,(Skills!L12/10)*(E2383/1000),Skills!L12/10)+Skills!O12</f>
        <v/>
      </c>
      <c r="G2383" t="inlineStr"/>
      <c r="H2383" t="inlineStr"/>
      <c r="I2383" t="inlineStr">
        <is>
          <t>1</t>
        </is>
      </c>
      <c r="J2383" t="inlineStr"/>
      <c r="K2383" t="inlineStr"/>
      <c r="L2383" t="inlineStr"/>
      <c r="M2383" t="inlineStr"/>
      <c r="N2383" t="inlineStr"/>
      <c r="O2383" t="inlineStr"/>
      <c r="P2383" t="inlineStr"/>
      <c r="Q2383" t="inlineStr"/>
      <c r="R2383" t="inlineStr"/>
      <c r="S2383" t="inlineStr"/>
      <c r="T2383" t="inlineStr"/>
      <c r="V2383" t="inlineStr"/>
    </row>
    <row r="2384">
      <c r="A2384">
        <f>Skills!A13</f>
        <v/>
      </c>
      <c r="B2384">
        <f>Skills!B13</f>
        <v/>
      </c>
      <c r="C2384">
        <f>Inputs!$B$3&gt;=74</f>
        <v/>
      </c>
      <c r="D2384">
        <f>IF(Skills!C13=1,60+Inputs!$B$25+Inputs!$B$29,IF(Skills!C13=2,90+Inputs!$B$26+Inputs!$B$29,IF(Skills!C13=3,120+Inputs!$B$27+Inputs!$B$29,MAX(0,(Inputs!$B$3-100)*3)+Inputs!$B$28+Inputs!$B$29)))</f>
        <v/>
      </c>
      <c r="E2384">
        <f>INDEX(FactorTable!$B$2:$Y$301, MATCH(ROUND(MIN(300,MAX(1,D2384)),0), FactorTable!$A$2:$A$301,0), Skills!M13+1)</f>
        <v/>
      </c>
      <c r="F2384">
        <f>IF(Skills!N13=TRUE,(Skills!L13/10)*(E2384/1000),Skills!L13/10)+Skills!O13</f>
        <v/>
      </c>
      <c r="G2384">
        <f>Skills!G13*IF(Skills!H13&gt;0,Skills!I13/Skills!H13,1)</f>
        <v/>
      </c>
      <c r="H2384">
        <f>1-(1-Skills!J13/100)^Skills!K13</f>
        <v/>
      </c>
      <c r="I2384" t="inlineStr">
        <is>
          <t>1</t>
        </is>
      </c>
      <c r="J2384" t="inlineStr"/>
      <c r="K2384" t="inlineStr"/>
      <c r="L2384" t="inlineStr"/>
      <c r="M2384" t="inlineStr"/>
      <c r="N2384" t="inlineStr"/>
      <c r="O2384">
        <f>(1-Summary!$B$11)*T2384+Summary!$B$11*V2384</f>
        <v/>
      </c>
      <c r="P2384">
        <f>IF(B2414=0,0,O2384/B2414)</f>
        <v/>
      </c>
      <c r="Q2384" t="n">
        <v>0</v>
      </c>
      <c r="R2384" t="n">
        <v>0</v>
      </c>
      <c r="S2384">
        <f>IFERROR(O2384/N2384,0)</f>
        <v/>
      </c>
      <c r="T2384" t="n">
        <v>0</v>
      </c>
      <c r="V2384" t="n">
        <v>0</v>
      </c>
    </row>
    <row r="2385">
      <c r="A2385">
        <f>Skills!A14</f>
        <v/>
      </c>
      <c r="B2385">
        <f>Skills!B14</f>
        <v/>
      </c>
      <c r="C2385">
        <f>Inputs!$B$3&gt;=74</f>
        <v/>
      </c>
      <c r="D2385">
        <f>IF(Skills!C14=1,60+Inputs!$B$25+Inputs!$B$29,IF(Skills!C14=2,90+Inputs!$B$26+Inputs!$B$29,IF(Skills!C14=3,120+Inputs!$B$27+Inputs!$B$29,MAX(0,(Inputs!$B$3-100)*3)+Inputs!$B$28+Inputs!$B$29)))</f>
        <v/>
      </c>
      <c r="E2385">
        <f>INDEX(FactorTable!$B$2:$Y$301, MATCH(ROUND(MIN(300,MAX(1,D2385)),0), FactorTable!$A$2:$A$301,0), Skills!M14+1)</f>
        <v/>
      </c>
      <c r="F2385">
        <f>IF(Skills!N14=TRUE,(Skills!L14/10)*(E2385/1000),Skills!L14/10)+Skills!O14</f>
        <v/>
      </c>
      <c r="G2385">
        <f>Skills!G14*IF(Skills!H14&gt;0,Skills!I14/Skills!H14,1)</f>
        <v/>
      </c>
      <c r="H2385">
        <f>1-(1-Skills!J14/100)^Skills!K14</f>
        <v/>
      </c>
      <c r="I2385" t="inlineStr">
        <is>
          <t>1</t>
        </is>
      </c>
      <c r="J2385" t="inlineStr"/>
      <c r="K2385" t="inlineStr"/>
      <c r="L2385" t="inlineStr"/>
      <c r="M2385" t="inlineStr"/>
      <c r="N2385" t="inlineStr"/>
      <c r="O2385">
        <f>(1-Summary!$B$11)*T2385+Summary!$B$11*V2385</f>
        <v/>
      </c>
      <c r="P2385">
        <f>IF(B2414=0,0,O2385/B2414)</f>
        <v/>
      </c>
      <c r="Q2385" t="n">
        <v>0</v>
      </c>
      <c r="R2385" t="n">
        <v>0</v>
      </c>
      <c r="S2385">
        <f>IFERROR(O2385/N2385,0)</f>
        <v/>
      </c>
      <c r="T2385" t="n">
        <v>0</v>
      </c>
      <c r="V2385" t="n">
        <v>0</v>
      </c>
    </row>
    <row r="2386">
      <c r="A2386">
        <f>Skills!A15</f>
        <v/>
      </c>
      <c r="B2386">
        <f>Skills!B15</f>
        <v/>
      </c>
      <c r="C2386">
        <f>Inputs!$B$3&gt;=117</f>
        <v/>
      </c>
      <c r="D2386">
        <f>IF(Skills!C15=1,60+Inputs!$B$25+Inputs!$B$29,IF(Skills!C15=2,90+Inputs!$B$26+Inputs!$B$29,IF(Skills!C15=3,120+Inputs!$B$27+Inputs!$B$29,MAX(0,(Inputs!$B$3-100)*3)+Inputs!$B$28+Inputs!$B$29)))</f>
        <v/>
      </c>
      <c r="E2386">
        <f>INDEX(FactorTable!$B$2:$Y$301, MATCH(ROUND(MIN(300,MAX(1,D2386)),0), FactorTable!$A$2:$A$301,0), Skills!M15+1)</f>
        <v/>
      </c>
      <c r="F2386">
        <f>IF(Skills!N15=TRUE,(Skills!L15/10)*(E2386/1000),Skills!L15/10)+Skills!O15</f>
        <v/>
      </c>
      <c r="G2386">
        <f>Skills!G15*IF(Skills!H15&gt;0,Skills!I15/Skills!H15,1)</f>
        <v/>
      </c>
      <c r="H2386">
        <f>1-(1-Skills!J15/100)^Skills!K15</f>
        <v/>
      </c>
      <c r="I2386" t="inlineStr">
        <is>
          <t>1</t>
        </is>
      </c>
      <c r="J2386" t="inlineStr"/>
      <c r="K2386" t="inlineStr"/>
      <c r="L2386" t="inlineStr"/>
      <c r="M2386" t="inlineStr"/>
      <c r="N2386" t="inlineStr"/>
      <c r="O2386">
        <f>(1-Summary!$B$11)*T2386+Summary!$B$11*V2386</f>
        <v/>
      </c>
      <c r="P2386">
        <f>IF(B2414=0,0,O2386/B2414)</f>
        <v/>
      </c>
      <c r="Q2386">
        <f>IFERROR(1/(IF(Inputs!$B$38="pvp",15,MAX(0.1,Skills!D15-IF(Skills!E15=TRUE,Inputs!$B$32,0)))*(1-IF(AND(ArtifactsInput!$M$27,Inputs!$B$4="Chapter Hunt"),CHOOSE(ArtifactsInput!$N$27+1,20,24,28,32,36,40),0)/100)),0)</f>
        <v/>
      </c>
      <c r="R2386">
        <f>IF(AND(Inputs!$B$38&lt;&gt;"pvp",Inputs!$B$43&gt;0),IF(Inputs!$B$43&lt;=0,0,(INT(Inputs!$B$43/(IF(Inputs!$B$38="pvp",15,MAX(0.1,Skills!D15-IF(Skills!E15=TRUE,Inputs!$B$32,0)))*(1-IF(AND(ArtifactsInput!$M$27,Inputs!$B$4="Chapter Hunt"),CHOOSE(ArtifactsInput!$N$27+1,20,24,28,32,36,40),0)/100)))+1)),0)</f>
        <v/>
      </c>
      <c r="S2386">
        <f>IFERROR(O2386/N2386,0)</f>
        <v/>
      </c>
      <c r="T2386" t="n">
        <v>0</v>
      </c>
      <c r="V2386" t="n">
        <v>0</v>
      </c>
    </row>
    <row r="2387">
      <c r="A2387">
        <f>Skills!A16</f>
        <v/>
      </c>
      <c r="B2387">
        <f>Skills!B16</f>
        <v/>
      </c>
      <c r="C2387">
        <f>Inputs!$B$3&gt;=115</f>
        <v/>
      </c>
      <c r="D2387">
        <f>IF(Skills!C16=1,60+Inputs!$B$25+Inputs!$B$29,IF(Skills!C16=2,90+Inputs!$B$26+Inputs!$B$29,IF(Skills!C16=3,120+Inputs!$B$27+Inputs!$B$29,MAX(0,(Inputs!$B$3-100)*3)+Inputs!$B$28+Inputs!$B$29)))</f>
        <v/>
      </c>
      <c r="E2387">
        <f>INDEX(FactorTable!$B$2:$Y$301, MATCH(ROUND(MIN(300,MAX(1,D2387)),0), FactorTable!$A$2:$A$301,0), Skills!M16+1)</f>
        <v/>
      </c>
      <c r="F2387">
        <f>IF(Skills!N16=TRUE,(Skills!L16/10)*(E2387/1000),Skills!L16/10)+Skills!O16</f>
        <v/>
      </c>
      <c r="G2387">
        <f>Skills!G16*IF(Skills!H16&gt;0,Skills!I16/Skills!H16,1)</f>
        <v/>
      </c>
      <c r="H2387">
        <f>1-(1-Skills!J16/100)^Skills!K16</f>
        <v/>
      </c>
      <c r="I2387" t="inlineStr">
        <is>
          <t>1</t>
        </is>
      </c>
      <c r="J2387" t="inlineStr"/>
      <c r="K2387" t="inlineStr"/>
      <c r="L2387" t="inlineStr"/>
      <c r="M2387" t="inlineStr"/>
      <c r="N2387" t="inlineStr"/>
      <c r="O2387">
        <f>(1-Summary!$B$11)*T2387+Summary!$B$11*V2387</f>
        <v/>
      </c>
      <c r="P2387">
        <f>IF(B2414=0,0,O2387/B2414)</f>
        <v/>
      </c>
      <c r="Q2387">
        <f>IFERROR(1/(IF(Inputs!$B$38="pvp",15,MAX(0.1,Skills!D16-IF(Skills!E16=TRUE,Inputs!$B$32,0)))*(1-IF(AND(ArtifactsInput!$M$27,Inputs!$B$4="Chapter Hunt"),CHOOSE(ArtifactsInput!$N$27+1,20,24,28,32,36,40),0)/100)),0)</f>
        <v/>
      </c>
      <c r="R2387">
        <f>IF(AND(Inputs!$B$38&lt;&gt;"pvp",Inputs!$B$43&gt;0),IF(Inputs!$B$43&lt;=0,0,(INT(Inputs!$B$43/(IF(Inputs!$B$38="pvp",15,MAX(0.1,Skills!D16-IF(Skills!E16=TRUE,Inputs!$B$32,0)))*(1-IF(AND(ArtifactsInput!$M$27,Inputs!$B$4="Chapter Hunt"),CHOOSE(ArtifactsInput!$N$27+1,20,24,28,32,36,40),0)/100)))+1)),0)</f>
        <v/>
      </c>
      <c r="S2387">
        <f>IFERROR(O2387/N2387,0)</f>
        <v/>
      </c>
      <c r="T2387" t="n">
        <v>0</v>
      </c>
      <c r="V2387" t="n">
        <v>0</v>
      </c>
    </row>
    <row r="2388">
      <c r="A2388">
        <f>Skills!A17</f>
        <v/>
      </c>
      <c r="B2388">
        <f>Skills!B17</f>
        <v/>
      </c>
      <c r="C2388">
        <f>Inputs!$B$3&gt;=66</f>
        <v/>
      </c>
      <c r="D2388">
        <f>IF(Skills!C17=1,60+Inputs!$B$25+Inputs!$B$29,IF(Skills!C17=2,90+Inputs!$B$26+Inputs!$B$29,IF(Skills!C17=3,120+Inputs!$B$27+Inputs!$B$29,MAX(0,(Inputs!$B$3-100)*3)+Inputs!$B$28+Inputs!$B$29)))</f>
        <v/>
      </c>
      <c r="E2388">
        <f>INDEX(FactorTable!$B$2:$Y$301, MATCH(ROUND(MIN(300,MAX(1,D2388)),0), FactorTable!$A$2:$A$301,0), Skills!M17+1)</f>
        <v/>
      </c>
      <c r="F2388">
        <f>IF(Skills!N17=TRUE,(Skills!L17/10)*(E2388/1000),Skills!L17/10)+Skills!O17</f>
        <v/>
      </c>
      <c r="G2388">
        <f>Skills!G17*IF(Skills!H17&gt;0,Skills!I17/Skills!H17,1)</f>
        <v/>
      </c>
      <c r="H2388">
        <f>1-(1-Skills!J17/100)^Skills!K17</f>
        <v/>
      </c>
      <c r="I2388" t="inlineStr">
        <is>
          <t>1</t>
        </is>
      </c>
      <c r="J2388" t="inlineStr"/>
      <c r="K2388" t="inlineStr"/>
      <c r="L2388" t="inlineStr"/>
      <c r="M2388" t="inlineStr"/>
      <c r="N2388" t="inlineStr"/>
      <c r="O2388">
        <f>(1-Summary!$B$11)*T2388+Summary!$B$11*V2388</f>
        <v/>
      </c>
      <c r="P2388">
        <f>IF(B2414=0,0,O2388/B2414)</f>
        <v/>
      </c>
      <c r="Q2388" t="n">
        <v>0</v>
      </c>
      <c r="R2388" t="n">
        <v>0</v>
      </c>
      <c r="S2388">
        <f>IFERROR(O2388/N2388,0)</f>
        <v/>
      </c>
      <c r="T2388" t="n">
        <v>0</v>
      </c>
      <c r="V2388" t="n">
        <v>0</v>
      </c>
    </row>
    <row r="2389">
      <c r="A2389">
        <f>Skills!A18</f>
        <v/>
      </c>
      <c r="B2389">
        <f>Skills!B18</f>
        <v/>
      </c>
      <c r="C2389">
        <f>Inputs!$B$3&gt;=72</f>
        <v/>
      </c>
      <c r="D2389">
        <f>IF(Skills!C18=1,60+Inputs!$B$25+Inputs!$B$29,IF(Skills!C18=2,90+Inputs!$B$26+Inputs!$B$29,IF(Skills!C18=3,120+Inputs!$B$27+Inputs!$B$29,MAX(0,(Inputs!$B$3-100)*3)+Inputs!$B$28+Inputs!$B$29)))</f>
        <v/>
      </c>
      <c r="E2389">
        <f>INDEX(FactorTable!$B$2:$Y$301, MATCH(ROUND(MIN(300,MAX(1,D2389)),0), FactorTable!$A$2:$A$301,0), Skills!M18+1)</f>
        <v/>
      </c>
      <c r="F2389">
        <f>IF(Skills!N18=TRUE,(Skills!L18/10)*(E2389/1000),Skills!L18/10)+Skills!O18</f>
        <v/>
      </c>
      <c r="G2389">
        <f>Skills!G18*IF(Skills!H18&gt;0,Skills!I18/Skills!H18,1)</f>
        <v/>
      </c>
      <c r="H2389">
        <f>1-(1-Skills!J18/100)^Skills!K18</f>
        <v/>
      </c>
      <c r="I2389" t="inlineStr">
        <is>
          <t>1</t>
        </is>
      </c>
      <c r="J2389" t="inlineStr"/>
      <c r="K2389" t="inlineStr"/>
      <c r="L2389" t="inlineStr"/>
      <c r="M2389" t="inlineStr"/>
      <c r="N2389" t="inlineStr"/>
      <c r="O2389">
        <f>(1-Summary!$B$11)*T2389+Summary!$B$11*V2389</f>
        <v/>
      </c>
      <c r="P2389">
        <f>IF(B2414=0,0,O2389/B2414)</f>
        <v/>
      </c>
      <c r="Q2389" t="n">
        <v>0</v>
      </c>
      <c r="R2389" t="n">
        <v>0</v>
      </c>
      <c r="S2389">
        <f>IFERROR(O2389/N2389,0)</f>
        <v/>
      </c>
      <c r="T2389" t="n">
        <v>0</v>
      </c>
      <c r="V2389" t="n">
        <v>0</v>
      </c>
    </row>
    <row r="2390">
      <c r="A2390">
        <f>Skills!A19</f>
        <v/>
      </c>
      <c r="B2390">
        <f>Skills!B19</f>
        <v/>
      </c>
      <c r="C2390">
        <f>TRUE</f>
        <v/>
      </c>
      <c r="D2390">
        <f>IF(Skills!C19=1,60+Inputs!$B$25+Inputs!$B$29,IF(Skills!C19=2,90+Inputs!$B$26+Inputs!$B$29,IF(Skills!C19=3,120+Inputs!$B$27+Inputs!$B$29,MAX(0,(Inputs!$B$3-100)*3)+Inputs!$B$28+Inputs!$B$29)))</f>
        <v/>
      </c>
      <c r="E2390">
        <f>INDEX(FactorTable!$B$2:$Y$301, MATCH(ROUND(MIN(300,MAX(1,D2390)),0), FactorTable!$A$2:$A$301,0), Skills!M19+1)</f>
        <v/>
      </c>
      <c r="F2390">
        <f>IF(Skills!N19=TRUE,(Skills!L19/10)*(E2390/1000),Skills!L19/10)+Skills!O19</f>
        <v/>
      </c>
      <c r="G2390">
        <f>Skills!G19*IF(Skills!H19&gt;0,Skills!I19/Skills!H19,1)</f>
        <v/>
      </c>
      <c r="H2390">
        <f>1-(1-Skills!J19/100)^Skills!K19</f>
        <v/>
      </c>
      <c r="I2390" t="inlineStr">
        <is>
          <t>1</t>
        </is>
      </c>
      <c r="J2390" t="inlineStr"/>
      <c r="K2390" t="inlineStr"/>
      <c r="L2390" t="inlineStr"/>
      <c r="M2390" t="inlineStr"/>
      <c r="N2390" t="inlineStr"/>
      <c r="O2390">
        <f>(1-Summary!$B$11)*T2390+Summary!$B$11*V2390</f>
        <v/>
      </c>
      <c r="P2390">
        <f>IF(B2414=0,0,O2390/B2414)</f>
        <v/>
      </c>
      <c r="Q2390">
        <f>IFERROR(1/(IF(Inputs!$B$38="pvp",15,MAX(0.1,Skills!D19-IF(Skills!E19=TRUE,Inputs!$B$32,0)))*(1-IF(AND(ArtifactsInput!$M$27,Inputs!$B$4="Chapter Hunt"),CHOOSE(ArtifactsInput!$N$27+1,20,24,28,32,36,40),0)/100)),0)</f>
        <v/>
      </c>
      <c r="R2390">
        <f>IF(AND(Inputs!$B$38&lt;&gt;"pvp",Inputs!$B$43&gt;0),IF(Inputs!$B$43&lt;=0,0,(INT(Inputs!$B$43/(IF(Inputs!$B$38="pvp",15,MAX(0.1,Skills!D19-IF(Skills!E19=TRUE,Inputs!$B$32,0)))*(1-IF(AND(ArtifactsInput!$M$27,Inputs!$B$4="Chapter Hunt"),CHOOSE(ArtifactsInput!$N$27+1,20,24,28,32,36,40),0)/100)))+1)),0)</f>
        <v/>
      </c>
      <c r="S2390">
        <f>IFERROR(O2390/N2390,0)</f>
        <v/>
      </c>
      <c r="T2390" t="n">
        <v>0</v>
      </c>
      <c r="V2390" t="n">
        <v>0</v>
      </c>
    </row>
    <row r="2391">
      <c r="A2391">
        <f>Skills!A20</f>
        <v/>
      </c>
      <c r="B2391">
        <f>Skills!B20</f>
        <v/>
      </c>
      <c r="C2391">
        <f>Inputs!$B$3&gt;=15</f>
        <v/>
      </c>
      <c r="D2391">
        <f>IF(Skills!C20=1,60+Inputs!$B$25+Inputs!$B$29,IF(Skills!C20=2,90+Inputs!$B$26+Inputs!$B$29,IF(Skills!C20=3,120+Inputs!$B$27+Inputs!$B$29,MAX(0,(Inputs!$B$3-100)*3)+Inputs!$B$28+Inputs!$B$29)))</f>
        <v/>
      </c>
      <c r="E2391">
        <f>INDEX(FactorTable!$B$2:$Y$301, MATCH(ROUND(MIN(300,MAX(1,D2391)),0), FactorTable!$A$2:$A$301,0), Skills!M20+1)</f>
        <v/>
      </c>
      <c r="F2391">
        <f>IF(Skills!N20=TRUE,(Skills!L20/10)*(E2391/1000),Skills!L20/10)+Skills!O20</f>
        <v/>
      </c>
      <c r="G2391">
        <f>Skills!G20*IF(Skills!H20&gt;0,Skills!I20/Skills!H20,1)</f>
        <v/>
      </c>
      <c r="H2391">
        <f>1-(1-Skills!J20/100)^Skills!K20</f>
        <v/>
      </c>
      <c r="I2391" t="inlineStr">
        <is>
          <t>1</t>
        </is>
      </c>
      <c r="J2391" t="inlineStr"/>
      <c r="K2391" t="inlineStr"/>
      <c r="L2391" t="inlineStr"/>
      <c r="M2391" t="inlineStr"/>
      <c r="N2391" t="inlineStr"/>
      <c r="O2391">
        <f>(1-Summary!$B$11)*T2391+Summary!$B$11*V2391</f>
        <v/>
      </c>
      <c r="P2391">
        <f>IF(B2414=0,0,O2391/B2414)</f>
        <v/>
      </c>
      <c r="Q2391" t="n">
        <v>0</v>
      </c>
      <c r="R2391" t="n">
        <v>0</v>
      </c>
      <c r="S2391">
        <f>IFERROR(O2391/N2391,0)</f>
        <v/>
      </c>
      <c r="T2391" t="n">
        <v>0</v>
      </c>
      <c r="V2391" t="n">
        <v>0</v>
      </c>
    </row>
    <row r="2392">
      <c r="A2392">
        <f>Skills!A21</f>
        <v/>
      </c>
      <c r="B2392">
        <f>Skills!B21</f>
        <v/>
      </c>
      <c r="C2392">
        <f>Inputs!$B$3&gt;=10</f>
        <v/>
      </c>
      <c r="D2392">
        <f>IF(Skills!C21=1,60+Inputs!$B$25+Inputs!$B$29,IF(Skills!C21=2,90+Inputs!$B$26+Inputs!$B$29,IF(Skills!C21=3,120+Inputs!$B$27+Inputs!$B$29,MAX(0,(Inputs!$B$3-100)*3)+Inputs!$B$28+Inputs!$B$29)))</f>
        <v/>
      </c>
      <c r="E2392">
        <f>INDEX(FactorTable!$B$2:$Y$301, MATCH(ROUND(MIN(300,MAX(1,D2392)),0), FactorTable!$A$2:$A$301,0), Skills!M21+1)</f>
        <v/>
      </c>
      <c r="F2392">
        <f>IF(Skills!N21=TRUE,(Skills!L21/10)*(E2392/1000),Skills!L21/10)+Skills!O21</f>
        <v/>
      </c>
      <c r="G2392">
        <f>Skills!G21*IF(Skills!H21&gt;0,Skills!I21/Skills!H21,1)</f>
        <v/>
      </c>
      <c r="H2392">
        <f>1-(1-Skills!J21/100)^Skills!K21</f>
        <v/>
      </c>
      <c r="I2392" t="inlineStr">
        <is>
          <t>1</t>
        </is>
      </c>
      <c r="J2392" t="inlineStr"/>
      <c r="K2392" t="inlineStr"/>
      <c r="L2392" t="inlineStr"/>
      <c r="M2392" t="inlineStr"/>
      <c r="N2392" t="inlineStr"/>
      <c r="O2392">
        <f>(1-Summary!$B$11)*T2392+Summary!$B$11*V2392</f>
        <v/>
      </c>
      <c r="P2392">
        <f>IF(B2414=0,0,O2392/B2414)</f>
        <v/>
      </c>
      <c r="Q2392" t="n">
        <v>0</v>
      </c>
      <c r="R2392" t="n">
        <v>0</v>
      </c>
      <c r="S2392">
        <f>IFERROR(O2392/N2392,0)</f>
        <v/>
      </c>
      <c r="T2392" t="n">
        <v>0</v>
      </c>
      <c r="V2392" t="n">
        <v>0</v>
      </c>
    </row>
    <row r="2393">
      <c r="A2393">
        <f>Skills!A22</f>
        <v/>
      </c>
      <c r="B2393">
        <f>Skills!B22</f>
        <v/>
      </c>
      <c r="C2393">
        <f>Inputs!$B$3&gt;=33</f>
        <v/>
      </c>
      <c r="D2393">
        <f>IF(Skills!C22=1,60+Inputs!$B$25+Inputs!$B$29,IF(Skills!C22=2,90+Inputs!$B$26+Inputs!$B$29,IF(Skills!C22=3,120+Inputs!$B$27+Inputs!$B$29,MAX(0,(Inputs!$B$3-100)*3)+Inputs!$B$28+Inputs!$B$29)))</f>
        <v/>
      </c>
      <c r="E2393">
        <f>INDEX(FactorTable!$B$2:$Y$301, MATCH(ROUND(MIN(300,MAX(1,D2393)),0), FactorTable!$A$2:$A$301,0), Skills!M22+1)</f>
        <v/>
      </c>
      <c r="F2393">
        <f>IF(Skills!N22=TRUE,(Skills!L22/10)*(E2393/1000),Skills!L22/10)+Skills!O22</f>
        <v/>
      </c>
      <c r="G2393">
        <f>Skills!G22*IF(Skills!H22&gt;0,Skills!I22/Skills!H22,1)</f>
        <v/>
      </c>
      <c r="H2393">
        <f>1-(1-Skills!J22/100)^Skills!K22</f>
        <v/>
      </c>
      <c r="I2393" t="inlineStr">
        <is>
          <t>1</t>
        </is>
      </c>
      <c r="J2393" t="inlineStr"/>
      <c r="K2393" t="inlineStr"/>
      <c r="L2393" t="inlineStr"/>
      <c r="M2393" t="inlineStr"/>
      <c r="N2393" t="inlineStr"/>
      <c r="O2393">
        <f>(1-Summary!$B$11)*T2393+Summary!$B$11*V2393</f>
        <v/>
      </c>
      <c r="P2393">
        <f>IF(B2414=0,0,O2393/B2414)</f>
        <v/>
      </c>
      <c r="Q2393" t="n">
        <v>0</v>
      </c>
      <c r="R2393" t="n">
        <v>0</v>
      </c>
      <c r="S2393">
        <f>IFERROR(O2393/N2393,0)</f>
        <v/>
      </c>
      <c r="T2393" t="n">
        <v>0</v>
      </c>
      <c r="V2393" t="n">
        <v>0</v>
      </c>
    </row>
    <row r="2394">
      <c r="A2394">
        <f>Skills!A23</f>
        <v/>
      </c>
      <c r="B2394">
        <f>Skills!B23</f>
        <v/>
      </c>
      <c r="C2394">
        <f>Inputs!$B$3&gt;=38</f>
        <v/>
      </c>
      <c r="D2394">
        <f>IF(Skills!C23=1,60+Inputs!$B$25+Inputs!$B$29,IF(Skills!C23=2,90+Inputs!$B$26+Inputs!$B$29,IF(Skills!C23=3,120+Inputs!$B$27+Inputs!$B$29,MAX(0,(Inputs!$B$3-100)*3)+Inputs!$B$28+Inputs!$B$29)))</f>
        <v/>
      </c>
      <c r="E2394">
        <f>INDEX(FactorTable!$B$2:$Y$301, MATCH(ROUND(MIN(300,MAX(1,D2394)),0), FactorTable!$A$2:$A$301,0), Skills!M23+1)</f>
        <v/>
      </c>
      <c r="F2394">
        <f>IF(Skills!N23=TRUE,(Skills!L23/10)*(E2394/1000),Skills!L23/10)+Skills!O23</f>
        <v/>
      </c>
      <c r="G2394">
        <f>Skills!G23*IF(Skills!H23&gt;0,Skills!I23/Skills!H23,1)</f>
        <v/>
      </c>
      <c r="H2394">
        <f>1-(1-Skills!J23/100)^Skills!K23</f>
        <v/>
      </c>
      <c r="I2394" t="inlineStr">
        <is>
          <t>1</t>
        </is>
      </c>
      <c r="J2394" t="inlineStr"/>
      <c r="K2394" t="inlineStr"/>
      <c r="L2394" t="inlineStr"/>
      <c r="M2394" t="inlineStr"/>
      <c r="N2394" t="inlineStr"/>
      <c r="O2394">
        <f>(1-Summary!$B$11)*T2394+Summary!$B$11*V2394</f>
        <v/>
      </c>
      <c r="P2394">
        <f>IF(B2414=0,0,O2394/B2414)</f>
        <v/>
      </c>
      <c r="Q2394" t="n">
        <v>0</v>
      </c>
      <c r="R2394" t="n">
        <v>0</v>
      </c>
      <c r="S2394">
        <f>IFERROR(O2394/N2394,0)</f>
        <v/>
      </c>
      <c r="T2394" t="n">
        <v>0</v>
      </c>
      <c r="V2394" t="n">
        <v>0</v>
      </c>
    </row>
    <row r="2395">
      <c r="A2395">
        <f>Skills!A24</f>
        <v/>
      </c>
      <c r="B2395">
        <f>Skills!B24</f>
        <v/>
      </c>
      <c r="C2395">
        <f>Inputs!$B$3&gt;=43</f>
        <v/>
      </c>
      <c r="D2395">
        <f>IF(Skills!C24=1,60+Inputs!$B$25+Inputs!$B$29,IF(Skills!C24=2,90+Inputs!$B$26+Inputs!$B$29,IF(Skills!C24=3,120+Inputs!$B$27+Inputs!$B$29,MAX(0,(Inputs!$B$3-100)*3)+Inputs!$B$28+Inputs!$B$29)))</f>
        <v/>
      </c>
      <c r="E2395">
        <f>INDEX(FactorTable!$B$2:$Y$301, MATCH(ROUND(MIN(300,MAX(1,D2395)),0), FactorTable!$A$2:$A$301,0), Skills!M24+1)</f>
        <v/>
      </c>
      <c r="F2395">
        <f>IF(Skills!N24=TRUE,(Skills!L24/10)*(E2395/1000),Skills!L24/10)+Skills!O24</f>
        <v/>
      </c>
      <c r="G2395">
        <f>Skills!G24*IF(Skills!H24&gt;0,Skills!I24/Skills!H24,1)</f>
        <v/>
      </c>
      <c r="H2395">
        <f>1-(1-Skills!J24/100)^Skills!K24</f>
        <v/>
      </c>
      <c r="I2395" t="inlineStr">
        <is>
          <t>1</t>
        </is>
      </c>
      <c r="J2395" t="inlineStr"/>
      <c r="K2395" t="inlineStr"/>
      <c r="L2395" t="inlineStr"/>
      <c r="M2395" t="inlineStr"/>
      <c r="N2395" t="inlineStr"/>
      <c r="O2395">
        <f>(1-Summary!$B$11)*T2395+Summary!$B$11*V2395</f>
        <v/>
      </c>
      <c r="P2395">
        <f>IF(B2414=0,0,O2395/B2414)</f>
        <v/>
      </c>
      <c r="Q2395" t="n">
        <v>0</v>
      </c>
      <c r="R2395" t="n">
        <v>0</v>
      </c>
      <c r="S2395">
        <f>IFERROR(O2395/N2395,0)</f>
        <v/>
      </c>
      <c r="T2395" t="n">
        <v>0</v>
      </c>
      <c r="V2395" t="n">
        <v>0</v>
      </c>
    </row>
    <row r="2396">
      <c r="A2396">
        <f>Skills!A25</f>
        <v/>
      </c>
      <c r="B2396">
        <f>Skills!B25</f>
        <v/>
      </c>
      <c r="C2396">
        <f>Inputs!$B$3&gt;=75</f>
        <v/>
      </c>
      <c r="D2396">
        <f>IF(Skills!C25=1,60+Inputs!$B$25+Inputs!$B$29,IF(Skills!C25=2,90+Inputs!$B$26+Inputs!$B$29,IF(Skills!C25=3,120+Inputs!$B$27+Inputs!$B$29,MAX(0,(Inputs!$B$3-100)*3)+Inputs!$B$28+Inputs!$B$29)))</f>
        <v/>
      </c>
      <c r="E2396">
        <f>INDEX(FactorTable!$B$2:$Y$301, MATCH(ROUND(MIN(300,MAX(1,D2396)),0), FactorTable!$A$2:$A$301,0), Skills!M25+1)</f>
        <v/>
      </c>
      <c r="F2396">
        <f>IF(Skills!N25=TRUE,(Skills!L25/10)*(E2396/1000),Skills!L25/10)+Skills!O25</f>
        <v/>
      </c>
      <c r="G2396">
        <f>Skills!G25*IF(Skills!H25&gt;0,Skills!I25/Skills!H25,1)</f>
        <v/>
      </c>
      <c r="H2396">
        <f>1-(1-Skills!J25/100)^Skills!K25</f>
        <v/>
      </c>
      <c r="I2396" t="inlineStr">
        <is>
          <t>1</t>
        </is>
      </c>
      <c r="J2396" t="inlineStr"/>
      <c r="K2396" t="inlineStr"/>
      <c r="L2396" t="inlineStr"/>
      <c r="M2396" t="inlineStr"/>
      <c r="N2396" t="inlineStr"/>
      <c r="O2396">
        <f>(1-Summary!$B$11)*T2396+Summary!$B$11*V2396</f>
        <v/>
      </c>
      <c r="P2396">
        <f>IF(B2414=0,0,O2396/B2414)</f>
        <v/>
      </c>
      <c r="Q2396" t="n">
        <v>0</v>
      </c>
      <c r="R2396" t="n">
        <v>0</v>
      </c>
      <c r="S2396">
        <f>IFERROR(O2396/N2396,0)</f>
        <v/>
      </c>
      <c r="T2396" t="n">
        <v>0</v>
      </c>
      <c r="V2396" t="n">
        <v>0</v>
      </c>
    </row>
    <row r="2397">
      <c r="A2397">
        <f>Skills!A26</f>
        <v/>
      </c>
      <c r="B2397">
        <f>Skills!B26</f>
        <v/>
      </c>
      <c r="C2397">
        <f>Inputs!$B$3&gt;=125</f>
        <v/>
      </c>
      <c r="D2397">
        <f>IF(Skills!C26=1,60+Inputs!$B$25+Inputs!$B$29,IF(Skills!C26=2,90+Inputs!$B$26+Inputs!$B$29,IF(Skills!C26=3,120+Inputs!$B$27+Inputs!$B$29,MAX(0,(Inputs!$B$3-100)*3)+Inputs!$B$28+Inputs!$B$29)))</f>
        <v/>
      </c>
      <c r="E2397">
        <f>INDEX(FactorTable!$B$2:$Y$301, MATCH(ROUND(MIN(300,MAX(1,D2397)),0), FactorTable!$A$2:$A$301,0), Skills!M26+1)</f>
        <v/>
      </c>
      <c r="F2397">
        <f>IF(Skills!N26=TRUE,(Skills!L26/10)*(E2397/1000),Skills!L26/10)+Skills!O26</f>
        <v/>
      </c>
      <c r="G2397">
        <f>Skills!G26*IF(Skills!H26&gt;0,Skills!I26/Skills!H26,1)</f>
        <v/>
      </c>
      <c r="H2397">
        <f>1-(1-Skills!J26/100)^Skills!K26</f>
        <v/>
      </c>
      <c r="I2397" t="inlineStr">
        <is>
          <t>1</t>
        </is>
      </c>
      <c r="J2397" t="inlineStr"/>
      <c r="K2397" t="inlineStr"/>
      <c r="L2397" t="inlineStr"/>
      <c r="M2397" t="inlineStr"/>
      <c r="N2397" t="inlineStr"/>
      <c r="O2397">
        <f>(1-Summary!$B$11)*T2397+Summary!$B$11*V2397</f>
        <v/>
      </c>
      <c r="P2397">
        <f>IF(B2414=0,0,O2397/B2414)</f>
        <v/>
      </c>
      <c r="Q2397" t="n">
        <v>0</v>
      </c>
      <c r="R2397" t="n">
        <v>0</v>
      </c>
      <c r="S2397">
        <f>IFERROR(O2397/N2397,0)</f>
        <v/>
      </c>
      <c r="T2397" t="n">
        <v>0</v>
      </c>
      <c r="V2397" t="n">
        <v>0</v>
      </c>
    </row>
    <row r="2398">
      <c r="A2398">
        <f>Skills!A27</f>
        <v/>
      </c>
      <c r="B2398">
        <f>Skills!B27</f>
        <v/>
      </c>
      <c r="C2398">
        <f>Inputs!$B$3&gt;=125</f>
        <v/>
      </c>
      <c r="D2398">
        <f>IF(Skills!C27=1,60+Inputs!$B$25+Inputs!$B$29,IF(Skills!C27=2,90+Inputs!$B$26+Inputs!$B$29,IF(Skills!C27=3,120+Inputs!$B$27+Inputs!$B$29,MAX(0,(Inputs!$B$3-100)*3)+Inputs!$B$28+Inputs!$B$29)))</f>
        <v/>
      </c>
      <c r="E2398">
        <f>INDEX(FactorTable!$B$2:$Y$301, MATCH(ROUND(MIN(300,MAX(1,D2398)),0), FactorTable!$A$2:$A$301,0), Skills!M27+1)</f>
        <v/>
      </c>
      <c r="F2398">
        <f>IF(Skills!N27=TRUE,(Skills!L27/10)*(E2398/1000),Skills!L27/10)+Skills!O27</f>
        <v/>
      </c>
      <c r="G2398">
        <f>Skills!G27*IF(Skills!H27&gt;0,Skills!I27/Skills!H27,1)</f>
        <v/>
      </c>
      <c r="H2398">
        <f>1-(1-Skills!J27/100)^Skills!K27</f>
        <v/>
      </c>
      <c r="I2398" t="inlineStr">
        <is>
          <t>1</t>
        </is>
      </c>
      <c r="J2398" t="inlineStr"/>
      <c r="K2398" t="inlineStr"/>
      <c r="L2398" t="inlineStr"/>
      <c r="M2398" t="inlineStr"/>
      <c r="N2398" t="inlineStr"/>
      <c r="O2398">
        <f>(1-Summary!$B$11)*T2398+Summary!$B$11*V2398</f>
        <v/>
      </c>
      <c r="P2398">
        <f>IF(B2414=0,0,O2398/B2414)</f>
        <v/>
      </c>
      <c r="Q2398" t="n">
        <v>0</v>
      </c>
      <c r="R2398" t="n">
        <v>0</v>
      </c>
      <c r="S2398">
        <f>IFERROR(O2398/N2398,0)</f>
        <v/>
      </c>
      <c r="T2398" t="n">
        <v>0</v>
      </c>
      <c r="V2398" t="n">
        <v>0</v>
      </c>
    </row>
    <row r="2399">
      <c r="A2399">
        <f>Skills!A28</f>
        <v/>
      </c>
      <c r="B2399">
        <f>Skills!B28</f>
        <v/>
      </c>
      <c r="C2399">
        <f>Inputs!$B$3&gt;=120</f>
        <v/>
      </c>
      <c r="D2399">
        <f>IF(Skills!C28=1,60+Inputs!$B$25+Inputs!$B$29,IF(Skills!C28=2,90+Inputs!$B$26+Inputs!$B$29,IF(Skills!C28=3,120+Inputs!$B$27+Inputs!$B$29,MAX(0,(Inputs!$B$3-100)*3)+Inputs!$B$28+Inputs!$B$29)))</f>
        <v/>
      </c>
      <c r="E2399">
        <f>INDEX(FactorTable!$B$2:$Y$301, MATCH(ROUND(MIN(300,MAX(1,D2399)),0), FactorTable!$A$2:$A$301,0), Skills!M28+1)</f>
        <v/>
      </c>
      <c r="F2399">
        <f>IF(Skills!N28=TRUE,(Skills!L28/10)*(E2399/1000),Skills!L28/10)+Skills!O28</f>
        <v/>
      </c>
      <c r="G2399">
        <f>Skills!G28*IF(Skills!H28&gt;0,Skills!I28/Skills!H28,1)</f>
        <v/>
      </c>
      <c r="H2399">
        <f>1-(1-Skills!J28/100)^Skills!K28</f>
        <v/>
      </c>
      <c r="I2399" t="inlineStr">
        <is>
          <t>1</t>
        </is>
      </c>
      <c r="J2399" t="inlineStr"/>
      <c r="K2399" t="inlineStr"/>
      <c r="L2399" t="inlineStr"/>
      <c r="M2399" t="inlineStr"/>
      <c r="N2399" t="inlineStr"/>
      <c r="O2399">
        <f>(1-Summary!$B$11)*T2399+Summary!$B$11*V2399</f>
        <v/>
      </c>
      <c r="P2399">
        <f>IF(B2414=0,0,O2399/B2414)</f>
        <v/>
      </c>
      <c r="Q2399" t="n">
        <v>0</v>
      </c>
      <c r="R2399" t="n">
        <v>0</v>
      </c>
      <c r="S2399">
        <f>IFERROR(O2399/N2399,0)</f>
        <v/>
      </c>
      <c r="T2399" t="n">
        <v>0</v>
      </c>
      <c r="V2399" t="n">
        <v>0</v>
      </c>
    </row>
    <row r="2400">
      <c r="A2400">
        <f>Skills!A29</f>
        <v/>
      </c>
      <c r="B2400">
        <f>Skills!B29</f>
        <v/>
      </c>
      <c r="C2400">
        <f>Inputs!$B$3&gt;=120</f>
        <v/>
      </c>
      <c r="D2400">
        <f>IF(Skills!C29=1,60+Inputs!$B$25+Inputs!$B$29,IF(Skills!C29=2,90+Inputs!$B$26+Inputs!$B$29,IF(Skills!C29=3,120+Inputs!$B$27+Inputs!$B$29,MAX(0,(Inputs!$B$3-100)*3)+Inputs!$B$28+Inputs!$B$29)))</f>
        <v/>
      </c>
      <c r="E2400">
        <f>INDEX(FactorTable!$B$2:$Y$301, MATCH(ROUND(MIN(300,MAX(1,D2400)),0), FactorTable!$A$2:$A$301,0), Skills!M29+1)</f>
        <v/>
      </c>
      <c r="F2400">
        <f>IF(Skills!N29=TRUE,(Skills!L29/10)*(E2400/1000),Skills!L29/10)+Skills!O29</f>
        <v/>
      </c>
      <c r="G2400">
        <f>Skills!G29*IF(Skills!H29&gt;0,Skills!I29/Skills!H29,1)</f>
        <v/>
      </c>
      <c r="H2400">
        <f>1-(1-Skills!J29/100)^Skills!K29</f>
        <v/>
      </c>
      <c r="I2400" t="inlineStr">
        <is>
          <t>1</t>
        </is>
      </c>
      <c r="J2400" t="inlineStr"/>
      <c r="K2400" t="inlineStr"/>
      <c r="L2400" t="inlineStr"/>
      <c r="M2400" t="inlineStr"/>
      <c r="N2400" t="inlineStr"/>
      <c r="O2400">
        <f>(1-Summary!$B$11)*T2400+Summary!$B$11*V2400</f>
        <v/>
      </c>
      <c r="P2400">
        <f>IF(B2414=0,0,O2400/B2414)</f>
        <v/>
      </c>
      <c r="Q2400" t="n">
        <v>0</v>
      </c>
      <c r="R2400" t="n">
        <v>0</v>
      </c>
      <c r="S2400">
        <f>IFERROR(O2400/N2400,0)</f>
        <v/>
      </c>
      <c r="T2400" t="n">
        <v>0</v>
      </c>
      <c r="V2400" t="n">
        <v>0</v>
      </c>
    </row>
    <row r="2401">
      <c r="A2401">
        <f>Skills!A30</f>
        <v/>
      </c>
      <c r="B2401">
        <f>Skills!B30</f>
        <v/>
      </c>
      <c r="C2401">
        <f>Inputs!$B$3&gt;=45</f>
        <v/>
      </c>
      <c r="D2401">
        <f>IF(Skills!C30=1,60+Inputs!$B$25+Inputs!$B$29,IF(Skills!C30=2,90+Inputs!$B$26+Inputs!$B$29,IF(Skills!C30=3,120+Inputs!$B$27+Inputs!$B$29,MAX(0,(Inputs!$B$3-100)*3)+Inputs!$B$28+Inputs!$B$29)))</f>
        <v/>
      </c>
      <c r="E2401">
        <f>INDEX(FactorTable!$B$2:$Y$301, MATCH(ROUND(MIN(300,MAX(1,D2401)),0), FactorTable!$A$2:$A$301,0), Skills!M30+1)</f>
        <v/>
      </c>
      <c r="F2401">
        <f>IF(Skills!N30=TRUE,(Skills!L30/10)*(E2401/1000),Skills!L30/10)+Skills!O30</f>
        <v/>
      </c>
      <c r="G2401">
        <f>Skills!G30*IF(Skills!H30&gt;0,Skills!I30/Skills!H30,1)</f>
        <v/>
      </c>
      <c r="H2401">
        <f>1-(1-Skills!J30/100)^Skills!K30</f>
        <v/>
      </c>
      <c r="I2401" t="inlineStr">
        <is>
          <t>1</t>
        </is>
      </c>
      <c r="J2401" t="inlineStr"/>
      <c r="K2401" t="inlineStr"/>
      <c r="L2401" t="inlineStr"/>
      <c r="M2401" t="inlineStr"/>
      <c r="N2401" t="inlineStr"/>
      <c r="O2401">
        <f>(1-Summary!$B$11)*T2401+Summary!$B$11*V2401</f>
        <v/>
      </c>
      <c r="P2401">
        <f>IF(B2414=0,0,O2401/B2414)</f>
        <v/>
      </c>
      <c r="Q2401" t="n">
        <v>0</v>
      </c>
      <c r="R2401" t="n">
        <v>0</v>
      </c>
      <c r="S2401">
        <f>IFERROR(O2401/N2401,0)</f>
        <v/>
      </c>
      <c r="T2401" t="n">
        <v>0</v>
      </c>
      <c r="V2401" t="n">
        <v>0</v>
      </c>
    </row>
    <row r="2403">
      <c r="A2403" t="inlineStr">
        <is>
          <t>Attack% Bucket Multiplier</t>
        </is>
      </c>
      <c r="B2403">
        <f>(1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4">
      <c r="A2404" t="inlineStr">
        <is>
          <t>Global Crit Rate Bonus %</t>
        </is>
      </c>
      <c r="B2404">
        <f>(C2387=TRUE)*20*IF(AND(Inputs!$B$38&lt;&gt;"pvp",Inputs!$B$43&gt;0),(((R2387-1)*(Skills!T16*(1+Inputs!$B$34/100))+MIN((Skills!T16*(1+Inputs!$B$34/100)),MAX(0,Inputs!$B$43-((R2387-1)*Skills!D16))))/Inputs!$B$43),IF(Inputs!$B$38="pvp",MIN((Skills!T16*(1+Inputs!$B$34/100)),15)/15,(Skills!T16*(1+Inputs!$B$34/100))/Skills!D16))</f>
        <v/>
      </c>
    </row>
    <row r="2405">
      <c r="A2405" t="inlineStr">
        <is>
          <t>Attack Speed Buff Bonus %</t>
        </is>
      </c>
      <c r="B2405">
        <f>((C2390=TRUE)*F2390*IF(AND(Inputs!$B$38&lt;&gt;"pvp",Inputs!$B$43&gt;0),(((R2390-1)*(Skills!T19*(1+Inputs!$B$34/100))+MIN((Skills!T19*(1+Inputs!$B$34/100)),MAX(0,Inputs!$B$43-((R2390-1)*Skills!D19))))/Inputs!$B$43),IF(Inputs!$B$38="pvp",MIN((Skills!T19*(1+Inputs!$B$34/100)),15)/15,(Skills!T19*(1+Inputs!$B$34/100))/Skills!D19)))</f>
        <v/>
      </c>
    </row>
    <row r="2406">
      <c r="A2406" t="inlineStr">
        <is>
          <t>Actions Per Second</t>
        </is>
      </c>
      <c r="B2406">
        <f>1+MIN(150,150*(1-(1-(Inputs!$B$11+((C2392=TRUE)*(F2392-Calc!F21))+((C2393=TRUE)*(F2393-Calc!F22)))/150)*(1-B2405/150)))/100</f>
        <v/>
      </c>
    </row>
    <row r="2407">
      <c r="A2407" t="inlineStr">
        <is>
          <t>Skill + Buff Cast Rate</t>
        </is>
      </c>
      <c r="B2407">
        <f>IF(AND(Inputs!$B$38&lt;&gt;"pvp",Inputs!$B$43&gt;0),SUMPRODUCT((Skills!E2:E30=TRUE)*(C2373:C2401=TRUE)*R2373:R2401*Skills!F2:F30)/Inputs!$B$43,SUMPRODUCT((Skills!E2:E30=TRUE)*(C2373:C2401=TRUE)*Q2373:Q2401*Skills!F2:F30))</f>
        <v/>
      </c>
    </row>
    <row r="2408">
      <c r="A2408" t="inlineStr">
        <is>
          <t>Arrow Stream Casts Per Second</t>
        </is>
      </c>
      <c r="B2408">
        <f>MAX(0,B2406-B2407)</f>
        <v/>
      </c>
    </row>
    <row r="2409">
      <c r="A2409" t="inlineStr">
        <is>
          <t>Global Critical Damage Bonus % (Sharp Eyes + Concentration)</t>
        </is>
      </c>
      <c r="B2409">
        <f>(C2387=TRUE)*F2387*IF(AND(Inputs!$B$38&lt;&gt;"pvp",Inputs!$B$43&gt;0),(((R2387-1)*(Skills!T16*(1+Inputs!$B$34/100))+MIN((Skills!T16*(1+Inputs!$B$34/100)),MAX(0,Inputs!$B$43-((R2387-1)*Skills!D16))))/Inputs!$B$43),IF(Inputs!$B$38="pvp",MIN((Skills!T16*(1+Inputs!$B$34/100)),15)/15,(Skills!T16*(1+Inputs!$B$34/100))/Skills!D16))+(C2388=TRUE)*30</f>
        <v/>
      </c>
    </row>
    <row r="2410">
      <c r="A2410" t="inlineStr">
        <is>
          <t>Global Final Damage Bonus % (Mortal Blow)</t>
        </is>
      </c>
      <c r="B2410">
        <f>(C2389=TRUE)*F2389</f>
        <v/>
      </c>
    </row>
    <row r="2411">
      <c r="A2411" t="inlineStr">
        <is>
          <t>Buff-Casting Startup Delay (s, fixed-duration only)</t>
        </is>
      </c>
      <c r="B2411">
        <f>IF(AND(Inputs!$B$38&lt;&gt;"pvp",Inputs!$B$43&gt;0),SUMPRODUCT((Skills!T2:T30&gt;0)*(Skills!E2:E30=TRUE)*(C2373:C2401=TRUE))/B2406,0)</f>
        <v/>
      </c>
    </row>
    <row r="2412">
      <c r="A2412" t="inlineStr">
        <is>
          <t>Boss-Only Total DPS (this block's swept value)</t>
        </is>
      </c>
      <c r="B2412">
        <f>SUM(T2373:T2401)</f>
        <v/>
      </c>
    </row>
    <row r="2413">
      <c r="A2413" t="inlineStr">
        <is>
          <t>Normal-Only Total DPS (this block's swept value)</t>
        </is>
      </c>
      <c r="B2413">
        <f>SUM(V2373:V2401)</f>
        <v/>
      </c>
    </row>
    <row r="2414">
      <c r="A2414" s="6" t="inlineStr">
        <is>
          <t>TOTAL DPS</t>
        </is>
      </c>
      <c r="B2414" s="6">
        <f>SUM(O2373:O2401)</f>
        <v/>
      </c>
    </row>
    <row r="2417">
      <c r="A2417" s="6" t="inlineStr">
        <is>
          <t>Stat: Flaming Lava (Equip)</t>
        </is>
      </c>
    </row>
    <row r="2418">
      <c r="A2418" s="5" t="inlineStr">
        <is>
          <t>Key</t>
        </is>
      </c>
      <c r="B2418" s="5" t="inlineStr">
        <is>
          <t>Name</t>
        </is>
      </c>
      <c r="C2418" s="5" t="inlineStr">
        <is>
          <t>Unlocked</t>
        </is>
      </c>
      <c r="D2418" s="5" t="inlineStr">
        <is>
          <t>InputLevel</t>
        </is>
      </c>
      <c r="E2418" s="5" t="inlineStr">
        <is>
          <t>Factor</t>
        </is>
      </c>
      <c r="F2418" s="5" t="inlineStr">
        <is>
          <t>CoefficientPercent</t>
        </is>
      </c>
      <c r="G2418" s="5" t="inlineStr">
        <is>
          <t>EffectiveHits</t>
        </is>
      </c>
      <c r="H2418" s="5" t="inlineStr">
        <is>
          <t>ProcProbability</t>
        </is>
      </c>
      <c r="I2418" s="5" t="inlineStr">
        <is>
          <t>MapleHeroMultiplier</t>
        </is>
      </c>
      <c r="J2418" s="5" t="inlineStr">
        <is>
          <t>BaseDamage</t>
        </is>
      </c>
      <c r="K2418" s="5" t="inlineStr">
        <is>
          <t>BaseHitDamage</t>
        </is>
      </c>
      <c r="L2418" s="5" t="inlineStr">
        <is>
          <t>NonCritAvg</t>
        </is>
      </c>
      <c r="M2418" s="5" t="inlineStr">
        <is>
          <t>CritAvg</t>
        </is>
      </c>
      <c r="N2418" s="5" t="inlineStr">
        <is>
          <t>ExpectedDamage(perHit)</t>
        </is>
      </c>
      <c r="O2418" s="5" t="inlineStr">
        <is>
          <t>DPS</t>
        </is>
      </c>
      <c r="P2418" s="5" t="inlineStr">
        <is>
          <t>% of Total</t>
        </is>
      </c>
      <c r="Q2418" s="5" t="inlineStr">
        <is>
          <t>InvCooldown</t>
        </is>
      </c>
      <c r="R2418" s="5" t="inlineStr">
        <is>
          <t>CastsInFight</t>
        </is>
      </c>
      <c r="S2418" s="5" t="inlineStr">
        <is>
          <t>HitRate(perSec)</t>
        </is>
      </c>
      <c r="U2418" t="inlineStr">
        <is>
          <t>helpers</t>
        </is>
      </c>
    </row>
    <row r="2419">
      <c r="A2419">
        <f>Skills!A2</f>
        <v/>
      </c>
      <c r="B2419">
        <f>Skills!B2</f>
        <v/>
      </c>
      <c r="C2419">
        <f>Inputs!$B$3&gt;=100</f>
        <v/>
      </c>
      <c r="D2419" t="inlineStr"/>
      <c r="E2419" t="inlineStr"/>
      <c r="F2419">
        <f>U2421+Skills!O2</f>
        <v/>
      </c>
      <c r="G2419">
        <f>Skills!G2*IF(Skills!H2&gt;0,Skills!I2/Skills!H2,1)</f>
        <v/>
      </c>
      <c r="H2419">
        <f>1-(1-Skills!J2/100)^Skills!K2</f>
        <v/>
      </c>
      <c r="I2419" t="inlineStr">
        <is>
          <t>1</t>
        </is>
      </c>
      <c r="J2419">
        <f>((Inputs!$B$6*(1+Inputs!$B$7/100))+(((Inputs!$B$12*(1+Inputs!$B$13/100))-(Inputs!$B$12*(1+Inputs!$B$13/100)))+0.25*(Inputs!$B$14-Inputs!$B$14))*(1+Inputs!$B$7/100))*(F2419/100)</f>
        <v/>
      </c>
      <c r="K2419">
        <f>J2419*(1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2441=TRUE)*(F2441-Calc!F24)),(Inputs!$B$23+((C2446=TRUE)*(F2446-Calc!F29))+(IF(ArtifactsInput!$M$15,CHOOSE(ArtifactsInput!$N$15+1,25,30,35,40,45,50)/100*(Inputs!$B$11-Inputs!$B$11),0))))/100+(Inputs!$B$23+((C2446=TRUE)*(F2446-Calc!F29))+(IF(ArtifactsInput!$M$15,CHOOSE(ArtifactsInput!$N$15+1,25,30,35,40,45,50)/100*(Inputs!$B$11-Inputs!$B$11),0)))/100)/2</f>
        <v/>
      </c>
      <c r="M2419">
        <f>L2419*(1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IF(B2460=0,0,O2419/B2460)</f>
        <v/>
      </c>
      <c r="Q2419" t="n">
        <v>0</v>
      </c>
      <c r="R2419" t="n">
        <v>0</v>
      </c>
      <c r="S2419">
        <f>IFERROR(O2419/N2419,0)</f>
        <v/>
      </c>
      <c r="T2419">
        <f>IF(C2419,(Skills!G2*N2419*B2454)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2419*(1-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MAX(0,(Inputs!$B$3-100)*3)+Inputs!$B$28+Inputs!$B$29</f>
        <v/>
      </c>
      <c r="V2419">
        <f>IF(C2419,(Skills!G2*N2419*B2454)*IF(Inputs!$B$38="pvp",1,(1+(Inputs!$B$21+Skills!Q2+(IF(ArtifactsInput!$M$33,CHOOSE(ArtifactsInput!$N$33+1,30,36,42,48,54,60),0))+(IF(AND(ArtifactsInput!$M$35,Inputs!$B$4&lt;&gt;"Chapter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Skills!A3</f>
        <v/>
      </c>
      <c r="B2420">
        <f>Skills!B3</f>
        <v/>
      </c>
      <c r="C2420">
        <f>Inputs!$B$3&gt;=50</f>
        <v/>
      </c>
      <c r="D2420">
        <f>IF(Skills!C3=1,60+Inputs!$B$25+Inputs!$B$29,IF(Skills!C3=2,90+Inputs!$B$26+Inputs!$B$29,IF(Skills!C3=3,120+Inputs!$B$27+Inputs!$B$29,MAX(0,(Inputs!$B$3-100)*3)+Inputs!$B$28+Inputs!$B$29)))</f>
        <v/>
      </c>
      <c r="E2420">
        <f>INDEX(FactorTable!$B$2:$Y$301, MATCH(ROUND(MIN(300,MAX(1,D2420)),0), FactorTable!$A$2:$A$301,0), Skills!M3+1)</f>
        <v/>
      </c>
      <c r="F2420">
        <f>IF(Skills!N3=TRUE,(Skills!L3/10)*(E2420/1000),Skills!L3/10)+Skills!O3</f>
        <v/>
      </c>
      <c r="G2420" t="inlineStr"/>
      <c r="H2420" t="inlineStr"/>
      <c r="I2420" t="inlineStr">
        <is>
          <t>1</t>
        </is>
      </c>
      <c r="J2420" t="inlineStr"/>
      <c r="K2420" t="inlineStr"/>
      <c r="L2420" t="inlineStr"/>
      <c r="M2420" t="inlineStr"/>
      <c r="N2420" t="inlineStr"/>
      <c r="O2420" t="inlineStr"/>
      <c r="P2420" t="inlineStr"/>
      <c r="Q2420" t="inlineStr"/>
      <c r="R2420" t="inlineStr"/>
      <c r="S2420" t="inlineStr"/>
      <c r="T2420" t="inlineStr"/>
      <c r="U2420">
        <f>INDEX(FactorTable!$B$2:$Y$301, MATCH(ROUND(MIN(300,MAX(1,U2419)),0), FactorTable!$A$2:$A$301,0), 22)</f>
        <v/>
      </c>
      <c r="V2420" t="inlineStr"/>
    </row>
    <row r="2421">
      <c r="A2421">
        <f>Skills!A4</f>
        <v/>
      </c>
      <c r="B2421">
        <f>Skills!B4</f>
        <v/>
      </c>
      <c r="C2421">
        <f>Inputs!$B$3&gt;=105</f>
        <v/>
      </c>
      <c r="D2421">
        <f>IF(Skills!C4=1,60+Inputs!$B$25+Inputs!$B$29,IF(Skills!C4=2,90+Inputs!$B$26+Inputs!$B$29,IF(Skills!C4=3,120+Inputs!$B$27+Inputs!$B$29,MAX(0,(Inputs!$B$3-100)*3)+Inputs!$B$28+Inputs!$B$29)))</f>
        <v/>
      </c>
      <c r="E2421">
        <f>INDEX(FactorTable!$B$2:$Y$301, MATCH(ROUND(MIN(300,MAX(1,D2421)),0), FactorTable!$A$2:$A$301,0), Skills!M4+1)</f>
        <v/>
      </c>
      <c r="F2421">
        <f>IF(Skills!N4=TRUE,(Skills!L4/10)*(E2421/1000),Skills!L4/10)+Skills!O4</f>
        <v/>
      </c>
      <c r="G2421" t="inlineStr"/>
      <c r="H2421" t="inlineStr"/>
      <c r="I2421" t="inlineStr">
        <is>
          <t>1</t>
        </is>
      </c>
      <c r="J2421" t="inlineStr"/>
      <c r="K2421" t="inlineStr"/>
      <c r="L2421" t="inlineStr"/>
      <c r="M2421" t="inlineStr"/>
      <c r="N2421" t="inlineStr"/>
      <c r="O2421" t="inlineStr"/>
      <c r="P2421" t="inlineStr"/>
      <c r="Q2421" t="inlineStr"/>
      <c r="R2421" t="inlineStr"/>
      <c r="S2421" t="inlineStr"/>
      <c r="T2421" t="inlineStr"/>
      <c r="U2421">
        <f>290*U2420/1000</f>
        <v/>
      </c>
      <c r="V2421" t="inlineStr"/>
    </row>
    <row r="2422">
      <c r="A2422">
        <f>Skills!A5</f>
        <v/>
      </c>
      <c r="B2422">
        <f>Skills!B5</f>
        <v/>
      </c>
      <c r="C2422">
        <f>Inputs!$B$3&gt;=35</f>
        <v/>
      </c>
      <c r="D2422">
        <f>IF(Skills!C5=1,60+Inputs!$B$25+Inputs!$B$29,IF(Skills!C5=2,90+Inputs!$B$26+Inputs!$B$29,IF(Skills!C5=3,120+Inputs!$B$27+Inputs!$B$29,MAX(0,(Inputs!$B$3-100)*3)+Inputs!$B$28+Inputs!$B$29)))</f>
        <v/>
      </c>
      <c r="E2422">
        <f>INDEX(FactorTable!$B$2:$Y$301, MATCH(ROUND(MIN(300,MAX(1,D2422)),0), FactorTable!$A$2:$A$301,0), Skills!M5+1)</f>
        <v/>
      </c>
      <c r="F2422">
        <f>IF(Skills!N5=TRUE,(Skills!L5/10)*(E2422/1000),Skills!L5/10)+Skills!O5</f>
        <v/>
      </c>
      <c r="G2422">
        <f>Skills!G5*IF(Skills!H5&gt;0,Skills!I5/Skills!H5,1)</f>
        <v/>
      </c>
      <c r="H2422">
        <f>1-(1-Skills!J5/100)^Skills!K5</f>
        <v/>
      </c>
      <c r="I2422" t="inlineStr">
        <is>
          <t>1</t>
        </is>
      </c>
      <c r="J2422">
        <f>((Inputs!$B$6*(1+Inputs!$B$7/100))+(((Inputs!$B$12*(1+Inputs!$B$13/100))-(Inputs!$B$12*(1+Inputs!$B$13/100)))+0.25*(Inputs!$B$14-Inputs!$B$14))*(1+Inputs!$B$7/100))*(F2422/100)</f>
        <v/>
      </c>
      <c r="K2422">
        <f>J2422*(1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2427=TRUE,F2427,0)/100)*(1+(IF(Skills!A5="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2441=TRUE)*(F2441-Calc!F24)),(Inputs!$B$23+((C2446=TRUE)*(F2446-Calc!F29))+(IF(ArtifactsInput!$M$15,CHOOSE(ArtifactsInput!$N$15+1,25,30,35,40,45,50)/100*(Inputs!$B$11-Inputs!$B$11),0))))/100+(Inputs!$B$23+((C2446=TRUE)*(F2446-Calc!F29))+(IF(ArtifactsInput!$M$15,CHOOSE(ArtifactsInput!$N$15+1,25,30,35,40,45,50)/100*(Inputs!$B$11-Inputs!$B$11),0)))/100)/2</f>
        <v/>
      </c>
      <c r="M2422">
        <f>L2422*(1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IF(B2460=0,0,O2422/B2460)</f>
        <v/>
      </c>
      <c r="Q2422">
        <f>IFERROR(1/(IF(Inputs!$B$38="pvp",15,MAX(0.1,Skills!D5-IF(Skills!E5=TRUE,Inputs!$B$32,0)))*(1-IF(AND(ArtifactsInput!$M$27,Inputs!$B$4="Chapter Hunt"),CHOOSE(ArtifactsInput!$N$27+1,20,24,28,32,36,40),0)/100)),0)</f>
        <v/>
      </c>
      <c r="R2422">
        <f>IF(AND(Inputs!$B$38&lt;&gt;"pvp",Inputs!$B$43&gt;0),IF(MAX(0,Inputs!$B$43-B2457)&lt;=0,0,(INT(MAX(0,Inputs!$B$43-B2457)/(IF(Inputs!$B$38="pvp",15,MAX(0.1,Skills!D5-IF(Skills!E5=TRUE,Inputs!$B$32,0)))*(1-IF(AND(ArtifactsInput!$M$27,Inputs!$B$4="Chapter Hunt"),CHOOSE(ArtifactsInput!$N$27+1,20,24,28,32,36,40),0)/100)))+1)),0)</f>
        <v/>
      </c>
      <c r="S2422">
        <f>IFERROR(O2422/N2422,0)</f>
        <v/>
      </c>
      <c r="T2422">
        <f>IF(C2422,(H2422*N2422*IF(AND(Inputs!$B$38&lt;&gt;"pvp",Inputs!$B$43&gt;0),((Skills!G5*((R2422-1)*IF(Skills!H5&gt;0,Skills!I5/Skills!H5,1)+IF(Skills!H5&gt;0,MIN(Skills!I5,MAX(0,MAX(0,Inputs!$B$43-B2457)-((R2422-1)*(IF(Inputs!$B$38="pvp",15,MAX(0.1,Skills!D5-IF(Skills!E5=TRUE,Inputs!$B$32,0)))*(1-IF(AND(ArtifactsInput!$M$27,Inputs!$B$4="Chapter Hunt"),CHOOSE(ArtifactsInput!$N$27+1,20,24,28,32,36,40),0)/100)))))/Skills!H5,1)))/Inputs!$B$43),G2422*Q2422)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2422*(1-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5*((R2422-1)*IF(Skills!H5&gt;0,Skills!I5/Skills!H5,1)+IF(Skills!H5&gt;0,MIN(Skills!I5,MAX(0,MAX(0,Inputs!$B$43-B2457)-((R2422-1)*(IF(Inputs!$B$38="pvp",15,MAX(0.1,Skills!D5-IF(Skills!E5=TRUE,Inputs!$B$32,0)))*(1-IF(AND(ArtifactsInput!$M$27,Inputs!$B$4="Chapter Hunt"),CHOOSE(ArtifactsInput!$N$27+1,20,24,28,32,36,40),0)/100)))))/Skills!H5,1)))/Inputs!$B$43),G2422*Q2422))*IF(Inputs!$B$38="pvp",1,(1+(Inputs!$B$21+Skills!Q5+(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Skills!A6</f>
        <v/>
      </c>
      <c r="B2423">
        <f>Skills!B6</f>
        <v/>
      </c>
      <c r="C2423">
        <f>Inputs!$B$3&gt;=40</f>
        <v/>
      </c>
      <c r="D2423">
        <f>IF(Skills!C6=1,60+Inputs!$B$25+Inputs!$B$29,IF(Skills!C6=2,90+Inputs!$B$26+Inputs!$B$29,IF(Skills!C6=3,120+Inputs!$B$27+Inputs!$B$29,MAX(0,(Inputs!$B$3-100)*3)+Inputs!$B$28+Inputs!$B$29)))</f>
        <v/>
      </c>
      <c r="E2423">
        <f>INDEX(FactorTable!$B$2:$Y$301, MATCH(ROUND(MIN(300,MAX(1,D2423)),0), FactorTable!$A$2:$A$301,0), Skills!M6+1)</f>
        <v/>
      </c>
      <c r="F2423">
        <f>IF(Skills!N6=TRUE,(Skills!L6/10)*(E2423/1000),Skills!L6/10)+Skills!O6</f>
        <v/>
      </c>
      <c r="G2423">
        <f>Skills!G6*IF(Skills!H6&gt;0,Skills!I6/Skills!H6,1)</f>
        <v/>
      </c>
      <c r="H2423">
        <f>1-(1-Skills!J6/100)^Skills!K6</f>
        <v/>
      </c>
      <c r="I2423" t="inlineStr">
        <is>
          <t>1</t>
        </is>
      </c>
      <c r="J2423">
        <f>((Inputs!$B$6*(1+Inputs!$B$7/100))+(((Inputs!$B$12*(1+Inputs!$B$13/100))-(Inputs!$B$12*(1+Inputs!$B$13/100)))+0.25*(Inputs!$B$14-Inputs!$B$14))*(1+Inputs!$B$7/100))*(F2423/100)</f>
        <v/>
      </c>
      <c r="K2423">
        <f>J2423*(1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2424=TRUE,F2424,0)/100)*(1+(IF(Skills!A6="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2441=TRUE)*(F2441-Calc!F24)),(Inputs!$B$23+((C2446=TRUE)*(F2446-Calc!F29))+(IF(ArtifactsInput!$M$15,CHOOSE(ArtifactsInput!$N$15+1,25,30,35,40,45,50)/100*(Inputs!$B$11-Inputs!$B$11),0))))/100+(Inputs!$B$23+((C2446=TRUE)*(F2446-Calc!F29))+(IF(ArtifactsInput!$M$15,CHOOSE(ArtifactsInput!$N$15+1,25,30,35,40,45,50)/100*(Inputs!$B$11-Inputs!$B$11),0)))/100)/2</f>
        <v/>
      </c>
      <c r="M2423">
        <f>L2423*(1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3">
        <f>L2423*(1-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IF(B2460=0,0,O2423/B2460)</f>
        <v/>
      </c>
      <c r="Q2423">
        <f>IFERROR(1/(IF(Inputs!$B$38="pvp",15,MAX(0.1,Skills!D6-IF(Skills!E6=TRUE,Inputs!$B$32,0)))*(1-IF(AND(ArtifactsInput!$M$27,Inputs!$B$4="Chapter Hunt"),CHOOSE(ArtifactsInput!$N$27+1,20,24,28,32,36,40),0)/100)),0)</f>
        <v/>
      </c>
      <c r="R2423">
        <f>IF(AND(Inputs!$B$38&lt;&gt;"pvp",Inputs!$B$43&gt;0),IF(MAX(0,Inputs!$B$43-B2457)&lt;=0,0,(INT(MAX(0,Inputs!$B$43-B2457)/(IF(Inputs!$B$38="pvp",15,MAX(0.1,Skills!D6-IF(Skills!E6=TRUE,Inputs!$B$32,0)))*(1-IF(AND(ArtifactsInput!$M$27,Inputs!$B$4="Chapter Hunt"),CHOOSE(ArtifactsInput!$N$27+1,20,24,28,32,36,40),0)/100)))+1)),0)</f>
        <v/>
      </c>
      <c r="S2423">
        <f>IFERROR(O2423/N2423,0)</f>
        <v/>
      </c>
      <c r="T2423">
        <f>IF(C2423,(H2423*N2423*IF(AND(Inputs!$B$38&lt;&gt;"pvp",Inputs!$B$43&gt;0),((Skills!G6*((R2423-1)*IF(Skills!H6&gt;0,Skills!I6/Skills!H6,1)+IF(Skills!H6&gt;0,MIN(Skills!I6,MAX(0,MAX(0,Inputs!$B$43-B2457)-((R2423-1)*(IF(Inputs!$B$38="pvp",15,MAX(0.1,Skills!D6-IF(Skills!E6=TRUE,Inputs!$B$32,0)))*(1-IF(AND(ArtifactsInput!$M$27,Inputs!$B$4="Chapter Hunt"),CHOOSE(ArtifactsInput!$N$27+1,20,24,28,32,36,40),0)/100)))))/Skills!H6,1)))/Inputs!$B$43),G2423*Q2423)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2423*(1-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3">
        <f>IF(C2423,(H2423*N2423*IF(AND(Inputs!$B$38&lt;&gt;"pvp",Inputs!$B$43&gt;0),((Skills!G6*((R2423-1)*IF(Skills!H6&gt;0,Skills!I6/Skills!H6,1)+IF(Skills!H6&gt;0,MIN(Skills!I6,MAX(0,MAX(0,Inputs!$B$43-B2457)-((R2423-1)*(IF(Inputs!$B$38="pvp",15,MAX(0.1,Skills!D6-IF(Skills!E6=TRUE,Inputs!$B$32,0)))*(1-IF(AND(ArtifactsInput!$M$27,Inputs!$B$4="Chapter Hunt"),CHOOSE(ArtifactsInput!$N$27+1,20,24,28,32,36,40),0)/100)))))/Skills!H6,1)))/Inputs!$B$43),G2423*Q2423))*IF(Inputs!$B$38="pvp",1,(1+(Inputs!$B$21+Skills!Q6+(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Skills!A7</f>
        <v/>
      </c>
      <c r="B2424">
        <f>Skills!B7</f>
        <v/>
      </c>
      <c r="C2424">
        <f>Inputs!$B$3&gt;=107</f>
        <v/>
      </c>
      <c r="D2424">
        <f>IF(Skills!C7=1,60+Inputs!$B$25+Inputs!$B$29,IF(Skills!C7=2,90+Inputs!$B$26+Inputs!$B$29,IF(Skills!C7=3,120+Inputs!$B$27+Inputs!$B$29,MAX(0,(Inputs!$B$3-100)*3)+Inputs!$B$28+Inputs!$B$29)))</f>
        <v/>
      </c>
      <c r="E2424">
        <f>INDEX(FactorTable!$B$2:$Y$301, MATCH(ROUND(MIN(300,MAX(1,D2424)),0), FactorTable!$A$2:$A$301,0), Skills!M7+1)</f>
        <v/>
      </c>
      <c r="F2424">
        <f>IF(Skills!N7=TRUE,(Skills!L7/10)*(E2424/1000),Skills!L7/10)+Skills!O7</f>
        <v/>
      </c>
      <c r="G2424" t="inlineStr"/>
      <c r="H2424" t="inlineStr"/>
      <c r="I2424" t="inlineStr">
        <is>
          <t>1</t>
        </is>
      </c>
      <c r="J2424" t="inlineStr"/>
      <c r="K2424" t="inlineStr"/>
      <c r="L2424" t="inlineStr"/>
      <c r="M2424" t="inlineStr"/>
      <c r="N2424" t="inlineStr"/>
      <c r="O2424" t="inlineStr"/>
      <c r="P2424" t="inlineStr"/>
      <c r="Q2424" t="inlineStr"/>
      <c r="R2424" t="inlineStr"/>
      <c r="S2424" t="inlineStr"/>
      <c r="T2424" t="inlineStr"/>
      <c r="V2424" t="inlineStr"/>
    </row>
    <row r="2425">
      <c r="A2425">
        <f>Skills!A8</f>
        <v/>
      </c>
      <c r="B2425">
        <f>Skills!B8</f>
        <v/>
      </c>
      <c r="C2425">
        <f>Inputs!$B$3&gt;=69</f>
        <v/>
      </c>
      <c r="D2425">
        <f>IF(Skills!C8=1,60+Inputs!$B$25+Inputs!$B$29,IF(Skills!C8=2,90+Inputs!$B$26+Inputs!$B$29,IF(Skills!C8=3,120+Inputs!$B$27+Inputs!$B$29,MAX(0,(Inputs!$B$3-100)*3)+Inputs!$B$28+Inputs!$B$29)))</f>
        <v/>
      </c>
      <c r="E2425">
        <f>INDEX(FactorTable!$B$2:$Y$301, MATCH(ROUND(MIN(300,MAX(1,D2425)),0), FactorTable!$A$2:$A$301,0), Skills!M8+1)</f>
        <v/>
      </c>
      <c r="F2425">
        <f>IF(Skills!N8=TRUE,(Skills!L8/10)*(E2425/1000),Skills!L8/10)+Skills!O8</f>
        <v/>
      </c>
      <c r="G2425">
        <f>Skills!G8*IF(Skills!H8&gt;0,Skills!I8/Skills!H8,1)</f>
        <v/>
      </c>
      <c r="H2425">
        <f>1-(1-Skills!J8/100)^Skills!K8</f>
        <v/>
      </c>
      <c r="I2425" t="inlineStr">
        <is>
          <t>1</t>
        </is>
      </c>
      <c r="J2425">
        <f>((Inputs!$B$6*(1+Inputs!$B$7/100))+(((Inputs!$B$12*(1+Inputs!$B$13/100))-(Inputs!$B$12*(1+Inputs!$B$13/100)))+0.25*(Inputs!$B$14-Inputs!$B$14))*(1+Inputs!$B$7/100))*(F2425/100)</f>
        <v/>
      </c>
      <c r="K2425">
        <f>J2425*(1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2427=TRUE,F2427,0)/100)*(1+(IF(Skills!A8="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2441=TRUE)*(F2441-Calc!F24)),(Inputs!$B$23+((C2446=TRUE)*(F2446-Calc!F29))+(IF(ArtifactsInput!$M$15,CHOOSE(ArtifactsInput!$N$15+1,25,30,35,40,45,50)/100*(Inputs!$B$11-Inputs!$B$11),0))))/100+(Inputs!$B$23+((C2446=TRUE)*(F2446-Calc!F29))+(IF(ArtifactsInput!$M$15,CHOOSE(ArtifactsInput!$N$15+1,25,30,35,40,45,50)/100*(Inputs!$B$11-Inputs!$B$11),0)))/100)/2</f>
        <v/>
      </c>
      <c r="M2425">
        <f>L2425*(1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IF(B2460=0,0,O2425/B2460)</f>
        <v/>
      </c>
      <c r="Q2425">
        <f>IFERROR(1/(IF(Inputs!$B$38="pvp",15,MAX(0.1,Skills!D8-IF(Skills!E8=TRUE,Inputs!$B$32,0)))*(1-IF(AND(ArtifactsInput!$M$27,Inputs!$B$4="Chapter Hunt"),CHOOSE(ArtifactsInput!$N$27+1,20,24,28,32,36,40),0)/100)),0)</f>
        <v/>
      </c>
      <c r="R2425">
        <f>IF(AND(Inputs!$B$38&lt;&gt;"pvp",Inputs!$B$43&gt;0),IF(MAX(0,Inputs!$B$43-B2457)&lt;=0,0,(INT(MAX(0,Inputs!$B$43-B2457)/(IF(Inputs!$B$38="pvp",15,MAX(0.1,Skills!D8-IF(Skills!E8=TRUE,Inputs!$B$32,0)))*(1-IF(AND(ArtifactsInput!$M$27,Inputs!$B$4="Chapter Hunt"),CHOOSE(ArtifactsInput!$N$27+1,20,24,28,32,36,40),0)/100)))+1)),0)</f>
        <v/>
      </c>
      <c r="S2425">
        <f>IFERROR(O2425/N2425,0)</f>
        <v/>
      </c>
      <c r="T2425">
        <f>IF(C2425,(H2425*N2425*IF(AND(Inputs!$B$38&lt;&gt;"pvp",Inputs!$B$43&gt;0),((Skills!G8*((R2425-1)*IF(Skills!H8&gt;0,Skills!I8/Skills!H8,1)+IF(Skills!H8&gt;0,MIN(Skills!I8,MAX(0,MAX(0,Inputs!$B$43-B2457)-((R2425-1)*(IF(Inputs!$B$38="pvp",15,MAX(0.1,Skills!D8-IF(Skills!E8=TRUE,Inputs!$B$32,0)))*(1-IF(AND(ArtifactsInput!$M$27,Inputs!$B$4="Chapter Hunt"),CHOOSE(ArtifactsInput!$N$27+1,20,24,28,32,36,40),0)/100)))))/Skills!H8,1)))/Inputs!$B$43),G2425*Q2425)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2425*(1-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5">
        <f>IF(C2425,(H2425*N2425*IF(AND(Inputs!$B$38&lt;&gt;"pvp",Inputs!$B$43&gt;0),((Skills!G8*((R2425-1)*IF(Skills!H8&gt;0,Skills!I8/Skills!H8,1)+IF(Skills!H8&gt;0,MIN(Skills!I8,MAX(0,MAX(0,Inputs!$B$43-B2457)-((R2425-1)*(IF(Inputs!$B$38="pvp",15,MAX(0.1,Skills!D8-IF(Skills!E8=TRUE,Inputs!$B$32,0)))*(1-IF(AND(ArtifactsInput!$M$27,Inputs!$B$4="Chapter Hunt"),CHOOSE(ArtifactsInput!$N$27+1,20,24,28,32,36,40),0)/100)))))/Skills!H8,1)))/Inputs!$B$43),G2425*Q2425))*IF(Inputs!$B$38="pvp",1,(1+(Inputs!$B$21+Skills!Q8+(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Skills!A9</f>
        <v/>
      </c>
      <c r="B2426">
        <f>Skills!B9</f>
        <v/>
      </c>
      <c r="C2426">
        <f>Inputs!$B$3&gt;=63</f>
        <v/>
      </c>
      <c r="D2426">
        <f>IF(Skills!C9=1,60+Inputs!$B$25+Inputs!$B$29,IF(Skills!C9=2,90+Inputs!$B$26+Inputs!$B$29,IF(Skills!C9=3,120+Inputs!$B$27+Inputs!$B$29,MAX(0,(Inputs!$B$3-100)*3)+Inputs!$B$28+Inputs!$B$29)))</f>
        <v/>
      </c>
      <c r="E2426">
        <f>INDEX(FactorTable!$B$2:$Y$301, MATCH(ROUND(MIN(300,MAX(1,D2426)),0), FactorTable!$A$2:$A$301,0), Skills!M9+1)</f>
        <v/>
      </c>
      <c r="F2426">
        <f>IF(Skills!N9=TRUE,(Skills!L9/10)*(E2426/1000),Skills!L9/10)+Skills!O9</f>
        <v/>
      </c>
      <c r="G2426">
        <f>Skills!G9*IF(Skills!H9&gt;0,Skills!I9/Skills!H9,1)</f>
        <v/>
      </c>
      <c r="H2426">
        <f>1-(1-Skills!J9/100)^Skills!K9</f>
        <v/>
      </c>
      <c r="I2426" t="inlineStr">
        <is>
          <t>1</t>
        </is>
      </c>
      <c r="J2426">
        <f>((Inputs!$B$6*(1+Inputs!$B$7/100))+(((Inputs!$B$12*(1+Inputs!$B$13/100))-(Inputs!$B$12*(1+Inputs!$B$13/100)))+0.25*(Inputs!$B$14-Inputs!$B$14))*(1+Inputs!$B$7/100))*(F2426/100)</f>
        <v/>
      </c>
      <c r="K2426">
        <f>J2426*(1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2427=TRUE,F2427,0)/100)*(1+(IF(Skills!A9="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2441=TRUE)*(F2441-Calc!F24)),(Inputs!$B$23+((C2446=TRUE)*(F2446-Calc!F29))+(IF(ArtifactsInput!$M$15,CHOOSE(ArtifactsInput!$N$15+1,25,30,35,40,45,50)/100*(Inputs!$B$11-Inputs!$B$11),0))))/100+(Inputs!$B$23+((C2446=TRUE)*(F2446-Calc!F29))+(IF(ArtifactsInput!$M$15,CHOOSE(ArtifactsInput!$N$15+1,25,30,35,40,45,50)/100*(Inputs!$B$11-Inputs!$B$11),0)))/100)/2</f>
        <v/>
      </c>
      <c r="M2426">
        <f>L2426*(1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IF(B2460=0,0,O2426/B2460)</f>
        <v/>
      </c>
      <c r="Q2426">
        <f>IFERROR(1/(IF(Inputs!$B$38="pvp",15,MAX(0.1,Skills!D9-IF(Skills!E9=TRUE,Inputs!$B$32,0)))*(1-IF(AND(ArtifactsInput!$M$27,Inputs!$B$4="Chapter Hunt"),CHOOSE(ArtifactsInput!$N$27+1,20,24,28,32,36,40),0)/100)),0)</f>
        <v/>
      </c>
      <c r="R2426">
        <f>IF(AND(Inputs!$B$38&lt;&gt;"pvp",Inputs!$B$43&gt;0),IF(MAX(0,Inputs!$B$43-B2457)&lt;=0,0,(INT(MAX(0,Inputs!$B$43-B2457)/(IF(Inputs!$B$38="pvp",15,MAX(0.1,Skills!D9-IF(Skills!E9=TRUE,Inputs!$B$32,0)))*(1-IF(AND(ArtifactsInput!$M$27,Inputs!$B$4="Chapter Hunt"),CHOOSE(ArtifactsInput!$N$27+1,20,24,28,32,36,40),0)/100)))+1)),0)</f>
        <v/>
      </c>
      <c r="S2426">
        <f>IFERROR(O2426/N2426,0)</f>
        <v/>
      </c>
      <c r="T2426">
        <f>IF(C2426,(H2426*N2426*IF(AND(Inputs!$B$38&lt;&gt;"pvp",Inputs!$B$43&gt;0),((Skills!G9*((R2426-1)*IF(Skills!H9&gt;0,Skills!I9/Skills!H9,1)+IF(Skills!H9&gt;0,MIN(Skills!I9,MAX(0,MAX(0,Inputs!$B$43-B2457)-((R2426-1)*(IF(Inputs!$B$38="pvp",15,MAX(0.1,Skills!D9-IF(Skills!E9=TRUE,Inputs!$B$32,0)))*(1-IF(AND(ArtifactsInput!$M$27,Inputs!$B$4="Chapter Hunt"),CHOOSE(ArtifactsInput!$N$27+1,20,24,28,32,36,40),0)/100)))))/Skills!H9,1)))/Inputs!$B$43),G2426*Q2426)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2426*(1-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9*((R2426-1)*IF(Skills!H9&gt;0,Skills!I9/Skills!H9,1)+IF(Skills!H9&gt;0,MIN(Skills!I9,MAX(0,MAX(0,Inputs!$B$43-B2457)-((R2426-1)*(IF(Inputs!$B$38="pvp",15,MAX(0.1,Skills!D9-IF(Skills!E9=TRUE,Inputs!$B$32,0)))*(1-IF(AND(ArtifactsInput!$M$27,Inputs!$B$4="Chapter Hunt"),CHOOSE(ArtifactsInput!$N$27+1,20,24,28,32,36,40),0)/100)))))/Skills!H9,1)))/Inputs!$B$43),G2426*Q2426))*IF(Inputs!$B$38="pvp",1,(1+(Inputs!$B$21+Skills!Q9+(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Skills!A10</f>
        <v/>
      </c>
      <c r="B2427">
        <f>Skills!B10</f>
        <v/>
      </c>
      <c r="C2427">
        <f>Inputs!$B$3&gt;=100</f>
        <v/>
      </c>
      <c r="D2427">
        <f>IF(Skills!C10=1,60+Inputs!$B$25+Inputs!$B$29,IF(Skills!C10=2,90+Inputs!$B$26+Inputs!$B$29,IF(Skills!C10=3,120+Inputs!$B$27+Inputs!$B$29,MAX(0,(Inputs!$B$3-100)*3)+Inputs!$B$28+Inputs!$B$29)))</f>
        <v/>
      </c>
      <c r="E2427">
        <f>INDEX(FactorTable!$B$2:$Y$301, MATCH(ROUND(MIN(300,MAX(1,D2427)),0), FactorTable!$A$2:$A$301,0), Skills!M10+1)</f>
        <v/>
      </c>
      <c r="F2427">
        <f>IF(Skills!N10=TRUE,(Skills!L10/10)*(E2427/1000),Skills!L10/10)+Skills!O10</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T2427" t="inlineStr"/>
      <c r="V2427" t="inlineStr"/>
    </row>
    <row r="2428">
      <c r="A2428">
        <f>Skills!A11</f>
        <v/>
      </c>
      <c r="B2428">
        <f>Skills!B11</f>
        <v/>
      </c>
      <c r="C2428">
        <f>Inputs!$B$3&gt;=60</f>
        <v/>
      </c>
      <c r="D2428">
        <f>IF(Skills!C11=1,60+Inputs!$B$25+Inputs!$B$29,IF(Skills!C11=2,90+Inputs!$B$26+Inputs!$B$29,IF(Skills!C11=3,120+Inputs!$B$27+Inputs!$B$29,MAX(0,(Inputs!$B$3-100)*3)+Inputs!$B$28+Inputs!$B$29)))</f>
        <v/>
      </c>
      <c r="E2428">
        <f>INDEX(FactorTable!$B$2:$Y$301, MATCH(ROUND(MIN(300,MAX(1,D2428)),0), FactorTable!$A$2:$A$301,0), Skills!M11+1)</f>
        <v/>
      </c>
      <c r="F2428">
        <f>IF(Skills!N11=TRUE,(Skills!L11/10)*(E2428/1000),Skills!L11/10)+Skills!O11</f>
        <v/>
      </c>
      <c r="G2428">
        <f>Skills!G11*IF(Skills!H11&gt;0,Skills!I11/Skills!H11,1)</f>
        <v/>
      </c>
      <c r="H2428">
        <f>1-(1-Skills!J11/100)^Skills!K11</f>
        <v/>
      </c>
      <c r="I2428" t="inlineStr">
        <is>
          <t>1</t>
        </is>
      </c>
      <c r="J2428">
        <f>((Inputs!$B$6*(1+Inputs!$B$7/100))+(((Inputs!$B$12*(1+Inputs!$B$13/100))-(Inputs!$B$12*(1+Inputs!$B$13/100)))+0.25*(Inputs!$B$14-Inputs!$B$14))*(1+Inputs!$B$7/100))*(F2428/100)</f>
        <v/>
      </c>
      <c r="K2428">
        <f>J2428*(1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2429=TRUE,F2429,0)/100)*(1+(IF(Skills!A11="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2441=TRUE)*(F2441-Calc!F24)),(Inputs!$B$23+((C2446=TRUE)*(F2446-Calc!F29))+(IF(ArtifactsInput!$M$15,CHOOSE(ArtifactsInput!$N$15+1,25,30,35,40,45,50)/100*(Inputs!$B$11-Inputs!$B$11),0))))/100+(Inputs!$B$23+((C2446=TRUE)*(F2446-Calc!F29))+(IF(ArtifactsInput!$M$15,CHOOSE(ArtifactsInput!$N$15+1,25,30,35,40,45,50)/100*(Inputs!$B$11-Inputs!$B$11),0)))/100)/2</f>
        <v/>
      </c>
      <c r="M2428">
        <f>L2428*(1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IF(B2460=0,0,O2428/B2460)</f>
        <v/>
      </c>
      <c r="Q2428">
        <f>IFERROR(1/(IF(Inputs!$B$38="pvp",15,MAX(0.1,Skills!D11-IF(Skills!E11=TRUE,Inputs!$B$32,0)))*(1-IF(AND(ArtifactsInput!$M$27,Inputs!$B$4="Chapter Hunt"),CHOOSE(ArtifactsInput!$N$27+1,20,24,28,32,36,40),0)/100)),0)</f>
        <v/>
      </c>
      <c r="R2428">
        <f>IF(AND(Inputs!$B$38&lt;&gt;"pvp",Inputs!$B$43&gt;0),IF(MAX(0,Inputs!$B$43-B2457)&lt;=0,0,(INT(MAX(0,Inputs!$B$43-B2457)/(IF(Inputs!$B$38="pvp",15,MAX(0.1,Skills!D11-IF(Skills!E11=TRUE,Inputs!$B$32,0)))*(1-IF(AND(ArtifactsInput!$M$27,Inputs!$B$4="Chapter Hunt"),CHOOSE(ArtifactsInput!$N$27+1,20,24,28,32,36,40),0)/100)))+1)),0)</f>
        <v/>
      </c>
      <c r="S2428">
        <f>IFERROR(O2428/N2428,0)</f>
        <v/>
      </c>
      <c r="T2428">
        <f>IF(C2428,(H2428*N2428*IF(AND(Inputs!$B$38&lt;&gt;"pvp",Inputs!$B$43&gt;0),((Skills!G11*((R2428-1)*IF(Skills!H11&gt;0,Skills!I11/Skills!H11,1)+IF(Skills!H11&gt;0,MIN(Skills!I11,MAX(0,MAX(0,Inputs!$B$43-B2457)-((R2428-1)*(IF(Inputs!$B$38="pvp",15,MAX(0.1,Skills!D11-IF(Skills!E11=TRUE,Inputs!$B$32,0)))*(1-IF(AND(ArtifactsInput!$M$27,Inputs!$B$4="Chapter Hunt"),CHOOSE(ArtifactsInput!$N$27+1,20,24,28,32,36,40),0)/100)))))/Skills!H11,1)))/Inputs!$B$43),G2428*Q2428)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2428*(1-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11*((R2428-1)*IF(Skills!H11&gt;0,Skills!I11/Skills!H11,1)+IF(Skills!H11&gt;0,MIN(Skills!I11,MAX(0,MAX(0,Inputs!$B$43-B2457)-((R2428-1)*(IF(Inputs!$B$38="pvp",15,MAX(0.1,Skills!D11-IF(Skills!E11=TRUE,Inputs!$B$32,0)))*(1-IF(AND(ArtifactsInput!$M$27,Inputs!$B$4="Chapter Hunt"),CHOOSE(ArtifactsInput!$N$27+1,20,24,28,32,36,40),0)/100)))))/Skills!H11,1)))/Inputs!$B$43),G2428*Q2428))*IF(Inputs!$B$38="pvp",1,(1+(Inputs!$B$21+Skills!Q11+(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Skills!A12</f>
        <v/>
      </c>
      <c r="B2429">
        <f>Skills!B12</f>
        <v/>
      </c>
      <c r="C2429">
        <f>Inputs!$B$3&gt;=110</f>
        <v/>
      </c>
      <c r="D2429">
        <f>IF(Skills!C12=1,60+Inputs!$B$25+Inputs!$B$29,IF(Skills!C12=2,90+Inputs!$B$26+Inputs!$B$29,IF(Skills!C12=3,120+Inputs!$B$27+Inputs!$B$29,MAX(0,(Inputs!$B$3-100)*3)+Inputs!$B$28+Inputs!$B$29)))</f>
        <v/>
      </c>
      <c r="E2429">
        <f>INDEX(FactorTable!$B$2:$Y$301, MATCH(ROUND(MIN(300,MAX(1,D2429)),0), FactorTable!$A$2:$A$301,0), Skills!M12+1)</f>
        <v/>
      </c>
      <c r="F2429">
        <f>IF(Skills!N12=TRUE,(Skills!L12/10)*(E2429/1000),Skills!L12/10)+Skills!O12</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T2429" t="inlineStr"/>
      <c r="V2429" t="inlineStr"/>
    </row>
    <row r="2430">
      <c r="A2430">
        <f>Skills!A13</f>
        <v/>
      </c>
      <c r="B2430">
        <f>Skills!B13</f>
        <v/>
      </c>
      <c r="C2430">
        <f>Inputs!$B$3&gt;=74</f>
        <v/>
      </c>
      <c r="D2430">
        <f>IF(Skills!C13=1,60+Inputs!$B$25+Inputs!$B$29,IF(Skills!C13=2,90+Inputs!$B$26+Inputs!$B$29,IF(Skills!C13=3,120+Inputs!$B$27+Inputs!$B$29,MAX(0,(Inputs!$B$3-100)*3)+Inputs!$B$28+Inputs!$B$29)))</f>
        <v/>
      </c>
      <c r="E2430">
        <f>INDEX(FactorTable!$B$2:$Y$301, MATCH(ROUND(MIN(300,MAX(1,D2430)),0), FactorTable!$A$2:$A$301,0), Skills!M13+1)</f>
        <v/>
      </c>
      <c r="F2430">
        <f>IF(Skills!N13=TRUE,(Skills!L13/10)*(E2430/1000),Skills!L13/10)+Skills!O13</f>
        <v/>
      </c>
      <c r="G2430">
        <f>Skills!G13*IF(Skills!H13&gt;0,Skills!I13/Skills!H13,1)</f>
        <v/>
      </c>
      <c r="H2430">
        <f>1-(1-Skills!J13/100)^Skills!K13</f>
        <v/>
      </c>
      <c r="I2430" t="inlineStr">
        <is>
          <t>1</t>
        </is>
      </c>
      <c r="J2430" t="inlineStr"/>
      <c r="K2430" t="inlineStr"/>
      <c r="L2430" t="inlineStr"/>
      <c r="M2430" t="inlineStr"/>
      <c r="N2430" t="inlineStr"/>
      <c r="O2430">
        <f>(1-Summary!$B$11)*T2430+Summary!$B$11*V2430</f>
        <v/>
      </c>
      <c r="P2430">
        <f>IF(B2460=0,0,O2430/B2460)</f>
        <v/>
      </c>
      <c r="Q2430" t="n">
        <v>0</v>
      </c>
      <c r="R2430" t="n">
        <v>0</v>
      </c>
      <c r="S2430">
        <f>IFERROR(O2430/N2430,0)</f>
        <v/>
      </c>
      <c r="T2430" t="n">
        <v>0</v>
      </c>
      <c r="V2430" t="n">
        <v>0</v>
      </c>
    </row>
    <row r="2431">
      <c r="A2431">
        <f>Skills!A14</f>
        <v/>
      </c>
      <c r="B2431">
        <f>Skills!B14</f>
        <v/>
      </c>
      <c r="C2431">
        <f>Inputs!$B$3&gt;=74</f>
        <v/>
      </c>
      <c r="D2431">
        <f>IF(Skills!C14=1,60+Inputs!$B$25+Inputs!$B$29,IF(Skills!C14=2,90+Inputs!$B$26+Inputs!$B$29,IF(Skills!C14=3,120+Inputs!$B$27+Inputs!$B$29,MAX(0,(Inputs!$B$3-100)*3)+Inputs!$B$28+Inputs!$B$29)))</f>
        <v/>
      </c>
      <c r="E2431">
        <f>INDEX(FactorTable!$B$2:$Y$301, MATCH(ROUND(MIN(300,MAX(1,D2431)),0), FactorTable!$A$2:$A$301,0), Skills!M14+1)</f>
        <v/>
      </c>
      <c r="F2431">
        <f>IF(Skills!N14=TRUE,(Skills!L14/10)*(E2431/1000),Skills!L14/10)+Skills!O14</f>
        <v/>
      </c>
      <c r="G2431">
        <f>Skills!G14*IF(Skills!H14&gt;0,Skills!I14/Skills!H14,1)</f>
        <v/>
      </c>
      <c r="H2431">
        <f>1-(1-Skills!J14/100)^Skills!K14</f>
        <v/>
      </c>
      <c r="I2431" t="inlineStr">
        <is>
          <t>1</t>
        </is>
      </c>
      <c r="J2431" t="inlineStr"/>
      <c r="K2431" t="inlineStr"/>
      <c r="L2431" t="inlineStr"/>
      <c r="M2431" t="inlineStr"/>
      <c r="N2431" t="inlineStr"/>
      <c r="O2431">
        <f>(1-Summary!$B$11)*T2431+Summary!$B$11*V2431</f>
        <v/>
      </c>
      <c r="P2431">
        <f>IF(B2460=0,0,O2431/B2460)</f>
        <v/>
      </c>
      <c r="Q2431" t="n">
        <v>0</v>
      </c>
      <c r="R2431" t="n">
        <v>0</v>
      </c>
      <c r="S2431">
        <f>IFERROR(O2431/N2431,0)</f>
        <v/>
      </c>
      <c r="T2431" t="n">
        <v>0</v>
      </c>
      <c r="V2431" t="n">
        <v>0</v>
      </c>
    </row>
    <row r="2432">
      <c r="A2432">
        <f>Skills!A15</f>
        <v/>
      </c>
      <c r="B2432">
        <f>Skills!B15</f>
        <v/>
      </c>
      <c r="C2432">
        <f>Inputs!$B$3&gt;=117</f>
        <v/>
      </c>
      <c r="D2432">
        <f>IF(Skills!C15=1,60+Inputs!$B$25+Inputs!$B$29,IF(Skills!C15=2,90+Inputs!$B$26+Inputs!$B$29,IF(Skills!C15=3,120+Inputs!$B$27+Inputs!$B$29,MAX(0,(Inputs!$B$3-100)*3)+Inputs!$B$28+Inputs!$B$29)))</f>
        <v/>
      </c>
      <c r="E2432">
        <f>INDEX(FactorTable!$B$2:$Y$301, MATCH(ROUND(MIN(300,MAX(1,D2432)),0), FactorTable!$A$2:$A$301,0), Skills!M15+1)</f>
        <v/>
      </c>
      <c r="F2432">
        <f>IF(Skills!N15=TRUE,(Skills!L15/10)*(E2432/1000),Skills!L15/10)+Skills!O15</f>
        <v/>
      </c>
      <c r="G2432">
        <f>Skills!G15*IF(Skills!H15&gt;0,Skills!I15/Skills!H15,1)</f>
        <v/>
      </c>
      <c r="H2432">
        <f>1-(1-Skills!J15/100)^Skills!K15</f>
        <v/>
      </c>
      <c r="I2432" t="inlineStr">
        <is>
          <t>1</t>
        </is>
      </c>
      <c r="J2432" t="inlineStr"/>
      <c r="K2432" t="inlineStr"/>
      <c r="L2432" t="inlineStr"/>
      <c r="M2432" t="inlineStr"/>
      <c r="N2432" t="inlineStr"/>
      <c r="O2432">
        <f>(1-Summary!$B$11)*T2432+Summary!$B$11*V2432</f>
        <v/>
      </c>
      <c r="P2432">
        <f>IF(B2460=0,0,O2432/B2460)</f>
        <v/>
      </c>
      <c r="Q2432">
        <f>IFERROR(1/(IF(Inputs!$B$38="pvp",15,MAX(0.1,Skills!D15-IF(Skills!E15=TRUE,Inputs!$B$32,0)))*(1-IF(AND(ArtifactsInput!$M$27,Inputs!$B$4="Chapter Hunt"),CHOOSE(ArtifactsInput!$N$27+1,20,24,28,32,36,40),0)/100)),0)</f>
        <v/>
      </c>
      <c r="R2432">
        <f>IF(AND(Inputs!$B$38&lt;&gt;"pvp",Inputs!$B$43&gt;0),IF(Inputs!$B$43&lt;=0,0,(INT(Inputs!$B$43/(IF(Inputs!$B$38="pvp",15,MAX(0.1,Skills!D15-IF(Skills!E15=TRUE,Inputs!$B$32,0)))*(1-IF(AND(ArtifactsInput!$M$27,Inputs!$B$4="Chapter Hunt"),CHOOSE(ArtifactsInput!$N$27+1,20,24,28,32,36,40),0)/100)))+1)),0)</f>
        <v/>
      </c>
      <c r="S2432">
        <f>IFERROR(O2432/N2432,0)</f>
        <v/>
      </c>
      <c r="T2432" t="n">
        <v>0</v>
      </c>
      <c r="V2432" t="n">
        <v>0</v>
      </c>
    </row>
    <row r="2433">
      <c r="A2433">
        <f>Skills!A16</f>
        <v/>
      </c>
      <c r="B2433">
        <f>Skills!B16</f>
        <v/>
      </c>
      <c r="C2433">
        <f>Inputs!$B$3&gt;=115</f>
        <v/>
      </c>
      <c r="D2433">
        <f>IF(Skills!C16=1,60+Inputs!$B$25+Inputs!$B$29,IF(Skills!C16=2,90+Inputs!$B$26+Inputs!$B$29,IF(Skills!C16=3,120+Inputs!$B$27+Inputs!$B$29,MAX(0,(Inputs!$B$3-100)*3)+Inputs!$B$28+Inputs!$B$29)))</f>
        <v/>
      </c>
      <c r="E2433">
        <f>INDEX(FactorTable!$B$2:$Y$301, MATCH(ROUND(MIN(300,MAX(1,D2433)),0), FactorTable!$A$2:$A$301,0), Skills!M16+1)</f>
        <v/>
      </c>
      <c r="F2433">
        <f>IF(Skills!N16=TRUE,(Skills!L16/10)*(E2433/1000),Skills!L16/10)+Skills!O16</f>
        <v/>
      </c>
      <c r="G2433">
        <f>Skills!G16*IF(Skills!H16&gt;0,Skills!I16/Skills!H16,1)</f>
        <v/>
      </c>
      <c r="H2433">
        <f>1-(1-Skills!J16/100)^Skills!K16</f>
        <v/>
      </c>
      <c r="I2433" t="inlineStr">
        <is>
          <t>1</t>
        </is>
      </c>
      <c r="J2433" t="inlineStr"/>
      <c r="K2433" t="inlineStr"/>
      <c r="L2433" t="inlineStr"/>
      <c r="M2433" t="inlineStr"/>
      <c r="N2433" t="inlineStr"/>
      <c r="O2433">
        <f>(1-Summary!$B$11)*T2433+Summary!$B$11*V2433</f>
        <v/>
      </c>
      <c r="P2433">
        <f>IF(B2460=0,0,O2433/B2460)</f>
        <v/>
      </c>
      <c r="Q2433">
        <f>IFERROR(1/(IF(Inputs!$B$38="pvp",15,MAX(0.1,Skills!D16-IF(Skills!E16=TRUE,Inputs!$B$32,0)))*(1-IF(AND(ArtifactsInput!$M$27,Inputs!$B$4="Chapter Hunt"),CHOOSE(ArtifactsInput!$N$27+1,20,24,28,32,36,40),0)/100)),0)</f>
        <v/>
      </c>
      <c r="R2433">
        <f>IF(AND(Inputs!$B$38&lt;&gt;"pvp",Inputs!$B$43&gt;0),IF(Inputs!$B$43&lt;=0,0,(INT(Inputs!$B$43/(IF(Inputs!$B$38="pvp",15,MAX(0.1,Skills!D16-IF(Skills!E16=TRUE,Inputs!$B$32,0)))*(1-IF(AND(ArtifactsInput!$M$27,Inputs!$B$4="Chapter Hunt"),CHOOSE(ArtifactsInput!$N$27+1,20,24,28,32,36,40),0)/100)))+1)),0)</f>
        <v/>
      </c>
      <c r="S2433">
        <f>IFERROR(O2433/N2433,0)</f>
        <v/>
      </c>
      <c r="T2433" t="n">
        <v>0</v>
      </c>
      <c r="V2433" t="n">
        <v>0</v>
      </c>
    </row>
    <row r="2434">
      <c r="A2434">
        <f>Skills!A17</f>
        <v/>
      </c>
      <c r="B2434">
        <f>Skills!B17</f>
        <v/>
      </c>
      <c r="C2434">
        <f>Inputs!$B$3&gt;=66</f>
        <v/>
      </c>
      <c r="D2434">
        <f>IF(Skills!C17=1,60+Inputs!$B$25+Inputs!$B$29,IF(Skills!C17=2,90+Inputs!$B$26+Inputs!$B$29,IF(Skills!C17=3,120+Inputs!$B$27+Inputs!$B$29,MAX(0,(Inputs!$B$3-100)*3)+Inputs!$B$28+Inputs!$B$29)))</f>
        <v/>
      </c>
      <c r="E2434">
        <f>INDEX(FactorTable!$B$2:$Y$301, MATCH(ROUND(MIN(300,MAX(1,D2434)),0), FactorTable!$A$2:$A$301,0), Skills!M17+1)</f>
        <v/>
      </c>
      <c r="F2434">
        <f>IF(Skills!N17=TRUE,(Skills!L17/10)*(E2434/1000),Skills!L17/10)+Skills!O17</f>
        <v/>
      </c>
      <c r="G2434">
        <f>Skills!G17*IF(Skills!H17&gt;0,Skills!I17/Skills!H17,1)</f>
        <v/>
      </c>
      <c r="H2434">
        <f>1-(1-Skills!J17/100)^Skills!K17</f>
        <v/>
      </c>
      <c r="I2434" t="inlineStr">
        <is>
          <t>1</t>
        </is>
      </c>
      <c r="J2434" t="inlineStr"/>
      <c r="K2434" t="inlineStr"/>
      <c r="L2434" t="inlineStr"/>
      <c r="M2434" t="inlineStr"/>
      <c r="N2434" t="inlineStr"/>
      <c r="O2434">
        <f>(1-Summary!$B$11)*T2434+Summary!$B$11*V2434</f>
        <v/>
      </c>
      <c r="P2434">
        <f>IF(B2460=0,0,O2434/B2460)</f>
        <v/>
      </c>
      <c r="Q2434" t="n">
        <v>0</v>
      </c>
      <c r="R2434" t="n">
        <v>0</v>
      </c>
      <c r="S2434">
        <f>IFERROR(O2434/N2434,0)</f>
        <v/>
      </c>
      <c r="T2434" t="n">
        <v>0</v>
      </c>
      <c r="V2434" t="n">
        <v>0</v>
      </c>
    </row>
    <row r="2435">
      <c r="A2435">
        <f>Skills!A18</f>
        <v/>
      </c>
      <c r="B2435">
        <f>Skills!B18</f>
        <v/>
      </c>
      <c r="C2435">
        <f>Inputs!$B$3&gt;=72</f>
        <v/>
      </c>
      <c r="D2435">
        <f>IF(Skills!C18=1,60+Inputs!$B$25+Inputs!$B$29,IF(Skills!C18=2,90+Inputs!$B$26+Inputs!$B$29,IF(Skills!C18=3,120+Inputs!$B$27+Inputs!$B$29,MAX(0,(Inputs!$B$3-100)*3)+Inputs!$B$28+Inputs!$B$29)))</f>
        <v/>
      </c>
      <c r="E2435">
        <f>INDEX(FactorTable!$B$2:$Y$301, MATCH(ROUND(MIN(300,MAX(1,D2435)),0), FactorTable!$A$2:$A$301,0), Skills!M18+1)</f>
        <v/>
      </c>
      <c r="F2435">
        <f>IF(Skills!N18=TRUE,(Skills!L18/10)*(E2435/1000),Skills!L18/10)+Skills!O18</f>
        <v/>
      </c>
      <c r="G2435">
        <f>Skills!G18*IF(Skills!H18&gt;0,Skills!I18/Skills!H18,1)</f>
        <v/>
      </c>
      <c r="H2435">
        <f>1-(1-Skills!J18/100)^Skills!K18</f>
        <v/>
      </c>
      <c r="I2435" t="inlineStr">
        <is>
          <t>1</t>
        </is>
      </c>
      <c r="J2435" t="inlineStr"/>
      <c r="K2435" t="inlineStr"/>
      <c r="L2435" t="inlineStr"/>
      <c r="M2435" t="inlineStr"/>
      <c r="N2435" t="inlineStr"/>
      <c r="O2435">
        <f>(1-Summary!$B$11)*T2435+Summary!$B$11*V2435</f>
        <v/>
      </c>
      <c r="P2435">
        <f>IF(B2460=0,0,O2435/B2460)</f>
        <v/>
      </c>
      <c r="Q2435" t="n">
        <v>0</v>
      </c>
      <c r="R2435" t="n">
        <v>0</v>
      </c>
      <c r="S2435">
        <f>IFERROR(O2435/N2435,0)</f>
        <v/>
      </c>
      <c r="T2435" t="n">
        <v>0</v>
      </c>
      <c r="V2435" t="n">
        <v>0</v>
      </c>
    </row>
    <row r="2436">
      <c r="A2436">
        <f>Skills!A19</f>
        <v/>
      </c>
      <c r="B2436">
        <f>Skills!B19</f>
        <v/>
      </c>
      <c r="C2436">
        <f>TRUE</f>
        <v/>
      </c>
      <c r="D2436">
        <f>IF(Skills!C19=1,60+Inputs!$B$25+Inputs!$B$29,IF(Skills!C19=2,90+Inputs!$B$26+Inputs!$B$29,IF(Skills!C19=3,120+Inputs!$B$27+Inputs!$B$29,MAX(0,(Inputs!$B$3-100)*3)+Inputs!$B$28+Inputs!$B$29)))</f>
        <v/>
      </c>
      <c r="E2436">
        <f>INDEX(FactorTable!$B$2:$Y$301, MATCH(ROUND(MIN(300,MAX(1,D2436)),0), FactorTable!$A$2:$A$301,0), Skills!M19+1)</f>
        <v/>
      </c>
      <c r="F2436">
        <f>IF(Skills!N19=TRUE,(Skills!L19/10)*(E2436/1000),Skills!L19/10)+Skills!O19</f>
        <v/>
      </c>
      <c r="G2436">
        <f>Skills!G19*IF(Skills!H19&gt;0,Skills!I19/Skills!H19,1)</f>
        <v/>
      </c>
      <c r="H2436">
        <f>1-(1-Skills!J19/100)^Skills!K19</f>
        <v/>
      </c>
      <c r="I2436" t="inlineStr">
        <is>
          <t>1</t>
        </is>
      </c>
      <c r="J2436" t="inlineStr"/>
      <c r="K2436" t="inlineStr"/>
      <c r="L2436" t="inlineStr"/>
      <c r="M2436" t="inlineStr"/>
      <c r="N2436" t="inlineStr"/>
      <c r="O2436">
        <f>(1-Summary!$B$11)*T2436+Summary!$B$11*V2436</f>
        <v/>
      </c>
      <c r="P2436">
        <f>IF(B2460=0,0,O2436/B2460)</f>
        <v/>
      </c>
      <c r="Q2436">
        <f>IFERROR(1/(IF(Inputs!$B$38="pvp",15,MAX(0.1,Skills!D19-IF(Skills!E19=TRUE,Inputs!$B$32,0)))*(1-IF(AND(ArtifactsInput!$M$27,Inputs!$B$4="Chapter Hunt"),CHOOSE(ArtifactsInput!$N$27+1,20,24,28,32,36,40),0)/100)),0)</f>
        <v/>
      </c>
      <c r="R2436">
        <f>IF(AND(Inputs!$B$38&lt;&gt;"pvp",Inputs!$B$43&gt;0),IF(Inputs!$B$43&lt;=0,0,(INT(Inputs!$B$43/(IF(Inputs!$B$38="pvp",15,MAX(0.1,Skills!D19-IF(Skills!E19=TRUE,Inputs!$B$32,0)))*(1-IF(AND(ArtifactsInput!$M$27,Inputs!$B$4="Chapter Hunt"),CHOOSE(ArtifactsInput!$N$27+1,20,24,28,32,36,40),0)/100)))+1)),0)</f>
        <v/>
      </c>
      <c r="S2436">
        <f>IFERROR(O2436/N2436,0)</f>
        <v/>
      </c>
      <c r="T2436" t="n">
        <v>0</v>
      </c>
      <c r="V2436" t="n">
        <v>0</v>
      </c>
    </row>
    <row r="2437">
      <c r="A2437">
        <f>Skills!A20</f>
        <v/>
      </c>
      <c r="B2437">
        <f>Skills!B20</f>
        <v/>
      </c>
      <c r="C2437">
        <f>Inputs!$B$3&gt;=15</f>
        <v/>
      </c>
      <c r="D2437">
        <f>IF(Skills!C20=1,60+Inputs!$B$25+Inputs!$B$29,IF(Skills!C20=2,90+Inputs!$B$26+Inputs!$B$29,IF(Skills!C20=3,120+Inputs!$B$27+Inputs!$B$29,MAX(0,(Inputs!$B$3-100)*3)+Inputs!$B$28+Inputs!$B$29)))</f>
        <v/>
      </c>
      <c r="E2437">
        <f>INDEX(FactorTable!$B$2:$Y$301, MATCH(ROUND(MIN(300,MAX(1,D2437)),0), FactorTable!$A$2:$A$301,0), Skills!M20+1)</f>
        <v/>
      </c>
      <c r="F2437">
        <f>IF(Skills!N20=TRUE,(Skills!L20/10)*(E2437/1000),Skills!L20/10)+Skills!O20</f>
        <v/>
      </c>
      <c r="G2437">
        <f>Skills!G20*IF(Skills!H20&gt;0,Skills!I20/Skills!H20,1)</f>
        <v/>
      </c>
      <c r="H2437">
        <f>1-(1-Skills!J20/100)^Skills!K20</f>
        <v/>
      </c>
      <c r="I2437" t="inlineStr">
        <is>
          <t>1</t>
        </is>
      </c>
      <c r="J2437" t="inlineStr"/>
      <c r="K2437" t="inlineStr"/>
      <c r="L2437" t="inlineStr"/>
      <c r="M2437" t="inlineStr"/>
      <c r="N2437" t="inlineStr"/>
      <c r="O2437">
        <f>(1-Summary!$B$11)*T2437+Summary!$B$11*V2437</f>
        <v/>
      </c>
      <c r="P2437">
        <f>IF(B2460=0,0,O2437/B2460)</f>
        <v/>
      </c>
      <c r="Q2437" t="n">
        <v>0</v>
      </c>
      <c r="R2437" t="n">
        <v>0</v>
      </c>
      <c r="S2437">
        <f>IFERROR(O2437/N2437,0)</f>
        <v/>
      </c>
      <c r="T2437" t="n">
        <v>0</v>
      </c>
      <c r="V2437" t="n">
        <v>0</v>
      </c>
    </row>
    <row r="2438">
      <c r="A2438">
        <f>Skills!A21</f>
        <v/>
      </c>
      <c r="B2438">
        <f>Skills!B21</f>
        <v/>
      </c>
      <c r="C2438">
        <f>Inputs!$B$3&gt;=10</f>
        <v/>
      </c>
      <c r="D2438">
        <f>IF(Skills!C21=1,60+Inputs!$B$25+Inputs!$B$29,IF(Skills!C21=2,90+Inputs!$B$26+Inputs!$B$29,IF(Skills!C21=3,120+Inputs!$B$27+Inputs!$B$29,MAX(0,(Inputs!$B$3-100)*3)+Inputs!$B$28+Inputs!$B$29)))</f>
        <v/>
      </c>
      <c r="E2438">
        <f>INDEX(FactorTable!$B$2:$Y$301, MATCH(ROUND(MIN(300,MAX(1,D2438)),0), FactorTable!$A$2:$A$301,0), Skills!M21+1)</f>
        <v/>
      </c>
      <c r="F2438">
        <f>IF(Skills!N21=TRUE,(Skills!L21/10)*(E2438/1000),Skills!L21/10)+Skills!O21</f>
        <v/>
      </c>
      <c r="G2438">
        <f>Skills!G21*IF(Skills!H21&gt;0,Skills!I21/Skills!H21,1)</f>
        <v/>
      </c>
      <c r="H2438">
        <f>1-(1-Skills!J21/100)^Skills!K21</f>
        <v/>
      </c>
      <c r="I2438" t="inlineStr">
        <is>
          <t>1</t>
        </is>
      </c>
      <c r="J2438" t="inlineStr"/>
      <c r="K2438" t="inlineStr"/>
      <c r="L2438" t="inlineStr"/>
      <c r="M2438" t="inlineStr"/>
      <c r="N2438" t="inlineStr"/>
      <c r="O2438">
        <f>(1-Summary!$B$11)*T2438+Summary!$B$11*V2438</f>
        <v/>
      </c>
      <c r="P2438">
        <f>IF(B2460=0,0,O2438/B2460)</f>
        <v/>
      </c>
      <c r="Q2438" t="n">
        <v>0</v>
      </c>
      <c r="R2438" t="n">
        <v>0</v>
      </c>
      <c r="S2438">
        <f>IFERROR(O2438/N2438,0)</f>
        <v/>
      </c>
      <c r="T2438" t="n">
        <v>0</v>
      </c>
      <c r="V2438" t="n">
        <v>0</v>
      </c>
    </row>
    <row r="2439">
      <c r="A2439">
        <f>Skills!A22</f>
        <v/>
      </c>
      <c r="B2439">
        <f>Skills!B22</f>
        <v/>
      </c>
      <c r="C2439">
        <f>Inputs!$B$3&gt;=33</f>
        <v/>
      </c>
      <c r="D2439">
        <f>IF(Skills!C22=1,60+Inputs!$B$25+Inputs!$B$29,IF(Skills!C22=2,90+Inputs!$B$26+Inputs!$B$29,IF(Skills!C22=3,120+Inputs!$B$27+Inputs!$B$29,MAX(0,(Inputs!$B$3-100)*3)+Inputs!$B$28+Inputs!$B$29)))</f>
        <v/>
      </c>
      <c r="E2439">
        <f>INDEX(FactorTable!$B$2:$Y$301, MATCH(ROUND(MIN(300,MAX(1,D2439)),0), FactorTable!$A$2:$A$301,0), Skills!M22+1)</f>
        <v/>
      </c>
      <c r="F2439">
        <f>IF(Skills!N22=TRUE,(Skills!L22/10)*(E2439/1000),Skills!L22/10)+Skills!O22</f>
        <v/>
      </c>
      <c r="G2439">
        <f>Skills!G22*IF(Skills!H22&gt;0,Skills!I22/Skills!H22,1)</f>
        <v/>
      </c>
      <c r="H2439">
        <f>1-(1-Skills!J22/100)^Skills!K22</f>
        <v/>
      </c>
      <c r="I2439" t="inlineStr">
        <is>
          <t>1</t>
        </is>
      </c>
      <c r="J2439" t="inlineStr"/>
      <c r="K2439" t="inlineStr"/>
      <c r="L2439" t="inlineStr"/>
      <c r="M2439" t="inlineStr"/>
      <c r="N2439" t="inlineStr"/>
      <c r="O2439">
        <f>(1-Summary!$B$11)*T2439+Summary!$B$11*V2439</f>
        <v/>
      </c>
      <c r="P2439">
        <f>IF(B2460=0,0,O2439/B2460)</f>
        <v/>
      </c>
      <c r="Q2439" t="n">
        <v>0</v>
      </c>
      <c r="R2439" t="n">
        <v>0</v>
      </c>
      <c r="S2439">
        <f>IFERROR(O2439/N2439,0)</f>
        <v/>
      </c>
      <c r="T2439" t="n">
        <v>0</v>
      </c>
      <c r="V2439" t="n">
        <v>0</v>
      </c>
    </row>
    <row r="2440">
      <c r="A2440">
        <f>Skills!A23</f>
        <v/>
      </c>
      <c r="B2440">
        <f>Skills!B23</f>
        <v/>
      </c>
      <c r="C2440">
        <f>Inputs!$B$3&gt;=38</f>
        <v/>
      </c>
      <c r="D2440">
        <f>IF(Skills!C23=1,60+Inputs!$B$25+Inputs!$B$29,IF(Skills!C23=2,90+Inputs!$B$26+Inputs!$B$29,IF(Skills!C23=3,120+Inputs!$B$27+Inputs!$B$29,MAX(0,(Inputs!$B$3-100)*3)+Inputs!$B$28+Inputs!$B$29)))</f>
        <v/>
      </c>
      <c r="E2440">
        <f>INDEX(FactorTable!$B$2:$Y$301, MATCH(ROUND(MIN(300,MAX(1,D2440)),0), FactorTable!$A$2:$A$301,0), Skills!M23+1)</f>
        <v/>
      </c>
      <c r="F2440">
        <f>IF(Skills!N23=TRUE,(Skills!L23/10)*(E2440/1000),Skills!L23/10)+Skills!O23</f>
        <v/>
      </c>
      <c r="G2440">
        <f>Skills!G23*IF(Skills!H23&gt;0,Skills!I23/Skills!H23,1)</f>
        <v/>
      </c>
      <c r="H2440">
        <f>1-(1-Skills!J23/100)^Skills!K23</f>
        <v/>
      </c>
      <c r="I2440" t="inlineStr">
        <is>
          <t>1</t>
        </is>
      </c>
      <c r="J2440" t="inlineStr"/>
      <c r="K2440" t="inlineStr"/>
      <c r="L2440" t="inlineStr"/>
      <c r="M2440" t="inlineStr"/>
      <c r="N2440" t="inlineStr"/>
      <c r="O2440">
        <f>(1-Summary!$B$11)*T2440+Summary!$B$11*V2440</f>
        <v/>
      </c>
      <c r="P2440">
        <f>IF(B2460=0,0,O2440/B2460)</f>
        <v/>
      </c>
      <c r="Q2440" t="n">
        <v>0</v>
      </c>
      <c r="R2440" t="n">
        <v>0</v>
      </c>
      <c r="S2440">
        <f>IFERROR(O2440/N2440,0)</f>
        <v/>
      </c>
      <c r="T2440" t="n">
        <v>0</v>
      </c>
      <c r="V2440" t="n">
        <v>0</v>
      </c>
    </row>
    <row r="2441">
      <c r="A2441">
        <f>Skills!A24</f>
        <v/>
      </c>
      <c r="B2441">
        <f>Skills!B24</f>
        <v/>
      </c>
      <c r="C2441">
        <f>Inputs!$B$3&gt;=43</f>
        <v/>
      </c>
      <c r="D2441">
        <f>IF(Skills!C24=1,60+Inputs!$B$25+Inputs!$B$29,IF(Skills!C24=2,90+Inputs!$B$26+Inputs!$B$29,IF(Skills!C24=3,120+Inputs!$B$27+Inputs!$B$29,MAX(0,(Inputs!$B$3-100)*3)+Inputs!$B$28+Inputs!$B$29)))</f>
        <v/>
      </c>
      <c r="E2441">
        <f>INDEX(FactorTable!$B$2:$Y$301, MATCH(ROUND(MIN(300,MAX(1,D2441)),0), FactorTable!$A$2:$A$301,0), Skills!M24+1)</f>
        <v/>
      </c>
      <c r="F2441">
        <f>IF(Skills!N24=TRUE,(Skills!L24/10)*(E2441/1000),Skills!L24/10)+Skills!O24</f>
        <v/>
      </c>
      <c r="G2441">
        <f>Skills!G24*IF(Skills!H24&gt;0,Skills!I24/Skills!H24,1)</f>
        <v/>
      </c>
      <c r="H2441">
        <f>1-(1-Skills!J24/100)^Skills!K24</f>
        <v/>
      </c>
      <c r="I2441" t="inlineStr">
        <is>
          <t>1</t>
        </is>
      </c>
      <c r="J2441" t="inlineStr"/>
      <c r="K2441" t="inlineStr"/>
      <c r="L2441" t="inlineStr"/>
      <c r="M2441" t="inlineStr"/>
      <c r="N2441" t="inlineStr"/>
      <c r="O2441">
        <f>(1-Summary!$B$11)*T2441+Summary!$B$11*V2441</f>
        <v/>
      </c>
      <c r="P2441">
        <f>IF(B2460=0,0,O2441/B2460)</f>
        <v/>
      </c>
      <c r="Q2441" t="n">
        <v>0</v>
      </c>
      <c r="R2441" t="n">
        <v>0</v>
      </c>
      <c r="S2441">
        <f>IFERROR(O2441/N2441,0)</f>
        <v/>
      </c>
      <c r="T2441" t="n">
        <v>0</v>
      </c>
      <c r="V2441" t="n">
        <v>0</v>
      </c>
    </row>
    <row r="2442">
      <c r="A2442">
        <f>Skills!A25</f>
        <v/>
      </c>
      <c r="B2442">
        <f>Skills!B25</f>
        <v/>
      </c>
      <c r="C2442">
        <f>Inputs!$B$3&gt;=75</f>
        <v/>
      </c>
      <c r="D2442">
        <f>IF(Skills!C25=1,60+Inputs!$B$25+Inputs!$B$29,IF(Skills!C25=2,90+Inputs!$B$26+Inputs!$B$29,IF(Skills!C25=3,120+Inputs!$B$27+Inputs!$B$29,MAX(0,(Inputs!$B$3-100)*3)+Inputs!$B$28+Inputs!$B$29)))</f>
        <v/>
      </c>
      <c r="E2442">
        <f>INDEX(FactorTable!$B$2:$Y$301, MATCH(ROUND(MIN(300,MAX(1,D2442)),0), FactorTable!$A$2:$A$301,0), Skills!M25+1)</f>
        <v/>
      </c>
      <c r="F2442">
        <f>IF(Skills!N25=TRUE,(Skills!L25/10)*(E2442/1000),Skills!L25/10)+Skills!O25</f>
        <v/>
      </c>
      <c r="G2442">
        <f>Skills!G25*IF(Skills!H25&gt;0,Skills!I25/Skills!H25,1)</f>
        <v/>
      </c>
      <c r="H2442">
        <f>1-(1-Skills!J25/100)^Skills!K25</f>
        <v/>
      </c>
      <c r="I2442" t="inlineStr">
        <is>
          <t>1</t>
        </is>
      </c>
      <c r="J2442" t="inlineStr"/>
      <c r="K2442" t="inlineStr"/>
      <c r="L2442" t="inlineStr"/>
      <c r="M2442" t="inlineStr"/>
      <c r="N2442" t="inlineStr"/>
      <c r="O2442">
        <f>(1-Summary!$B$11)*T2442+Summary!$B$11*V2442</f>
        <v/>
      </c>
      <c r="P2442">
        <f>IF(B2460=0,0,O2442/B2460)</f>
        <v/>
      </c>
      <c r="Q2442" t="n">
        <v>0</v>
      </c>
      <c r="R2442" t="n">
        <v>0</v>
      </c>
      <c r="S2442">
        <f>IFERROR(O2442/N2442,0)</f>
        <v/>
      </c>
      <c r="T2442" t="n">
        <v>0</v>
      </c>
      <c r="V2442" t="n">
        <v>0</v>
      </c>
    </row>
    <row r="2443">
      <c r="A2443">
        <f>Skills!A26</f>
        <v/>
      </c>
      <c r="B2443">
        <f>Skills!B26</f>
        <v/>
      </c>
      <c r="C2443">
        <f>Inputs!$B$3&gt;=125</f>
        <v/>
      </c>
      <c r="D2443">
        <f>IF(Skills!C26=1,60+Inputs!$B$25+Inputs!$B$29,IF(Skills!C26=2,90+Inputs!$B$26+Inputs!$B$29,IF(Skills!C26=3,120+Inputs!$B$27+Inputs!$B$29,MAX(0,(Inputs!$B$3-100)*3)+Inputs!$B$28+Inputs!$B$29)))</f>
        <v/>
      </c>
      <c r="E2443">
        <f>INDEX(FactorTable!$B$2:$Y$301, MATCH(ROUND(MIN(300,MAX(1,D2443)),0), FactorTable!$A$2:$A$301,0), Skills!M26+1)</f>
        <v/>
      </c>
      <c r="F2443">
        <f>IF(Skills!N26=TRUE,(Skills!L26/10)*(E2443/1000),Skills!L26/10)+Skills!O26</f>
        <v/>
      </c>
      <c r="G2443">
        <f>Skills!G26*IF(Skills!H26&gt;0,Skills!I26/Skills!H26,1)</f>
        <v/>
      </c>
      <c r="H2443">
        <f>1-(1-Skills!J26/100)^Skills!K26</f>
        <v/>
      </c>
      <c r="I2443" t="inlineStr">
        <is>
          <t>1</t>
        </is>
      </c>
      <c r="J2443" t="inlineStr"/>
      <c r="K2443" t="inlineStr"/>
      <c r="L2443" t="inlineStr"/>
      <c r="M2443" t="inlineStr"/>
      <c r="N2443" t="inlineStr"/>
      <c r="O2443">
        <f>(1-Summary!$B$11)*T2443+Summary!$B$11*V2443</f>
        <v/>
      </c>
      <c r="P2443">
        <f>IF(B2460=0,0,O2443/B2460)</f>
        <v/>
      </c>
      <c r="Q2443" t="n">
        <v>0</v>
      </c>
      <c r="R2443" t="n">
        <v>0</v>
      </c>
      <c r="S2443">
        <f>IFERROR(O2443/N2443,0)</f>
        <v/>
      </c>
      <c r="T2443" t="n">
        <v>0</v>
      </c>
      <c r="V2443" t="n">
        <v>0</v>
      </c>
    </row>
    <row r="2444">
      <c r="A2444">
        <f>Skills!A27</f>
        <v/>
      </c>
      <c r="B2444">
        <f>Skills!B27</f>
        <v/>
      </c>
      <c r="C2444">
        <f>Inputs!$B$3&gt;=125</f>
        <v/>
      </c>
      <c r="D2444">
        <f>IF(Skills!C27=1,60+Inputs!$B$25+Inputs!$B$29,IF(Skills!C27=2,90+Inputs!$B$26+Inputs!$B$29,IF(Skills!C27=3,120+Inputs!$B$27+Inputs!$B$29,MAX(0,(Inputs!$B$3-100)*3)+Inputs!$B$28+Inputs!$B$29)))</f>
        <v/>
      </c>
      <c r="E2444">
        <f>INDEX(FactorTable!$B$2:$Y$301, MATCH(ROUND(MIN(300,MAX(1,D2444)),0), FactorTable!$A$2:$A$301,0), Skills!M27+1)</f>
        <v/>
      </c>
      <c r="F2444">
        <f>IF(Skills!N27=TRUE,(Skills!L27/10)*(E2444/1000),Skills!L27/10)+Skills!O27</f>
        <v/>
      </c>
      <c r="G2444">
        <f>Skills!G27*IF(Skills!H27&gt;0,Skills!I27/Skills!H27,1)</f>
        <v/>
      </c>
      <c r="H2444">
        <f>1-(1-Skills!J27/100)^Skills!K27</f>
        <v/>
      </c>
      <c r="I2444" t="inlineStr">
        <is>
          <t>1</t>
        </is>
      </c>
      <c r="J2444" t="inlineStr"/>
      <c r="K2444" t="inlineStr"/>
      <c r="L2444" t="inlineStr"/>
      <c r="M2444" t="inlineStr"/>
      <c r="N2444" t="inlineStr"/>
      <c r="O2444">
        <f>(1-Summary!$B$11)*T2444+Summary!$B$11*V2444</f>
        <v/>
      </c>
      <c r="P2444">
        <f>IF(B2460=0,0,O2444/B2460)</f>
        <v/>
      </c>
      <c r="Q2444" t="n">
        <v>0</v>
      </c>
      <c r="R2444" t="n">
        <v>0</v>
      </c>
      <c r="S2444">
        <f>IFERROR(O2444/N2444,0)</f>
        <v/>
      </c>
      <c r="T2444" t="n">
        <v>0</v>
      </c>
      <c r="V2444" t="n">
        <v>0</v>
      </c>
    </row>
    <row r="2445">
      <c r="A2445">
        <f>Skills!A28</f>
        <v/>
      </c>
      <c r="B2445">
        <f>Skills!B28</f>
        <v/>
      </c>
      <c r="C2445">
        <f>Inputs!$B$3&gt;=120</f>
        <v/>
      </c>
      <c r="D2445">
        <f>IF(Skills!C28=1,60+Inputs!$B$25+Inputs!$B$29,IF(Skills!C28=2,90+Inputs!$B$26+Inputs!$B$29,IF(Skills!C28=3,120+Inputs!$B$27+Inputs!$B$29,MAX(0,(Inputs!$B$3-100)*3)+Inputs!$B$28+Inputs!$B$29)))</f>
        <v/>
      </c>
      <c r="E2445">
        <f>INDEX(FactorTable!$B$2:$Y$301, MATCH(ROUND(MIN(300,MAX(1,D2445)),0), FactorTable!$A$2:$A$301,0), Skills!M28+1)</f>
        <v/>
      </c>
      <c r="F2445">
        <f>IF(Skills!N28=TRUE,(Skills!L28/10)*(E2445/1000),Skills!L28/10)+Skills!O28</f>
        <v/>
      </c>
      <c r="G2445">
        <f>Skills!G28*IF(Skills!H28&gt;0,Skills!I28/Skills!H28,1)</f>
        <v/>
      </c>
      <c r="H2445">
        <f>1-(1-Skills!J28/100)^Skills!K28</f>
        <v/>
      </c>
      <c r="I2445" t="inlineStr">
        <is>
          <t>1</t>
        </is>
      </c>
      <c r="J2445" t="inlineStr"/>
      <c r="K2445" t="inlineStr"/>
      <c r="L2445" t="inlineStr"/>
      <c r="M2445" t="inlineStr"/>
      <c r="N2445" t="inlineStr"/>
      <c r="O2445">
        <f>(1-Summary!$B$11)*T2445+Summary!$B$11*V2445</f>
        <v/>
      </c>
      <c r="P2445">
        <f>IF(B2460=0,0,O2445/B2460)</f>
        <v/>
      </c>
      <c r="Q2445" t="n">
        <v>0</v>
      </c>
      <c r="R2445" t="n">
        <v>0</v>
      </c>
      <c r="S2445">
        <f>IFERROR(O2445/N2445,0)</f>
        <v/>
      </c>
      <c r="T2445" t="n">
        <v>0</v>
      </c>
      <c r="V2445" t="n">
        <v>0</v>
      </c>
    </row>
    <row r="2446">
      <c r="A2446">
        <f>Skills!A29</f>
        <v/>
      </c>
      <c r="B2446">
        <f>Skills!B29</f>
        <v/>
      </c>
      <c r="C2446">
        <f>Inputs!$B$3&gt;=120</f>
        <v/>
      </c>
      <c r="D2446">
        <f>IF(Skills!C29=1,60+Inputs!$B$25+Inputs!$B$29,IF(Skills!C29=2,90+Inputs!$B$26+Inputs!$B$29,IF(Skills!C29=3,120+Inputs!$B$27+Inputs!$B$29,MAX(0,(Inputs!$B$3-100)*3)+Inputs!$B$28+Inputs!$B$29)))</f>
        <v/>
      </c>
      <c r="E2446">
        <f>INDEX(FactorTable!$B$2:$Y$301, MATCH(ROUND(MIN(300,MAX(1,D2446)),0), FactorTable!$A$2:$A$301,0), Skills!M29+1)</f>
        <v/>
      </c>
      <c r="F2446">
        <f>IF(Skills!N29=TRUE,(Skills!L29/10)*(E2446/1000),Skills!L29/10)+Skills!O29</f>
        <v/>
      </c>
      <c r="G2446">
        <f>Skills!G29*IF(Skills!H29&gt;0,Skills!I29/Skills!H29,1)</f>
        <v/>
      </c>
      <c r="H2446">
        <f>1-(1-Skills!J29/100)^Skills!K29</f>
        <v/>
      </c>
      <c r="I2446" t="inlineStr">
        <is>
          <t>1</t>
        </is>
      </c>
      <c r="J2446" t="inlineStr"/>
      <c r="K2446" t="inlineStr"/>
      <c r="L2446" t="inlineStr"/>
      <c r="M2446" t="inlineStr"/>
      <c r="N2446" t="inlineStr"/>
      <c r="O2446">
        <f>(1-Summary!$B$11)*T2446+Summary!$B$11*V2446</f>
        <v/>
      </c>
      <c r="P2446">
        <f>IF(B2460=0,0,O2446/B2460)</f>
        <v/>
      </c>
      <c r="Q2446" t="n">
        <v>0</v>
      </c>
      <c r="R2446" t="n">
        <v>0</v>
      </c>
      <c r="S2446">
        <f>IFERROR(O2446/N2446,0)</f>
        <v/>
      </c>
      <c r="T2446" t="n">
        <v>0</v>
      </c>
      <c r="V2446" t="n">
        <v>0</v>
      </c>
    </row>
    <row r="2447">
      <c r="A2447">
        <f>Skills!A30</f>
        <v/>
      </c>
      <c r="B2447">
        <f>Skills!B30</f>
        <v/>
      </c>
      <c r="C2447">
        <f>Inputs!$B$3&gt;=45</f>
        <v/>
      </c>
      <c r="D2447">
        <f>IF(Skills!C30=1,60+Inputs!$B$25+Inputs!$B$29,IF(Skills!C30=2,90+Inputs!$B$26+Inputs!$B$29,IF(Skills!C30=3,120+Inputs!$B$27+Inputs!$B$29,MAX(0,(Inputs!$B$3-100)*3)+Inputs!$B$28+Inputs!$B$29)))</f>
        <v/>
      </c>
      <c r="E2447">
        <f>INDEX(FactorTable!$B$2:$Y$301, MATCH(ROUND(MIN(300,MAX(1,D2447)),0), FactorTable!$A$2:$A$301,0), Skills!M30+1)</f>
        <v/>
      </c>
      <c r="F2447">
        <f>IF(Skills!N30=TRUE,(Skills!L30/10)*(E2447/1000),Skills!L30/10)+Skills!O30</f>
        <v/>
      </c>
      <c r="G2447">
        <f>Skills!G30*IF(Skills!H30&gt;0,Skills!I30/Skills!H30,1)</f>
        <v/>
      </c>
      <c r="H2447">
        <f>1-(1-Skills!J30/100)^Skills!K30</f>
        <v/>
      </c>
      <c r="I2447" t="inlineStr">
        <is>
          <t>1</t>
        </is>
      </c>
      <c r="J2447" t="inlineStr"/>
      <c r="K2447" t="inlineStr"/>
      <c r="L2447" t="inlineStr"/>
      <c r="M2447" t="inlineStr"/>
      <c r="N2447" t="inlineStr"/>
      <c r="O2447">
        <f>(1-Summary!$B$11)*T2447+Summary!$B$11*V2447</f>
        <v/>
      </c>
      <c r="P2447">
        <f>IF(B2460=0,0,O2447/B2460)</f>
        <v/>
      </c>
      <c r="Q2447" t="n">
        <v>0</v>
      </c>
      <c r="R2447" t="n">
        <v>0</v>
      </c>
      <c r="S2447">
        <f>IFERROR(O2447/N2447,0)</f>
        <v/>
      </c>
      <c r="T2447" t="n">
        <v>0</v>
      </c>
      <c r="V2447" t="n">
        <v>0</v>
      </c>
    </row>
    <row r="2449">
      <c r="A2449" t="inlineStr">
        <is>
          <t>Attack% Bucket Multiplier</t>
        </is>
      </c>
      <c r="B2449">
        <f>(1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0">
      <c r="A2450" t="inlineStr">
        <is>
          <t>Global Crit Rate Bonus %</t>
        </is>
      </c>
      <c r="B2450">
        <f>(C2433=TRUE)*20*IF(AND(Inputs!$B$38&lt;&gt;"pvp",Inputs!$B$43&gt;0),(((R2433-1)*(Skills!T16*(1+Inputs!$B$34/100))+MIN((Skills!T16*(1+Inputs!$B$34/100)),MAX(0,Inputs!$B$43-((R2433-1)*Skills!D16))))/Inputs!$B$43),IF(Inputs!$B$38="pvp",MIN((Skills!T16*(1+Inputs!$B$34/100)),15)/15,(Skills!T16*(1+Inputs!$B$34/100))/Skills!D16))</f>
        <v/>
      </c>
    </row>
    <row r="2451">
      <c r="A2451" t="inlineStr">
        <is>
          <t>Attack Speed Buff Bonus %</t>
        </is>
      </c>
      <c r="B2451">
        <f>((C2436=TRUE)*F2436*IF(AND(Inputs!$B$38&lt;&gt;"pvp",Inputs!$B$43&gt;0),(((R2436-1)*(Skills!T19*(1+Inputs!$B$34/100))+MIN((Skills!T19*(1+Inputs!$B$34/100)),MAX(0,Inputs!$B$43-((R2436-1)*Skills!D19))))/Inputs!$B$43),IF(Inputs!$B$38="pvp",MIN((Skills!T19*(1+Inputs!$B$34/100)),15)/15,(Skills!T19*(1+Inputs!$B$34/100))/Skills!D19)))</f>
        <v/>
      </c>
    </row>
    <row r="2452">
      <c r="A2452" t="inlineStr">
        <is>
          <t>Actions Per Second</t>
        </is>
      </c>
      <c r="B2452">
        <f>1+MIN(150,150*(1-(1-(Inputs!$B$11+((C2438=TRUE)*(F2438-Calc!F21))+((C2439=TRUE)*(F2439-Calc!F22)))/150)*(1-B2451/150)))/100</f>
        <v/>
      </c>
    </row>
    <row r="2453">
      <c r="A2453" t="inlineStr">
        <is>
          <t>Skill + Buff Cast Rate</t>
        </is>
      </c>
      <c r="B2453">
        <f>IF(AND(Inputs!$B$38&lt;&gt;"pvp",Inputs!$B$43&gt;0),SUMPRODUCT((Skills!E2:E30=TRUE)*(C2419:C2447=TRUE)*R2419:R2447*Skills!F2:F30)/Inputs!$B$43,SUMPRODUCT((Skills!E2:E30=TRUE)*(C2419:C2447=TRUE)*Q2419:Q2447*Skills!F2:F30))</f>
        <v/>
      </c>
    </row>
    <row r="2454">
      <c r="A2454" t="inlineStr">
        <is>
          <t>Arrow Stream Casts Per Second</t>
        </is>
      </c>
      <c r="B2454">
        <f>MAX(0,B2452-B2453)</f>
        <v/>
      </c>
    </row>
    <row r="2455">
      <c r="A2455" t="inlineStr">
        <is>
          <t>Global Critical Damage Bonus % (Sharp Eyes + Concentration)</t>
        </is>
      </c>
      <c r="B2455">
        <f>(C2433=TRUE)*F2433*IF(AND(Inputs!$B$38&lt;&gt;"pvp",Inputs!$B$43&gt;0),(((R2433-1)*(Skills!T16*(1+Inputs!$B$34/100))+MIN((Skills!T16*(1+Inputs!$B$34/100)),MAX(0,Inputs!$B$43-((R2433-1)*Skills!D16))))/Inputs!$B$43),IF(Inputs!$B$38="pvp",MIN((Skills!T16*(1+Inputs!$B$34/100)),15)/15,(Skills!T16*(1+Inputs!$B$34/100))/Skills!D16))+(C2434=TRUE)*30</f>
        <v/>
      </c>
    </row>
    <row r="2456">
      <c r="A2456" t="inlineStr">
        <is>
          <t>Global Final Damage Bonus % (Mortal Blow)</t>
        </is>
      </c>
      <c r="B2456">
        <f>(C2435=TRUE)*F2435</f>
        <v/>
      </c>
    </row>
    <row r="2457">
      <c r="A2457" t="inlineStr">
        <is>
          <t>Buff-Casting Startup Delay (s, fixed-duration only)</t>
        </is>
      </c>
      <c r="B2457">
        <f>IF(AND(Inputs!$B$38&lt;&gt;"pvp",Inputs!$B$43&gt;0),SUMPRODUCT((Skills!T2:T30&gt;0)*(Skills!E2:E30=TRUE)*(C2419:C2447=TRUE))/B2452,0)</f>
        <v/>
      </c>
    </row>
    <row r="2458">
      <c r="A2458" t="inlineStr">
        <is>
          <t>Boss-Only Total DPS (this block's swept value)</t>
        </is>
      </c>
      <c r="B2458">
        <f>SUM(T2419:T2447)</f>
        <v/>
      </c>
    </row>
    <row r="2459">
      <c r="A2459" t="inlineStr">
        <is>
          <t>Normal-Only Total DPS (this block's swept value)</t>
        </is>
      </c>
      <c r="B2459">
        <f>SUM(V2419:V2447)</f>
        <v/>
      </c>
    </row>
    <row r="2460">
      <c r="A2460" s="6" t="inlineStr">
        <is>
          <t>TOTAL DPS</t>
        </is>
      </c>
      <c r="B2460" s="6">
        <f>SUM(O2419:O2447)</f>
        <v/>
      </c>
    </row>
    <row r="2463">
      <c r="A2463" s="6" t="inlineStr">
        <is>
          <t>Stat: Sayram's Necklace (Equip)</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Q2464" s="5" t="inlineStr">
        <is>
          <t>InvCooldown</t>
        </is>
      </c>
      <c r="R2464" s="5" t="inlineStr">
        <is>
          <t>CastsInFight</t>
        </is>
      </c>
      <c r="S2464" s="5" t="inlineStr">
        <is>
          <t>HitRate(perSec)</t>
        </is>
      </c>
      <c r="U2464" t="inlineStr">
        <is>
          <t>helpers</t>
        </is>
      </c>
    </row>
    <row r="2465">
      <c r="A2465">
        <f>Skills!A2</f>
        <v/>
      </c>
      <c r="B2465">
        <f>Skills!B2</f>
        <v/>
      </c>
      <c r="C2465">
        <f>Inputs!$B$3&gt;=100</f>
        <v/>
      </c>
      <c r="D2465" t="inlineStr"/>
      <c r="E2465" t="inlineStr"/>
      <c r="F2465">
        <f>U2467+Skills!O2</f>
        <v/>
      </c>
      <c r="G2465">
        <f>Skills!G2*IF(Skills!H2&gt;0,Skills!I2/Skills!H2,1)</f>
        <v/>
      </c>
      <c r="H2465">
        <f>1-(1-Skills!J2/100)^Skills!K2</f>
        <v/>
      </c>
      <c r="I2465" t="inlineStr">
        <is>
          <t>1</t>
        </is>
      </c>
      <c r="J2465">
        <f>((Inputs!$B$6*(1+Inputs!$B$7/100))+(((Inputs!$B$12*(1+Inputs!$B$13/100))-(Inputs!$B$12*(1+Inputs!$B$13/100)))+0.25*(Inputs!$B$14-Inputs!$B$14))*(1+Inputs!$B$7/100))*(F2465/100)</f>
        <v/>
      </c>
      <c r="K2465">
        <f>J2465*(1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2487=TRUE)*(F2487-Calc!F24)),(Inputs!$B$23+((C2492=TRUE)*(F2492-Calc!F29))+(IF(ArtifactsInput!$M$15,CHOOSE(ArtifactsInput!$N$15+1,25,30,35,40,45,50)/100*(Inputs!$B$11-Inputs!$B$11),0))))/100+(Inputs!$B$23+((C2492=TRUE)*(F2492-Calc!F29))+(IF(ArtifactsInput!$M$15,CHOOSE(ArtifactsInput!$N$15+1,25,30,35,40,45,50)/100*(Inputs!$B$11-Inputs!$B$11),0)))/100)/2</f>
        <v/>
      </c>
      <c r="M2465">
        <f>L2465*(1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IF(B2506=0,0,O2465/B2506)</f>
        <v/>
      </c>
      <c r="Q2465" t="n">
        <v>0</v>
      </c>
      <c r="R2465" t="n">
        <v>0</v>
      </c>
      <c r="S2465">
        <f>IFERROR(O2465/N2465,0)</f>
        <v/>
      </c>
      <c r="T2465">
        <f>IF(C2465,(Skills!G2*N2465*B2500)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2465*(1-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5">
        <f>MAX(0,(Inputs!$B$3-100)*3)+Inputs!$B$28+Inputs!$B$29</f>
        <v/>
      </c>
      <c r="V2465">
        <f>IF(C2465,(Skills!G2*N2465*B2500)*IF(Inputs!$B$38="pvp",1,(1+(Inputs!$B$21+Skills!Q2+(IF(IF(ArtifactsInput!$M$33,FALSE,TRUE),CHOOSE(ArtifactsInput!$N$33+1,30,36,42,48,54,60),0))+(IF(AND(ArtifactsInput!$M$35,Inputs!$B$4&lt;&gt;"Chapter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Skills!A3</f>
        <v/>
      </c>
      <c r="B2466">
        <f>Skills!B3</f>
        <v/>
      </c>
      <c r="C2466">
        <f>Inputs!$B$3&gt;=50</f>
        <v/>
      </c>
      <c r="D2466">
        <f>IF(Skills!C3=1,60+Inputs!$B$25+Inputs!$B$29,IF(Skills!C3=2,90+Inputs!$B$26+Inputs!$B$29,IF(Skills!C3=3,120+Inputs!$B$27+Inputs!$B$29,MAX(0,(Inputs!$B$3-100)*3)+Inputs!$B$28+Inputs!$B$29)))</f>
        <v/>
      </c>
      <c r="E2466">
        <f>INDEX(FactorTable!$B$2:$Y$301, MATCH(ROUND(MIN(300,MAX(1,D2466)),0), FactorTable!$A$2:$A$301,0), Skills!M3+1)</f>
        <v/>
      </c>
      <c r="F2466">
        <f>IF(Skills!N3=TRUE,(Skills!L3/10)*(E2466/1000),Skills!L3/10)+Skills!O3</f>
        <v/>
      </c>
      <c r="G2466" t="inlineStr"/>
      <c r="H2466" t="inlineStr"/>
      <c r="I2466" t="inlineStr">
        <is>
          <t>1</t>
        </is>
      </c>
      <c r="J2466" t="inlineStr"/>
      <c r="K2466" t="inlineStr"/>
      <c r="L2466" t="inlineStr"/>
      <c r="M2466" t="inlineStr"/>
      <c r="N2466" t="inlineStr"/>
      <c r="O2466" t="inlineStr"/>
      <c r="P2466" t="inlineStr"/>
      <c r="Q2466" t="inlineStr"/>
      <c r="R2466" t="inlineStr"/>
      <c r="S2466" t="inlineStr"/>
      <c r="T2466" t="inlineStr"/>
      <c r="U2466">
        <f>INDEX(FactorTable!$B$2:$Y$301, MATCH(ROUND(MIN(300,MAX(1,U2465)),0), FactorTable!$A$2:$A$301,0), 22)</f>
        <v/>
      </c>
      <c r="V2466" t="inlineStr"/>
    </row>
    <row r="2467">
      <c r="A2467">
        <f>Skills!A4</f>
        <v/>
      </c>
      <c r="B2467">
        <f>Skills!B4</f>
        <v/>
      </c>
      <c r="C2467">
        <f>Inputs!$B$3&gt;=105</f>
        <v/>
      </c>
      <c r="D2467">
        <f>IF(Skills!C4=1,60+Inputs!$B$25+Inputs!$B$29,IF(Skills!C4=2,90+Inputs!$B$26+Inputs!$B$29,IF(Skills!C4=3,120+Inputs!$B$27+Inputs!$B$29,MAX(0,(Inputs!$B$3-100)*3)+Inputs!$B$28+Inputs!$B$29)))</f>
        <v/>
      </c>
      <c r="E2467">
        <f>INDEX(FactorTable!$B$2:$Y$301, MATCH(ROUND(MIN(300,MAX(1,D2467)),0), FactorTable!$A$2:$A$301,0), Skills!M4+1)</f>
        <v/>
      </c>
      <c r="F2467">
        <f>IF(Skills!N4=TRUE,(Skills!L4/10)*(E2467/1000),Skills!L4/10)+Skills!O4</f>
        <v/>
      </c>
      <c r="G2467" t="inlineStr"/>
      <c r="H2467" t="inlineStr"/>
      <c r="I2467" t="inlineStr">
        <is>
          <t>1</t>
        </is>
      </c>
      <c r="J2467" t="inlineStr"/>
      <c r="K2467" t="inlineStr"/>
      <c r="L2467" t="inlineStr"/>
      <c r="M2467" t="inlineStr"/>
      <c r="N2467" t="inlineStr"/>
      <c r="O2467" t="inlineStr"/>
      <c r="P2467" t="inlineStr"/>
      <c r="Q2467" t="inlineStr"/>
      <c r="R2467" t="inlineStr"/>
      <c r="S2467" t="inlineStr"/>
      <c r="T2467" t="inlineStr"/>
      <c r="U2467">
        <f>290*U2466/1000</f>
        <v/>
      </c>
      <c r="V2467" t="inlineStr"/>
    </row>
    <row r="2468">
      <c r="A2468">
        <f>Skills!A5</f>
        <v/>
      </c>
      <c r="B2468">
        <f>Skills!B5</f>
        <v/>
      </c>
      <c r="C2468">
        <f>Inputs!$B$3&gt;=35</f>
        <v/>
      </c>
      <c r="D2468">
        <f>IF(Skills!C5=1,60+Inputs!$B$25+Inputs!$B$29,IF(Skills!C5=2,90+Inputs!$B$26+Inputs!$B$29,IF(Skills!C5=3,120+Inputs!$B$27+Inputs!$B$29,MAX(0,(Inputs!$B$3-100)*3)+Inputs!$B$28+Inputs!$B$29)))</f>
        <v/>
      </c>
      <c r="E2468">
        <f>INDEX(FactorTable!$B$2:$Y$301, MATCH(ROUND(MIN(300,MAX(1,D2468)),0), FactorTable!$A$2:$A$301,0), Skills!M5+1)</f>
        <v/>
      </c>
      <c r="F2468">
        <f>IF(Skills!N5=TRUE,(Skills!L5/10)*(E2468/1000),Skills!L5/10)+Skills!O5</f>
        <v/>
      </c>
      <c r="G2468">
        <f>Skills!G5*IF(Skills!H5&gt;0,Skills!I5/Skills!H5,1)</f>
        <v/>
      </c>
      <c r="H2468">
        <f>1-(1-Skills!J5/100)^Skills!K5</f>
        <v/>
      </c>
      <c r="I2468" t="inlineStr">
        <is>
          <t>1</t>
        </is>
      </c>
      <c r="J2468">
        <f>((Inputs!$B$6*(1+Inputs!$B$7/100))+(((Inputs!$B$12*(1+Inputs!$B$13/100))-(Inputs!$B$12*(1+Inputs!$B$13/100)))+0.25*(Inputs!$B$14-Inputs!$B$14))*(1+Inputs!$B$7/100))*(F2468/100)</f>
        <v/>
      </c>
      <c r="K2468">
        <f>J2468*(1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2473=TRUE,F2473,0)/100)*(1+(IF(Skills!A5="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C2487=TRUE)*(F2487-Calc!F24)),(Inputs!$B$23+((C2492=TRUE)*(F2492-Calc!F29))+(IF(ArtifactsInput!$M$15,CHOOSE(ArtifactsInput!$N$15+1,25,30,35,40,45,50)/100*(Inputs!$B$11-Inputs!$B$11),0))))/100+(Inputs!$B$23+((C2492=TRUE)*(F2492-Calc!F29))+(IF(ArtifactsInput!$M$15,CHOOSE(ArtifactsInput!$N$15+1,25,30,35,40,45,50)/100*(Inputs!$B$11-Inputs!$B$11),0)))/100)/2</f>
        <v/>
      </c>
      <c r="M2468">
        <f>L2468*(1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(1-Summary!$B$11)*T2468+Summary!$B$11*V2468</f>
        <v/>
      </c>
      <c r="P2468">
        <f>IF(B2506=0,0,O2468/B2506)</f>
        <v/>
      </c>
      <c r="Q2468">
        <f>IFERROR(1/(IF(Inputs!$B$38="pvp",15,MAX(0.1,Skills!D5-IF(Skills!E5=TRUE,Inputs!$B$32,0)))*(1-IF(AND(ArtifactsInput!$M$27,Inputs!$B$4="Chapter Hunt"),CHOOSE(ArtifactsInput!$N$27+1,20,24,28,32,36,40),0)/100)),0)</f>
        <v/>
      </c>
      <c r="R2468">
        <f>IF(AND(Inputs!$B$38&lt;&gt;"pvp",Inputs!$B$43&gt;0),IF(MAX(0,Inputs!$B$43-B2503)&lt;=0,0,(INT(MAX(0,Inputs!$B$43-B2503)/(IF(Inputs!$B$38="pvp",15,MAX(0.1,Skills!D5-IF(Skills!E5=TRUE,Inputs!$B$32,0)))*(1-IF(AND(ArtifactsInput!$M$27,Inputs!$B$4="Chapter Hunt"),CHOOSE(ArtifactsInput!$N$27+1,20,24,28,32,36,40),0)/100)))+1)),0)</f>
        <v/>
      </c>
      <c r="S2468">
        <f>IFERROR(O2468/N2468,0)</f>
        <v/>
      </c>
      <c r="T2468">
        <f>IF(C2468,(H2468*N2468*IF(AND(Inputs!$B$38&lt;&gt;"pvp",Inputs!$B$43&gt;0),((Skills!G5*((R2468-1)*IF(Skills!H5&gt;0,Skills!I5/Skills!H5,1)+IF(Skills!H5&gt;0,MIN(Skills!I5,MAX(0,MAX(0,Inputs!$B$43-B2503)-((R2468-1)*(IF(Inputs!$B$38="pvp",15,MAX(0.1,Skills!D5-IF(Skills!E5=TRUE,Inputs!$B$32,0)))*(1-IF(AND(ArtifactsInput!$M$27,Inputs!$B$4="Chapter Hunt"),CHOOSE(ArtifactsInput!$N$27+1,20,24,28,32,36,40),0)/100)))))/Skills!H5,1)))/Inputs!$B$43),G2468*Q2468)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2468*(1-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8">
        <f>IF(C2468,(H2468*N2468*IF(AND(Inputs!$B$38&lt;&gt;"pvp",Inputs!$B$43&gt;0),((Skills!G5*((R2468-1)*IF(Skills!H5&gt;0,Skills!I5/Skills!H5,1)+IF(Skills!H5&gt;0,MIN(Skills!I5,MAX(0,MAX(0,Inputs!$B$43-B2503)-((R2468-1)*(IF(Inputs!$B$38="pvp",15,MAX(0.1,Skills!D5-IF(Skills!E5=TRUE,Inputs!$B$32,0)))*(1-IF(AND(ArtifactsInput!$M$27,Inputs!$B$4="Chapter Hunt"),CHOOSE(ArtifactsInput!$N$27+1,20,24,28,32,36,40),0)/100)))))/Skills!H5,1)))/Inputs!$B$43),G2468*Q2468))*IF(Inputs!$B$38="pvp",1,(1+(Inputs!$B$21+Skills!Q5+(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Inputs!$B$3&gt;=40</f>
        <v/>
      </c>
      <c r="D2469">
        <f>IF(Skills!C6=1,60+Inputs!$B$25+Inputs!$B$29,IF(Skills!C6=2,90+Inputs!$B$26+Inputs!$B$29,IF(Skills!C6=3,120+Inputs!$B$27+Inputs!$B$29,MAX(0,(Inputs!$B$3-100)*3)+Inputs!$B$28+Inputs!$B$29)))</f>
        <v/>
      </c>
      <c r="E2469">
        <f>INDEX(FactorTable!$B$2:$Y$301, MATCH(ROUND(MIN(300,MAX(1,D2469)),0), FactorTable!$A$2:$A$301,0), Skills!M6+1)</f>
        <v/>
      </c>
      <c r="F2469">
        <f>IF(Skills!N6=TRUE,(Skills!L6/10)*(E2469/1000),Skills!L6/10)+Skills!O6</f>
        <v/>
      </c>
      <c r="G2469">
        <f>Skills!G6*IF(Skills!H6&gt;0,Skills!I6/Skills!H6,1)</f>
        <v/>
      </c>
      <c r="H2469">
        <f>1-(1-Skills!J6/100)^Skills!K6</f>
        <v/>
      </c>
      <c r="I2469" t="inlineStr">
        <is>
          <t>1</t>
        </is>
      </c>
      <c r="J2469">
        <f>((Inputs!$B$6*(1+Inputs!$B$7/100))+(((Inputs!$B$12*(1+Inputs!$B$13/100))-(Inputs!$B$12*(1+Inputs!$B$13/100)))+0.25*(Inputs!$B$14-Inputs!$B$14))*(1+Inputs!$B$7/100))*(F2469/100)</f>
        <v/>
      </c>
      <c r="K2469">
        <f>J2469*(1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2470=TRUE,F2470,0)/100)*(1+(IF(Skills!A6="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2487=TRUE)*(F2487-Calc!F24)),(Inputs!$B$23+((C2492=TRUE)*(F2492-Calc!F29))+(IF(ArtifactsInput!$M$15,CHOOSE(ArtifactsInput!$N$15+1,25,30,35,40,45,50)/100*(Inputs!$B$11-Inputs!$B$11),0))))/100+(Inputs!$B$23+((C2492=TRUE)*(F2492-Calc!F29))+(IF(ArtifactsInput!$M$15,CHOOSE(ArtifactsInput!$N$15+1,25,30,35,40,45,50)/100*(Inputs!$B$11-Inputs!$B$11),0)))/100)/2</f>
        <v/>
      </c>
      <c r="M2469">
        <f>L2469*(1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IF(B2506=0,0,O2469/B2506)</f>
        <v/>
      </c>
      <c r="Q2469">
        <f>IFERROR(1/(IF(Inputs!$B$38="pvp",15,MAX(0.1,Skills!D6-IF(Skills!E6=TRUE,Inputs!$B$32,0)))*(1-IF(AND(ArtifactsInput!$M$27,Inputs!$B$4="Chapter Hunt"),CHOOSE(ArtifactsInput!$N$27+1,20,24,28,32,36,40),0)/100)),0)</f>
        <v/>
      </c>
      <c r="R2469">
        <f>IF(AND(Inputs!$B$38&lt;&gt;"pvp",Inputs!$B$43&gt;0),IF(MAX(0,Inputs!$B$43-B2503)&lt;=0,0,(INT(MAX(0,Inputs!$B$43-B2503)/(IF(Inputs!$B$38="pvp",15,MAX(0.1,Skills!D6-IF(Skills!E6=TRUE,Inputs!$B$32,0)))*(1-IF(AND(ArtifactsInput!$M$27,Inputs!$B$4="Chapter Hunt"),CHOOSE(ArtifactsInput!$N$27+1,20,24,28,32,36,40),0)/100)))+1)),0)</f>
        <v/>
      </c>
      <c r="S2469">
        <f>IFERROR(O2469/N2469,0)</f>
        <v/>
      </c>
      <c r="T2469">
        <f>IF(C2469,(H2469*N2469*IF(AND(Inputs!$B$38&lt;&gt;"pvp",Inputs!$B$43&gt;0),((Skills!G6*((R2469-1)*IF(Skills!H6&gt;0,Skills!I6/Skills!H6,1)+IF(Skills!H6&gt;0,MIN(Skills!I6,MAX(0,MAX(0,Inputs!$B$43-B2503)-((R2469-1)*(IF(Inputs!$B$38="pvp",15,MAX(0.1,Skills!D6-IF(Skills!E6=TRUE,Inputs!$B$32,0)))*(1-IF(AND(ArtifactsInput!$M$27,Inputs!$B$4="Chapter Hunt"),CHOOSE(ArtifactsInput!$N$27+1,20,24,28,32,36,40),0)/100)))))/Skills!H6,1)))/Inputs!$B$43),G2469*Q2469)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2469*(1-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9">
        <f>IF(C2469,(H2469*N2469*IF(AND(Inputs!$B$38&lt;&gt;"pvp",Inputs!$B$43&gt;0),((Skills!G6*((R2469-1)*IF(Skills!H6&gt;0,Skills!I6/Skills!H6,1)+IF(Skills!H6&gt;0,MIN(Skills!I6,MAX(0,MAX(0,Inputs!$B$43-B2503)-((R2469-1)*(IF(Inputs!$B$38="pvp",15,MAX(0.1,Skills!D6-IF(Skills!E6=TRUE,Inputs!$B$32,0)))*(1-IF(AND(ArtifactsInput!$M$27,Inputs!$B$4="Chapter Hunt"),CHOOSE(ArtifactsInput!$N$27+1,20,24,28,32,36,40),0)/100)))))/Skills!H6,1)))/Inputs!$B$43),G2469*Q2469))*IF(Inputs!$B$38="pvp",1,(1+(Inputs!$B$21+Skills!Q6+(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Inputs!$B$3&gt;=107</f>
        <v/>
      </c>
      <c r="D2470">
        <f>IF(Skills!C7=1,60+Inputs!$B$25+Inputs!$B$29,IF(Skills!C7=2,90+Inputs!$B$26+Inputs!$B$29,IF(Skills!C7=3,120+Inputs!$B$27+Inputs!$B$29,MAX(0,(Inputs!$B$3-100)*3)+Inputs!$B$28+Inputs!$B$29)))</f>
        <v/>
      </c>
      <c r="E2470">
        <f>INDEX(FactorTable!$B$2:$Y$301, MATCH(ROUND(MIN(300,MAX(1,D2470)),0), FactorTable!$A$2:$A$301,0), Skills!M7+1)</f>
        <v/>
      </c>
      <c r="F2470">
        <f>IF(Skills!N7=TRUE,(Skills!L7/10)*(E2470/1000),Skills!L7/10)+Skills!O7</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T2470" t="inlineStr"/>
      <c r="V2470" t="inlineStr"/>
    </row>
    <row r="2471">
      <c r="A2471">
        <f>Skills!A8</f>
        <v/>
      </c>
      <c r="B2471">
        <f>Skills!B8</f>
        <v/>
      </c>
      <c r="C2471">
        <f>Inputs!$B$3&gt;=69</f>
        <v/>
      </c>
      <c r="D2471">
        <f>IF(Skills!C8=1,60+Inputs!$B$25+Inputs!$B$29,IF(Skills!C8=2,90+Inputs!$B$26+Inputs!$B$29,IF(Skills!C8=3,120+Inputs!$B$27+Inputs!$B$29,MAX(0,(Inputs!$B$3-100)*3)+Inputs!$B$28+Inputs!$B$29)))</f>
        <v/>
      </c>
      <c r="E2471">
        <f>INDEX(FactorTable!$B$2:$Y$301, MATCH(ROUND(MIN(300,MAX(1,D2471)),0), FactorTable!$A$2:$A$301,0), Skills!M8+1)</f>
        <v/>
      </c>
      <c r="F2471">
        <f>IF(Skills!N8=TRUE,(Skills!L8/10)*(E2471/1000),Skills!L8/10)+Skills!O8</f>
        <v/>
      </c>
      <c r="G2471">
        <f>Skills!G8*IF(Skills!H8&gt;0,Skills!I8/Skills!H8,1)</f>
        <v/>
      </c>
      <c r="H2471">
        <f>1-(1-Skills!J8/100)^Skills!K8</f>
        <v/>
      </c>
      <c r="I2471" t="inlineStr">
        <is>
          <t>1</t>
        </is>
      </c>
      <c r="J2471">
        <f>((Inputs!$B$6*(1+Inputs!$B$7/100))+(((Inputs!$B$12*(1+Inputs!$B$13/100))-(Inputs!$B$12*(1+Inputs!$B$13/100)))+0.25*(Inputs!$B$14-Inputs!$B$14))*(1+Inputs!$B$7/100))*(F2471/100)</f>
        <v/>
      </c>
      <c r="K2471">
        <f>J2471*(1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2473=TRUE,F2473,0)/100)*(1+(IF(Skills!A8="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2487=TRUE)*(F2487-Calc!F24)),(Inputs!$B$23+((C2492=TRUE)*(F2492-Calc!F29))+(IF(ArtifactsInput!$M$15,CHOOSE(ArtifactsInput!$N$15+1,25,30,35,40,45,50)/100*(Inputs!$B$11-Inputs!$B$11),0))))/100+(Inputs!$B$23+((C2492=TRUE)*(F2492-Calc!F29))+(IF(ArtifactsInput!$M$15,CHOOSE(ArtifactsInput!$N$15+1,25,30,35,40,45,50)/100*(Inputs!$B$11-Inputs!$B$11),0)))/100)/2</f>
        <v/>
      </c>
      <c r="M2471">
        <f>L2471*(1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IF(B2506=0,0,O2471/B2506)</f>
        <v/>
      </c>
      <c r="Q2471">
        <f>IFERROR(1/(IF(Inputs!$B$38="pvp",15,MAX(0.1,Skills!D8-IF(Skills!E8=TRUE,Inputs!$B$32,0)))*(1-IF(AND(ArtifactsInput!$M$27,Inputs!$B$4="Chapter Hunt"),CHOOSE(ArtifactsInput!$N$27+1,20,24,28,32,36,40),0)/100)),0)</f>
        <v/>
      </c>
      <c r="R2471">
        <f>IF(AND(Inputs!$B$38&lt;&gt;"pvp",Inputs!$B$43&gt;0),IF(MAX(0,Inputs!$B$43-B2503)&lt;=0,0,(INT(MAX(0,Inputs!$B$43-B2503)/(IF(Inputs!$B$38="pvp",15,MAX(0.1,Skills!D8-IF(Skills!E8=TRUE,Inputs!$B$32,0)))*(1-IF(AND(ArtifactsInput!$M$27,Inputs!$B$4="Chapter Hunt"),CHOOSE(ArtifactsInput!$N$27+1,20,24,28,32,36,40),0)/100)))+1)),0)</f>
        <v/>
      </c>
      <c r="S2471">
        <f>IFERROR(O2471/N2471,0)</f>
        <v/>
      </c>
      <c r="T2471">
        <f>IF(C2471,(H2471*N2471*IF(AND(Inputs!$B$38&lt;&gt;"pvp",Inputs!$B$43&gt;0),((Skills!G8*((R2471-1)*IF(Skills!H8&gt;0,Skills!I8/Skills!H8,1)+IF(Skills!H8&gt;0,MIN(Skills!I8,MAX(0,MAX(0,Inputs!$B$43-B2503)-((R2471-1)*(IF(Inputs!$B$38="pvp",15,MAX(0.1,Skills!D8-IF(Skills!E8=TRUE,Inputs!$B$32,0)))*(1-IF(AND(ArtifactsInput!$M$27,Inputs!$B$4="Chapter Hunt"),CHOOSE(ArtifactsInput!$N$27+1,20,24,28,32,36,40),0)/100)))))/Skills!H8,1)))/Inputs!$B$43),G2471*Q2471)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2471*(1-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8*((R2471-1)*IF(Skills!H8&gt;0,Skills!I8/Skills!H8,1)+IF(Skills!H8&gt;0,MIN(Skills!I8,MAX(0,MAX(0,Inputs!$B$43-B2503)-((R2471-1)*(IF(Inputs!$B$38="pvp",15,MAX(0.1,Skills!D8-IF(Skills!E8=TRUE,Inputs!$B$32,0)))*(1-IF(AND(ArtifactsInput!$M$27,Inputs!$B$4="Chapter Hunt"),CHOOSE(ArtifactsInput!$N$27+1,20,24,28,32,36,40),0)/100)))))/Skills!H8,1)))/Inputs!$B$43),G2471*Q2471))*IF(Inputs!$B$38="pvp",1,(1+(Inputs!$B$21+Skills!Q8+(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Inputs!$B$3&gt;=63</f>
        <v/>
      </c>
      <c r="D2472">
        <f>IF(Skills!C9=1,60+Inputs!$B$25+Inputs!$B$29,IF(Skills!C9=2,90+Inputs!$B$26+Inputs!$B$29,IF(Skills!C9=3,120+Inputs!$B$27+Inputs!$B$29,MAX(0,(Inputs!$B$3-100)*3)+Inputs!$B$28+Inputs!$B$29)))</f>
        <v/>
      </c>
      <c r="E2472">
        <f>INDEX(FactorTable!$B$2:$Y$301, MATCH(ROUND(MIN(300,MAX(1,D2472)),0), FactorTable!$A$2:$A$301,0), Skills!M9+1)</f>
        <v/>
      </c>
      <c r="F2472">
        <f>IF(Skills!N9=TRUE,(Skills!L9/10)*(E2472/1000),Skills!L9/10)+Skills!O9</f>
        <v/>
      </c>
      <c r="G2472">
        <f>Skills!G9*IF(Skills!H9&gt;0,Skills!I9/Skills!H9,1)</f>
        <v/>
      </c>
      <c r="H2472">
        <f>1-(1-Skills!J9/100)^Skills!K9</f>
        <v/>
      </c>
      <c r="I2472" t="inlineStr">
        <is>
          <t>1</t>
        </is>
      </c>
      <c r="J2472">
        <f>((Inputs!$B$6*(1+Inputs!$B$7/100))+(((Inputs!$B$12*(1+Inputs!$B$13/100))-(Inputs!$B$12*(1+Inputs!$B$13/100)))+0.25*(Inputs!$B$14-Inputs!$B$14))*(1+Inputs!$B$7/100))*(F2472/100)</f>
        <v/>
      </c>
      <c r="K2472">
        <f>J2472*(1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2473=TRUE,F2473,0)/100)*(1+(IF(Skills!A9="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2487=TRUE)*(F2487-Calc!F24)),(Inputs!$B$23+((C2492=TRUE)*(F2492-Calc!F29))+(IF(ArtifactsInput!$M$15,CHOOSE(ArtifactsInput!$N$15+1,25,30,35,40,45,50)/100*(Inputs!$B$11-Inputs!$B$11),0))))/100+(Inputs!$B$23+((C2492=TRUE)*(F2492-Calc!F29))+(IF(ArtifactsInput!$M$15,CHOOSE(ArtifactsInput!$N$15+1,25,30,35,40,45,50)/100*(Inputs!$B$11-Inputs!$B$11),0)))/100)/2</f>
        <v/>
      </c>
      <c r="M2472">
        <f>L2472*(1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IF(B2506=0,0,O2472/B2506)</f>
        <v/>
      </c>
      <c r="Q2472">
        <f>IFERROR(1/(IF(Inputs!$B$38="pvp",15,MAX(0.1,Skills!D9-IF(Skills!E9=TRUE,Inputs!$B$32,0)))*(1-IF(AND(ArtifactsInput!$M$27,Inputs!$B$4="Chapter Hunt"),CHOOSE(ArtifactsInput!$N$27+1,20,24,28,32,36,40),0)/100)),0)</f>
        <v/>
      </c>
      <c r="R2472">
        <f>IF(AND(Inputs!$B$38&lt;&gt;"pvp",Inputs!$B$43&gt;0),IF(MAX(0,Inputs!$B$43-B2503)&lt;=0,0,(INT(MAX(0,Inputs!$B$43-B2503)/(IF(Inputs!$B$38="pvp",15,MAX(0.1,Skills!D9-IF(Skills!E9=TRUE,Inputs!$B$32,0)))*(1-IF(AND(ArtifactsInput!$M$27,Inputs!$B$4="Chapter Hunt"),CHOOSE(ArtifactsInput!$N$27+1,20,24,28,32,36,40),0)/100)))+1)),0)</f>
        <v/>
      </c>
      <c r="S2472">
        <f>IFERROR(O2472/N2472,0)</f>
        <v/>
      </c>
      <c r="T2472">
        <f>IF(C2472,(H2472*N2472*IF(AND(Inputs!$B$38&lt;&gt;"pvp",Inputs!$B$43&gt;0),((Skills!G9*((R2472-1)*IF(Skills!H9&gt;0,Skills!I9/Skills!H9,1)+IF(Skills!H9&gt;0,MIN(Skills!I9,MAX(0,MAX(0,Inputs!$B$43-B2503)-((R2472-1)*(IF(Inputs!$B$38="pvp",15,MAX(0.1,Skills!D9-IF(Skills!E9=TRUE,Inputs!$B$32,0)))*(1-IF(AND(ArtifactsInput!$M$27,Inputs!$B$4="Chapter Hunt"),CHOOSE(ArtifactsInput!$N$27+1,20,24,28,32,36,40),0)/100)))))/Skills!H9,1)))/Inputs!$B$43),G2472*Q2472)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2472*(1-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9*((R2472-1)*IF(Skills!H9&gt;0,Skills!I9/Skills!H9,1)+IF(Skills!H9&gt;0,MIN(Skills!I9,MAX(0,MAX(0,Inputs!$B$43-B2503)-((R2472-1)*(IF(Inputs!$B$38="pvp",15,MAX(0.1,Skills!D9-IF(Skills!E9=TRUE,Inputs!$B$32,0)))*(1-IF(AND(ArtifactsInput!$M$27,Inputs!$B$4="Chapter Hunt"),CHOOSE(ArtifactsInput!$N$27+1,20,24,28,32,36,40),0)/100)))))/Skills!H9,1)))/Inputs!$B$43),G2472*Q2472))*IF(Inputs!$B$38="pvp",1,(1+(Inputs!$B$21+Skills!Q9+(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Inputs!$B$3&gt;=100</f>
        <v/>
      </c>
      <c r="D2473">
        <f>IF(Skills!C10=1,60+Inputs!$B$25+Inputs!$B$29,IF(Skills!C10=2,90+Inputs!$B$26+Inputs!$B$29,IF(Skills!C10=3,120+Inputs!$B$27+Inputs!$B$29,MAX(0,(Inputs!$B$3-100)*3)+Inputs!$B$28+Inputs!$B$29)))</f>
        <v/>
      </c>
      <c r="E2473">
        <f>INDEX(FactorTable!$B$2:$Y$301, MATCH(ROUND(MIN(300,MAX(1,D2473)),0), FactorTable!$A$2:$A$301,0), Skills!M10+1)</f>
        <v/>
      </c>
      <c r="F2473">
        <f>IF(Skills!N10=TRUE,(Skills!L10/10)*(E2473/1000),Skills!L10/10)+Skills!O10</f>
        <v/>
      </c>
      <c r="G2473" t="inlineStr"/>
      <c r="H2473" t="inlineStr"/>
      <c r="I2473" t="inlineStr">
        <is>
          <t>1</t>
        </is>
      </c>
      <c r="J2473" t="inlineStr"/>
      <c r="K2473" t="inlineStr"/>
      <c r="L2473" t="inlineStr"/>
      <c r="M2473" t="inlineStr"/>
      <c r="N2473" t="inlineStr"/>
      <c r="O2473" t="inlineStr"/>
      <c r="P2473" t="inlineStr"/>
      <c r="Q2473" t="inlineStr"/>
      <c r="R2473" t="inlineStr"/>
      <c r="S2473" t="inlineStr"/>
      <c r="T2473" t="inlineStr"/>
      <c r="V2473" t="inlineStr"/>
    </row>
    <row r="2474">
      <c r="A2474">
        <f>Skills!A11</f>
        <v/>
      </c>
      <c r="B2474">
        <f>Skills!B11</f>
        <v/>
      </c>
      <c r="C2474">
        <f>Inputs!$B$3&gt;=60</f>
        <v/>
      </c>
      <c r="D2474">
        <f>IF(Skills!C11=1,60+Inputs!$B$25+Inputs!$B$29,IF(Skills!C11=2,90+Inputs!$B$26+Inputs!$B$29,IF(Skills!C11=3,120+Inputs!$B$27+Inputs!$B$29,MAX(0,(Inputs!$B$3-100)*3)+Inputs!$B$28+Inputs!$B$29)))</f>
        <v/>
      </c>
      <c r="E2474">
        <f>INDEX(FactorTable!$B$2:$Y$301, MATCH(ROUND(MIN(300,MAX(1,D2474)),0), FactorTable!$A$2:$A$301,0), Skills!M11+1)</f>
        <v/>
      </c>
      <c r="F2474">
        <f>IF(Skills!N11=TRUE,(Skills!L11/10)*(E2474/1000),Skills!L11/10)+Skills!O11</f>
        <v/>
      </c>
      <c r="G2474">
        <f>Skills!G11*IF(Skills!H11&gt;0,Skills!I11/Skills!H11,1)</f>
        <v/>
      </c>
      <c r="H2474">
        <f>1-(1-Skills!J11/100)^Skills!K11</f>
        <v/>
      </c>
      <c r="I2474" t="inlineStr">
        <is>
          <t>1</t>
        </is>
      </c>
      <c r="J2474">
        <f>((Inputs!$B$6*(1+Inputs!$B$7/100))+(((Inputs!$B$12*(1+Inputs!$B$13/100))-(Inputs!$B$12*(1+Inputs!$B$13/100)))+0.25*(Inputs!$B$14-Inputs!$B$14))*(1+Inputs!$B$7/100))*(F2474/100)</f>
        <v/>
      </c>
      <c r="K2474">
        <f>J2474*(1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11="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2487=TRUE)*(F2487-Calc!F24)),(Inputs!$B$23+((C2492=TRUE)*(F2492-Calc!F29))+(IF(ArtifactsInput!$M$15,CHOOSE(ArtifactsInput!$N$15+1,25,30,35,40,45,50)/100*(Inputs!$B$11-Inputs!$B$11),0))))/100+(Inputs!$B$23+((C2492=TRUE)*(F2492-Calc!F29))+(IF(ArtifactsInput!$M$15,CHOOSE(ArtifactsInput!$N$15+1,25,30,35,40,45,50)/100*(Inputs!$B$11-Inputs!$B$11),0)))/100)/2</f>
        <v/>
      </c>
      <c r="M2474">
        <f>L2474*(1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IF(B2506=0,0,O2474/B2506)</f>
        <v/>
      </c>
      <c r="Q2474">
        <f>IFERROR(1/(IF(Inputs!$B$38="pvp",15,MAX(0.1,Skills!D11-IF(Skills!E11=TRUE,Inputs!$B$32,0)))*(1-IF(AND(ArtifactsInput!$M$27,Inputs!$B$4="Chapter Hunt"),CHOOSE(ArtifactsInput!$N$27+1,20,24,28,32,36,40),0)/100)),0)</f>
        <v/>
      </c>
      <c r="R2474">
        <f>IF(AND(Inputs!$B$38&lt;&gt;"pvp",Inputs!$B$43&gt;0),IF(MAX(0,Inputs!$B$43-B2503)&lt;=0,0,(INT(MAX(0,Inputs!$B$43-B2503)/(IF(Inputs!$B$38="pvp",15,MAX(0.1,Skills!D11-IF(Skills!E11=TRUE,Inputs!$B$32,0)))*(1-IF(AND(ArtifactsInput!$M$27,Inputs!$B$4="Chapter Hunt"),CHOOSE(ArtifactsInput!$N$27+1,20,24,28,32,36,40),0)/100)))+1)),0)</f>
        <v/>
      </c>
      <c r="S2474">
        <f>IFERROR(O2474/N2474,0)</f>
        <v/>
      </c>
      <c r="T2474">
        <f>IF(C2474,(H2474*N2474*IF(AND(Inputs!$B$38&lt;&gt;"pvp",Inputs!$B$43&gt;0),((Skills!G11*((R2474-1)*IF(Skills!H11&gt;0,Skills!I11/Skills!H11,1)+IF(Skills!H11&gt;0,MIN(Skills!I11,MAX(0,MAX(0,Inputs!$B$43-B2503)-((R2474-1)*(IF(Inputs!$B$38="pvp",15,MAX(0.1,Skills!D11-IF(Skills!E11=TRUE,Inputs!$B$32,0)))*(1-IF(AND(ArtifactsInput!$M$27,Inputs!$B$4="Chapter Hunt"),CHOOSE(ArtifactsInput!$N$27+1,20,24,28,32,36,40),0)/100)))))/Skills!H11,1)))/Inputs!$B$43),G2474*Q2474)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2474*(1-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11*((R2474-1)*IF(Skills!H11&gt;0,Skills!I11/Skills!H11,1)+IF(Skills!H11&gt;0,MIN(Skills!I11,MAX(0,MAX(0,Inputs!$B$43-B2503)-((R2474-1)*(IF(Inputs!$B$38="pvp",15,MAX(0.1,Skills!D11-IF(Skills!E11=TRUE,Inputs!$B$32,0)))*(1-IF(AND(ArtifactsInput!$M$27,Inputs!$B$4="Chapter Hunt"),CHOOSE(ArtifactsInput!$N$27+1,20,24,28,32,36,40),0)/100)))))/Skills!H11,1)))/Inputs!$B$43),G2474*Q2474))*IF(Inputs!$B$38="pvp",1,(1+(Inputs!$B$21+Skills!Q11+(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Inputs!$B$3&gt;=110</f>
        <v/>
      </c>
      <c r="D2475">
        <f>IF(Skills!C12=1,60+Inputs!$B$25+Inputs!$B$29,IF(Skills!C12=2,90+Inputs!$B$26+Inputs!$B$29,IF(Skills!C12=3,120+Inputs!$B$27+Inputs!$B$29,MAX(0,(Inputs!$B$3-100)*3)+Inputs!$B$28+Inputs!$B$29)))</f>
        <v/>
      </c>
      <c r="E2475">
        <f>INDEX(FactorTable!$B$2:$Y$301, MATCH(ROUND(MIN(300,MAX(1,D2475)),0), FactorTable!$A$2:$A$301,0), Skills!M12+1)</f>
        <v/>
      </c>
      <c r="F2475">
        <f>IF(Skills!N12=TRUE,(Skills!L12/10)*(E2475/1000),Skills!L12/10)+Skills!O12</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Skills!A13</f>
        <v/>
      </c>
      <c r="B2476">
        <f>Skills!B13</f>
        <v/>
      </c>
      <c r="C2476">
        <f>Inputs!$B$3&gt;=74</f>
        <v/>
      </c>
      <c r="D2476">
        <f>IF(Skills!C13=1,60+Inputs!$B$25+Inputs!$B$29,IF(Skills!C13=2,90+Inputs!$B$26+Inputs!$B$29,IF(Skills!C13=3,120+Inputs!$B$27+Inputs!$B$29,MAX(0,(Inputs!$B$3-100)*3)+Inputs!$B$28+Inputs!$B$29)))</f>
        <v/>
      </c>
      <c r="E2476">
        <f>INDEX(FactorTable!$B$2:$Y$301, MATCH(ROUND(MIN(300,MAX(1,D2476)),0), FactorTable!$A$2:$A$301,0), Skills!M13+1)</f>
        <v/>
      </c>
      <c r="F2476">
        <f>IF(Skills!N13=TRUE,(Skills!L13/10)*(E2476/1000),Skills!L13/10)+Skills!O13</f>
        <v/>
      </c>
      <c r="G2476">
        <f>Skills!G13*IF(Skills!H13&gt;0,Skills!I13/Skills!H13,1)</f>
        <v/>
      </c>
      <c r="H2476">
        <f>1-(1-Skills!J13/100)^Skills!K13</f>
        <v/>
      </c>
      <c r="I2476" t="inlineStr">
        <is>
          <t>1</t>
        </is>
      </c>
      <c r="J2476" t="inlineStr"/>
      <c r="K2476" t="inlineStr"/>
      <c r="L2476" t="inlineStr"/>
      <c r="M2476" t="inlineStr"/>
      <c r="N2476" t="inlineStr"/>
      <c r="O2476">
        <f>(1-Summary!$B$11)*T2476+Summary!$B$11*V2476</f>
        <v/>
      </c>
      <c r="P2476">
        <f>IF(B2506=0,0,O2476/B2506)</f>
        <v/>
      </c>
      <c r="Q2476" t="n">
        <v>0</v>
      </c>
      <c r="R2476" t="n">
        <v>0</v>
      </c>
      <c r="S2476">
        <f>IFERROR(O2476/N2476,0)</f>
        <v/>
      </c>
      <c r="T2476" t="n">
        <v>0</v>
      </c>
      <c r="V2476" t="n">
        <v>0</v>
      </c>
    </row>
    <row r="2477">
      <c r="A2477">
        <f>Skills!A14</f>
        <v/>
      </c>
      <c r="B2477">
        <f>Skills!B14</f>
        <v/>
      </c>
      <c r="C2477">
        <f>Inputs!$B$3&gt;=74</f>
        <v/>
      </c>
      <c r="D2477">
        <f>IF(Skills!C14=1,60+Inputs!$B$25+Inputs!$B$29,IF(Skills!C14=2,90+Inputs!$B$26+Inputs!$B$29,IF(Skills!C14=3,120+Inputs!$B$27+Inputs!$B$29,MAX(0,(Inputs!$B$3-100)*3)+Inputs!$B$28+Inputs!$B$29)))</f>
        <v/>
      </c>
      <c r="E2477">
        <f>INDEX(FactorTable!$B$2:$Y$301, MATCH(ROUND(MIN(300,MAX(1,D2477)),0), FactorTable!$A$2:$A$301,0), Skills!M14+1)</f>
        <v/>
      </c>
      <c r="F2477">
        <f>IF(Skills!N14=TRUE,(Skills!L14/10)*(E2477/1000),Skills!L14/10)+Skills!O14</f>
        <v/>
      </c>
      <c r="G2477">
        <f>Skills!G14*IF(Skills!H14&gt;0,Skills!I14/Skills!H14,1)</f>
        <v/>
      </c>
      <c r="H2477">
        <f>1-(1-Skills!J14/100)^Skills!K14</f>
        <v/>
      </c>
      <c r="I2477" t="inlineStr">
        <is>
          <t>1</t>
        </is>
      </c>
      <c r="J2477" t="inlineStr"/>
      <c r="K2477" t="inlineStr"/>
      <c r="L2477" t="inlineStr"/>
      <c r="M2477" t="inlineStr"/>
      <c r="N2477" t="inlineStr"/>
      <c r="O2477">
        <f>(1-Summary!$B$11)*T2477+Summary!$B$11*V2477</f>
        <v/>
      </c>
      <c r="P2477">
        <f>IF(B2506=0,0,O2477/B2506)</f>
        <v/>
      </c>
      <c r="Q2477" t="n">
        <v>0</v>
      </c>
      <c r="R2477" t="n">
        <v>0</v>
      </c>
      <c r="S2477">
        <f>IFERROR(O2477/N2477,0)</f>
        <v/>
      </c>
      <c r="T2477" t="n">
        <v>0</v>
      </c>
      <c r="V2477" t="n">
        <v>0</v>
      </c>
    </row>
    <row r="2478">
      <c r="A2478">
        <f>Skills!A15</f>
        <v/>
      </c>
      <c r="B2478">
        <f>Skills!B15</f>
        <v/>
      </c>
      <c r="C2478">
        <f>Inputs!$B$3&gt;=117</f>
        <v/>
      </c>
      <c r="D2478">
        <f>IF(Skills!C15=1,60+Inputs!$B$25+Inputs!$B$29,IF(Skills!C15=2,90+Inputs!$B$26+Inputs!$B$29,IF(Skills!C15=3,120+Inputs!$B$27+Inputs!$B$29,MAX(0,(Inputs!$B$3-100)*3)+Inputs!$B$28+Inputs!$B$29)))</f>
        <v/>
      </c>
      <c r="E2478">
        <f>INDEX(FactorTable!$B$2:$Y$301, MATCH(ROUND(MIN(300,MAX(1,D2478)),0), FactorTable!$A$2:$A$301,0), Skills!M15+1)</f>
        <v/>
      </c>
      <c r="F2478">
        <f>IF(Skills!N15=TRUE,(Skills!L15/10)*(E2478/1000),Skills!L15/10)+Skills!O15</f>
        <v/>
      </c>
      <c r="G2478">
        <f>Skills!G15*IF(Skills!H15&gt;0,Skills!I15/Skills!H15,1)</f>
        <v/>
      </c>
      <c r="H2478">
        <f>1-(1-Skills!J15/100)^Skills!K15</f>
        <v/>
      </c>
      <c r="I2478" t="inlineStr">
        <is>
          <t>1</t>
        </is>
      </c>
      <c r="J2478" t="inlineStr"/>
      <c r="K2478" t="inlineStr"/>
      <c r="L2478" t="inlineStr"/>
      <c r="M2478" t="inlineStr"/>
      <c r="N2478" t="inlineStr"/>
      <c r="O2478">
        <f>(1-Summary!$B$11)*T2478+Summary!$B$11*V2478</f>
        <v/>
      </c>
      <c r="P2478">
        <f>IF(B2506=0,0,O2478/B2506)</f>
        <v/>
      </c>
      <c r="Q2478">
        <f>IFERROR(1/(IF(Inputs!$B$38="pvp",15,MAX(0.1,Skills!D15-IF(Skills!E15=TRUE,Inputs!$B$32,0)))*(1-IF(AND(ArtifactsInput!$M$27,Inputs!$B$4="Chapter Hunt"),CHOOSE(ArtifactsInput!$N$27+1,20,24,28,32,36,40),0)/100)),0)</f>
        <v/>
      </c>
      <c r="R2478">
        <f>IF(AND(Inputs!$B$38&lt;&gt;"pvp",Inputs!$B$43&gt;0),IF(Inputs!$B$43&lt;=0,0,(INT(Inputs!$B$43/(IF(Inputs!$B$38="pvp",15,MAX(0.1,Skills!D15-IF(Skills!E15=TRUE,Inputs!$B$32,0)))*(1-IF(AND(ArtifactsInput!$M$27,Inputs!$B$4="Chapter Hunt"),CHOOSE(ArtifactsInput!$N$27+1,20,24,28,32,36,40),0)/100)))+1)),0)</f>
        <v/>
      </c>
      <c r="S2478">
        <f>IFERROR(O2478/N2478,0)</f>
        <v/>
      </c>
      <c r="T2478" t="n">
        <v>0</v>
      </c>
      <c r="V2478" t="n">
        <v>0</v>
      </c>
    </row>
    <row r="2479">
      <c r="A2479">
        <f>Skills!A16</f>
        <v/>
      </c>
      <c r="B2479">
        <f>Skills!B16</f>
        <v/>
      </c>
      <c r="C2479">
        <f>Inputs!$B$3&gt;=115</f>
        <v/>
      </c>
      <c r="D2479">
        <f>IF(Skills!C16=1,60+Inputs!$B$25+Inputs!$B$29,IF(Skills!C16=2,90+Inputs!$B$26+Inputs!$B$29,IF(Skills!C16=3,120+Inputs!$B$27+Inputs!$B$29,MAX(0,(Inputs!$B$3-100)*3)+Inputs!$B$28+Inputs!$B$29)))</f>
        <v/>
      </c>
      <c r="E2479">
        <f>INDEX(FactorTable!$B$2:$Y$301, MATCH(ROUND(MIN(300,MAX(1,D2479)),0), FactorTable!$A$2:$A$301,0), Skills!M16+1)</f>
        <v/>
      </c>
      <c r="F2479">
        <f>IF(Skills!N16=TRUE,(Skills!L16/10)*(E2479/1000),Skills!L16/10)+Skills!O16</f>
        <v/>
      </c>
      <c r="G2479">
        <f>Skills!G16*IF(Skills!H16&gt;0,Skills!I16/Skills!H16,1)</f>
        <v/>
      </c>
      <c r="H2479">
        <f>1-(1-Skills!J16/100)^Skills!K16</f>
        <v/>
      </c>
      <c r="I2479" t="inlineStr">
        <is>
          <t>1</t>
        </is>
      </c>
      <c r="J2479" t="inlineStr"/>
      <c r="K2479" t="inlineStr"/>
      <c r="L2479" t="inlineStr"/>
      <c r="M2479" t="inlineStr"/>
      <c r="N2479" t="inlineStr"/>
      <c r="O2479">
        <f>(1-Summary!$B$11)*T2479+Summary!$B$11*V2479</f>
        <v/>
      </c>
      <c r="P2479">
        <f>IF(B2506=0,0,O2479/B2506)</f>
        <v/>
      </c>
      <c r="Q2479">
        <f>IFERROR(1/(IF(Inputs!$B$38="pvp",15,MAX(0.1,Skills!D16-IF(Skills!E16=TRUE,Inputs!$B$32,0)))*(1-IF(AND(ArtifactsInput!$M$27,Inputs!$B$4="Chapter Hunt"),CHOOSE(ArtifactsInput!$N$27+1,20,24,28,32,36,40),0)/100)),0)</f>
        <v/>
      </c>
      <c r="R2479">
        <f>IF(AND(Inputs!$B$38&lt;&gt;"pvp",Inputs!$B$43&gt;0),IF(Inputs!$B$43&lt;=0,0,(INT(Inputs!$B$43/(IF(Inputs!$B$38="pvp",15,MAX(0.1,Skills!D16-IF(Skills!E16=TRUE,Inputs!$B$32,0)))*(1-IF(AND(ArtifactsInput!$M$27,Inputs!$B$4="Chapter Hunt"),CHOOSE(ArtifactsInput!$N$27+1,20,24,28,32,36,40),0)/100)))+1)),0)</f>
        <v/>
      </c>
      <c r="S2479">
        <f>IFERROR(O2479/N2479,0)</f>
        <v/>
      </c>
      <c r="T2479" t="n">
        <v>0</v>
      </c>
      <c r="V2479" t="n">
        <v>0</v>
      </c>
    </row>
    <row r="2480">
      <c r="A2480">
        <f>Skills!A17</f>
        <v/>
      </c>
      <c r="B2480">
        <f>Skills!B17</f>
        <v/>
      </c>
      <c r="C2480">
        <f>Inputs!$B$3&gt;=66</f>
        <v/>
      </c>
      <c r="D2480">
        <f>IF(Skills!C17=1,60+Inputs!$B$25+Inputs!$B$29,IF(Skills!C17=2,90+Inputs!$B$26+Inputs!$B$29,IF(Skills!C17=3,120+Inputs!$B$27+Inputs!$B$29,MAX(0,(Inputs!$B$3-100)*3)+Inputs!$B$28+Inputs!$B$29)))</f>
        <v/>
      </c>
      <c r="E2480">
        <f>INDEX(FactorTable!$B$2:$Y$301, MATCH(ROUND(MIN(300,MAX(1,D2480)),0), FactorTable!$A$2:$A$301,0), Skills!M17+1)</f>
        <v/>
      </c>
      <c r="F2480">
        <f>IF(Skills!N17=TRUE,(Skills!L17/10)*(E2480/1000),Skills!L17/10)+Skills!O17</f>
        <v/>
      </c>
      <c r="G2480">
        <f>Skills!G17*IF(Skills!H17&gt;0,Skills!I17/Skills!H17,1)</f>
        <v/>
      </c>
      <c r="H2480">
        <f>1-(1-Skills!J17/100)^Skills!K17</f>
        <v/>
      </c>
      <c r="I2480" t="inlineStr">
        <is>
          <t>1</t>
        </is>
      </c>
      <c r="J2480" t="inlineStr"/>
      <c r="K2480" t="inlineStr"/>
      <c r="L2480" t="inlineStr"/>
      <c r="M2480" t="inlineStr"/>
      <c r="N2480" t="inlineStr"/>
      <c r="O2480">
        <f>(1-Summary!$B$11)*T2480+Summary!$B$11*V2480</f>
        <v/>
      </c>
      <c r="P2480">
        <f>IF(B2506=0,0,O2480/B2506)</f>
        <v/>
      </c>
      <c r="Q2480" t="n">
        <v>0</v>
      </c>
      <c r="R2480" t="n">
        <v>0</v>
      </c>
      <c r="S2480">
        <f>IFERROR(O2480/N2480,0)</f>
        <v/>
      </c>
      <c r="T2480" t="n">
        <v>0</v>
      </c>
      <c r="V2480" t="n">
        <v>0</v>
      </c>
    </row>
    <row r="2481">
      <c r="A2481">
        <f>Skills!A18</f>
        <v/>
      </c>
      <c r="B2481">
        <f>Skills!B18</f>
        <v/>
      </c>
      <c r="C2481">
        <f>Inputs!$B$3&gt;=72</f>
        <v/>
      </c>
      <c r="D2481">
        <f>IF(Skills!C18=1,60+Inputs!$B$25+Inputs!$B$29,IF(Skills!C18=2,90+Inputs!$B$26+Inputs!$B$29,IF(Skills!C18=3,120+Inputs!$B$27+Inputs!$B$29,MAX(0,(Inputs!$B$3-100)*3)+Inputs!$B$28+Inputs!$B$29)))</f>
        <v/>
      </c>
      <c r="E2481">
        <f>INDEX(FactorTable!$B$2:$Y$301, MATCH(ROUND(MIN(300,MAX(1,D2481)),0), FactorTable!$A$2:$A$301,0), Skills!M18+1)</f>
        <v/>
      </c>
      <c r="F2481">
        <f>IF(Skills!N18=TRUE,(Skills!L18/10)*(E2481/1000),Skills!L18/10)+Skills!O18</f>
        <v/>
      </c>
      <c r="G2481">
        <f>Skills!G18*IF(Skills!H18&gt;0,Skills!I18/Skills!H18,1)</f>
        <v/>
      </c>
      <c r="H2481">
        <f>1-(1-Skills!J18/100)^Skills!K18</f>
        <v/>
      </c>
      <c r="I2481" t="inlineStr">
        <is>
          <t>1</t>
        </is>
      </c>
      <c r="J2481" t="inlineStr"/>
      <c r="K2481" t="inlineStr"/>
      <c r="L2481" t="inlineStr"/>
      <c r="M2481" t="inlineStr"/>
      <c r="N2481" t="inlineStr"/>
      <c r="O2481">
        <f>(1-Summary!$B$11)*T2481+Summary!$B$11*V2481</f>
        <v/>
      </c>
      <c r="P2481">
        <f>IF(B2506=0,0,O2481/B2506)</f>
        <v/>
      </c>
      <c r="Q2481" t="n">
        <v>0</v>
      </c>
      <c r="R2481" t="n">
        <v>0</v>
      </c>
      <c r="S2481">
        <f>IFERROR(O2481/N2481,0)</f>
        <v/>
      </c>
      <c r="T2481" t="n">
        <v>0</v>
      </c>
      <c r="V2481" t="n">
        <v>0</v>
      </c>
    </row>
    <row r="2482">
      <c r="A2482">
        <f>Skills!A19</f>
        <v/>
      </c>
      <c r="B2482">
        <f>Skills!B19</f>
        <v/>
      </c>
      <c r="C2482">
        <f>TRUE</f>
        <v/>
      </c>
      <c r="D2482">
        <f>IF(Skills!C19=1,60+Inputs!$B$25+Inputs!$B$29,IF(Skills!C19=2,90+Inputs!$B$26+Inputs!$B$29,IF(Skills!C19=3,120+Inputs!$B$27+Inputs!$B$29,MAX(0,(Inputs!$B$3-100)*3)+Inputs!$B$28+Inputs!$B$29)))</f>
        <v/>
      </c>
      <c r="E2482">
        <f>INDEX(FactorTable!$B$2:$Y$301, MATCH(ROUND(MIN(300,MAX(1,D2482)),0), FactorTable!$A$2:$A$301,0), Skills!M19+1)</f>
        <v/>
      </c>
      <c r="F2482">
        <f>IF(Skills!N19=TRUE,(Skills!L19/10)*(E2482/1000),Skills!L19/10)+Skills!O19</f>
        <v/>
      </c>
      <c r="G2482">
        <f>Skills!G19*IF(Skills!H19&gt;0,Skills!I19/Skills!H19,1)</f>
        <v/>
      </c>
      <c r="H2482">
        <f>1-(1-Skills!J19/100)^Skills!K19</f>
        <v/>
      </c>
      <c r="I2482" t="inlineStr">
        <is>
          <t>1</t>
        </is>
      </c>
      <c r="J2482" t="inlineStr"/>
      <c r="K2482" t="inlineStr"/>
      <c r="L2482" t="inlineStr"/>
      <c r="M2482" t="inlineStr"/>
      <c r="N2482" t="inlineStr"/>
      <c r="O2482">
        <f>(1-Summary!$B$11)*T2482+Summary!$B$11*V2482</f>
        <v/>
      </c>
      <c r="P2482">
        <f>IF(B2506=0,0,O2482/B2506)</f>
        <v/>
      </c>
      <c r="Q2482">
        <f>IFERROR(1/(IF(Inputs!$B$38="pvp",15,MAX(0.1,Skills!D19-IF(Skills!E19=TRUE,Inputs!$B$32,0)))*(1-IF(AND(ArtifactsInput!$M$27,Inputs!$B$4="Chapter Hunt"),CHOOSE(ArtifactsInput!$N$27+1,20,24,28,32,36,40),0)/100)),0)</f>
        <v/>
      </c>
      <c r="R2482">
        <f>IF(AND(Inputs!$B$38&lt;&gt;"pvp",Inputs!$B$43&gt;0),IF(Inputs!$B$43&lt;=0,0,(INT(Inputs!$B$43/(IF(Inputs!$B$38="pvp",15,MAX(0.1,Skills!D19-IF(Skills!E19=TRUE,Inputs!$B$32,0)))*(1-IF(AND(ArtifactsInput!$M$27,Inputs!$B$4="Chapter Hunt"),CHOOSE(ArtifactsInput!$N$27+1,20,24,28,32,36,40),0)/100)))+1)),0)</f>
        <v/>
      </c>
      <c r="S2482">
        <f>IFERROR(O2482/N2482,0)</f>
        <v/>
      </c>
      <c r="T2482" t="n">
        <v>0</v>
      </c>
      <c r="V2482" t="n">
        <v>0</v>
      </c>
    </row>
    <row r="2483">
      <c r="A2483">
        <f>Skills!A20</f>
        <v/>
      </c>
      <c r="B2483">
        <f>Skills!B20</f>
        <v/>
      </c>
      <c r="C2483">
        <f>Inputs!$B$3&gt;=15</f>
        <v/>
      </c>
      <c r="D2483">
        <f>IF(Skills!C20=1,60+Inputs!$B$25+Inputs!$B$29,IF(Skills!C20=2,90+Inputs!$B$26+Inputs!$B$29,IF(Skills!C20=3,120+Inputs!$B$27+Inputs!$B$29,MAX(0,(Inputs!$B$3-100)*3)+Inputs!$B$28+Inputs!$B$29)))</f>
        <v/>
      </c>
      <c r="E2483">
        <f>INDEX(FactorTable!$B$2:$Y$301, MATCH(ROUND(MIN(300,MAX(1,D2483)),0), FactorTable!$A$2:$A$301,0), Skills!M20+1)</f>
        <v/>
      </c>
      <c r="F2483">
        <f>IF(Skills!N20=TRUE,(Skills!L20/10)*(E2483/1000),Skills!L20/10)+Skills!O20</f>
        <v/>
      </c>
      <c r="G2483">
        <f>Skills!G20*IF(Skills!H20&gt;0,Skills!I20/Skills!H20,1)</f>
        <v/>
      </c>
      <c r="H2483">
        <f>1-(1-Skills!J20/100)^Skills!K20</f>
        <v/>
      </c>
      <c r="I2483" t="inlineStr">
        <is>
          <t>1</t>
        </is>
      </c>
      <c r="J2483" t="inlineStr"/>
      <c r="K2483" t="inlineStr"/>
      <c r="L2483" t="inlineStr"/>
      <c r="M2483" t="inlineStr"/>
      <c r="N2483" t="inlineStr"/>
      <c r="O2483">
        <f>(1-Summary!$B$11)*T2483+Summary!$B$11*V2483</f>
        <v/>
      </c>
      <c r="P2483">
        <f>IF(B2506=0,0,O2483/B2506)</f>
        <v/>
      </c>
      <c r="Q2483" t="n">
        <v>0</v>
      </c>
      <c r="R2483" t="n">
        <v>0</v>
      </c>
      <c r="S2483">
        <f>IFERROR(O2483/N2483,0)</f>
        <v/>
      </c>
      <c r="T2483" t="n">
        <v>0</v>
      </c>
      <c r="V2483" t="n">
        <v>0</v>
      </c>
    </row>
    <row r="2484">
      <c r="A2484">
        <f>Skills!A21</f>
        <v/>
      </c>
      <c r="B2484">
        <f>Skills!B21</f>
        <v/>
      </c>
      <c r="C2484">
        <f>Inputs!$B$3&gt;=10</f>
        <v/>
      </c>
      <c r="D2484">
        <f>IF(Skills!C21=1,60+Inputs!$B$25+Inputs!$B$29,IF(Skills!C21=2,90+Inputs!$B$26+Inputs!$B$29,IF(Skills!C21=3,120+Inputs!$B$27+Inputs!$B$29,MAX(0,(Inputs!$B$3-100)*3)+Inputs!$B$28+Inputs!$B$29)))</f>
        <v/>
      </c>
      <c r="E2484">
        <f>INDEX(FactorTable!$B$2:$Y$301, MATCH(ROUND(MIN(300,MAX(1,D2484)),0), FactorTable!$A$2:$A$301,0), Skills!M21+1)</f>
        <v/>
      </c>
      <c r="F2484">
        <f>IF(Skills!N21=TRUE,(Skills!L21/10)*(E2484/1000),Skills!L21/10)+Skills!O21</f>
        <v/>
      </c>
      <c r="G2484">
        <f>Skills!G21*IF(Skills!H21&gt;0,Skills!I21/Skills!H21,1)</f>
        <v/>
      </c>
      <c r="H2484">
        <f>1-(1-Skills!J21/100)^Skills!K21</f>
        <v/>
      </c>
      <c r="I2484" t="inlineStr">
        <is>
          <t>1</t>
        </is>
      </c>
      <c r="J2484" t="inlineStr"/>
      <c r="K2484" t="inlineStr"/>
      <c r="L2484" t="inlineStr"/>
      <c r="M2484" t="inlineStr"/>
      <c r="N2484" t="inlineStr"/>
      <c r="O2484">
        <f>(1-Summary!$B$11)*T2484+Summary!$B$11*V2484</f>
        <v/>
      </c>
      <c r="P2484">
        <f>IF(B2506=0,0,O2484/B2506)</f>
        <v/>
      </c>
      <c r="Q2484" t="n">
        <v>0</v>
      </c>
      <c r="R2484" t="n">
        <v>0</v>
      </c>
      <c r="S2484">
        <f>IFERROR(O2484/N2484,0)</f>
        <v/>
      </c>
      <c r="T2484" t="n">
        <v>0</v>
      </c>
      <c r="V2484" t="n">
        <v>0</v>
      </c>
    </row>
    <row r="2485">
      <c r="A2485">
        <f>Skills!A22</f>
        <v/>
      </c>
      <c r="B2485">
        <f>Skills!B22</f>
        <v/>
      </c>
      <c r="C2485">
        <f>Inputs!$B$3&gt;=33</f>
        <v/>
      </c>
      <c r="D2485">
        <f>IF(Skills!C22=1,60+Inputs!$B$25+Inputs!$B$29,IF(Skills!C22=2,90+Inputs!$B$26+Inputs!$B$29,IF(Skills!C22=3,120+Inputs!$B$27+Inputs!$B$29,MAX(0,(Inputs!$B$3-100)*3)+Inputs!$B$28+Inputs!$B$29)))</f>
        <v/>
      </c>
      <c r="E2485">
        <f>INDEX(FactorTable!$B$2:$Y$301, MATCH(ROUND(MIN(300,MAX(1,D2485)),0), FactorTable!$A$2:$A$301,0), Skills!M22+1)</f>
        <v/>
      </c>
      <c r="F2485">
        <f>IF(Skills!N22=TRUE,(Skills!L22/10)*(E2485/1000),Skills!L22/10)+Skills!O22</f>
        <v/>
      </c>
      <c r="G2485">
        <f>Skills!G22*IF(Skills!H22&gt;0,Skills!I22/Skills!H22,1)</f>
        <v/>
      </c>
      <c r="H2485">
        <f>1-(1-Skills!J22/100)^Skills!K22</f>
        <v/>
      </c>
      <c r="I2485" t="inlineStr">
        <is>
          <t>1</t>
        </is>
      </c>
      <c r="J2485" t="inlineStr"/>
      <c r="K2485" t="inlineStr"/>
      <c r="L2485" t="inlineStr"/>
      <c r="M2485" t="inlineStr"/>
      <c r="N2485" t="inlineStr"/>
      <c r="O2485">
        <f>(1-Summary!$B$11)*T2485+Summary!$B$11*V2485</f>
        <v/>
      </c>
      <c r="P2485">
        <f>IF(B2506=0,0,O2485/B2506)</f>
        <v/>
      </c>
      <c r="Q2485" t="n">
        <v>0</v>
      </c>
      <c r="R2485" t="n">
        <v>0</v>
      </c>
      <c r="S2485">
        <f>IFERROR(O2485/N2485,0)</f>
        <v/>
      </c>
      <c r="T2485" t="n">
        <v>0</v>
      </c>
      <c r="V2485" t="n">
        <v>0</v>
      </c>
    </row>
    <row r="2486">
      <c r="A2486">
        <f>Skills!A23</f>
        <v/>
      </c>
      <c r="B2486">
        <f>Skills!B23</f>
        <v/>
      </c>
      <c r="C2486">
        <f>Inputs!$B$3&gt;=38</f>
        <v/>
      </c>
      <c r="D2486">
        <f>IF(Skills!C23=1,60+Inputs!$B$25+Inputs!$B$29,IF(Skills!C23=2,90+Inputs!$B$26+Inputs!$B$29,IF(Skills!C23=3,120+Inputs!$B$27+Inputs!$B$29,MAX(0,(Inputs!$B$3-100)*3)+Inputs!$B$28+Inputs!$B$29)))</f>
        <v/>
      </c>
      <c r="E2486">
        <f>INDEX(FactorTable!$B$2:$Y$301, MATCH(ROUND(MIN(300,MAX(1,D2486)),0), FactorTable!$A$2:$A$301,0), Skills!M23+1)</f>
        <v/>
      </c>
      <c r="F2486">
        <f>IF(Skills!N23=TRUE,(Skills!L23/10)*(E2486/1000),Skills!L23/10)+Skills!O23</f>
        <v/>
      </c>
      <c r="G2486">
        <f>Skills!G23*IF(Skills!H23&gt;0,Skills!I23/Skills!H23,1)</f>
        <v/>
      </c>
      <c r="H2486">
        <f>1-(1-Skills!J23/100)^Skills!K23</f>
        <v/>
      </c>
      <c r="I2486" t="inlineStr">
        <is>
          <t>1</t>
        </is>
      </c>
      <c r="J2486" t="inlineStr"/>
      <c r="K2486" t="inlineStr"/>
      <c r="L2486" t="inlineStr"/>
      <c r="M2486" t="inlineStr"/>
      <c r="N2486" t="inlineStr"/>
      <c r="O2486">
        <f>(1-Summary!$B$11)*T2486+Summary!$B$11*V2486</f>
        <v/>
      </c>
      <c r="P2486">
        <f>IF(B2506=0,0,O2486/B2506)</f>
        <v/>
      </c>
      <c r="Q2486" t="n">
        <v>0</v>
      </c>
      <c r="R2486" t="n">
        <v>0</v>
      </c>
      <c r="S2486">
        <f>IFERROR(O2486/N2486,0)</f>
        <v/>
      </c>
      <c r="T2486" t="n">
        <v>0</v>
      </c>
      <c r="V2486" t="n">
        <v>0</v>
      </c>
    </row>
    <row r="2487">
      <c r="A2487">
        <f>Skills!A24</f>
        <v/>
      </c>
      <c r="B2487">
        <f>Skills!B24</f>
        <v/>
      </c>
      <c r="C2487">
        <f>Inputs!$B$3&gt;=43</f>
        <v/>
      </c>
      <c r="D2487">
        <f>IF(Skills!C24=1,60+Inputs!$B$25+Inputs!$B$29,IF(Skills!C24=2,90+Inputs!$B$26+Inputs!$B$29,IF(Skills!C24=3,120+Inputs!$B$27+Inputs!$B$29,MAX(0,(Inputs!$B$3-100)*3)+Inputs!$B$28+Inputs!$B$29)))</f>
        <v/>
      </c>
      <c r="E2487">
        <f>INDEX(FactorTable!$B$2:$Y$301, MATCH(ROUND(MIN(300,MAX(1,D2487)),0), FactorTable!$A$2:$A$301,0), Skills!M24+1)</f>
        <v/>
      </c>
      <c r="F2487">
        <f>IF(Skills!N24=TRUE,(Skills!L24/10)*(E2487/1000),Skills!L24/10)+Skills!O24</f>
        <v/>
      </c>
      <c r="G2487">
        <f>Skills!G24*IF(Skills!H24&gt;0,Skills!I24/Skills!H24,1)</f>
        <v/>
      </c>
      <c r="H2487">
        <f>1-(1-Skills!J24/100)^Skills!K24</f>
        <v/>
      </c>
      <c r="I2487" t="inlineStr">
        <is>
          <t>1</t>
        </is>
      </c>
      <c r="J2487" t="inlineStr"/>
      <c r="K2487" t="inlineStr"/>
      <c r="L2487" t="inlineStr"/>
      <c r="M2487" t="inlineStr"/>
      <c r="N2487" t="inlineStr"/>
      <c r="O2487">
        <f>(1-Summary!$B$11)*T2487+Summary!$B$11*V2487</f>
        <v/>
      </c>
      <c r="P2487">
        <f>IF(B2506=0,0,O2487/B2506)</f>
        <v/>
      </c>
      <c r="Q2487" t="n">
        <v>0</v>
      </c>
      <c r="R2487" t="n">
        <v>0</v>
      </c>
      <c r="S2487">
        <f>IFERROR(O2487/N2487,0)</f>
        <v/>
      </c>
      <c r="T2487" t="n">
        <v>0</v>
      </c>
      <c r="V2487" t="n">
        <v>0</v>
      </c>
    </row>
    <row r="2488">
      <c r="A2488">
        <f>Skills!A25</f>
        <v/>
      </c>
      <c r="B2488">
        <f>Skills!B25</f>
        <v/>
      </c>
      <c r="C2488">
        <f>Inputs!$B$3&gt;=75</f>
        <v/>
      </c>
      <c r="D2488">
        <f>IF(Skills!C25=1,60+Inputs!$B$25+Inputs!$B$29,IF(Skills!C25=2,90+Inputs!$B$26+Inputs!$B$29,IF(Skills!C25=3,120+Inputs!$B$27+Inputs!$B$29,MAX(0,(Inputs!$B$3-100)*3)+Inputs!$B$28+Inputs!$B$29)))</f>
        <v/>
      </c>
      <c r="E2488">
        <f>INDEX(FactorTable!$B$2:$Y$301, MATCH(ROUND(MIN(300,MAX(1,D2488)),0), FactorTable!$A$2:$A$301,0), Skills!M25+1)</f>
        <v/>
      </c>
      <c r="F2488">
        <f>IF(Skills!N25=TRUE,(Skills!L25/10)*(E2488/1000),Skills!L25/10)+Skills!O25</f>
        <v/>
      </c>
      <c r="G2488">
        <f>Skills!G25*IF(Skills!H25&gt;0,Skills!I25/Skills!H25,1)</f>
        <v/>
      </c>
      <c r="H2488">
        <f>1-(1-Skills!J25/100)^Skills!K25</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Skills!A26</f>
        <v/>
      </c>
      <c r="B2489">
        <f>Skills!B26</f>
        <v/>
      </c>
      <c r="C2489">
        <f>Inputs!$B$3&gt;=125</f>
        <v/>
      </c>
      <c r="D2489">
        <f>IF(Skills!C26=1,60+Inputs!$B$25+Inputs!$B$29,IF(Skills!C26=2,90+Inputs!$B$26+Inputs!$B$29,IF(Skills!C26=3,120+Inputs!$B$27+Inputs!$B$29,MAX(0,(Inputs!$B$3-100)*3)+Inputs!$B$28+Inputs!$B$29)))</f>
        <v/>
      </c>
      <c r="E2489">
        <f>INDEX(FactorTable!$B$2:$Y$301, MATCH(ROUND(MIN(300,MAX(1,D2489)),0), FactorTable!$A$2:$A$301,0), Skills!M26+1)</f>
        <v/>
      </c>
      <c r="F2489">
        <f>IF(Skills!N26=TRUE,(Skills!L26/10)*(E2489/1000),Skills!L26/10)+Skills!O26</f>
        <v/>
      </c>
      <c r="G2489">
        <f>Skills!G26*IF(Skills!H26&gt;0,Skills!I26/Skills!H26,1)</f>
        <v/>
      </c>
      <c r="H2489">
        <f>1-(1-Skills!J26/100)^Skills!K26</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Skills!A27</f>
        <v/>
      </c>
      <c r="B2490">
        <f>Skills!B27</f>
        <v/>
      </c>
      <c r="C2490">
        <f>Inputs!$B$3&gt;=125</f>
        <v/>
      </c>
      <c r="D2490">
        <f>IF(Skills!C27=1,60+Inputs!$B$25+Inputs!$B$29,IF(Skills!C27=2,90+Inputs!$B$26+Inputs!$B$29,IF(Skills!C27=3,120+Inputs!$B$27+Inputs!$B$29,MAX(0,(Inputs!$B$3-100)*3)+Inputs!$B$28+Inputs!$B$29)))</f>
        <v/>
      </c>
      <c r="E2490">
        <f>INDEX(FactorTable!$B$2:$Y$301, MATCH(ROUND(MIN(300,MAX(1,D2490)),0), FactorTable!$A$2:$A$301,0), Skills!M27+1)</f>
        <v/>
      </c>
      <c r="F2490">
        <f>IF(Skills!N27=TRUE,(Skills!L27/10)*(E2490/1000),Skills!L27/10)+Skills!O27</f>
        <v/>
      </c>
      <c r="G2490">
        <f>Skills!G27*IF(Skills!H27&gt;0,Skills!I27/Skills!H27,1)</f>
        <v/>
      </c>
      <c r="H2490">
        <f>1-(1-Skills!J27/100)^Skills!K27</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Skills!A28</f>
        <v/>
      </c>
      <c r="B2491">
        <f>Skills!B28</f>
        <v/>
      </c>
      <c r="C2491">
        <f>Inputs!$B$3&gt;=120</f>
        <v/>
      </c>
      <c r="D2491">
        <f>IF(Skills!C28=1,60+Inputs!$B$25+Inputs!$B$29,IF(Skills!C28=2,90+Inputs!$B$26+Inputs!$B$29,IF(Skills!C28=3,120+Inputs!$B$27+Inputs!$B$29,MAX(0,(Inputs!$B$3-100)*3)+Inputs!$B$28+Inputs!$B$29)))</f>
        <v/>
      </c>
      <c r="E2491">
        <f>INDEX(FactorTable!$B$2:$Y$301, MATCH(ROUND(MIN(300,MAX(1,D2491)),0), FactorTable!$A$2:$A$301,0), Skills!M28+1)</f>
        <v/>
      </c>
      <c r="F2491">
        <f>IF(Skills!N28=TRUE,(Skills!L28/10)*(E2491/1000),Skills!L28/10)+Skills!O28</f>
        <v/>
      </c>
      <c r="G2491">
        <f>Skills!G28*IF(Skills!H28&gt;0,Skills!I28/Skills!H28,1)</f>
        <v/>
      </c>
      <c r="H2491">
        <f>1-(1-Skills!J28/100)^Skills!K28</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Skills!A29</f>
        <v/>
      </c>
      <c r="B2492">
        <f>Skills!B29</f>
        <v/>
      </c>
      <c r="C2492">
        <f>Inputs!$B$3&gt;=120</f>
        <v/>
      </c>
      <c r="D2492">
        <f>IF(Skills!C29=1,60+Inputs!$B$25+Inputs!$B$29,IF(Skills!C29=2,90+Inputs!$B$26+Inputs!$B$29,IF(Skills!C29=3,120+Inputs!$B$27+Inputs!$B$29,MAX(0,(Inputs!$B$3-100)*3)+Inputs!$B$28+Inputs!$B$29)))</f>
        <v/>
      </c>
      <c r="E2492">
        <f>INDEX(FactorTable!$B$2:$Y$301, MATCH(ROUND(MIN(300,MAX(1,D2492)),0), FactorTable!$A$2:$A$301,0), Skills!M29+1)</f>
        <v/>
      </c>
      <c r="F2492">
        <f>IF(Skills!N29=TRUE,(Skills!L29/10)*(E2492/1000),Skills!L29/10)+Skills!O29</f>
        <v/>
      </c>
      <c r="G2492">
        <f>Skills!G29*IF(Skills!H29&gt;0,Skills!I29/Skills!H29,1)</f>
        <v/>
      </c>
      <c r="H2492">
        <f>1-(1-Skills!J29/100)^Skills!K29</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Skills!A30</f>
        <v/>
      </c>
      <c r="B2493">
        <f>Skills!B30</f>
        <v/>
      </c>
      <c r="C2493">
        <f>Inputs!$B$3&gt;=45</f>
        <v/>
      </c>
      <c r="D2493">
        <f>IF(Skills!C30=1,60+Inputs!$B$25+Inputs!$B$29,IF(Skills!C30=2,90+Inputs!$B$26+Inputs!$B$29,IF(Skills!C30=3,120+Inputs!$B$27+Inputs!$B$29,MAX(0,(Inputs!$B$3-100)*3)+Inputs!$B$28+Inputs!$B$29)))</f>
        <v/>
      </c>
      <c r="E2493">
        <f>INDEX(FactorTable!$B$2:$Y$301, MATCH(ROUND(MIN(300,MAX(1,D2493)),0), FactorTable!$A$2:$A$301,0), Skills!M30+1)</f>
        <v/>
      </c>
      <c r="F2493">
        <f>IF(Skills!N30=TRUE,(Skills!L30/10)*(E2493/1000),Skills!L30/10)+Skills!O30</f>
        <v/>
      </c>
      <c r="G2493">
        <f>Skills!G30*IF(Skills!H30&gt;0,Skills!I30/Skills!H30,1)</f>
        <v/>
      </c>
      <c r="H2493">
        <f>1-(1-Skills!J30/100)^Skills!K30</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6">
      <c r="A2496" t="inlineStr">
        <is>
          <t>Global Crit Rate Bonus %</t>
        </is>
      </c>
      <c r="B2496">
        <f>(C2479=TRUE)*20*IF(AND(Inputs!$B$38&lt;&gt;"pvp",Inputs!$B$43&gt;0),(((R2479-1)*(Skills!T16*(1+Inputs!$B$34/100))+MIN((Skills!T16*(1+Inputs!$B$34/100)),MAX(0,Inputs!$B$43-((R2479-1)*Skills!D16))))/Inputs!$B$43),IF(Inputs!$B$38="pvp",MIN((Skills!T16*(1+Inputs!$B$34/100)),15)/15,(Skills!T16*(1+Inputs!$B$34/100))/Skills!D16))</f>
        <v/>
      </c>
    </row>
    <row r="2497">
      <c r="A2497" t="inlineStr">
        <is>
          <t>Attack Speed Buff Bonus %</t>
        </is>
      </c>
      <c r="B2497">
        <f>((C2482=TRUE)*F2482*IF(AND(Inputs!$B$38&lt;&gt;"pvp",Inputs!$B$43&gt;0),(((R2482-1)*(Skills!T19*(1+Inputs!$B$34/100))+MIN((Skills!T19*(1+Inputs!$B$34/100)),MAX(0,Inputs!$B$43-((R2482-1)*Skills!D19))))/Inputs!$B$43),IF(Inputs!$B$38="pvp",MIN((Skills!T19*(1+Inputs!$B$34/100)),15)/15,(Skills!T19*(1+Inputs!$B$34/100))/Skills!D19)))</f>
        <v/>
      </c>
    </row>
    <row r="2498">
      <c r="A2498" t="inlineStr">
        <is>
          <t>Actions Per Second</t>
        </is>
      </c>
      <c r="B2498">
        <f>1+MIN(150,150*(1-(1-(Inputs!$B$11+((C2484=TRUE)*(F2484-Calc!F21))+((C2485=TRUE)*(F2485-Calc!F22)))/150)*(1-B2497/150)))/100</f>
        <v/>
      </c>
    </row>
    <row r="2499">
      <c r="A2499" t="inlineStr">
        <is>
          <t>Skill + Buff Cast Rate</t>
        </is>
      </c>
      <c r="B2499">
        <f>IF(AND(Inputs!$B$38&lt;&gt;"pvp",Inputs!$B$43&gt;0),SUMPRODUCT((Skills!E2:E30=TRUE)*(C2465:C2493=TRUE)*R2465:R2493*Skills!F2:F30)/Inputs!$B$43,SUMPRODUCT((Skills!E2:E30=TRUE)*(C2465:C2493=TRUE)*Q2465:Q2493*Skills!F2:F30))</f>
        <v/>
      </c>
    </row>
    <row r="2500">
      <c r="A2500" t="inlineStr">
        <is>
          <t>Arrow Stream Casts Per Second</t>
        </is>
      </c>
      <c r="B2500">
        <f>MAX(0,B2498-B2499)</f>
        <v/>
      </c>
    </row>
    <row r="2501">
      <c r="A2501" t="inlineStr">
        <is>
          <t>Global Critical Damage Bonus % (Sharp Eyes + Concentration)</t>
        </is>
      </c>
      <c r="B2501">
        <f>(C2479=TRUE)*F2479*IF(AND(Inputs!$B$38&lt;&gt;"pvp",Inputs!$B$43&gt;0),(((R2479-1)*(Skills!T16*(1+Inputs!$B$34/100))+MIN((Skills!T16*(1+Inputs!$B$34/100)),MAX(0,Inputs!$B$43-((R2479-1)*Skills!D16))))/Inputs!$B$43),IF(Inputs!$B$38="pvp",MIN((Skills!T16*(1+Inputs!$B$34/100)),15)/15,(Skills!T16*(1+Inputs!$B$34/100))/Skills!D16))+(C2480=TRUE)*30</f>
        <v/>
      </c>
    </row>
    <row r="2502">
      <c r="A2502" t="inlineStr">
        <is>
          <t>Global Final Damage Bonus % (Mortal Blow)</t>
        </is>
      </c>
      <c r="B2502">
        <f>(C2481=TRUE)*F2481</f>
        <v/>
      </c>
    </row>
    <row r="2503">
      <c r="A2503" t="inlineStr">
        <is>
          <t>Buff-Casting Startup Delay (s, fixed-duration only)</t>
        </is>
      </c>
      <c r="B2503">
        <f>IF(AND(Inputs!$B$38&lt;&gt;"pvp",Inputs!$B$43&gt;0),SUMPRODUCT((Skills!T2:T30&gt;0)*(Skills!E2:E30=TRUE)*(C2465:C2493=TRUE))/B2498,0)</f>
        <v/>
      </c>
    </row>
    <row r="2504">
      <c r="A2504" t="inlineStr">
        <is>
          <t>Boss-Only Total DPS (this block's swept value)</t>
        </is>
      </c>
      <c r="B2504">
        <f>SUM(T2465:T2493)</f>
        <v/>
      </c>
    </row>
    <row r="2505">
      <c r="A2505" t="inlineStr">
        <is>
          <t>Normal-Only Total DPS (this block's swept value)</t>
        </is>
      </c>
      <c r="B2505">
        <f>SUM(V2465:V2493)</f>
        <v/>
      </c>
    </row>
    <row r="2506">
      <c r="A2506" s="6" t="inlineStr">
        <is>
          <t>TOTAL DPS</t>
        </is>
      </c>
      <c r="B2506" s="6">
        <f>SUM(O2465:O2493)</f>
        <v/>
      </c>
    </row>
    <row r="2509">
      <c r="A2509" s="6" t="inlineStr">
        <is>
          <t>Stat: Bottle of Emotion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((Inputs!$B$6*(1+Inputs!$B$7/100))+(((Inputs!$B$12*(1+Inputs!$B$13/100))-(Inputs!$B$12*(1+Inputs!$B$13/100)))+0.25*(Inputs!$B$14-Inputs!$B$14))*(1+Inputs!$B$7/100))*(F2511/100)</f>
        <v/>
      </c>
      <c r="K2511">
        <f>J2511*(1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2533=TRUE)*(F2533-Calc!F24)),(Inputs!$B$23+((C2538=TRUE)*(F2538-Calc!F29))+(IF(ArtifactsInput!$M$15,CHOOSE(ArtifactsInput!$N$15+1,25,30,35,40,45,50)/100*(Inputs!$B$11-Inputs!$B$11),0))))/100+(Inputs!$B$23+((C2538=TRUE)*(F2538-Calc!F29))+(IF(ArtifactsInput!$M$15,CHOOSE(ArtifactsInput!$N$15+1,25,30,35,40,45,50)/100*(Inputs!$B$11-Inputs!$B$11),0)))/100)/2</f>
        <v/>
      </c>
      <c r="M2511">
        <f>L2511*(1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IF(B2552=0,0,O2511/B2552)</f>
        <v/>
      </c>
      <c r="Q2511" t="n">
        <v>0</v>
      </c>
      <c r="R2511" t="n">
        <v>0</v>
      </c>
      <c r="S2511">
        <f>IFERROR(O2511/N2511,0)</f>
        <v/>
      </c>
      <c r="T2511">
        <f>IF(C2511,(Skills!G2*N2511*B2546)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MAX(0,(Inputs!$B$3-100)*3)+Inputs!$B$28+Inputs!$B$29</f>
        <v/>
      </c>
      <c r="V2511">
        <f>IF(C2511,(Skills!G2*N2511*B2546)*IF(Inputs!$B$38="pvp",1,(1+(Inputs!$B$21+Skills!Q2+(IF(ArtifactsInput!$M$33,CHOOSE(ArtifactsInput!$N$33+1,30,36,42,48,54,60),0))+(IF(AND(ArtifactsInput!$M$35,Inputs!$B$4&lt;&gt;"Chapter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Skills!A3</f>
        <v/>
      </c>
      <c r="B2512">
        <f>Skills!B3</f>
        <v/>
      </c>
      <c r="C2512">
        <f>Inputs!$B$3&gt;=50</f>
        <v/>
      </c>
      <c r="D2512">
        <f>IF(Skills!C3=1,60+Inputs!$B$25+Inputs!$B$29,IF(Skills!C3=2,90+Inputs!$B$26+Inputs!$B$29,IF(Skills!C3=3,120+Inputs!$B$27+Inputs!$B$29,MAX(0,(Inputs!$B$3-100)*3)+Inputs!$B$28+Inputs!$B$29)))</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T2512" t="inlineStr"/>
      <c r="U2512">
        <f>INDEX(FactorTable!$B$2:$Y$301, MATCH(ROUND(MIN(300,MAX(1,U2511)),0), FactorTable!$A$2:$A$301,0), 22)</f>
        <v/>
      </c>
      <c r="V2512" t="inlineStr"/>
    </row>
    <row r="2513">
      <c r="A2513">
        <f>Skills!A4</f>
        <v/>
      </c>
      <c r="B2513">
        <f>Skills!B4</f>
        <v/>
      </c>
      <c r="C2513">
        <f>Inputs!$B$3&gt;=105</f>
        <v/>
      </c>
      <c r="D2513">
        <f>IF(Skills!C4=1,60+Inputs!$B$25+Inputs!$B$29,IF(Skills!C4=2,90+Inputs!$B$26+Inputs!$B$29,IF(Skills!C4=3,120+Inputs!$B$27+Inputs!$B$29,MAX(0,(Inputs!$B$3-100)*3)+Inputs!$B$28+Inputs!$B$29)))</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T2513" t="inlineStr"/>
      <c r="U2513">
        <f>290*U2512/1000</f>
        <v/>
      </c>
      <c r="V2513" t="inlineStr"/>
    </row>
    <row r="2514">
      <c r="A2514">
        <f>Skills!A5</f>
        <v/>
      </c>
      <c r="B2514">
        <f>Skills!B5</f>
        <v/>
      </c>
      <c r="C2514">
        <f>Inputs!$B$3&gt;=35</f>
        <v/>
      </c>
      <c r="D2514">
        <f>IF(Skills!C5=1,60+Inputs!$B$25+Inputs!$B$29,IF(Skills!C5=2,90+Inputs!$B$26+Inputs!$B$29,IF(Skills!C5=3,120+Inputs!$B$27+Inputs!$B$29,MAX(0,(Inputs!$B$3-100)*3)+Inputs!$B$28+Inputs!$B$29)))</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((Inputs!$B$6*(1+Inputs!$B$7/100))+(((Inputs!$B$12*(1+Inputs!$B$13/100))-(Inputs!$B$12*(1+Inputs!$B$13/100)))+0.25*(Inputs!$B$14-Inputs!$B$14))*(1+Inputs!$B$7/100))*(F2514/100)</f>
        <v/>
      </c>
      <c r="K2514">
        <f>J2514*(1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2519=TRUE,F2519,0)/100)*(1+(IF(Skills!A5="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2533=TRUE)*(F2533-Calc!F24)),(Inputs!$B$23+((C2538=TRUE)*(F2538-Calc!F29))+(IF(ArtifactsInput!$M$15,CHOOSE(ArtifactsInput!$N$15+1,25,30,35,40,45,50)/100*(Inputs!$B$11-Inputs!$B$11),0))))/100+(Inputs!$B$23+((C2538=TRUE)*(F2538-Calc!F29))+(IF(ArtifactsInput!$M$15,CHOOSE(ArtifactsInput!$N$15+1,25,30,35,40,45,50)/100*(Inputs!$B$11-Inputs!$B$11),0)))/100)/2</f>
        <v/>
      </c>
      <c r="M2514">
        <f>L2514*(1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IF(B2552=0,0,O2514/B2552)</f>
        <v/>
      </c>
      <c r="Q2514">
        <f>IFERROR(1/(IF(Inputs!$B$38="pvp",15,MAX(0.1,Skills!D5-IF(Skills!E5=TRUE,Inputs!$B$32,0)))*(1-IF(AND(ArtifactsInput!$M$27,Inputs!$B$4="Chapter Hunt"),CHOOSE(ArtifactsInput!$N$27+1,20,24,28,32,36,40),0)/100)),0)</f>
        <v/>
      </c>
      <c r="R2514">
        <f>IF(AND(Inputs!$B$38&lt;&gt;"pvp",Inputs!$B$43&gt;0),IF(MAX(0,Inputs!$B$43-B2549)&lt;=0,0,(INT(MAX(0,Inputs!$B$43-B2549)/(IF(Inputs!$B$38="pvp",15,MAX(0.1,Skills!D5-IF(Skills!E5=TRUE,Inputs!$B$32,0)))*(1-IF(AND(ArtifactsInput!$M$27,Inputs!$B$4="Chapter Hunt"),CHOOSE(ArtifactsInput!$N$27+1,20,24,28,32,36,40),0)/100)))+1)),0)</f>
        <v/>
      </c>
      <c r="S2514">
        <f>IFERROR(O2514/N2514,0)</f>
        <v/>
      </c>
      <c r="T2514">
        <f>IF(C2514,(H2514*N2514*IF(AND(Inputs!$B$38&lt;&gt;"pvp",Inputs!$B$43&gt;0),((Skills!G5*((R2514-1)*IF(Skills!H5&gt;0,Skills!I5/Skills!H5,1)+IF(Skills!H5&gt;0,MIN(Skills!I5,MAX(0,MAX(0,Inputs!$B$43-B2549)-((R2514-1)*(IF(Inputs!$B$38="pvp",15,MAX(0.1,Skills!D5-IF(Skills!E5=TRUE,Inputs!$B$32,0)))*(1-IF(AND(ArtifactsInput!$M$27,Inputs!$B$4="Chapter Hunt"),CHOOSE(ArtifactsInput!$N$27+1,20,24,28,32,36,40),0)/100)))))/Skills!H5,1)))/Inputs!$B$43),G2514*Q2514)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2514*(1-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5*((R2514-1)*IF(Skills!H5&gt;0,Skills!I5/Skills!H5,1)+IF(Skills!H5&gt;0,MIN(Skills!I5,MAX(0,MAX(0,Inputs!$B$43-B2549)-((R2514-1)*(IF(Inputs!$B$38="pvp",15,MAX(0.1,Skills!D5-IF(Skills!E5=TRUE,Inputs!$B$32,0)))*(1-IF(AND(ArtifactsInput!$M$27,Inputs!$B$4="Chapter Hunt"),CHOOSE(ArtifactsInput!$N$27+1,20,24,28,32,36,40),0)/100)))))/Skills!H5,1)))/Inputs!$B$43),G2514*Q2514))*IF(Inputs!$B$38="pvp",1,(1+(Inputs!$B$21+Skills!Q5+(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Skills!A6</f>
        <v/>
      </c>
      <c r="B2515">
        <f>Skills!B6</f>
        <v/>
      </c>
      <c r="C2515">
        <f>Inputs!$B$3&gt;=40</f>
        <v/>
      </c>
      <c r="D2515">
        <f>IF(Skills!C6=1,60+Inputs!$B$25+Inputs!$B$29,IF(Skills!C6=2,90+Inputs!$B$26+Inputs!$B$29,IF(Skills!C6=3,120+Inputs!$B$27+Inputs!$B$29,MAX(0,(Inputs!$B$3-100)*3)+Inputs!$B$28+Inputs!$B$29)))</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((Inputs!$B$6*(1+Inputs!$B$7/100))+(((Inputs!$B$12*(1+Inputs!$B$13/100))-(Inputs!$B$12*(1+Inputs!$B$13/100)))+0.25*(Inputs!$B$14-Inputs!$B$14))*(1+Inputs!$B$7/100))*(F2515/100)</f>
        <v/>
      </c>
      <c r="K2515">
        <f>J2515*(1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2516=TRUE,F2516,0)/100)*(1+(IF(Skills!A6="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24)),(Inputs!$B$23+((C2538=TRUE)*(F2538-Calc!F29))+(IF(ArtifactsInput!$M$15,CHOOSE(ArtifactsInput!$N$15+1,25,30,35,40,45,50)/100*(Inputs!$B$11-Inputs!$B$11),0))))/100+(Inputs!$B$23+((C2538=TRUE)*(F2538-Calc!F29))+(IF(ArtifactsInput!$M$15,CHOOSE(ArtifactsInput!$N$15+1,25,30,35,40,45,50)/100*(Inputs!$B$11-Inputs!$B$11),0)))/100)/2</f>
        <v/>
      </c>
      <c r="M2515">
        <f>L2515*(1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IF(B2552=0,0,O2515/B2552)</f>
        <v/>
      </c>
      <c r="Q2515">
        <f>IFERROR(1/(IF(Inputs!$B$38="pvp",15,MAX(0.1,Skills!D6-IF(Skills!E6=TRUE,Inputs!$B$32,0)))*(1-IF(AND(ArtifactsInput!$M$27,Inputs!$B$4="Chapter Hunt"),CHOOSE(ArtifactsInput!$N$27+1,20,24,28,32,36,40),0)/100)),0)</f>
        <v/>
      </c>
      <c r="R2515">
        <f>IF(AND(Inputs!$B$38&lt;&gt;"pvp",Inputs!$B$43&gt;0),IF(MAX(0,Inputs!$B$43-B2549)&lt;=0,0,(INT(MAX(0,Inputs!$B$43-B2549)/(IF(Inputs!$B$38="pvp",15,MAX(0.1,Skills!D6-IF(Skills!E6=TRUE,Inputs!$B$32,0)))*(1-IF(AND(ArtifactsInput!$M$27,Inputs!$B$4="Chapter Hunt"),CHOOSE(ArtifactsInput!$N$27+1,20,24,28,32,36,40),0)/100)))+1)),0)</f>
        <v/>
      </c>
      <c r="S2515">
        <f>IFERROR(O2515/N2515,0)</f>
        <v/>
      </c>
      <c r="T2515">
        <f>IF(C2515,(H2515*N2515*IF(AND(Inputs!$B$38&lt;&gt;"pvp",Inputs!$B$43&gt;0),((Skills!G6*((R2515-1)*IF(Skills!H6&gt;0,Skills!I6/Skills!H6,1)+IF(Skills!H6&gt;0,MIN(Skills!I6,MAX(0,MAX(0,Inputs!$B$43-B2549)-((R2515-1)*(IF(Inputs!$B$38="pvp",15,MAX(0.1,Skills!D6-IF(Skills!E6=TRUE,Inputs!$B$32,0)))*(1-IF(AND(ArtifactsInput!$M$27,Inputs!$B$4="Chapter Hunt"),CHOOSE(ArtifactsInput!$N$27+1,20,24,28,32,36,40),0)/100)))))/Skills!H6,1)))/Inputs!$B$43),G2515*Q2515)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2515*(1-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6*((R2515-1)*IF(Skills!H6&gt;0,Skills!I6/Skills!H6,1)+IF(Skills!H6&gt;0,MIN(Skills!I6,MAX(0,MAX(0,Inputs!$B$43-B2549)-((R2515-1)*(IF(Inputs!$B$38="pvp",15,MAX(0.1,Skills!D6-IF(Skills!E6=TRUE,Inputs!$B$32,0)))*(1-IF(AND(ArtifactsInput!$M$27,Inputs!$B$4="Chapter Hunt"),CHOOSE(ArtifactsInput!$N$27+1,20,24,28,32,36,40),0)/100)))))/Skills!H6,1)))/Inputs!$B$43),G2515*Q2515))*IF(Inputs!$B$38="pvp",1,(1+(Inputs!$B$21+Skills!Q6+(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Skills!A7</f>
        <v/>
      </c>
      <c r="B2516">
        <f>Skills!B7</f>
        <v/>
      </c>
      <c r="C2516">
        <f>Inputs!$B$3&gt;=107</f>
        <v/>
      </c>
      <c r="D2516">
        <f>IF(Skills!C7=1,60+Inputs!$B$25+Inputs!$B$29,IF(Skills!C7=2,90+Inputs!$B$26+Inputs!$B$29,IF(Skills!C7=3,120+Inputs!$B$27+Inputs!$B$29,MAX(0,(Inputs!$B$3-100)*3)+Inputs!$B$28+Inputs!$B$29)))</f>
        <v/>
      </c>
      <c r="E2516">
        <f>INDEX(FactorTable!$B$2:$Y$301, MATCH(ROUND(MIN(300,MAX(1,D2516)),0), FactorTable!$A$2:$A$301,0), Skills!M7+1)</f>
        <v/>
      </c>
      <c r="F2516">
        <f>IF(Skills!N7=TRUE,(Skills!L7/10)*(E2516/1000),Skills!L7/10)+Skills!O7</f>
        <v/>
      </c>
      <c r="G2516" t="inlineStr"/>
      <c r="H2516" t="inlineStr"/>
      <c r="I2516" t="inlineStr">
        <is>
          <t>1</t>
        </is>
      </c>
      <c r="J2516" t="inlineStr"/>
      <c r="K2516" t="inlineStr"/>
      <c r="L2516" t="inlineStr"/>
      <c r="M2516" t="inlineStr"/>
      <c r="N2516" t="inlineStr"/>
      <c r="O2516" t="inlineStr"/>
      <c r="P2516" t="inlineStr"/>
      <c r="Q2516" t="inlineStr"/>
      <c r="R2516" t="inlineStr"/>
      <c r="S2516" t="inlineStr"/>
      <c r="T2516" t="inlineStr"/>
      <c r="V2516" t="inlineStr"/>
    </row>
    <row r="2517">
      <c r="A2517">
        <f>Skills!A8</f>
        <v/>
      </c>
      <c r="B2517">
        <f>Skills!B8</f>
        <v/>
      </c>
      <c r="C2517">
        <f>Inputs!$B$3&gt;=69</f>
        <v/>
      </c>
      <c r="D2517">
        <f>IF(Skills!C8=1,60+Inputs!$B$25+Inputs!$B$29,IF(Skills!C8=2,90+Inputs!$B$26+Inputs!$B$29,IF(Skills!C8=3,120+Inputs!$B$27+Inputs!$B$29,MAX(0,(Inputs!$B$3-100)*3)+Inputs!$B$28+Inputs!$B$29)))</f>
        <v/>
      </c>
      <c r="E2517">
        <f>INDEX(FactorTable!$B$2:$Y$301, MATCH(ROUND(MIN(300,MAX(1,D2517)),0), FactorTable!$A$2:$A$301,0), Skills!M8+1)</f>
        <v/>
      </c>
      <c r="F2517">
        <f>IF(Skills!N8=TRUE,(Skills!L8/10)*(E2517/1000),Skills!L8/10)+Skills!O8</f>
        <v/>
      </c>
      <c r="G2517">
        <f>Skills!G8*IF(Skills!H8&gt;0,Skills!I8/Skills!H8,1)</f>
        <v/>
      </c>
      <c r="H2517">
        <f>1-(1-Skills!J8/100)^Skills!K8</f>
        <v/>
      </c>
      <c r="I2517" t="inlineStr">
        <is>
          <t>1</t>
        </is>
      </c>
      <c r="J2517">
        <f>((Inputs!$B$6*(1+Inputs!$B$7/100))+(((Inputs!$B$12*(1+Inputs!$B$13/100))-(Inputs!$B$12*(1+Inputs!$B$13/100)))+0.25*(Inputs!$B$14-Inputs!$B$14))*(1+Inputs!$B$7/100))*(F2517/100)</f>
        <v/>
      </c>
      <c r="K2517">
        <f>J2517*(1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2519=TRUE,F2519,0)/100)*(1+(IF(Skills!A8="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24)),(Inputs!$B$23+((C2538=TRUE)*(F2538-Calc!F29))+(IF(ArtifactsInput!$M$15,CHOOSE(ArtifactsInput!$N$15+1,25,30,35,40,45,50)/100*(Inputs!$B$11-Inputs!$B$11),0))))/100+(Inputs!$B$23+((C2538=TRUE)*(F2538-Calc!F29))+(IF(ArtifactsInput!$M$15,CHOOSE(ArtifactsInput!$N$15+1,25,30,35,40,45,50)/100*(Inputs!$B$11-Inputs!$B$11),0)))/100)/2</f>
        <v/>
      </c>
      <c r="M2517">
        <f>L2517*(1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IF(B2552=0,0,O2517/B2552)</f>
        <v/>
      </c>
      <c r="Q2517">
        <f>IFERROR(1/(IF(Inputs!$B$38="pvp",15,MAX(0.1,Skills!D8-IF(Skills!E8=TRUE,Inputs!$B$32,0)))*(1-IF(AND(ArtifactsInput!$M$27,Inputs!$B$4="Chapter Hunt"),CHOOSE(ArtifactsInput!$N$27+1,20,24,28,32,36,40),0)/100)),0)</f>
        <v/>
      </c>
      <c r="R2517">
        <f>IF(AND(Inputs!$B$38&lt;&gt;"pvp",Inputs!$B$43&gt;0),IF(MAX(0,Inputs!$B$43-B2549)&lt;=0,0,(INT(MAX(0,Inputs!$B$43-B2549)/(IF(Inputs!$B$38="pvp",15,MAX(0.1,Skills!D8-IF(Skills!E8=TRUE,Inputs!$B$32,0)))*(1-IF(AND(ArtifactsInput!$M$27,Inputs!$B$4="Chapter Hunt"),CHOOSE(ArtifactsInput!$N$27+1,20,24,28,32,36,40),0)/100)))+1)),0)</f>
        <v/>
      </c>
      <c r="S2517">
        <f>IFERROR(O2517/N2517,0)</f>
        <v/>
      </c>
      <c r="T2517">
        <f>IF(C2517,(H2517*N2517*IF(AND(Inputs!$B$38&lt;&gt;"pvp",Inputs!$B$43&gt;0),((Skills!G8*((R2517-1)*IF(Skills!H8&gt;0,Skills!I8/Skills!H8,1)+IF(Skills!H8&gt;0,MIN(Skills!I8,MAX(0,MAX(0,Inputs!$B$43-B2549)-((R2517-1)*(IF(Inputs!$B$38="pvp",15,MAX(0.1,Skills!D8-IF(Skills!E8=TRUE,Inputs!$B$32,0)))*(1-IF(AND(ArtifactsInput!$M$27,Inputs!$B$4="Chapter Hunt"),CHOOSE(ArtifactsInput!$N$27+1,20,24,28,32,36,40),0)/100)))))/Skills!H8,1)))/Inputs!$B$43),G2517*Q2517)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2517*(1-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8*((R2517-1)*IF(Skills!H8&gt;0,Skills!I8/Skills!H8,1)+IF(Skills!H8&gt;0,MIN(Skills!I8,MAX(0,MAX(0,Inputs!$B$43-B2549)-((R2517-1)*(IF(Inputs!$B$38="pvp",15,MAX(0.1,Skills!D8-IF(Skills!E8=TRUE,Inputs!$B$32,0)))*(1-IF(AND(ArtifactsInput!$M$27,Inputs!$B$4="Chapter Hunt"),CHOOSE(ArtifactsInput!$N$27+1,20,24,28,32,36,40),0)/100)))))/Skills!H8,1)))/Inputs!$B$43),G2517*Q2517))*IF(Inputs!$B$38="pvp",1,(1+(Inputs!$B$21+Skills!Q8+(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Skills!A9</f>
        <v/>
      </c>
      <c r="B2518">
        <f>Skills!B9</f>
        <v/>
      </c>
      <c r="C2518">
        <f>Inputs!$B$3&gt;=63</f>
        <v/>
      </c>
      <c r="D2518">
        <f>IF(Skills!C9=1,60+Inputs!$B$25+Inputs!$B$29,IF(Skills!C9=2,90+Inputs!$B$26+Inputs!$B$29,IF(Skills!C9=3,120+Inputs!$B$27+Inputs!$B$29,MAX(0,(Inputs!$B$3-100)*3)+Inputs!$B$28+Inputs!$B$29)))</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((Inputs!$B$6*(1+Inputs!$B$7/100))+(((Inputs!$B$12*(1+Inputs!$B$13/100))-(Inputs!$B$12*(1+Inputs!$B$13/100)))+0.25*(Inputs!$B$14-Inputs!$B$14))*(1+Inputs!$B$7/100))*(F2518/100)</f>
        <v/>
      </c>
      <c r="K2518">
        <f>J2518*(1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2519=TRUE,F2519,0)/100)*(1+(IF(Skills!A9="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24)),(Inputs!$B$23+((C2538=TRUE)*(F2538-Calc!F29))+(IF(ArtifactsInput!$M$15,CHOOSE(ArtifactsInput!$N$15+1,25,30,35,40,45,50)/100*(Inputs!$B$11-Inputs!$B$11),0))))/100+(Inputs!$B$23+((C2538=TRUE)*(F2538-Calc!F29))+(IF(ArtifactsInput!$M$15,CHOOSE(ArtifactsInput!$N$15+1,25,30,35,40,45,50)/100*(Inputs!$B$11-Inputs!$B$11),0)))/100)/2</f>
        <v/>
      </c>
      <c r="M2518">
        <f>L2518*(1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IF(B2552=0,0,O2518/B2552)</f>
        <v/>
      </c>
      <c r="Q2518">
        <f>IFERROR(1/(IF(Inputs!$B$38="pvp",15,MAX(0.1,Skills!D9-IF(Skills!E9=TRUE,Inputs!$B$32,0)))*(1-IF(AND(ArtifactsInput!$M$27,Inputs!$B$4="Chapter Hunt"),CHOOSE(ArtifactsInput!$N$27+1,20,24,28,32,36,40),0)/100)),0)</f>
        <v/>
      </c>
      <c r="R2518">
        <f>IF(AND(Inputs!$B$38&lt;&gt;"pvp",Inputs!$B$43&gt;0),IF(MAX(0,Inputs!$B$43-B2549)&lt;=0,0,(INT(MAX(0,Inputs!$B$43-B2549)/(IF(Inputs!$B$38="pvp",15,MAX(0.1,Skills!D9-IF(Skills!E9=TRUE,Inputs!$B$32,0)))*(1-IF(AND(ArtifactsInput!$M$27,Inputs!$B$4="Chapter Hunt"),CHOOSE(ArtifactsInput!$N$27+1,20,24,28,32,36,40),0)/100)))+1)),0)</f>
        <v/>
      </c>
      <c r="S2518">
        <f>IFERROR(O2518/N2518,0)</f>
        <v/>
      </c>
      <c r="T2518">
        <f>IF(C2518,(H2518*N2518*IF(AND(Inputs!$B$38&lt;&gt;"pvp",Inputs!$B$43&gt;0),((Skills!G9*((R2518-1)*IF(Skills!H9&gt;0,Skills!I9/Skills!H9,1)+IF(Skills!H9&gt;0,MIN(Skills!I9,MAX(0,MAX(0,Inputs!$B$43-B2549)-((R2518-1)*(IF(Inputs!$B$38="pvp",15,MAX(0.1,Skills!D9-IF(Skills!E9=TRUE,Inputs!$B$32,0)))*(1-IF(AND(ArtifactsInput!$M$27,Inputs!$B$4="Chapter Hunt"),CHOOSE(ArtifactsInput!$N$27+1,20,24,28,32,36,40),0)/100)))))/Skills!H9,1)))/Inputs!$B$43),G2518*Q2518)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2518*(1-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9*((R2518-1)*IF(Skills!H9&gt;0,Skills!I9/Skills!H9,1)+IF(Skills!H9&gt;0,MIN(Skills!I9,MAX(0,MAX(0,Inputs!$B$43-B2549)-((R2518-1)*(IF(Inputs!$B$38="pvp",15,MAX(0.1,Skills!D9-IF(Skills!E9=TRUE,Inputs!$B$32,0)))*(1-IF(AND(ArtifactsInput!$M$27,Inputs!$B$4="Chapter Hunt"),CHOOSE(ArtifactsInput!$N$27+1,20,24,28,32,36,40),0)/100)))))/Skills!H9,1)))/Inputs!$B$43),G2518*Q2518))*IF(Inputs!$B$38="pvp",1,(1+(Inputs!$B$21+Skills!Q9+(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Skills!A10</f>
        <v/>
      </c>
      <c r="B2519">
        <f>Skills!B10</f>
        <v/>
      </c>
      <c r="C2519">
        <f>Inputs!$B$3&gt;=100</f>
        <v/>
      </c>
      <c r="D2519">
        <f>IF(Skills!C10=1,60+Inputs!$B$25+Inputs!$B$29,IF(Skills!C10=2,90+Inputs!$B$26+Inputs!$B$29,IF(Skills!C10=3,120+Inputs!$B$27+Inputs!$B$29,MAX(0,(Inputs!$B$3-100)*3)+Inputs!$B$28+Inputs!$B$29)))</f>
        <v/>
      </c>
      <c r="E2519">
        <f>INDEX(FactorTable!$B$2:$Y$301, MATCH(ROUND(MIN(300,MAX(1,D2519)),0), FactorTable!$A$2:$A$301,0), Skills!M10+1)</f>
        <v/>
      </c>
      <c r="F2519">
        <f>IF(Skills!N10=TRUE,(Skills!L10/10)*(E2519/1000),Skills!L10/10)+Skills!O10</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V2519" t="inlineStr"/>
    </row>
    <row r="2520">
      <c r="A2520">
        <f>Skills!A11</f>
        <v/>
      </c>
      <c r="B2520">
        <f>Skills!B11</f>
        <v/>
      </c>
      <c r="C2520">
        <f>Inputs!$B$3&gt;=60</f>
        <v/>
      </c>
      <c r="D2520">
        <f>IF(Skills!C11=1,60+Inputs!$B$25+Inputs!$B$29,IF(Skills!C11=2,90+Inputs!$B$26+Inputs!$B$29,IF(Skills!C11=3,120+Inputs!$B$27+Inputs!$B$29,MAX(0,(Inputs!$B$3-100)*3)+Inputs!$B$28+Inputs!$B$29)))</f>
        <v/>
      </c>
      <c r="E2520">
        <f>INDEX(FactorTable!$B$2:$Y$301, MATCH(ROUND(MIN(300,MAX(1,D2520)),0), FactorTable!$A$2:$A$301,0), Skills!M11+1)</f>
        <v/>
      </c>
      <c r="F2520">
        <f>IF(Skills!N11=TRUE,(Skills!L11/10)*(E2520/1000),Skills!L11/10)+Skills!O11</f>
        <v/>
      </c>
      <c r="G2520">
        <f>Skills!G11*IF(Skills!H11&gt;0,Skills!I11/Skills!H11,1)</f>
        <v/>
      </c>
      <c r="H2520">
        <f>1-(1-Skills!J11/100)^Skills!K11</f>
        <v/>
      </c>
      <c r="I2520" t="inlineStr">
        <is>
          <t>1</t>
        </is>
      </c>
      <c r="J2520">
        <f>((Inputs!$B$6*(1+Inputs!$B$7/100))+(((Inputs!$B$12*(1+Inputs!$B$13/100))-(Inputs!$B$12*(1+Inputs!$B$13/100)))+0.25*(Inputs!$B$14-Inputs!$B$14))*(1+Inputs!$B$7/100))*(F2520/100)</f>
        <v/>
      </c>
      <c r="K2520">
        <f>J2520*(1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2521=TRUE,F2521,0)/100)*(1+(IF(Skills!A11="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24)),(Inputs!$B$23+((C2538=TRUE)*(F2538-Calc!F29))+(IF(ArtifactsInput!$M$15,CHOOSE(ArtifactsInput!$N$15+1,25,30,35,40,45,50)/100*(Inputs!$B$11-Inputs!$B$11),0))))/100+(Inputs!$B$23+((C2538=TRUE)*(F2538-Calc!F29))+(IF(ArtifactsInput!$M$15,CHOOSE(ArtifactsInput!$N$15+1,25,30,35,40,45,50)/100*(Inputs!$B$11-Inputs!$B$11),0)))/100)/2</f>
        <v/>
      </c>
      <c r="M2520">
        <f>L2520*(1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IF(B2552=0,0,O2520/B2552)</f>
        <v/>
      </c>
      <c r="Q2520">
        <f>IFERROR(1/(IF(Inputs!$B$38="pvp",15,MAX(0.1,Skills!D11-IF(Skills!E11=TRUE,Inputs!$B$32,0)))*(1-IF(AND(ArtifactsInput!$M$27,Inputs!$B$4="Chapter Hunt"),CHOOSE(ArtifactsInput!$N$27+1,20,24,28,32,36,40),0)/100)),0)</f>
        <v/>
      </c>
      <c r="R2520">
        <f>IF(AND(Inputs!$B$38&lt;&gt;"pvp",Inputs!$B$43&gt;0),IF(MAX(0,Inputs!$B$43-B2549)&lt;=0,0,(INT(MAX(0,Inputs!$B$43-B2549)/(IF(Inputs!$B$38="pvp",15,MAX(0.1,Skills!D11-IF(Skills!E11=TRUE,Inputs!$B$32,0)))*(1-IF(AND(ArtifactsInput!$M$27,Inputs!$B$4="Chapter Hunt"),CHOOSE(ArtifactsInput!$N$27+1,20,24,28,32,36,40),0)/100)))+1)),0)</f>
        <v/>
      </c>
      <c r="S2520">
        <f>IFERROR(O2520/N2520,0)</f>
        <v/>
      </c>
      <c r="T2520">
        <f>IF(C2520,(H2520*N2520*IF(AND(Inputs!$B$38&lt;&gt;"pvp",Inputs!$B$43&gt;0),((Skills!G11*((R2520-1)*IF(Skills!H11&gt;0,Skills!I11/Skills!H11,1)+IF(Skills!H11&gt;0,MIN(Skills!I11,MAX(0,MAX(0,Inputs!$B$43-B2549)-((R2520-1)*(IF(Inputs!$B$38="pvp",15,MAX(0.1,Skills!D11-IF(Skills!E11=TRUE,Inputs!$B$32,0)))*(1-IF(AND(ArtifactsInput!$M$27,Inputs!$B$4="Chapter Hunt"),CHOOSE(ArtifactsInput!$N$27+1,20,24,28,32,36,40),0)/100)))))/Skills!H11,1)))/Inputs!$B$43),G2520*Q2520)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2520*(1-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11*((R2520-1)*IF(Skills!H11&gt;0,Skills!I11/Skills!H11,1)+IF(Skills!H11&gt;0,MIN(Skills!I11,MAX(0,MAX(0,Inputs!$B$43-B2549)-((R2520-1)*(IF(Inputs!$B$38="pvp",15,MAX(0.1,Skills!D11-IF(Skills!E11=TRUE,Inputs!$B$32,0)))*(1-IF(AND(ArtifactsInput!$M$27,Inputs!$B$4="Chapter Hunt"),CHOOSE(ArtifactsInput!$N$27+1,20,24,28,32,36,40),0)/100)))))/Skills!H11,1)))/Inputs!$B$43),G2520*Q2520))*IF(Inputs!$B$38="pvp",1,(1+(Inputs!$B$21+Skills!Q11+(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Skills!A12</f>
        <v/>
      </c>
      <c r="B2521">
        <f>Skills!B12</f>
        <v/>
      </c>
      <c r="C2521">
        <f>Inputs!$B$3&gt;=110</f>
        <v/>
      </c>
      <c r="D2521">
        <f>IF(Skills!C12=1,60+Inputs!$B$25+Inputs!$B$29,IF(Skills!C12=2,90+Inputs!$B$26+Inputs!$B$29,IF(Skills!C12=3,120+Inputs!$B$27+Inputs!$B$29,MAX(0,(Inputs!$B$3-100)*3)+Inputs!$B$28+Inputs!$B$29)))</f>
        <v/>
      </c>
      <c r="E2521">
        <f>INDEX(FactorTable!$B$2:$Y$301, MATCH(ROUND(MIN(300,MAX(1,D2521)),0), FactorTable!$A$2:$A$301,0), Skills!M12+1)</f>
        <v/>
      </c>
      <c r="F2521">
        <f>IF(Skills!N12=TRUE,(Skills!L12/10)*(E2521/1000),Skills!L12/10)+Skills!O12</f>
        <v/>
      </c>
      <c r="G2521" t="inlineStr"/>
      <c r="H2521" t="inlineStr"/>
      <c r="I2521" t="inlineStr">
        <is>
          <t>1</t>
        </is>
      </c>
      <c r="J2521" t="inlineStr"/>
      <c r="K2521" t="inlineStr"/>
      <c r="L2521" t="inlineStr"/>
      <c r="M2521" t="inlineStr"/>
      <c r="N2521" t="inlineStr"/>
      <c r="O2521" t="inlineStr"/>
      <c r="P2521" t="inlineStr"/>
      <c r="Q2521" t="inlineStr"/>
      <c r="R2521" t="inlineStr"/>
      <c r="S2521" t="inlineStr"/>
      <c r="T2521" t="inlineStr"/>
      <c r="V2521" t="inlineStr"/>
    </row>
    <row r="2522">
      <c r="A2522">
        <f>Skills!A13</f>
        <v/>
      </c>
      <c r="B2522">
        <f>Skills!B13</f>
        <v/>
      </c>
      <c r="C2522">
        <f>Inputs!$B$3&gt;=74</f>
        <v/>
      </c>
      <c r="D2522">
        <f>IF(Skills!C13=1,60+Inputs!$B$25+Inputs!$B$29,IF(Skills!C13=2,90+Inputs!$B$26+Inputs!$B$29,IF(Skills!C13=3,120+Inputs!$B$27+Inputs!$B$29,MAX(0,(Inputs!$B$3-100)*3)+Inputs!$B$28+Inputs!$B$29)))</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IF(B2552=0,0,O2522/B2552)</f>
        <v/>
      </c>
      <c r="Q2522" t="n">
        <v>0</v>
      </c>
      <c r="R2522" t="n">
        <v>0</v>
      </c>
      <c r="S2522">
        <f>IFERROR(O2522/N2522,0)</f>
        <v/>
      </c>
      <c r="T2522" t="n">
        <v>0</v>
      </c>
      <c r="V2522" t="n">
        <v>0</v>
      </c>
    </row>
    <row r="2523">
      <c r="A2523">
        <f>Skills!A14</f>
        <v/>
      </c>
      <c r="B2523">
        <f>Skills!B14</f>
        <v/>
      </c>
      <c r="C2523">
        <f>Inputs!$B$3&gt;=74</f>
        <v/>
      </c>
      <c r="D2523">
        <f>IF(Skills!C14=1,60+Inputs!$B$25+Inputs!$B$29,IF(Skills!C14=2,90+Inputs!$B$26+Inputs!$B$29,IF(Skills!C14=3,120+Inputs!$B$27+Inputs!$B$29,MAX(0,(Inputs!$B$3-100)*3)+Inputs!$B$28+Inputs!$B$29)))</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IF(B2552=0,0,O2523/B2552)</f>
        <v/>
      </c>
      <c r="Q2523" t="n">
        <v>0</v>
      </c>
      <c r="R2523" t="n">
        <v>0</v>
      </c>
      <c r="S2523">
        <f>IFERROR(O2523/N2523,0)</f>
        <v/>
      </c>
      <c r="T2523" t="n">
        <v>0</v>
      </c>
      <c r="V2523" t="n">
        <v>0</v>
      </c>
    </row>
    <row r="2524">
      <c r="A2524">
        <f>Skills!A15</f>
        <v/>
      </c>
      <c r="B2524">
        <f>Skills!B15</f>
        <v/>
      </c>
      <c r="C2524">
        <f>Inputs!$B$3&gt;=117</f>
        <v/>
      </c>
      <c r="D2524">
        <f>IF(Skills!C15=1,60+Inputs!$B$25+Inputs!$B$29,IF(Skills!C15=2,90+Inputs!$B$26+Inputs!$B$29,IF(Skills!C15=3,120+Inputs!$B$27+Inputs!$B$29,MAX(0,(Inputs!$B$3-100)*3)+Inputs!$B$28+Inputs!$B$29)))</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IF(B2552=0,0,O2524/B2552)</f>
        <v/>
      </c>
      <c r="Q2524">
        <f>IFERROR(1/(IF(Inputs!$B$38="pvp",15,MAX(0.1,Skills!D15-IF(Skills!E15=TRUE,Inputs!$B$32,0)))*(1-IF(AND(ArtifactsInput!$M$27,Inputs!$B$4="Chapter Hunt"),CHOOSE(ArtifactsInput!$N$27+1,20,24,28,32,36,40),0)/100)),0)</f>
        <v/>
      </c>
      <c r="R2524">
        <f>IF(AND(Inputs!$B$38&lt;&gt;"pvp",Inputs!$B$43&gt;0),IF(Inputs!$B$43&lt;=0,0,(INT(Inputs!$B$43/(IF(Inputs!$B$38="pvp",15,MAX(0.1,Skills!D15-IF(Skills!E15=TRUE,Inputs!$B$32,0)))*(1-IF(AND(ArtifactsInput!$M$27,Inputs!$B$4="Chapter Hunt"),CHOOSE(ArtifactsInput!$N$27+1,20,24,28,32,36,40),0)/100)))+1)),0)</f>
        <v/>
      </c>
      <c r="S2524">
        <f>IFERROR(O2524/N2524,0)</f>
        <v/>
      </c>
      <c r="T2524" t="n">
        <v>0</v>
      </c>
      <c r="V2524" t="n">
        <v>0</v>
      </c>
    </row>
    <row r="2525">
      <c r="A2525">
        <f>Skills!A16</f>
        <v/>
      </c>
      <c r="B2525">
        <f>Skills!B16</f>
        <v/>
      </c>
      <c r="C2525">
        <f>Inputs!$B$3&gt;=115</f>
        <v/>
      </c>
      <c r="D2525">
        <f>IF(Skills!C16=1,60+Inputs!$B$25+Inputs!$B$29,IF(Skills!C16=2,90+Inputs!$B$26+Inputs!$B$29,IF(Skills!C16=3,120+Inputs!$B$27+Inputs!$B$29,MAX(0,(Inputs!$B$3-100)*3)+Inputs!$B$28+Inputs!$B$29)))</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IF(B2552=0,0,O2525/B2552)</f>
        <v/>
      </c>
      <c r="Q2525">
        <f>IFERROR(1/(IF(Inputs!$B$38="pvp",15,MAX(0.1,Skills!D16-IF(Skills!E16=TRUE,Inputs!$B$32,0)))*(1-IF(AND(ArtifactsInput!$M$27,Inputs!$B$4="Chapter Hunt"),CHOOSE(ArtifactsInput!$N$27+1,20,24,28,32,36,40),0)/100)),0)</f>
        <v/>
      </c>
      <c r="R2525">
        <f>IF(AND(Inputs!$B$38&lt;&gt;"pvp",Inputs!$B$43&gt;0),IF(Inputs!$B$43&lt;=0,0,(INT(Inputs!$B$43/(IF(Inputs!$B$38="pvp",15,MAX(0.1,Skills!D16-IF(Skills!E16=TRUE,Inputs!$B$32,0)))*(1-IF(AND(ArtifactsInput!$M$27,Inputs!$B$4="Chapter Hunt"),CHOOSE(ArtifactsInput!$N$27+1,20,24,28,32,36,40),0)/100)))+1)),0)</f>
        <v/>
      </c>
      <c r="S2525">
        <f>IFERROR(O2525/N2525,0)</f>
        <v/>
      </c>
      <c r="T2525" t="n">
        <v>0</v>
      </c>
      <c r="V2525" t="n">
        <v>0</v>
      </c>
    </row>
    <row r="2526">
      <c r="A2526">
        <f>Skills!A17</f>
        <v/>
      </c>
      <c r="B2526">
        <f>Skills!B17</f>
        <v/>
      </c>
      <c r="C2526">
        <f>Inputs!$B$3&gt;=66</f>
        <v/>
      </c>
      <c r="D2526">
        <f>IF(Skills!C17=1,60+Inputs!$B$25+Inputs!$B$29,IF(Skills!C17=2,90+Inputs!$B$26+Inputs!$B$29,IF(Skills!C17=3,120+Inputs!$B$27+Inputs!$B$29,MAX(0,(Inputs!$B$3-100)*3)+Inputs!$B$28+Inputs!$B$29)))</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IF(B2552=0,0,O2526/B2552)</f>
        <v/>
      </c>
      <c r="Q2526" t="n">
        <v>0</v>
      </c>
      <c r="R2526" t="n">
        <v>0</v>
      </c>
      <c r="S2526">
        <f>IFERROR(O2526/N2526,0)</f>
        <v/>
      </c>
      <c r="T2526" t="n">
        <v>0</v>
      </c>
      <c r="V2526" t="n">
        <v>0</v>
      </c>
    </row>
    <row r="2527">
      <c r="A2527">
        <f>Skills!A18</f>
        <v/>
      </c>
      <c r="B2527">
        <f>Skills!B18</f>
        <v/>
      </c>
      <c r="C2527">
        <f>Inputs!$B$3&gt;=72</f>
        <v/>
      </c>
      <c r="D2527">
        <f>IF(Skills!C18=1,60+Inputs!$B$25+Inputs!$B$29,IF(Skills!C18=2,90+Inputs!$B$26+Inputs!$B$29,IF(Skills!C18=3,120+Inputs!$B$27+Inputs!$B$29,MAX(0,(Inputs!$B$3-100)*3)+Inputs!$B$28+Inputs!$B$29)))</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IF(B2552=0,0,O2527/B2552)</f>
        <v/>
      </c>
      <c r="Q2527" t="n">
        <v>0</v>
      </c>
      <c r="R2527" t="n">
        <v>0</v>
      </c>
      <c r="S2527">
        <f>IFERROR(O2527/N2527,0)</f>
        <v/>
      </c>
      <c r="T2527" t="n">
        <v>0</v>
      </c>
      <c r="V2527" t="n">
        <v>0</v>
      </c>
    </row>
    <row r="2528">
      <c r="A2528">
        <f>Skills!A19</f>
        <v/>
      </c>
      <c r="B2528">
        <f>Skills!B19</f>
        <v/>
      </c>
      <c r="C2528">
        <f>TRUE</f>
        <v/>
      </c>
      <c r="D2528">
        <f>IF(Skills!C19=1,60+Inputs!$B$25+Inputs!$B$29,IF(Skills!C19=2,90+Inputs!$B$26+Inputs!$B$29,IF(Skills!C19=3,120+Inputs!$B$27+Inputs!$B$29,MAX(0,(Inputs!$B$3-100)*3)+Inputs!$B$28+Inputs!$B$29)))</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IF(B2552=0,0,O2528/B2552)</f>
        <v/>
      </c>
      <c r="Q2528">
        <f>IFERROR(1/(IF(Inputs!$B$38="pvp",15,MAX(0.1,Skills!D19-IF(Skills!E19=TRUE,Inputs!$B$32,0)))*(1-IF(AND(ArtifactsInput!$M$27,Inputs!$B$4="Chapter Hunt"),CHOOSE(ArtifactsInput!$N$27+1,20,24,28,32,36,40),0)/100)),0)</f>
        <v/>
      </c>
      <c r="R2528">
        <f>IF(AND(Inputs!$B$38&lt;&gt;"pvp",Inputs!$B$43&gt;0),IF(Inputs!$B$43&lt;=0,0,(INT(Inputs!$B$43/(IF(Inputs!$B$38="pvp",15,MAX(0.1,Skills!D19-IF(Skills!E19=TRUE,Inputs!$B$32,0)))*(1-IF(AND(ArtifactsInput!$M$27,Inputs!$B$4="Chapter Hunt"),CHOOSE(ArtifactsInput!$N$27+1,20,24,28,32,36,40),0)/100)))+1)),0)</f>
        <v/>
      </c>
      <c r="S2528">
        <f>IFERROR(O2528/N2528,0)</f>
        <v/>
      </c>
      <c r="T2528" t="n">
        <v>0</v>
      </c>
      <c r="V2528" t="n">
        <v>0</v>
      </c>
    </row>
    <row r="2529">
      <c r="A2529">
        <f>Skills!A20</f>
        <v/>
      </c>
      <c r="B2529">
        <f>Skills!B20</f>
        <v/>
      </c>
      <c r="C2529">
        <f>Inputs!$B$3&gt;=15</f>
        <v/>
      </c>
      <c r="D2529">
        <f>IF(Skills!C20=1,60+Inputs!$B$25+Inputs!$B$29,IF(Skills!C20=2,90+Inputs!$B$26+Inputs!$B$29,IF(Skills!C20=3,120+Inputs!$B$27+Inputs!$B$29,MAX(0,(Inputs!$B$3-100)*3)+Inputs!$B$28+Inputs!$B$29)))</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IF(B2552=0,0,O2529/B2552)</f>
        <v/>
      </c>
      <c r="Q2529" t="n">
        <v>0</v>
      </c>
      <c r="R2529" t="n">
        <v>0</v>
      </c>
      <c r="S2529">
        <f>IFERROR(O2529/N2529,0)</f>
        <v/>
      </c>
      <c r="T2529" t="n">
        <v>0</v>
      </c>
      <c r="V2529" t="n">
        <v>0</v>
      </c>
    </row>
    <row r="2530">
      <c r="A2530">
        <f>Skills!A21</f>
        <v/>
      </c>
      <c r="B2530">
        <f>Skills!B21</f>
        <v/>
      </c>
      <c r="C2530">
        <f>Inputs!$B$3&gt;=10</f>
        <v/>
      </c>
      <c r="D2530">
        <f>IF(Skills!C21=1,60+Inputs!$B$25+Inputs!$B$29,IF(Skills!C21=2,90+Inputs!$B$26+Inputs!$B$29,IF(Skills!C21=3,120+Inputs!$B$27+Inputs!$B$29,MAX(0,(Inputs!$B$3-100)*3)+Inputs!$B$28+Inputs!$B$29)))</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IF(B2552=0,0,O2530/B2552)</f>
        <v/>
      </c>
      <c r="Q2530" t="n">
        <v>0</v>
      </c>
      <c r="R2530" t="n">
        <v>0</v>
      </c>
      <c r="S2530">
        <f>IFERROR(O2530/N2530,0)</f>
        <v/>
      </c>
      <c r="T2530" t="n">
        <v>0</v>
      </c>
      <c r="V2530" t="n">
        <v>0</v>
      </c>
    </row>
    <row r="2531">
      <c r="A2531">
        <f>Skills!A22</f>
        <v/>
      </c>
      <c r="B2531">
        <f>Skills!B22</f>
        <v/>
      </c>
      <c r="C2531">
        <f>Inputs!$B$3&gt;=33</f>
        <v/>
      </c>
      <c r="D2531">
        <f>IF(Skills!C22=1,60+Inputs!$B$25+Inputs!$B$29,IF(Skills!C22=2,90+Inputs!$B$26+Inputs!$B$29,IF(Skills!C22=3,120+Inputs!$B$27+Inputs!$B$29,MAX(0,(Inputs!$B$3-100)*3)+Inputs!$B$28+Inputs!$B$29)))</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IF(B2552=0,0,O2531/B2552)</f>
        <v/>
      </c>
      <c r="Q2531" t="n">
        <v>0</v>
      </c>
      <c r="R2531" t="n">
        <v>0</v>
      </c>
      <c r="S2531">
        <f>IFERROR(O2531/N2531,0)</f>
        <v/>
      </c>
      <c r="T2531" t="n">
        <v>0</v>
      </c>
      <c r="V2531" t="n">
        <v>0</v>
      </c>
    </row>
    <row r="2532">
      <c r="A2532">
        <f>Skills!A23</f>
        <v/>
      </c>
      <c r="B2532">
        <f>Skills!B23</f>
        <v/>
      </c>
      <c r="C2532">
        <f>Inputs!$B$3&gt;=38</f>
        <v/>
      </c>
      <c r="D2532">
        <f>IF(Skills!C23=1,60+Inputs!$B$25+Inputs!$B$29,IF(Skills!C23=2,90+Inputs!$B$26+Inputs!$B$29,IF(Skills!C23=3,120+Inputs!$B$27+Inputs!$B$29,MAX(0,(Inputs!$B$3-100)*3)+Inputs!$B$28+Inputs!$B$29)))</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IF(B2552=0,0,O2532/B2552)</f>
        <v/>
      </c>
      <c r="Q2532" t="n">
        <v>0</v>
      </c>
      <c r="R2532" t="n">
        <v>0</v>
      </c>
      <c r="S2532">
        <f>IFERROR(O2532/N2532,0)</f>
        <v/>
      </c>
      <c r="T2532" t="n">
        <v>0</v>
      </c>
      <c r="V2532" t="n">
        <v>0</v>
      </c>
    </row>
    <row r="2533">
      <c r="A2533">
        <f>Skills!A24</f>
        <v/>
      </c>
      <c r="B2533">
        <f>Skills!B24</f>
        <v/>
      </c>
      <c r="C2533">
        <f>Inputs!$B$3&gt;=43</f>
        <v/>
      </c>
      <c r="D2533">
        <f>IF(Skills!C24=1,60+Inputs!$B$25+Inputs!$B$29,IF(Skills!C24=2,90+Inputs!$B$26+Inputs!$B$29,IF(Skills!C24=3,120+Inputs!$B$27+Inputs!$B$29,MAX(0,(Inputs!$B$3-100)*3)+Inputs!$B$28+Inputs!$B$29)))</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IF(B2552=0,0,O2533/B2552)</f>
        <v/>
      </c>
      <c r="Q2533" t="n">
        <v>0</v>
      </c>
      <c r="R2533" t="n">
        <v>0</v>
      </c>
      <c r="S2533">
        <f>IFERROR(O2533/N2533,0)</f>
        <v/>
      </c>
      <c r="T2533" t="n">
        <v>0</v>
      </c>
      <c r="V2533" t="n">
        <v>0</v>
      </c>
    </row>
    <row r="2534">
      <c r="A2534">
        <f>Skills!A25</f>
        <v/>
      </c>
      <c r="B2534">
        <f>Skills!B25</f>
        <v/>
      </c>
      <c r="C2534">
        <f>Inputs!$B$3&gt;=75</f>
        <v/>
      </c>
      <c r="D2534">
        <f>IF(Skills!C25=1,60+Inputs!$B$25+Inputs!$B$29,IF(Skills!C25=2,90+Inputs!$B$26+Inputs!$B$29,IF(Skills!C25=3,120+Inputs!$B$27+Inputs!$B$29,MAX(0,(Inputs!$B$3-100)*3)+Inputs!$B$28+Inputs!$B$29)))</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IF(B2552=0,0,O2534/B2552)</f>
        <v/>
      </c>
      <c r="Q2534" t="n">
        <v>0</v>
      </c>
      <c r="R2534" t="n">
        <v>0</v>
      </c>
      <c r="S2534">
        <f>IFERROR(O2534/N2534,0)</f>
        <v/>
      </c>
      <c r="T2534" t="n">
        <v>0</v>
      </c>
      <c r="V2534" t="n">
        <v>0</v>
      </c>
    </row>
    <row r="2535">
      <c r="A2535">
        <f>Skills!A26</f>
        <v/>
      </c>
      <c r="B2535">
        <f>Skills!B26</f>
        <v/>
      </c>
      <c r="C2535">
        <f>Inputs!$B$3&gt;=125</f>
        <v/>
      </c>
      <c r="D2535">
        <f>IF(Skills!C26=1,60+Inputs!$B$25+Inputs!$B$29,IF(Skills!C26=2,90+Inputs!$B$26+Inputs!$B$29,IF(Skills!C26=3,120+Inputs!$B$27+Inputs!$B$29,MAX(0,(Inputs!$B$3-100)*3)+Inputs!$B$28+Inputs!$B$29)))</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IF(B2552=0,0,O2535/B2552)</f>
        <v/>
      </c>
      <c r="Q2535" t="n">
        <v>0</v>
      </c>
      <c r="R2535" t="n">
        <v>0</v>
      </c>
      <c r="S2535">
        <f>IFERROR(O2535/N2535,0)</f>
        <v/>
      </c>
      <c r="T2535" t="n">
        <v>0</v>
      </c>
      <c r="V2535" t="n">
        <v>0</v>
      </c>
    </row>
    <row r="2536">
      <c r="A2536">
        <f>Skills!A27</f>
        <v/>
      </c>
      <c r="B2536">
        <f>Skills!B27</f>
        <v/>
      </c>
      <c r="C2536">
        <f>Inputs!$B$3&gt;=125</f>
        <v/>
      </c>
      <c r="D2536">
        <f>IF(Skills!C27=1,60+Inputs!$B$25+Inputs!$B$29,IF(Skills!C27=2,90+Inputs!$B$26+Inputs!$B$29,IF(Skills!C27=3,120+Inputs!$B$27+Inputs!$B$29,MAX(0,(Inputs!$B$3-100)*3)+Inputs!$B$28+Inputs!$B$29)))</f>
        <v/>
      </c>
      <c r="E2536">
        <f>INDEX(FactorTable!$B$2:$Y$301, MATCH(ROUND(MIN(300,MAX(1,D2536)),0), FactorTable!$A$2:$A$301,0), Skills!M27+1)</f>
        <v/>
      </c>
      <c r="F2536">
        <f>IF(Skills!N27=TRUE,(Skills!L27/10)*(E2536/1000),Skills!L27/10)+Skills!O27</f>
        <v/>
      </c>
      <c r="G2536">
        <f>Skills!G27*IF(Skills!H27&gt;0,Skills!I27/Skills!H27,1)</f>
        <v/>
      </c>
      <c r="H2536">
        <f>1-(1-Skills!J27/100)^Skills!K27</f>
        <v/>
      </c>
      <c r="I2536" t="inlineStr">
        <is>
          <t>1</t>
        </is>
      </c>
      <c r="J2536" t="inlineStr"/>
      <c r="K2536" t="inlineStr"/>
      <c r="L2536" t="inlineStr"/>
      <c r="M2536" t="inlineStr"/>
      <c r="N2536" t="inlineStr"/>
      <c r="O2536">
        <f>(1-Summary!$B$11)*T2536+Summary!$B$11*V2536</f>
        <v/>
      </c>
      <c r="P2536">
        <f>IF(B2552=0,0,O2536/B2552)</f>
        <v/>
      </c>
      <c r="Q2536" t="n">
        <v>0</v>
      </c>
      <c r="R2536" t="n">
        <v>0</v>
      </c>
      <c r="S2536">
        <f>IFERROR(O2536/N2536,0)</f>
        <v/>
      </c>
      <c r="T2536" t="n">
        <v>0</v>
      </c>
      <c r="V2536" t="n">
        <v>0</v>
      </c>
    </row>
    <row r="2537">
      <c r="A2537">
        <f>Skills!A28</f>
        <v/>
      </c>
      <c r="B2537">
        <f>Skills!B28</f>
        <v/>
      </c>
      <c r="C2537">
        <f>Inputs!$B$3&gt;=120</f>
        <v/>
      </c>
      <c r="D2537">
        <f>IF(Skills!C28=1,60+Inputs!$B$25+Inputs!$B$29,IF(Skills!C28=2,90+Inputs!$B$26+Inputs!$B$29,IF(Skills!C28=3,120+Inputs!$B$27+Inputs!$B$29,MAX(0,(Inputs!$B$3-100)*3)+Inputs!$B$28+Inputs!$B$29)))</f>
        <v/>
      </c>
      <c r="E2537">
        <f>INDEX(FactorTable!$B$2:$Y$301, MATCH(ROUND(MIN(300,MAX(1,D2537)),0), FactorTable!$A$2:$A$301,0), Skills!M28+1)</f>
        <v/>
      </c>
      <c r="F2537">
        <f>IF(Skills!N28=TRUE,(Skills!L28/10)*(E2537/1000),Skills!L28/10)+Skills!O28</f>
        <v/>
      </c>
      <c r="G2537">
        <f>Skills!G28*IF(Skills!H28&gt;0,Skills!I28/Skills!H28,1)</f>
        <v/>
      </c>
      <c r="H2537">
        <f>1-(1-Skills!J28/100)^Skills!K28</f>
        <v/>
      </c>
      <c r="I2537" t="inlineStr">
        <is>
          <t>1</t>
        </is>
      </c>
      <c r="J2537" t="inlineStr"/>
      <c r="K2537" t="inlineStr"/>
      <c r="L2537" t="inlineStr"/>
      <c r="M2537" t="inlineStr"/>
      <c r="N2537" t="inlineStr"/>
      <c r="O2537">
        <f>(1-Summary!$B$11)*T2537+Summary!$B$11*V2537</f>
        <v/>
      </c>
      <c r="P2537">
        <f>IF(B2552=0,0,O2537/B2552)</f>
        <v/>
      </c>
      <c r="Q2537" t="n">
        <v>0</v>
      </c>
      <c r="R2537" t="n">
        <v>0</v>
      </c>
      <c r="S2537">
        <f>IFERROR(O2537/N2537,0)</f>
        <v/>
      </c>
      <c r="T2537" t="n">
        <v>0</v>
      </c>
      <c r="V2537" t="n">
        <v>0</v>
      </c>
    </row>
    <row r="2538">
      <c r="A2538">
        <f>Skills!A29</f>
        <v/>
      </c>
      <c r="B2538">
        <f>Skills!B29</f>
        <v/>
      </c>
      <c r="C2538">
        <f>Inputs!$B$3&gt;=120</f>
        <v/>
      </c>
      <c r="D2538">
        <f>IF(Skills!C29=1,60+Inputs!$B$25+Inputs!$B$29,IF(Skills!C29=2,90+Inputs!$B$26+Inputs!$B$29,IF(Skills!C29=3,120+Inputs!$B$27+Inputs!$B$29,MAX(0,(Inputs!$B$3-100)*3)+Inputs!$B$28+Inputs!$B$29)))</f>
        <v/>
      </c>
      <c r="E2538">
        <f>INDEX(FactorTable!$B$2:$Y$301, MATCH(ROUND(MIN(300,MAX(1,D2538)),0), FactorTable!$A$2:$A$301,0), Skills!M29+1)</f>
        <v/>
      </c>
      <c r="F2538">
        <f>IF(Skills!N29=TRUE,(Skills!L29/10)*(E2538/1000),Skills!L29/10)+Skills!O29</f>
        <v/>
      </c>
      <c r="G2538">
        <f>Skills!G29*IF(Skills!H29&gt;0,Skills!I29/Skills!H29,1)</f>
        <v/>
      </c>
      <c r="H2538">
        <f>1-(1-Skills!J29/100)^Skills!K29</f>
        <v/>
      </c>
      <c r="I2538" t="inlineStr">
        <is>
          <t>1</t>
        </is>
      </c>
      <c r="J2538" t="inlineStr"/>
      <c r="K2538" t="inlineStr"/>
      <c r="L2538" t="inlineStr"/>
      <c r="M2538" t="inlineStr"/>
      <c r="N2538" t="inlineStr"/>
      <c r="O2538">
        <f>(1-Summary!$B$11)*T2538+Summary!$B$11*V2538</f>
        <v/>
      </c>
      <c r="P2538">
        <f>IF(B2552=0,0,O2538/B2552)</f>
        <v/>
      </c>
      <c r="Q2538" t="n">
        <v>0</v>
      </c>
      <c r="R2538" t="n">
        <v>0</v>
      </c>
      <c r="S2538">
        <f>IFERROR(O2538/N2538,0)</f>
        <v/>
      </c>
      <c r="T2538" t="n">
        <v>0</v>
      </c>
      <c r="V2538" t="n">
        <v>0</v>
      </c>
    </row>
    <row r="2539">
      <c r="A2539">
        <f>Skills!A30</f>
        <v/>
      </c>
      <c r="B2539">
        <f>Skills!B30</f>
        <v/>
      </c>
      <c r="C2539">
        <f>Inputs!$B$3&gt;=45</f>
        <v/>
      </c>
      <c r="D2539">
        <f>IF(Skills!C30=1,60+Inputs!$B$25+Inputs!$B$29,IF(Skills!C30=2,90+Inputs!$B$26+Inputs!$B$29,IF(Skills!C30=3,120+Inputs!$B$27+Inputs!$B$29,MAX(0,(Inputs!$B$3-100)*3)+Inputs!$B$28+Inputs!$B$29)))</f>
        <v/>
      </c>
      <c r="E2539">
        <f>INDEX(FactorTable!$B$2:$Y$301, MATCH(ROUND(MIN(300,MAX(1,D2539)),0), FactorTable!$A$2:$A$301,0), Skills!M30+1)</f>
        <v/>
      </c>
      <c r="F2539">
        <f>IF(Skills!N30=TRUE,(Skills!L30/10)*(E2539/1000),Skills!L30/10)+Skills!O30</f>
        <v/>
      </c>
      <c r="G2539">
        <f>Skills!G30*IF(Skills!H30&gt;0,Skills!I30/Skills!H30,1)</f>
        <v/>
      </c>
      <c r="H2539">
        <f>1-(1-Skills!J30/100)^Skills!K30</f>
        <v/>
      </c>
      <c r="I2539" t="inlineStr">
        <is>
          <t>1</t>
        </is>
      </c>
      <c r="J2539" t="inlineStr"/>
      <c r="K2539" t="inlineStr"/>
      <c r="L2539" t="inlineStr"/>
      <c r="M2539" t="inlineStr"/>
      <c r="N2539" t="inlineStr"/>
      <c r="O2539">
        <f>(1-Summary!$B$11)*T2539+Summary!$B$11*V2539</f>
        <v/>
      </c>
      <c r="P2539">
        <f>IF(B2552=0,0,O2539/B2552)</f>
        <v/>
      </c>
      <c r="Q2539" t="n">
        <v>0</v>
      </c>
      <c r="R2539" t="n">
        <v>0</v>
      </c>
      <c r="S2539">
        <f>IFERROR(O2539/N2539,0)</f>
        <v/>
      </c>
      <c r="T2539" t="n">
        <v>0</v>
      </c>
      <c r="V2539" t="n">
        <v>0</v>
      </c>
    </row>
    <row r="2541">
      <c r="A2541" t="inlineStr">
        <is>
          <t>Attack% Bucket Multiplier</t>
        </is>
      </c>
      <c r="B2541">
        <f>(1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2">
      <c r="A2542" t="inlineStr">
        <is>
          <t>Global Crit Rate Bonus %</t>
        </is>
      </c>
      <c r="B2542">
        <f>(C2525=TRUE)*20*IF(AND(Inputs!$B$38&lt;&gt;"pvp",Inputs!$B$43&gt;0),(((R2525-1)*(Skills!T16*(1+Inputs!$B$34/100))+MIN((Skills!T16*(1+Inputs!$B$34/100)),MAX(0,Inputs!$B$43-((R2525-1)*Skills!D16))))/Inputs!$B$43),IF(Inputs!$B$38="pvp",MIN((Skills!T16*(1+Inputs!$B$34/100)),15)/15,(Skills!T16*(1+Inputs!$B$34/100))/Skills!D16))</f>
        <v/>
      </c>
    </row>
    <row r="2543">
      <c r="A2543" t="inlineStr">
        <is>
          <t>Attack Speed Buff Bonus %</t>
        </is>
      </c>
      <c r="B2543">
        <f>((C2528=TRUE)*F2528*IF(AND(Inputs!$B$38&lt;&gt;"pvp",Inputs!$B$43&gt;0),(((R2528-1)*(Skills!T19*(1+Inputs!$B$34/100))+MIN((Skills!T19*(1+Inputs!$B$34/100)),MAX(0,Inputs!$B$43-((R2528-1)*Skills!D19))))/Inputs!$B$43),IF(Inputs!$B$38="pvp",MIN((Skills!T19*(1+Inputs!$B$34/100)),15)/15,(Skills!T19*(1+Inputs!$B$34/100))/Skills!D19)))</f>
        <v/>
      </c>
    </row>
    <row r="2544">
      <c r="A2544" t="inlineStr">
        <is>
          <t>Actions Per Second</t>
        </is>
      </c>
      <c r="B2544">
        <f>1+MIN(150,150*(1-(1-(Inputs!$B$11+((C2530=TRUE)*(F2530-Calc!F21))+((C2531=TRUE)*(F2531-Calc!F22)))/150)*(1-B2543/150)))/100</f>
        <v/>
      </c>
    </row>
    <row r="2545">
      <c r="A2545" t="inlineStr">
        <is>
          <t>Skill + Buff Cast Rate</t>
        </is>
      </c>
      <c r="B2545">
        <f>IF(AND(Inputs!$B$38&lt;&gt;"pvp",Inputs!$B$43&gt;0),SUMPRODUCT((Skills!E2:E30=TRUE)*(C2511:C2539=TRUE)*R2511:R2539*Skills!F2:F30)/Inputs!$B$43,SUMPRODUCT((Skills!E2:E30=TRUE)*(C2511:C2539=TRUE)*Q2511:Q2539*Skills!F2:F30))</f>
        <v/>
      </c>
    </row>
    <row r="2546">
      <c r="A2546" t="inlineStr">
        <is>
          <t>Arrow Stream Casts Per Second</t>
        </is>
      </c>
      <c r="B2546">
        <f>MAX(0,B2544-B2545)</f>
        <v/>
      </c>
    </row>
    <row r="2547">
      <c r="A2547" t="inlineStr">
        <is>
          <t>Global Critical Damage Bonus % (Sharp Eyes + Concentration)</t>
        </is>
      </c>
      <c r="B2547">
        <f>(C2525=TRUE)*F2525*IF(AND(Inputs!$B$38&lt;&gt;"pvp",Inputs!$B$43&gt;0),(((R2525-1)*(Skills!T16*(1+Inputs!$B$34/100))+MIN((Skills!T16*(1+Inputs!$B$34/100)),MAX(0,Inputs!$B$43-((R2525-1)*Skills!D16))))/Inputs!$B$43),IF(Inputs!$B$38="pvp",MIN((Skills!T16*(1+Inputs!$B$34/100)),15)/15,(Skills!T16*(1+Inputs!$B$34/100))/Skills!D16))+(C2526=TRUE)*30</f>
        <v/>
      </c>
    </row>
    <row r="2548">
      <c r="A2548" t="inlineStr">
        <is>
          <t>Global Final Damage Bonus % (Mortal Blow)</t>
        </is>
      </c>
      <c r="B2548">
        <f>(C2527=TRUE)*F2527</f>
        <v/>
      </c>
    </row>
    <row r="2549">
      <c r="A2549" t="inlineStr">
        <is>
          <t>Buff-Casting Startup Delay (s, fixed-duration only)</t>
        </is>
      </c>
      <c r="B2549">
        <f>IF(AND(Inputs!$B$38&lt;&gt;"pvp",Inputs!$B$43&gt;0),SUMPRODUCT((Skills!T2:T30&gt;0)*(Skills!E2:E30=TRUE)*(C2511:C2539=TRUE))/B2544,0)</f>
        <v/>
      </c>
    </row>
    <row r="2550">
      <c r="A2550" t="inlineStr">
        <is>
          <t>Boss-Only Total DPS (this block's swept value)</t>
        </is>
      </c>
      <c r="B2550">
        <f>SUM(T2511:T2539)</f>
        <v/>
      </c>
    </row>
    <row r="2551">
      <c r="A2551" t="inlineStr">
        <is>
          <t>Normal-Only Total DPS (this block's swept value)</t>
        </is>
      </c>
      <c r="B2551">
        <f>SUM(V2511:V2539)</f>
        <v/>
      </c>
    </row>
    <row r="2552">
      <c r="A2552" s="6" t="inlineStr">
        <is>
          <t>TOTAL DPS</t>
        </is>
      </c>
      <c r="B2552" s="6">
        <f>SUM(O2511:O2539)</f>
        <v/>
      </c>
    </row>
    <row r="2555">
      <c r="A2555" s="6" t="inlineStr">
        <is>
          <t>Stat: Peach Tree Herb Pouch (Equip)</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2579=TRUE)*(F2579-Calc!F24)),(Inputs!$B$23+((C2584=TRUE)*(F2584-Calc!F29))+(IF(ArtifactsInput!$M$15,CHOOSE(ArtifactsInput!$N$15+1,25,30,35,40,45,50)/100*(Inputs!$B$11-Inputs!$B$11),0))))/100+(Inputs!$B$23+((C2584=TRUE)*(F2584-Calc!F29))+(IF(ArtifactsInput!$M$15,CHOOSE(ArtifactsInput!$N$15+1,25,30,35,40,45,50)/100*(Inputs!$B$11-Inputs!$B$11),0)))/100)/2</f>
        <v/>
      </c>
      <c r="M2557">
        <f>L2557*(1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IF(B2598=0,0,O2557/B2598)</f>
        <v/>
      </c>
      <c r="Q2557" t="n">
        <v>0</v>
      </c>
      <c r="R2557" t="n">
        <v>0</v>
      </c>
      <c r="S2557">
        <f>IFERROR(O2557/N2557,0)</f>
        <v/>
      </c>
      <c r="T2557">
        <f>IF(C2557,(Skills!G2*N2557*B2592)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2557*(1-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IF(C2557,(Skills!G2*N2557*B2592)*IF(Inputs!$B$38="pvp",1,(1+(Inputs!$B$21+Skills!Q2+(IF(ArtifactsInput!$M$33,CHOOSE(ArtifactsInput!$N$33+1,30,36,42,48,54,60),0))+(IF(AND(IF(ArtifactsInput!$M$35,FALSE,TRUE),Inputs!$B$4&lt;&gt;"Chapter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Inputs!$B$3&gt;=50</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t="inlineStr"/>
      <c r="H2558" t="inlineStr"/>
      <c r="I2558" t="inlineStr">
        <is>
          <t>1</t>
        </is>
      </c>
      <c r="J2558" t="inlineStr"/>
      <c r="K2558" t="inlineStr"/>
      <c r="L2558" t="inlineStr"/>
      <c r="M2558" t="inlineStr"/>
      <c r="N2558" t="inlineStr"/>
      <c r="O2558" t="inlineStr"/>
      <c r="P2558" t="inlineStr"/>
      <c r="Q2558" t="inlineStr"/>
      <c r="R2558" t="inlineStr"/>
      <c r="S2558" t="inlineStr"/>
      <c r="T2558" t="inlineStr"/>
      <c r="U2558">
        <f>INDEX(FactorTable!$B$2:$Y$301, MATCH(ROUND(MIN(300,MAX(1,U2557)),0), FactorTable!$A$2:$A$301,0), 22)</f>
        <v/>
      </c>
      <c r="V2558" t="inlineStr"/>
    </row>
    <row r="2559">
      <c r="A2559">
        <f>Skills!A4</f>
        <v/>
      </c>
      <c r="B2559">
        <f>Skills!B4</f>
        <v/>
      </c>
      <c r="C2559">
        <f>Inputs!$B$3&gt;=105</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t="inlineStr"/>
      <c r="H2559" t="inlineStr"/>
      <c r="I2559" t="inlineStr">
        <is>
          <t>1</t>
        </is>
      </c>
      <c r="J2559" t="inlineStr"/>
      <c r="K2559" t="inlineStr"/>
      <c r="L2559" t="inlineStr"/>
      <c r="M2559" t="inlineStr"/>
      <c r="N2559" t="inlineStr"/>
      <c r="O2559" t="inlineStr"/>
      <c r="P2559" t="inlineStr"/>
      <c r="Q2559" t="inlineStr"/>
      <c r="R2559" t="inlineStr"/>
      <c r="S2559" t="inlineStr"/>
      <c r="T2559" t="inlineStr"/>
      <c r="U2559">
        <f>290*U2558/1000</f>
        <v/>
      </c>
      <c r="V2559" t="inlineStr"/>
    </row>
    <row r="2560">
      <c r="A2560">
        <f>Skills!A5</f>
        <v/>
      </c>
      <c r="B2560">
        <f>Skills!B5</f>
        <v/>
      </c>
      <c r="C2560">
        <f>Inputs!$B$3&gt;=35</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Skills!G5*IF(Skills!H5&gt;0,Skills!I5/Skills!H5,1)</f>
        <v/>
      </c>
      <c r="H2560">
        <f>1-(1-Skills!J5/100)^Skills!K5</f>
        <v/>
      </c>
      <c r="I2560" t="inlineStr">
        <is>
          <t>1</t>
        </is>
      </c>
      <c r="J2560">
        <f>((Inputs!$B$6*(1+Inputs!$B$7/100))+(((Inputs!$B$12*(1+Inputs!$B$13/100))-(Inputs!$B$12*(1+Inputs!$B$13/100)))+0.25*(Inputs!$B$14-Inputs!$B$14))*(1+Inputs!$B$7/100))*(F2560/100)</f>
        <v/>
      </c>
      <c r="K2560">
        <f>J2560*(1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2565=TRUE,F2565,0)/100)*(1+(IF(Skills!A5="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2579=TRUE)*(F2579-Calc!F24)),(Inputs!$B$23+((C2584=TRUE)*(F2584-Calc!F29))+(IF(ArtifactsInput!$M$15,CHOOSE(ArtifactsInput!$N$15+1,25,30,35,40,45,50)/100*(Inputs!$B$11-Inputs!$B$11),0))))/100+(Inputs!$B$23+((C2584=TRUE)*(F2584-Calc!F29))+(IF(ArtifactsInput!$M$15,CHOOSE(ArtifactsInput!$N$15+1,25,30,35,40,45,50)/100*(Inputs!$B$11-Inputs!$B$11),0)))/100)/2</f>
        <v/>
      </c>
      <c r="M2560">
        <f>L2560*(1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IF(B2598=0,0,O2560/B2598)</f>
        <v/>
      </c>
      <c r="Q2560">
        <f>IFERROR(1/(IF(Inputs!$B$38="pvp",15,MAX(0.1,Skills!D5-IF(Skills!E5=TRUE,Inputs!$B$32,0)))*(1-IF(AND(ArtifactsInput!$M$27,Inputs!$B$4="Chapter Hunt"),CHOOSE(ArtifactsInput!$N$27+1,20,24,28,32,36,40),0)/100)),0)</f>
        <v/>
      </c>
      <c r="R2560">
        <f>IF(AND(Inputs!$B$38&lt;&gt;"pvp",Inputs!$B$43&gt;0),IF(MAX(0,Inputs!$B$43-B2595)&lt;=0,0,(INT(MAX(0,Inputs!$B$43-B2595)/(IF(Inputs!$B$38="pvp",15,MAX(0.1,Skills!D5-IF(Skills!E5=TRUE,Inputs!$B$32,0)))*(1-IF(AND(ArtifactsInput!$M$27,Inputs!$B$4="Chapter Hunt"),CHOOSE(ArtifactsInput!$N$27+1,20,24,28,32,36,40),0)/100)))+1)),0)</f>
        <v/>
      </c>
      <c r="S2560">
        <f>IFERROR(O2560/N2560,0)</f>
        <v/>
      </c>
      <c r="T2560">
        <f>IF(C2560,(H2560*N2560*IF(AND(Inputs!$B$38&lt;&gt;"pvp",Inputs!$B$43&gt;0),((Skills!G5*((R2560-1)*IF(Skills!H5&gt;0,Skills!I5/Skills!H5,1)+IF(Skills!H5&gt;0,MIN(Skills!I5,MAX(0,MAX(0,Inputs!$B$43-B2595)-((R2560-1)*(IF(Inputs!$B$38="pvp",15,MAX(0.1,Skills!D5-IF(Skills!E5=TRUE,Inputs!$B$32,0)))*(1-IF(AND(ArtifactsInput!$M$27,Inputs!$B$4="Chapter Hunt"),CHOOSE(ArtifactsInput!$N$27+1,20,24,28,32,36,40),0)/100)))))/Skills!H5,1)))/Inputs!$B$43),G2560*Q2560)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2560*(1-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5*((R2560-1)*IF(Skills!H5&gt;0,Skills!I5/Skills!H5,1)+IF(Skills!H5&gt;0,MIN(Skills!I5,MAX(0,MAX(0,Inputs!$B$43-B2595)-((R2560-1)*(IF(Inputs!$B$38="pvp",15,MAX(0.1,Skills!D5-IF(Skills!E5=TRUE,Inputs!$B$32,0)))*(1-IF(AND(ArtifactsInput!$M$27,Inputs!$B$4="Chapter Hunt"),CHOOSE(ArtifactsInput!$N$27+1,20,24,28,32,36,40),0)/100)))))/Skills!H5,1)))/Inputs!$B$43),G2560*Q2560))*IF(Inputs!$B$38="pvp",1,(1+(Inputs!$B$21+Skills!Q5+(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Skills!A6</f>
        <v/>
      </c>
      <c r="B2561">
        <f>Skills!B6</f>
        <v/>
      </c>
      <c r="C2561">
        <f>Inputs!$B$3&gt;=40</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2562=TRUE,F2562,0)/100)*(1+(IF(Skills!A6="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2579=TRUE)*(F2579-Calc!F24)),(Inputs!$B$23+((C2584=TRUE)*(F2584-Calc!F29))+(IF(ArtifactsInput!$M$15,CHOOSE(ArtifactsInput!$N$15+1,25,30,35,40,45,50)/100*(Inputs!$B$11-Inputs!$B$11),0))))/100+(Inputs!$B$23+((C2584=TRUE)*(F2584-Calc!F29))+(IF(ArtifactsInput!$M$15,CHOOSE(ArtifactsInput!$N$15+1,25,30,35,40,45,50)/100*(Inputs!$B$11-Inputs!$B$11),0)))/100)/2</f>
        <v/>
      </c>
      <c r="M2561">
        <f>L2561*(1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IF(B2598=0,0,O2561/B2598)</f>
        <v/>
      </c>
      <c r="Q2561">
        <f>IFERROR(1/(IF(Inputs!$B$38="pvp",15,MAX(0.1,Skills!D6-IF(Skills!E6=TRUE,Inputs!$B$32,0)))*(1-IF(AND(ArtifactsInput!$M$27,Inputs!$B$4="Chapter Hunt"),CHOOSE(ArtifactsInput!$N$27+1,20,24,28,32,36,40),0)/100)),0)</f>
        <v/>
      </c>
      <c r="R2561">
        <f>IF(AND(Inputs!$B$38&lt;&gt;"pvp",Inputs!$B$43&gt;0),IF(MAX(0,Inputs!$B$43-B2595)&lt;=0,0,(INT(MAX(0,Inputs!$B$43-B2595)/(IF(Inputs!$B$38="pvp",15,MAX(0.1,Skills!D6-IF(Skills!E6=TRUE,Inputs!$B$32,0)))*(1-IF(AND(ArtifactsInput!$M$27,Inputs!$B$4="Chapter Hunt"),CHOOSE(ArtifactsInput!$N$27+1,20,24,28,32,36,40),0)/100)))+1)),0)</f>
        <v/>
      </c>
      <c r="S2561">
        <f>IFERROR(O2561/N2561,0)</f>
        <v/>
      </c>
      <c r="T2561">
        <f>IF(C2561,(H2561*N2561*IF(AND(Inputs!$B$38&lt;&gt;"pvp",Inputs!$B$43&gt;0),((Skills!G6*((R2561-1)*IF(Skills!H6&gt;0,Skills!I6/Skills!H6,1)+IF(Skills!H6&gt;0,MIN(Skills!I6,MAX(0,MAX(0,Inputs!$B$43-B2595)-((R2561-1)*(IF(Inputs!$B$38="pvp",15,MAX(0.1,Skills!D6-IF(Skills!E6=TRUE,Inputs!$B$32,0)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2561*(1-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2595)-((R2561-1)*(IF(Inputs!$B$38="pvp",15,MAX(0.1,Skills!D6-IF(Skills!E6=TRUE,Inputs!$B$32,0)))*(1-IF(AND(ArtifactsInput!$M$27,Inputs!$B$4="Chapter Hunt"),CHOOSE(ArtifactsInput!$N$27+1,20,24,28,32,36,40),0)/100)))))/Skills!H6,1)))/Inputs!$B$43),G2561*Q2561))*IF(Inputs!$B$38="pvp",1,(1+(Inputs!$B$21+Skills!Q6+(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Inputs!$B$3&gt;=107</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t="inlineStr"/>
      <c r="H2562" t="inlineStr"/>
      <c r="I2562" t="inlineStr">
        <is>
          <t>1</t>
        </is>
      </c>
      <c r="J2562" t="inlineStr"/>
      <c r="K2562" t="inlineStr"/>
      <c r="L2562" t="inlineStr"/>
      <c r="M2562" t="inlineStr"/>
      <c r="N2562" t="inlineStr"/>
      <c r="O2562" t="inlineStr"/>
      <c r="P2562" t="inlineStr"/>
      <c r="Q2562" t="inlineStr"/>
      <c r="R2562" t="inlineStr"/>
      <c r="S2562" t="inlineStr"/>
      <c r="T2562" t="inlineStr"/>
      <c r="V2562" t="inlineStr"/>
    </row>
    <row r="2563">
      <c r="A2563">
        <f>Skills!A8</f>
        <v/>
      </c>
      <c r="B2563">
        <f>Skills!B8</f>
        <v/>
      </c>
      <c r="C2563">
        <f>Inputs!$B$3&gt;=69</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2565=TRUE,F2565,0)/100)*(1+(IF(Skills!A8="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2579=TRUE)*(F2579-Calc!F24)),(Inputs!$B$23+((C2584=TRUE)*(F2584-Calc!F29))+(IF(ArtifactsInput!$M$15,CHOOSE(ArtifactsInput!$N$15+1,25,30,35,40,45,50)/100*(Inputs!$B$11-Inputs!$B$11),0))))/100+(Inputs!$B$23+((C2584=TRUE)*(F2584-Calc!F29))+(IF(ArtifactsInput!$M$15,CHOOSE(ArtifactsInput!$N$15+1,25,30,35,40,45,50)/100*(Inputs!$B$11-Inputs!$B$11),0)))/100)/2</f>
        <v/>
      </c>
      <c r="M2563">
        <f>L2563*(1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IF(B2598=0,0,O2563/B2598)</f>
        <v/>
      </c>
      <c r="Q2563">
        <f>IFERROR(1/(IF(Inputs!$B$38="pvp",15,MAX(0.1,Skills!D8-IF(Skills!E8=TRUE,Inputs!$B$32,0)))*(1-IF(AND(ArtifactsInput!$M$27,Inputs!$B$4="Chapter Hunt"),CHOOSE(ArtifactsInput!$N$27+1,20,24,28,32,36,40),0)/100)),0)</f>
        <v/>
      </c>
      <c r="R2563">
        <f>IF(AND(Inputs!$B$38&lt;&gt;"pvp",Inputs!$B$43&gt;0),IF(MAX(0,Inputs!$B$43-B2595)&lt;=0,0,(INT(MAX(0,Inputs!$B$43-B2595)/(IF(Inputs!$B$38="pvp",15,MAX(0.1,Skills!D8-IF(Skills!E8=TRUE,Inputs!$B$32,0)))*(1-IF(AND(ArtifactsInput!$M$27,Inputs!$B$4="Chapter Hunt"),CHOOSE(ArtifactsInput!$N$27+1,20,24,28,32,36,40),0)/100)))+1)),0)</f>
        <v/>
      </c>
      <c r="S2563">
        <f>IFERROR(O2563/N2563,0)</f>
        <v/>
      </c>
      <c r="T2563">
        <f>IF(C2563,(H2563*N2563*IF(AND(Inputs!$B$38&lt;&gt;"pvp",Inputs!$B$43&gt;0),((Skills!G8*((R2563-1)*IF(Skills!H8&gt;0,Skills!I8/Skills!H8,1)+IF(Skills!H8&gt;0,MIN(Skills!I8,MAX(0,MAX(0,Inputs!$B$43-B2595)-((R2563-1)*(IF(Inputs!$B$38="pvp",15,MAX(0.1,Skills!D8-IF(Skills!E8=TRUE,Inputs!$B$32,0)))*(1-IF(AND(ArtifactsInput!$M$27,Inputs!$B$4="Chapter Hunt"),CHOOSE(ArtifactsInput!$N$27+1,20,24,28,32,36,40),0)/100)))))/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2563*(1-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2595)-((R2563-1)*(IF(Inputs!$B$38="pvp",15,MAX(0.1,Skills!D8-IF(Skills!E8=TRUE,Inputs!$B$32,0)))*(1-IF(AND(ArtifactsInput!$M$27,Inputs!$B$4="Chapter Hunt"),CHOOSE(ArtifactsInput!$N$27+1,20,24,28,32,36,40),0)/100)))))/Skills!H8,1)))/Inputs!$B$43),G2563*Q2563))*IF(Inputs!$B$38="pvp",1,(1+(Inputs!$B$21+Skills!Q8+(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Inputs!$B$3&gt;=63</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2565=TRUE,F2565,0)/100)*(1+(IF(Skills!A9="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2579=TRUE)*(F2579-Calc!F24)),(Inputs!$B$23+((C2584=TRUE)*(F2584-Calc!F29))+(IF(ArtifactsInput!$M$15,CHOOSE(ArtifactsInput!$N$15+1,25,30,35,40,45,50)/100*(Inputs!$B$11-Inputs!$B$11),0))))/100+(Inputs!$B$23+((C2584=TRUE)*(F2584-Calc!F29))+(IF(ArtifactsInput!$M$15,CHOOSE(ArtifactsInput!$N$15+1,25,30,35,40,45,50)/100*(Inputs!$B$11-Inputs!$B$11),0)))/100)/2</f>
        <v/>
      </c>
      <c r="M2564">
        <f>L2564*(1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IF(B2598=0,0,O2564/B2598)</f>
        <v/>
      </c>
      <c r="Q2564">
        <f>IFERROR(1/(IF(Inputs!$B$38="pvp",15,MAX(0.1,Skills!D9-IF(Skills!E9=TRUE,Inputs!$B$32,0)))*(1-IF(AND(ArtifactsInput!$M$27,Inputs!$B$4="Chapter Hunt"),CHOOSE(ArtifactsInput!$N$27+1,20,24,28,32,36,40),0)/100)),0)</f>
        <v/>
      </c>
      <c r="R2564">
        <f>IF(AND(Inputs!$B$38&lt;&gt;"pvp",Inputs!$B$43&gt;0),IF(MAX(0,Inputs!$B$43-B2595)&lt;=0,0,(INT(MAX(0,Inputs!$B$43-B2595)/(IF(Inputs!$B$38="pvp",15,MAX(0.1,Skills!D9-IF(Skills!E9=TRUE,Inputs!$B$32,0)))*(1-IF(AND(ArtifactsInput!$M$27,Inputs!$B$4="Chapter Hunt"),CHOOSE(ArtifactsInput!$N$27+1,20,24,28,32,36,40),0)/100)))+1)),0)</f>
        <v/>
      </c>
      <c r="S2564">
        <f>IFERROR(O2564/N2564,0)</f>
        <v/>
      </c>
      <c r="T2564">
        <f>IF(C2564,(H2564*N2564*IF(AND(Inputs!$B$38&lt;&gt;"pvp",Inputs!$B$43&gt;0),((Skills!G9*((R2564-1)*IF(Skills!H9&gt;0,Skills!I9/Skills!H9,1)+IF(Skills!H9&gt;0,MIN(Skills!I9,MAX(0,MAX(0,Inputs!$B$43-B2595)-((R2564-1)*(IF(Inputs!$B$38="pvp",15,MAX(0.1,Skills!D9-IF(Skills!E9=TRUE,Inputs!$B$32,0)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2564*(1-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2595)-((R2564-1)*(IF(Inputs!$B$38="pvp",15,MAX(0.1,Skills!D9-IF(Skills!E9=TRUE,Inputs!$B$32,0)))*(1-IF(AND(ArtifactsInput!$M$27,Inputs!$B$4="Chapter Hunt"),CHOOSE(ArtifactsInput!$N$27+1,20,24,28,32,36,40),0)/100)))))/Skills!H9,1)))/Inputs!$B$43),G2564*Q2564))*IF(Inputs!$B$38="pvp",1,(1+(Inputs!$B$21+Skills!Q9+(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Inputs!$B$3&gt;=100</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t="inlineStr"/>
      <c r="H2565" t="inlineStr"/>
      <c r="I2565" t="inlineStr">
        <is>
          <t>1</t>
        </is>
      </c>
      <c r="J2565" t="inlineStr"/>
      <c r="K2565" t="inlineStr"/>
      <c r="L2565" t="inlineStr"/>
      <c r="M2565" t="inlineStr"/>
      <c r="N2565" t="inlineStr"/>
      <c r="O2565" t="inlineStr"/>
      <c r="P2565" t="inlineStr"/>
      <c r="Q2565" t="inlineStr"/>
      <c r="R2565" t="inlineStr"/>
      <c r="S2565" t="inlineStr"/>
      <c r="T2565" t="inlineStr"/>
      <c r="V2565" t="inlineStr"/>
    </row>
    <row r="2566">
      <c r="A2566">
        <f>Skills!A11</f>
        <v/>
      </c>
      <c r="B2566">
        <f>Skills!B11</f>
        <v/>
      </c>
      <c r="C2566">
        <f>Inputs!$B$3&gt;=60</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2567=TRUE,F2567,0)/100)*(1+(IF(Skills!A11="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2579=TRUE)*(F2579-Calc!F24)),(Inputs!$B$23+((C2584=TRUE)*(F2584-Calc!F29))+(IF(ArtifactsInput!$M$15,CHOOSE(ArtifactsInput!$N$15+1,25,30,35,40,45,50)/100*(Inputs!$B$11-Inputs!$B$11),0))))/100+(Inputs!$B$23+((C2584=TRUE)*(F2584-Calc!F29))+(IF(ArtifactsInput!$M$15,CHOOSE(ArtifactsInput!$N$15+1,25,30,35,40,45,50)/100*(Inputs!$B$11-Inputs!$B$11),0)))/100)/2</f>
        <v/>
      </c>
      <c r="M2566">
        <f>L2566*(1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IF(B2598=0,0,O2566/B2598)</f>
        <v/>
      </c>
      <c r="Q2566">
        <f>IFERROR(1/(IF(Inputs!$B$38="pvp",15,MAX(0.1,Skills!D11-IF(Skills!E11=TRUE,Inputs!$B$32,0)))*(1-IF(AND(ArtifactsInput!$M$27,Inputs!$B$4="Chapter Hunt"),CHOOSE(ArtifactsInput!$N$27+1,20,24,28,32,36,40),0)/100)),0)</f>
        <v/>
      </c>
      <c r="R2566">
        <f>IF(AND(Inputs!$B$38&lt;&gt;"pvp",Inputs!$B$43&gt;0),IF(MAX(0,Inputs!$B$43-B2595)&lt;=0,0,(INT(MAX(0,Inputs!$B$43-B2595)/(IF(Inputs!$B$38="pvp",15,MAX(0.1,Skills!D11-IF(Skills!E11=TRUE,Inputs!$B$32,0)))*(1-IF(AND(ArtifactsInput!$M$27,Inputs!$B$4="Chapter Hunt"),CHOOSE(ArtifactsInput!$N$27+1,20,24,28,32,36,40),0)/100)))+1)),0)</f>
        <v/>
      </c>
      <c r="S2566">
        <f>IFERROR(O2566/N2566,0)</f>
        <v/>
      </c>
      <c r="T2566">
        <f>IF(C2566,(H2566*N2566*IF(AND(Inputs!$B$38&lt;&gt;"pvp",Inputs!$B$43&gt;0),((Skills!G11*((R2566-1)*IF(Skills!H11&gt;0,Skills!I11/Skills!H11,1)+IF(Skills!H11&gt;0,MIN(Skills!I11,MAX(0,MAX(0,Inputs!$B$43-B2595)-((R2566-1)*(IF(Inputs!$B$38="pvp",15,MAX(0.1,Skills!D11-IF(Skills!E11=TRUE,Inputs!$B$32,0)))*(1-IF(AND(ArtifactsInput!$M$27,Inputs!$B$4="Chapter Hunt"),CHOOSE(ArtifactsInput!$N$27+1,20,24,28,32,36,40),0)/100)))))/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2595)-((R2566-1)*(IF(Inputs!$B$38="pvp",15,MAX(0.1,Skills!D11-IF(Skills!E11=TRUE,Inputs!$B$32,0)))*(1-IF(AND(ArtifactsInput!$M$27,Inputs!$B$4="Chapter Hunt"),CHOOSE(ArtifactsInput!$N$27+1,20,24,28,32,36,40),0)/100)))))/Skills!H11,1)))/Inputs!$B$43),G2566*Q2566))*IF(Inputs!$B$38="pvp",1,(1+(Inputs!$B$21+Skills!Q11+(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Inputs!$B$3&gt;=110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t="inlineStr"/>
      <c r="H2567" t="inlineStr"/>
      <c r="I2567" t="inlineStr">
        <is>
          <t>1</t>
        </is>
      </c>
      <c r="J2567" t="inlineStr"/>
      <c r="K2567" t="inlineStr"/>
      <c r="L2567" t="inlineStr"/>
      <c r="M2567" t="inlineStr"/>
      <c r="N2567" t="inlineStr"/>
      <c r="O2567" t="inlineStr"/>
      <c r="P2567" t="inlineStr"/>
      <c r="Q2567" t="inlineStr"/>
      <c r="R2567" t="inlineStr"/>
      <c r="S2567" t="inlineStr"/>
      <c r="T2567" t="inlineStr"/>
      <c r="V2567" t="inlineStr"/>
    </row>
    <row r="2568">
      <c r="A2568">
        <f>Skills!A13</f>
        <v/>
      </c>
      <c r="B2568">
        <f>Skills!B13</f>
        <v/>
      </c>
      <c r="C2568">
        <f>Inputs!$B$3&gt;=74</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t="inlineStr"/>
      <c r="K2568" t="inlineStr"/>
      <c r="L2568" t="inlineStr"/>
      <c r="M2568" t="inlineStr"/>
      <c r="N2568" t="inlineStr"/>
      <c r="O2568">
        <f>(1-Summary!$B$11)*T2568+Summary!$B$11*V2568</f>
        <v/>
      </c>
      <c r="P2568">
        <f>IF(B2598=0,0,O2568/B2598)</f>
        <v/>
      </c>
      <c r="Q2568" t="n">
        <v>0</v>
      </c>
      <c r="R2568" t="n">
        <v>0</v>
      </c>
      <c r="S2568">
        <f>IFERROR(O2568/N2568,0)</f>
        <v/>
      </c>
      <c r="T2568" t="n">
        <v>0</v>
      </c>
      <c r="V2568" t="n">
        <v>0</v>
      </c>
    </row>
    <row r="2569">
      <c r="A2569">
        <f>Skills!A14</f>
        <v/>
      </c>
      <c r="B2569">
        <f>Skills!B14</f>
        <v/>
      </c>
      <c r="C2569">
        <f>Inputs!$B$3&gt;=74</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t="inlineStr"/>
      <c r="K2569" t="inlineStr"/>
      <c r="L2569" t="inlineStr"/>
      <c r="M2569" t="inlineStr"/>
      <c r="N2569" t="inlineStr"/>
      <c r="O2569">
        <f>(1-Summary!$B$11)*T2569+Summary!$B$11*V2569</f>
        <v/>
      </c>
      <c r="P2569">
        <f>IF(B2598=0,0,O2569/B2598)</f>
        <v/>
      </c>
      <c r="Q2569" t="n">
        <v>0</v>
      </c>
      <c r="R2569" t="n">
        <v>0</v>
      </c>
      <c r="S2569">
        <f>IFERROR(O2569/N2569,0)</f>
        <v/>
      </c>
      <c r="T2569" t="n">
        <v>0</v>
      </c>
      <c r="V2569" t="n">
        <v>0</v>
      </c>
    </row>
    <row r="2570">
      <c r="A2570">
        <f>Skills!A15</f>
        <v/>
      </c>
      <c r="B2570">
        <f>Skills!B15</f>
        <v/>
      </c>
      <c r="C2570">
        <f>Inputs!$B$3&gt;=117</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f>Skills!G15*IF(Skills!H15&gt;0,Skills!I15/Skills!H15,1)</f>
        <v/>
      </c>
      <c r="H2570">
        <f>1-(1-Skills!J15/100)^Skills!K15</f>
        <v/>
      </c>
      <c r="I2570" t="inlineStr">
        <is>
          <t>1</t>
        </is>
      </c>
      <c r="J2570" t="inlineStr"/>
      <c r="K2570" t="inlineStr"/>
      <c r="L2570" t="inlineStr"/>
      <c r="M2570" t="inlineStr"/>
      <c r="N2570" t="inlineStr"/>
      <c r="O2570">
        <f>(1-Summary!$B$11)*T2570+Summary!$B$11*V2570</f>
        <v/>
      </c>
      <c r="P2570">
        <f>IF(B2598=0,0,O2570/B2598)</f>
        <v/>
      </c>
      <c r="Q2570">
        <f>IFERROR(1/(IF(Inputs!$B$38="pvp",15,MAX(0.1,Skills!D15-IF(Skills!E15=TRUE,Inputs!$B$32,0)))*(1-IF(AND(ArtifactsInput!$M$27,Inputs!$B$4="Chapter Hunt"),CHOOSE(ArtifactsInput!$N$27+1,20,24,28,32,36,40),0)/100)),0)</f>
        <v/>
      </c>
      <c r="R2570">
        <f>IF(AND(Inputs!$B$38&lt;&gt;"pvp",Inputs!$B$43&gt;0),IF(Inputs!$B$43&lt;=0,0,(INT(Inputs!$B$43/(IF(Inputs!$B$38="pvp",15,MAX(0.1,Skills!D15-IF(Skills!E15=TRUE,Inputs!$B$32,0)))*(1-IF(AND(ArtifactsInput!$M$27,Inputs!$B$4="Chapter Hunt"),CHOOSE(ArtifactsInput!$N$27+1,20,24,28,32,36,40),0)/100)))+1)),0)</f>
        <v/>
      </c>
      <c r="S2570">
        <f>IFERROR(O2570/N2570,0)</f>
        <v/>
      </c>
      <c r="T2570" t="n">
        <v>0</v>
      </c>
      <c r="V2570" t="n">
        <v>0</v>
      </c>
    </row>
    <row r="2571">
      <c r="A2571">
        <f>Skills!A16</f>
        <v/>
      </c>
      <c r="B2571">
        <f>Skills!B16</f>
        <v/>
      </c>
      <c r="C2571">
        <f>Inputs!$B$3&gt;=115</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f>Skills!G16*IF(Skills!H16&gt;0,Skills!I16/Skills!H16,1)</f>
        <v/>
      </c>
      <c r="H2571">
        <f>1-(1-Skills!J16/100)^Skills!K16</f>
        <v/>
      </c>
      <c r="I2571" t="inlineStr">
        <is>
          <t>1</t>
        </is>
      </c>
      <c r="J2571" t="inlineStr"/>
      <c r="K2571" t="inlineStr"/>
      <c r="L2571" t="inlineStr"/>
      <c r="M2571" t="inlineStr"/>
      <c r="N2571" t="inlineStr"/>
      <c r="O2571">
        <f>(1-Summary!$B$11)*T2571+Summary!$B$11*V2571</f>
        <v/>
      </c>
      <c r="P2571">
        <f>IF(B2598=0,0,O2571/B2598)</f>
        <v/>
      </c>
      <c r="Q2571">
        <f>IFERROR(1/(IF(Inputs!$B$38="pvp",15,MAX(0.1,Skills!D16-IF(Skills!E16=TRUE,Inputs!$B$32,0)))*(1-IF(AND(ArtifactsInput!$M$27,Inputs!$B$4="Chapter Hunt"),CHOOSE(ArtifactsInput!$N$27+1,20,24,28,32,36,40),0)/100)),0)</f>
        <v/>
      </c>
      <c r="R2571">
        <f>IF(AND(Inputs!$B$38&lt;&gt;"pvp",Inputs!$B$43&gt;0),IF(Inputs!$B$43&lt;=0,0,(INT(Inputs!$B$43/(IF(Inputs!$B$38="pvp",15,MAX(0.1,Skills!D16-IF(Skills!E16=TRUE,Inputs!$B$32,0)))*(1-IF(AND(ArtifactsInput!$M$27,Inputs!$B$4="Chapter Hunt"),CHOOSE(ArtifactsInput!$N$27+1,20,24,28,32,36,40),0)/100)))+1)),0)</f>
        <v/>
      </c>
      <c r="S2571">
        <f>IFERROR(O2571/N2571,0)</f>
        <v/>
      </c>
      <c r="T2571" t="n">
        <v>0</v>
      </c>
      <c r="V2571" t="n">
        <v>0</v>
      </c>
    </row>
    <row r="2572">
      <c r="A2572">
        <f>Skills!A17</f>
        <v/>
      </c>
      <c r="B2572">
        <f>Skills!B17</f>
        <v/>
      </c>
      <c r="C2572">
        <f>Inputs!$B$3&gt;=66</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IF(B2598=0,0,O2572/B2598)</f>
        <v/>
      </c>
      <c r="Q2572" t="n">
        <v>0</v>
      </c>
      <c r="R2572" t="n">
        <v>0</v>
      </c>
      <c r="S2572">
        <f>IFERROR(O2572/N2572,0)</f>
        <v/>
      </c>
      <c r="T2572" t="n">
        <v>0</v>
      </c>
      <c r="V2572" t="n">
        <v>0</v>
      </c>
    </row>
    <row r="2573">
      <c r="A2573">
        <f>Skills!A18</f>
        <v/>
      </c>
      <c r="B2573">
        <f>Skills!B18</f>
        <v/>
      </c>
      <c r="C2573">
        <f>Inputs!$B$3&gt;=72</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IF(B2598=0,0,O2573/B2598)</f>
        <v/>
      </c>
      <c r="Q2573" t="n">
        <v>0</v>
      </c>
      <c r="R2573" t="n">
        <v>0</v>
      </c>
      <c r="S2573">
        <f>IFERROR(O2573/N2573,0)</f>
        <v/>
      </c>
      <c r="T2573" t="n">
        <v>0</v>
      </c>
      <c r="V2573" t="n">
        <v>0</v>
      </c>
    </row>
    <row r="2574">
      <c r="A2574">
        <f>Skills!A19</f>
        <v/>
      </c>
      <c r="B2574">
        <f>Skills!B19</f>
        <v/>
      </c>
      <c r="C2574">
        <f>TRUE</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IF(B2598=0,0,O2574/B2598)</f>
        <v/>
      </c>
      <c r="Q2574">
        <f>IFERROR(1/(IF(Inputs!$B$38="pvp",15,MAX(0.1,Skills!D19-IF(Skills!E19=TRUE,Inputs!$B$32,0)))*(1-IF(AND(ArtifactsInput!$M$27,Inputs!$B$4="Chapter Hunt"),CHOOSE(ArtifactsInput!$N$27+1,20,24,28,32,36,40),0)/100)),0)</f>
        <v/>
      </c>
      <c r="R2574">
        <f>IF(AND(Inputs!$B$38&lt;&gt;"pvp",Inputs!$B$43&gt;0),IF(Inputs!$B$43&lt;=0,0,(INT(Inputs!$B$43/(IF(Inputs!$B$38="pvp",15,MAX(0.1,Skills!D19-IF(Skills!E19=TRUE,Inputs!$B$32,0)))*(1-IF(AND(ArtifactsInput!$M$27,Inputs!$B$4="Chapter Hunt"),CHOOSE(ArtifactsInput!$N$27+1,20,24,28,32,36,40),0)/100)))+1)),0)</f>
        <v/>
      </c>
      <c r="S2574">
        <f>IFERROR(O2574/N2574,0)</f>
        <v/>
      </c>
      <c r="T2574" t="n">
        <v>0</v>
      </c>
      <c r="V2574" t="n">
        <v>0</v>
      </c>
    </row>
    <row r="2575">
      <c r="A2575">
        <f>Skills!A20</f>
        <v/>
      </c>
      <c r="B2575">
        <f>Skills!B20</f>
        <v/>
      </c>
      <c r="C2575">
        <f>Inputs!$B$3&gt;=15</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IF(B2598=0,0,O2575/B2598)</f>
        <v/>
      </c>
      <c r="Q2575" t="n">
        <v>0</v>
      </c>
      <c r="R2575" t="n">
        <v>0</v>
      </c>
      <c r="S2575">
        <f>IFERROR(O2575/N2575,0)</f>
        <v/>
      </c>
      <c r="T2575" t="n">
        <v>0</v>
      </c>
      <c r="V2575" t="n">
        <v>0</v>
      </c>
    </row>
    <row r="2576">
      <c r="A2576">
        <f>Skills!A21</f>
        <v/>
      </c>
      <c r="B2576">
        <f>Skills!B21</f>
        <v/>
      </c>
      <c r="C2576">
        <f>Inputs!$B$3&gt;=10</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IF(B2598=0,0,O2576/B2598)</f>
        <v/>
      </c>
      <c r="Q2576" t="n">
        <v>0</v>
      </c>
      <c r="R2576" t="n">
        <v>0</v>
      </c>
      <c r="S2576">
        <f>IFERROR(O2576/N2576,0)</f>
        <v/>
      </c>
      <c r="T2576" t="n">
        <v>0</v>
      </c>
      <c r="V2576" t="n">
        <v>0</v>
      </c>
    </row>
    <row r="2577">
      <c r="A2577">
        <f>Skills!A22</f>
        <v/>
      </c>
      <c r="B2577">
        <f>Skills!B22</f>
        <v/>
      </c>
      <c r="C2577">
        <f>Inputs!$B$3&gt;=33</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IF(B2598=0,0,O2577/B2598)</f>
        <v/>
      </c>
      <c r="Q2577" t="n">
        <v>0</v>
      </c>
      <c r="R2577" t="n">
        <v>0</v>
      </c>
      <c r="S2577">
        <f>IFERROR(O2577/N2577,0)</f>
        <v/>
      </c>
      <c r="T2577" t="n">
        <v>0</v>
      </c>
      <c r="V2577" t="n">
        <v>0</v>
      </c>
    </row>
    <row r="2578">
      <c r="A2578">
        <f>Skills!A23</f>
        <v/>
      </c>
      <c r="B2578">
        <f>Skills!B23</f>
        <v/>
      </c>
      <c r="C2578">
        <f>Inputs!$B$3&gt;=38</f>
        <v/>
      </c>
      <c r="D2578">
        <f>IF(Skills!C23=1,60+Inputs!$B$25+Inputs!$B$29,IF(Skills!C23=2,90+Inputs!$B$26+Inputs!$B$29,IF(Skills!C23=3,120+Inputs!$B$27+Inputs!$B$29,MAX(0,(Inputs!$B$3-100)*3)+Inputs!$B$28+Inputs!$B$29)))</f>
        <v/>
      </c>
      <c r="E2578">
        <f>INDEX(FactorTable!$B$2:$Y$301, MATCH(ROUND(MIN(300,MAX(1,D2578)),0), FactorTable!$A$2:$A$301,0), Skills!M23+1)</f>
        <v/>
      </c>
      <c r="F2578">
        <f>IF(Skills!N23=TRUE,(Skills!L23/10)*(E2578/1000),Skills!L23/10)+Skills!O23</f>
        <v/>
      </c>
      <c r="G2578">
        <f>Skills!G23*IF(Skills!H23&gt;0,Skills!I23/Skills!H23,1)</f>
        <v/>
      </c>
      <c r="H2578">
        <f>1-(1-Skills!J23/100)^Skills!K23</f>
        <v/>
      </c>
      <c r="I2578" t="inlineStr">
        <is>
          <t>1</t>
        </is>
      </c>
      <c r="J2578" t="inlineStr"/>
      <c r="K2578" t="inlineStr"/>
      <c r="L2578" t="inlineStr"/>
      <c r="M2578" t="inlineStr"/>
      <c r="N2578" t="inlineStr"/>
      <c r="O2578">
        <f>(1-Summary!$B$11)*T2578+Summary!$B$11*V2578</f>
        <v/>
      </c>
      <c r="P2578">
        <f>IF(B2598=0,0,O2578/B2598)</f>
        <v/>
      </c>
      <c r="Q2578" t="n">
        <v>0</v>
      </c>
      <c r="R2578" t="n">
        <v>0</v>
      </c>
      <c r="S2578">
        <f>IFERROR(O2578/N2578,0)</f>
        <v/>
      </c>
      <c r="T2578" t="n">
        <v>0</v>
      </c>
      <c r="V2578" t="n">
        <v>0</v>
      </c>
    </row>
    <row r="2579">
      <c r="A2579">
        <f>Skills!A24</f>
        <v/>
      </c>
      <c r="B2579">
        <f>Skills!B24</f>
        <v/>
      </c>
      <c r="C2579">
        <f>Inputs!$B$3&gt;=43</f>
        <v/>
      </c>
      <c r="D2579">
        <f>IF(Skills!C24=1,60+Inputs!$B$25+Inputs!$B$29,IF(Skills!C24=2,90+Inputs!$B$26+Inputs!$B$29,IF(Skills!C24=3,120+Inputs!$B$27+Inputs!$B$29,MAX(0,(Inputs!$B$3-100)*3)+Inputs!$B$28+Inputs!$B$29)))</f>
        <v/>
      </c>
      <c r="E2579">
        <f>INDEX(FactorTable!$B$2:$Y$301, MATCH(ROUND(MIN(300,MAX(1,D2579)),0), FactorTable!$A$2:$A$301,0), Skills!M24+1)</f>
        <v/>
      </c>
      <c r="F2579">
        <f>IF(Skills!N24=TRUE,(Skills!L24/10)*(E2579/1000),Skills!L24/10)+Skills!O24</f>
        <v/>
      </c>
      <c r="G2579">
        <f>Skills!G24*IF(Skills!H24&gt;0,Skills!I24/Skills!H24,1)</f>
        <v/>
      </c>
      <c r="H2579">
        <f>1-(1-Skills!J24/100)^Skills!K24</f>
        <v/>
      </c>
      <c r="I2579" t="inlineStr">
        <is>
          <t>1</t>
        </is>
      </c>
      <c r="J2579" t="inlineStr"/>
      <c r="K2579" t="inlineStr"/>
      <c r="L2579" t="inlineStr"/>
      <c r="M2579" t="inlineStr"/>
      <c r="N2579" t="inlineStr"/>
      <c r="O2579">
        <f>(1-Summary!$B$11)*T2579+Summary!$B$11*V2579</f>
        <v/>
      </c>
      <c r="P2579">
        <f>IF(B2598=0,0,O2579/B2598)</f>
        <v/>
      </c>
      <c r="Q2579" t="n">
        <v>0</v>
      </c>
      <c r="R2579" t="n">
        <v>0</v>
      </c>
      <c r="S2579">
        <f>IFERROR(O2579/N2579,0)</f>
        <v/>
      </c>
      <c r="T2579" t="n">
        <v>0</v>
      </c>
      <c r="V2579" t="n">
        <v>0</v>
      </c>
    </row>
    <row r="2580">
      <c r="A2580">
        <f>Skills!A25</f>
        <v/>
      </c>
      <c r="B2580">
        <f>Skills!B25</f>
        <v/>
      </c>
      <c r="C2580">
        <f>Inputs!$B$3&gt;=75</f>
        <v/>
      </c>
      <c r="D2580">
        <f>IF(Skills!C25=1,60+Inputs!$B$25+Inputs!$B$29,IF(Skills!C25=2,90+Inputs!$B$26+Inputs!$B$29,IF(Skills!C25=3,120+Inputs!$B$27+Inputs!$B$29,MAX(0,(Inputs!$B$3-100)*3)+Inputs!$B$28+Inputs!$B$29)))</f>
        <v/>
      </c>
      <c r="E2580">
        <f>INDEX(FactorTable!$B$2:$Y$301, MATCH(ROUND(MIN(300,MAX(1,D2580)),0), FactorTable!$A$2:$A$301,0), Skills!M25+1)</f>
        <v/>
      </c>
      <c r="F2580">
        <f>IF(Skills!N25=TRUE,(Skills!L25/10)*(E2580/1000),Skills!L25/10)+Skills!O25</f>
        <v/>
      </c>
      <c r="G2580">
        <f>Skills!G25*IF(Skills!H25&gt;0,Skills!I25/Skills!H25,1)</f>
        <v/>
      </c>
      <c r="H2580">
        <f>1-(1-Skills!J25/100)^Skills!K25</f>
        <v/>
      </c>
      <c r="I2580" t="inlineStr">
        <is>
          <t>1</t>
        </is>
      </c>
      <c r="J2580" t="inlineStr"/>
      <c r="K2580" t="inlineStr"/>
      <c r="L2580" t="inlineStr"/>
      <c r="M2580" t="inlineStr"/>
      <c r="N2580" t="inlineStr"/>
      <c r="O2580">
        <f>(1-Summary!$B$11)*T2580+Summary!$B$11*V2580</f>
        <v/>
      </c>
      <c r="P2580">
        <f>IF(B2598=0,0,O2580/B2598)</f>
        <v/>
      </c>
      <c r="Q2580" t="n">
        <v>0</v>
      </c>
      <c r="R2580" t="n">
        <v>0</v>
      </c>
      <c r="S2580">
        <f>IFERROR(O2580/N2580,0)</f>
        <v/>
      </c>
      <c r="T2580" t="n">
        <v>0</v>
      </c>
      <c r="V2580" t="n">
        <v>0</v>
      </c>
    </row>
    <row r="2581">
      <c r="A2581">
        <f>Skills!A26</f>
        <v/>
      </c>
      <c r="B2581">
        <f>Skills!B26</f>
        <v/>
      </c>
      <c r="C2581">
        <f>Inputs!$B$3&gt;=125</f>
        <v/>
      </c>
      <c r="D2581">
        <f>IF(Skills!C26=1,60+Inputs!$B$25+Inputs!$B$29,IF(Skills!C26=2,90+Inputs!$B$26+Inputs!$B$29,IF(Skills!C26=3,120+Inputs!$B$27+Inputs!$B$29,MAX(0,(Inputs!$B$3-100)*3)+Inputs!$B$28+Inputs!$B$29)))</f>
        <v/>
      </c>
      <c r="E2581">
        <f>INDEX(FactorTable!$B$2:$Y$301, MATCH(ROUND(MIN(300,MAX(1,D2581)),0), FactorTable!$A$2:$A$301,0), Skills!M26+1)</f>
        <v/>
      </c>
      <c r="F2581">
        <f>IF(Skills!N26=TRUE,(Skills!L26/10)*(E2581/1000),Skills!L26/10)+Skills!O26</f>
        <v/>
      </c>
      <c r="G2581">
        <f>Skills!G26*IF(Skills!H26&gt;0,Skills!I26/Skills!H26,1)</f>
        <v/>
      </c>
      <c r="H2581">
        <f>1-(1-Skills!J26/100)^Skills!K26</f>
        <v/>
      </c>
      <c r="I2581" t="inlineStr">
        <is>
          <t>1</t>
        </is>
      </c>
      <c r="J2581" t="inlineStr"/>
      <c r="K2581" t="inlineStr"/>
      <c r="L2581" t="inlineStr"/>
      <c r="M2581" t="inlineStr"/>
      <c r="N2581" t="inlineStr"/>
      <c r="O2581">
        <f>(1-Summary!$B$11)*T2581+Summary!$B$11*V2581</f>
        <v/>
      </c>
      <c r="P2581">
        <f>IF(B2598=0,0,O2581/B2598)</f>
        <v/>
      </c>
      <c r="Q2581" t="n">
        <v>0</v>
      </c>
      <c r="R2581" t="n">
        <v>0</v>
      </c>
      <c r="S2581">
        <f>IFERROR(O2581/N2581,0)</f>
        <v/>
      </c>
      <c r="T2581" t="n">
        <v>0</v>
      </c>
      <c r="V2581" t="n">
        <v>0</v>
      </c>
    </row>
    <row r="2582">
      <c r="A2582">
        <f>Skills!A27</f>
        <v/>
      </c>
      <c r="B2582">
        <f>Skills!B27</f>
        <v/>
      </c>
      <c r="C2582">
        <f>Inputs!$B$3&gt;=125</f>
        <v/>
      </c>
      <c r="D2582">
        <f>IF(Skills!C27=1,60+Inputs!$B$25+Inputs!$B$29,IF(Skills!C27=2,90+Inputs!$B$26+Inputs!$B$29,IF(Skills!C27=3,120+Inputs!$B$27+Inputs!$B$29,MAX(0,(Inputs!$B$3-100)*3)+Inputs!$B$28+Inputs!$B$29)))</f>
        <v/>
      </c>
      <c r="E2582">
        <f>INDEX(FactorTable!$B$2:$Y$301, MATCH(ROUND(MIN(300,MAX(1,D2582)),0), FactorTable!$A$2:$A$301,0), Skills!M27+1)</f>
        <v/>
      </c>
      <c r="F2582">
        <f>IF(Skills!N27=TRUE,(Skills!L27/10)*(E2582/1000),Skills!L27/10)+Skills!O27</f>
        <v/>
      </c>
      <c r="G2582">
        <f>Skills!G27*IF(Skills!H27&gt;0,Skills!I27/Skills!H27,1)</f>
        <v/>
      </c>
      <c r="H2582">
        <f>1-(1-Skills!J27/100)^Skills!K27</f>
        <v/>
      </c>
      <c r="I2582" t="inlineStr">
        <is>
          <t>1</t>
        </is>
      </c>
      <c r="J2582" t="inlineStr"/>
      <c r="K2582" t="inlineStr"/>
      <c r="L2582" t="inlineStr"/>
      <c r="M2582" t="inlineStr"/>
      <c r="N2582" t="inlineStr"/>
      <c r="O2582">
        <f>(1-Summary!$B$11)*T2582+Summary!$B$11*V2582</f>
        <v/>
      </c>
      <c r="P2582">
        <f>IF(B2598=0,0,O2582/B2598)</f>
        <v/>
      </c>
      <c r="Q2582" t="n">
        <v>0</v>
      </c>
      <c r="R2582" t="n">
        <v>0</v>
      </c>
      <c r="S2582">
        <f>IFERROR(O2582/N2582,0)</f>
        <v/>
      </c>
      <c r="T2582" t="n">
        <v>0</v>
      </c>
      <c r="V2582" t="n">
        <v>0</v>
      </c>
    </row>
    <row r="2583">
      <c r="A2583">
        <f>Skills!A28</f>
        <v/>
      </c>
      <c r="B2583">
        <f>Skills!B28</f>
        <v/>
      </c>
      <c r="C2583">
        <f>Inputs!$B$3&gt;=120</f>
        <v/>
      </c>
      <c r="D2583">
        <f>IF(Skills!C28=1,60+Inputs!$B$25+Inputs!$B$29,IF(Skills!C28=2,90+Inputs!$B$26+Inputs!$B$29,IF(Skills!C28=3,120+Inputs!$B$27+Inputs!$B$29,MAX(0,(Inputs!$B$3-100)*3)+Inputs!$B$28+Inputs!$B$29)))</f>
        <v/>
      </c>
      <c r="E2583">
        <f>INDEX(FactorTable!$B$2:$Y$301, MATCH(ROUND(MIN(300,MAX(1,D2583)),0), FactorTable!$A$2:$A$301,0), Skills!M28+1)</f>
        <v/>
      </c>
      <c r="F2583">
        <f>IF(Skills!N28=TRUE,(Skills!L28/10)*(E2583/1000),Skills!L28/10)+Skills!O28</f>
        <v/>
      </c>
      <c r="G2583">
        <f>Skills!G28*IF(Skills!H28&gt;0,Skills!I28/Skills!H28,1)</f>
        <v/>
      </c>
      <c r="H2583">
        <f>1-(1-Skills!J28/100)^Skills!K28</f>
        <v/>
      </c>
      <c r="I2583" t="inlineStr">
        <is>
          <t>1</t>
        </is>
      </c>
      <c r="J2583" t="inlineStr"/>
      <c r="K2583" t="inlineStr"/>
      <c r="L2583" t="inlineStr"/>
      <c r="M2583" t="inlineStr"/>
      <c r="N2583" t="inlineStr"/>
      <c r="O2583">
        <f>(1-Summary!$B$11)*T2583+Summary!$B$11*V2583</f>
        <v/>
      </c>
      <c r="P2583">
        <f>IF(B2598=0,0,O2583/B2598)</f>
        <v/>
      </c>
      <c r="Q2583" t="n">
        <v>0</v>
      </c>
      <c r="R2583" t="n">
        <v>0</v>
      </c>
      <c r="S2583">
        <f>IFERROR(O2583/N2583,0)</f>
        <v/>
      </c>
      <c r="T2583" t="n">
        <v>0</v>
      </c>
      <c r="V2583" t="n">
        <v>0</v>
      </c>
    </row>
    <row r="2584">
      <c r="A2584">
        <f>Skills!A29</f>
        <v/>
      </c>
      <c r="B2584">
        <f>Skills!B29</f>
        <v/>
      </c>
      <c r="C2584">
        <f>Inputs!$B$3&gt;=120</f>
        <v/>
      </c>
      <c r="D2584">
        <f>IF(Skills!C29=1,60+Inputs!$B$25+Inputs!$B$29,IF(Skills!C29=2,90+Inputs!$B$26+Inputs!$B$29,IF(Skills!C29=3,120+Inputs!$B$27+Inputs!$B$29,MAX(0,(Inputs!$B$3-100)*3)+Inputs!$B$28+Inputs!$B$29)))</f>
        <v/>
      </c>
      <c r="E2584">
        <f>INDEX(FactorTable!$B$2:$Y$301, MATCH(ROUND(MIN(300,MAX(1,D2584)),0), FactorTable!$A$2:$A$301,0), Skills!M29+1)</f>
        <v/>
      </c>
      <c r="F2584">
        <f>IF(Skills!N29=TRUE,(Skills!L29/10)*(E2584/1000),Skills!L29/10)+Skills!O29</f>
        <v/>
      </c>
      <c r="G2584">
        <f>Skills!G29*IF(Skills!H29&gt;0,Skills!I29/Skills!H29,1)</f>
        <v/>
      </c>
      <c r="H2584">
        <f>1-(1-Skills!J29/100)^Skills!K29</f>
        <v/>
      </c>
      <c r="I2584" t="inlineStr">
        <is>
          <t>1</t>
        </is>
      </c>
      <c r="J2584" t="inlineStr"/>
      <c r="K2584" t="inlineStr"/>
      <c r="L2584" t="inlineStr"/>
      <c r="M2584" t="inlineStr"/>
      <c r="N2584" t="inlineStr"/>
      <c r="O2584">
        <f>(1-Summary!$B$11)*T2584+Summary!$B$11*V2584</f>
        <v/>
      </c>
      <c r="P2584">
        <f>IF(B2598=0,0,O2584/B2598)</f>
        <v/>
      </c>
      <c r="Q2584" t="n">
        <v>0</v>
      </c>
      <c r="R2584" t="n">
        <v>0</v>
      </c>
      <c r="S2584">
        <f>IFERROR(O2584/N2584,0)</f>
        <v/>
      </c>
      <c r="T2584" t="n">
        <v>0</v>
      </c>
      <c r="V2584" t="n">
        <v>0</v>
      </c>
    </row>
    <row r="2585">
      <c r="A2585">
        <f>Skills!A30</f>
        <v/>
      </c>
      <c r="B2585">
        <f>Skills!B30</f>
        <v/>
      </c>
      <c r="C2585">
        <f>Inputs!$B$3&gt;=45</f>
        <v/>
      </c>
      <c r="D2585">
        <f>IF(Skills!C30=1,60+Inputs!$B$25+Inputs!$B$29,IF(Skills!C30=2,90+Inputs!$B$26+Inputs!$B$29,IF(Skills!C30=3,120+Inputs!$B$27+Inputs!$B$29,MAX(0,(Inputs!$B$3-100)*3)+Inputs!$B$28+Inputs!$B$29)))</f>
        <v/>
      </c>
      <c r="E2585">
        <f>INDEX(FactorTable!$B$2:$Y$301, MATCH(ROUND(MIN(300,MAX(1,D2585)),0), FactorTable!$A$2:$A$301,0), Skills!M30+1)</f>
        <v/>
      </c>
      <c r="F2585">
        <f>IF(Skills!N30=TRUE,(Skills!L30/10)*(E2585/1000),Skills!L30/10)+Skills!O30</f>
        <v/>
      </c>
      <c r="G2585">
        <f>Skills!G30*IF(Skills!H30&gt;0,Skills!I30/Skills!H30,1)</f>
        <v/>
      </c>
      <c r="H2585">
        <f>1-(1-Skills!J30/100)^Skills!K30</f>
        <v/>
      </c>
      <c r="I2585" t="inlineStr">
        <is>
          <t>1</t>
        </is>
      </c>
      <c r="J2585" t="inlineStr"/>
      <c r="K2585" t="inlineStr"/>
      <c r="L2585" t="inlineStr"/>
      <c r="M2585" t="inlineStr"/>
      <c r="N2585" t="inlineStr"/>
      <c r="O2585">
        <f>(1-Summary!$B$11)*T2585+Summary!$B$11*V2585</f>
        <v/>
      </c>
      <c r="P2585">
        <f>IF(B2598=0,0,O2585/B2598)</f>
        <v/>
      </c>
      <c r="Q2585" t="n">
        <v>0</v>
      </c>
      <c r="R2585" t="n">
        <v>0</v>
      </c>
      <c r="S2585">
        <f>IFERROR(O2585/N2585,0)</f>
        <v/>
      </c>
      <c r="T2585" t="n">
        <v>0</v>
      </c>
      <c r="V2585" t="n">
        <v>0</v>
      </c>
    </row>
    <row r="2587">
      <c r="A2587" t="inlineStr">
        <is>
          <t>Attack% Bucket Multiplier</t>
        </is>
      </c>
      <c r="B2587">
        <f>(1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8">
      <c r="A2588" t="inlineStr">
        <is>
          <t>Global Crit Rate Bonus %</t>
        </is>
      </c>
      <c r="B2588">
        <f>(C2571=TRUE)*20*IF(AND(Inputs!$B$38&lt;&gt;"pvp",Inputs!$B$43&gt;0),(((R2571-1)*(Skills!T16*(1+Inputs!$B$34/100))+MIN((Skills!T16*(1+Inputs!$B$34/100)),MAX(0,Inputs!$B$43-((R2571-1)*Skills!D16))))/Inputs!$B$43),IF(Inputs!$B$38="pvp",MIN((Skills!T16*(1+Inputs!$B$34/100)),15)/15,(Skills!T16*(1+Inputs!$B$34/100))/Skills!D16))</f>
        <v/>
      </c>
    </row>
    <row r="2589">
      <c r="A2589" t="inlineStr">
        <is>
          <t>Attack Speed Buff Bonus %</t>
        </is>
      </c>
      <c r="B2589">
        <f>((C2574=TRUE)*F2574*IF(AND(Inputs!$B$38&lt;&gt;"pvp",Inputs!$B$43&gt;0),(((R2574-1)*(Skills!T19*(1+Inputs!$B$34/100))+MIN((Skills!T19*(1+Inputs!$B$34/100)),MAX(0,Inputs!$B$43-((R2574-1)*Skills!D19))))/Inputs!$B$43),IF(Inputs!$B$38="pvp",MIN((Skills!T19*(1+Inputs!$B$34/100)),15)/15,(Skills!T19*(1+Inputs!$B$34/100))/Skills!D19)))</f>
        <v/>
      </c>
    </row>
    <row r="2590">
      <c r="A2590" t="inlineStr">
        <is>
          <t>Actions Per Second</t>
        </is>
      </c>
      <c r="B2590">
        <f>1+MIN(150,150*(1-(1-(Inputs!$B$11+((C2576=TRUE)*(F2576-Calc!F21))+((C2577=TRUE)*(F2577-Calc!F22)))/150)*(1-B2589/150)))/100</f>
        <v/>
      </c>
    </row>
    <row r="2591">
      <c r="A2591" t="inlineStr">
        <is>
          <t>Skill + Buff Cast Rate</t>
        </is>
      </c>
      <c r="B2591">
        <f>IF(AND(Inputs!$B$38&lt;&gt;"pvp",Inputs!$B$43&gt;0),SUMPRODUCT((Skills!E2:E30=TRUE)*(C2557:C2585=TRUE)*R2557:R2585*Skills!F2:F30)/Inputs!$B$43,SUMPRODUCT((Skills!E2:E30=TRUE)*(C2557:C2585=TRUE)*Q2557:Q2585*Skills!F2:F30))</f>
        <v/>
      </c>
    </row>
    <row r="2592">
      <c r="A2592" t="inlineStr">
        <is>
          <t>Arrow Stream Casts Per Second</t>
        </is>
      </c>
      <c r="B2592">
        <f>MAX(0,B2590-B2591)</f>
        <v/>
      </c>
    </row>
    <row r="2593">
      <c r="A2593" t="inlineStr">
        <is>
          <t>Global Critical Damage Bonus % (Sharp Eyes + Concentration)</t>
        </is>
      </c>
      <c r="B2593">
        <f>(C2571=TRUE)*F2571*IF(AND(Inputs!$B$38&lt;&gt;"pvp",Inputs!$B$43&gt;0),(((R2571-1)*(Skills!T16*(1+Inputs!$B$34/100))+MIN((Skills!T16*(1+Inputs!$B$34/100)),MAX(0,Inputs!$B$43-((R2571-1)*Skills!D16))))/Inputs!$B$43),IF(Inputs!$B$38="pvp",MIN((Skills!T16*(1+Inputs!$B$34/100)),15)/15,(Skills!T16*(1+Inputs!$B$34/100))/Skills!D16))+(C2572=TRUE)*30</f>
        <v/>
      </c>
    </row>
    <row r="2594">
      <c r="A2594" t="inlineStr">
        <is>
          <t>Global Final Damage Bonus % (Mortal Blow)</t>
        </is>
      </c>
      <c r="B2594">
        <f>(C2573=TRUE)*F2573</f>
        <v/>
      </c>
    </row>
    <row r="2595">
      <c r="A2595" t="inlineStr">
        <is>
          <t>Buff-Casting Startup Delay (s, fixed-duration only)</t>
        </is>
      </c>
      <c r="B2595">
        <f>IF(AND(Inputs!$B$38&lt;&gt;"pvp",Inputs!$B$43&gt;0),SUMPRODUCT((Skills!T2:T30&gt;0)*(Skills!E2:E30=TRUE)*(C2557:C2585=TRUE))/B2590,0)</f>
        <v/>
      </c>
    </row>
    <row r="2596">
      <c r="A2596" t="inlineStr">
        <is>
          <t>Boss-Only Total DPS (this block's swept value)</t>
        </is>
      </c>
      <c r="B2596">
        <f>SUM(T2557:T2585)</f>
        <v/>
      </c>
    </row>
    <row r="2597">
      <c r="A2597" t="inlineStr">
        <is>
          <t>Normal-Only Total DPS (this block's swept value)</t>
        </is>
      </c>
      <c r="B2597">
        <f>SUM(V2557:V2585)</f>
        <v/>
      </c>
    </row>
    <row r="2598">
      <c r="A2598" s="6" t="inlineStr">
        <is>
          <t>TOTAL DPS</t>
        </is>
      </c>
      <c r="B2598" s="6">
        <f>SUM(O2557:O2585)</f>
        <v/>
      </c>
    </row>
    <row r="2601">
      <c r="A2601" s="6" t="inlineStr">
        <is>
          <t>Stat: Candle (Equip)</t>
        </is>
      </c>
    </row>
    <row r="2602">
      <c r="A2602" s="5" t="inlineStr">
        <is>
          <t>Key</t>
        </is>
      </c>
      <c r="B2602" s="5" t="inlineStr">
        <is>
          <t>Name</t>
        </is>
      </c>
      <c r="C2602" s="5" t="inlineStr">
        <is>
          <t>Unlocked</t>
        </is>
      </c>
      <c r="D2602" s="5" t="inlineStr">
        <is>
          <t>InputLevel</t>
        </is>
      </c>
      <c r="E2602" s="5" t="inlineStr">
        <is>
          <t>Factor</t>
        </is>
      </c>
      <c r="F2602" s="5" t="inlineStr">
        <is>
          <t>CoefficientPercent</t>
        </is>
      </c>
      <c r="G2602" s="5" t="inlineStr">
        <is>
          <t>EffectiveHits</t>
        </is>
      </c>
      <c r="H2602" s="5" t="inlineStr">
        <is>
          <t>ProcProbability</t>
        </is>
      </c>
      <c r="I2602" s="5" t="inlineStr">
        <is>
          <t>MapleHeroMultiplier</t>
        </is>
      </c>
      <c r="J2602" s="5" t="inlineStr">
        <is>
          <t>BaseDamage</t>
        </is>
      </c>
      <c r="K2602" s="5" t="inlineStr">
        <is>
          <t>BaseHitDamage</t>
        </is>
      </c>
      <c r="L2602" s="5" t="inlineStr">
        <is>
          <t>NonCritAvg</t>
        </is>
      </c>
      <c r="M2602" s="5" t="inlineStr">
        <is>
          <t>CritAvg</t>
        </is>
      </c>
      <c r="N2602" s="5" t="inlineStr">
        <is>
          <t>ExpectedDamage(perHit)</t>
        </is>
      </c>
      <c r="O2602" s="5" t="inlineStr">
        <is>
          <t>DPS</t>
        </is>
      </c>
      <c r="P2602" s="5" t="inlineStr">
        <is>
          <t>% of Total</t>
        </is>
      </c>
      <c r="Q2602" s="5" t="inlineStr">
        <is>
          <t>InvCooldown</t>
        </is>
      </c>
      <c r="R2602" s="5" t="inlineStr">
        <is>
          <t>CastsInFight</t>
        </is>
      </c>
      <c r="S2602" s="5" t="inlineStr">
        <is>
          <t>HitRate(perSec)</t>
        </is>
      </c>
      <c r="U2602" t="inlineStr">
        <is>
          <t>helpers</t>
        </is>
      </c>
    </row>
    <row r="2603">
      <c r="A2603">
        <f>Skills!A2</f>
        <v/>
      </c>
      <c r="B2603">
        <f>Skills!B2</f>
        <v/>
      </c>
      <c r="C2603">
        <f>Inputs!$B$3&gt;=100</f>
        <v/>
      </c>
      <c r="D2603" t="inlineStr"/>
      <c r="E2603" t="inlineStr"/>
      <c r="F2603">
        <f>U2605+Skills!O2</f>
        <v/>
      </c>
      <c r="G2603">
        <f>Skills!G2*IF(Skills!H2&gt;0,Skills!I2/Skills!H2,1)</f>
        <v/>
      </c>
      <c r="H2603">
        <f>1-(1-Skills!J2/100)^Skills!K2</f>
        <v/>
      </c>
      <c r="I2603" t="inlineStr">
        <is>
          <t>1</t>
        </is>
      </c>
      <c r="J2603">
        <f>((Inputs!$B$6*(1+Inputs!$B$7/100))+(((Inputs!$B$12*(1+Inputs!$B$13/100))-(Inputs!$B$12*(1+Inputs!$B$13/100)))+0.25*(Inputs!$B$14-Inputs!$B$14))*(1+Inputs!$B$7/100))*(F2603/100)</f>
        <v/>
      </c>
      <c r="K2603">
        <f>J2603*(1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2625=TRUE)*(F2625-Calc!F24)),(Inputs!$B$23+((C2630=TRUE)*(F2630-Calc!F29))+(IF(ArtifactsInput!$M$15,CHOOSE(ArtifactsInput!$N$15+1,25,30,35,40,45,50)/100*(Inputs!$B$11-Inputs!$B$11),0))))/100+(Inputs!$B$23+((C2630=TRUE)*(F2630-Calc!F29))+(IF(ArtifactsInput!$M$15,CHOOSE(ArtifactsInput!$N$15+1,25,30,35,40,45,50)/100*(Inputs!$B$11-Inputs!$B$11),0)))/100)/2</f>
        <v/>
      </c>
      <c r="M2603">
        <f>L2603*(1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IF(B2644=0,0,O2603/B2644)</f>
        <v/>
      </c>
      <c r="Q2603" t="n">
        <v>0</v>
      </c>
      <c r="R2603" t="n">
        <v>0</v>
      </c>
      <c r="S2603">
        <f>IFERROR(O2603/N2603,0)</f>
        <v/>
      </c>
      <c r="T2603">
        <f>IF(C2603,(Skills!G2*N2603*B2638)*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2603*(1-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3">
        <f>MAX(0,(Inputs!$B$3-100)*3)+Inputs!$B$28+Inputs!$B$29</f>
        <v/>
      </c>
      <c r="V2603">
        <f>IF(C2603,(Skills!G2*N2603*B2638)*IF(Inputs!$B$38="pvp",1,(1+(Inputs!$B$21+Skills!Q2+(IF(ArtifactsInput!$M$33,CHOOSE(ArtifactsInput!$N$33+1,30,36,42,48,54,60),0))+(IF(AND(ArtifactsInput!$M$35,Inputs!$B$4&lt;&gt;"Chapter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Skills!A3</f>
        <v/>
      </c>
      <c r="B2604">
        <f>Skills!B3</f>
        <v/>
      </c>
      <c r="C2604">
        <f>Inputs!$B$3&gt;=50</f>
        <v/>
      </c>
      <c r="D2604">
        <f>IF(Skills!C3=1,60+Inputs!$B$25+Inputs!$B$29,IF(Skills!C3=2,90+Inputs!$B$26+Inputs!$B$29,IF(Skills!C3=3,120+Inputs!$B$27+Inputs!$B$29,MAX(0,(Inputs!$B$3-100)*3)+Inputs!$B$28+Inputs!$B$29)))</f>
        <v/>
      </c>
      <c r="E2604">
        <f>INDEX(FactorTable!$B$2:$Y$301, MATCH(ROUND(MIN(300,MAX(1,D2604)),0), FactorTable!$A$2:$A$301,0), Skills!M3+1)</f>
        <v/>
      </c>
      <c r="F2604">
        <f>IF(Skills!N3=TRUE,(Skills!L3/10)*(E2604/1000),Skills!L3/10)+Skills!O3</f>
        <v/>
      </c>
      <c r="G2604" t="inlineStr"/>
      <c r="H2604" t="inlineStr"/>
      <c r="I2604" t="inlineStr">
        <is>
          <t>1</t>
        </is>
      </c>
      <c r="J2604" t="inlineStr"/>
      <c r="K2604" t="inlineStr"/>
      <c r="L2604" t="inlineStr"/>
      <c r="M2604" t="inlineStr"/>
      <c r="N2604" t="inlineStr"/>
      <c r="O2604" t="inlineStr"/>
      <c r="P2604" t="inlineStr"/>
      <c r="Q2604" t="inlineStr"/>
      <c r="R2604" t="inlineStr"/>
      <c r="S2604" t="inlineStr"/>
      <c r="T2604" t="inlineStr"/>
      <c r="U2604">
        <f>INDEX(FactorTable!$B$2:$Y$301, MATCH(ROUND(MIN(300,MAX(1,U2603)),0), FactorTable!$A$2:$A$301,0), 22)</f>
        <v/>
      </c>
      <c r="V2604" t="inlineStr"/>
    </row>
    <row r="2605">
      <c r="A2605">
        <f>Skills!A4</f>
        <v/>
      </c>
      <c r="B2605">
        <f>Skills!B4</f>
        <v/>
      </c>
      <c r="C2605">
        <f>Inputs!$B$3&gt;=105</f>
        <v/>
      </c>
      <c r="D2605">
        <f>IF(Skills!C4=1,60+Inputs!$B$25+Inputs!$B$29,IF(Skills!C4=2,90+Inputs!$B$26+Inputs!$B$29,IF(Skills!C4=3,120+Inputs!$B$27+Inputs!$B$29,MAX(0,(Inputs!$B$3-100)*3)+Inputs!$B$28+Inputs!$B$29)))</f>
        <v/>
      </c>
      <c r="E2605">
        <f>INDEX(FactorTable!$B$2:$Y$301, MATCH(ROUND(MIN(300,MAX(1,D2605)),0), FactorTable!$A$2:$A$301,0), Skills!M4+1)</f>
        <v/>
      </c>
      <c r="F2605">
        <f>IF(Skills!N4=TRUE,(Skills!L4/10)*(E2605/1000),Skills!L4/10)+Skills!O4</f>
        <v/>
      </c>
      <c r="G2605" t="inlineStr"/>
      <c r="H2605" t="inlineStr"/>
      <c r="I2605" t="inlineStr">
        <is>
          <t>1</t>
        </is>
      </c>
      <c r="J2605" t="inlineStr"/>
      <c r="K2605" t="inlineStr"/>
      <c r="L2605" t="inlineStr"/>
      <c r="M2605" t="inlineStr"/>
      <c r="N2605" t="inlineStr"/>
      <c r="O2605" t="inlineStr"/>
      <c r="P2605" t="inlineStr"/>
      <c r="Q2605" t="inlineStr"/>
      <c r="R2605" t="inlineStr"/>
      <c r="S2605" t="inlineStr"/>
      <c r="T2605" t="inlineStr"/>
      <c r="U2605">
        <f>290*U2604/1000</f>
        <v/>
      </c>
      <c r="V2605" t="inlineStr"/>
    </row>
    <row r="2606">
      <c r="A2606">
        <f>Skills!A5</f>
        <v/>
      </c>
      <c r="B2606">
        <f>Skills!B5</f>
        <v/>
      </c>
      <c r="C2606">
        <f>Inputs!$B$3&gt;=35</f>
        <v/>
      </c>
      <c r="D2606">
        <f>IF(Skills!C5=1,60+Inputs!$B$25+Inputs!$B$29,IF(Skills!C5=2,90+Inputs!$B$26+Inputs!$B$29,IF(Skills!C5=3,120+Inputs!$B$27+Inputs!$B$29,MAX(0,(Inputs!$B$3-100)*3)+Inputs!$B$28+Inputs!$B$29)))</f>
        <v/>
      </c>
      <c r="E2606">
        <f>INDEX(FactorTable!$B$2:$Y$301, MATCH(ROUND(MIN(300,MAX(1,D2606)),0), FactorTable!$A$2:$A$301,0), Skills!M5+1)</f>
        <v/>
      </c>
      <c r="F2606">
        <f>IF(Skills!N5=TRUE,(Skills!L5/10)*(E2606/1000),Skills!L5/10)+Skills!O5</f>
        <v/>
      </c>
      <c r="G2606">
        <f>Skills!G5*IF(Skills!H5&gt;0,Skills!I5/Skills!H5,1)</f>
        <v/>
      </c>
      <c r="H2606">
        <f>1-(1-Skills!J5/100)^Skills!K5</f>
        <v/>
      </c>
      <c r="I2606" t="inlineStr">
        <is>
          <t>1</t>
        </is>
      </c>
      <c r="J2606">
        <f>((Inputs!$B$6*(1+Inputs!$B$7/100))+(((Inputs!$B$12*(1+Inputs!$B$13/100))-(Inputs!$B$12*(1+Inputs!$B$13/100)))+0.25*(Inputs!$B$14-Inputs!$B$14))*(1+Inputs!$B$7/100))*(F2606/100)</f>
        <v/>
      </c>
      <c r="K2606">
        <f>J2606*(1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2611=TRUE,F2611,0)/100)*(1+(IF(Skills!A5="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C2625=TRUE)*(F2625-Calc!F24)),(Inputs!$B$23+((C2630=TRUE)*(F2630-Calc!F29))+(IF(ArtifactsInput!$M$15,CHOOSE(ArtifactsInput!$N$15+1,25,30,35,40,45,50)/100*(Inputs!$B$11-Inputs!$B$11),0))))/100+(Inputs!$B$23+((C2630=TRUE)*(F2630-Calc!F29))+(IF(ArtifactsInput!$M$15,CHOOSE(ArtifactsInput!$N$15+1,25,30,35,40,45,50)/100*(Inputs!$B$11-Inputs!$B$11),0)))/100)/2</f>
        <v/>
      </c>
      <c r="M2606">
        <f>L2606*(1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(1-Summary!$B$11)*T2606+Summary!$B$11*V2606</f>
        <v/>
      </c>
      <c r="P2606">
        <f>IF(B2644=0,0,O2606/B2644)</f>
        <v/>
      </c>
      <c r="Q2606">
        <f>IFERROR(1/(IF(Inputs!$B$38="pvp",15,MAX(0.1,Skills!D5-IF(Skills!E5=TRUE,Inputs!$B$32,0)))*(1-IF(AND(ArtifactsInput!$M$27,Inputs!$B$4="Chapter Hunt"),CHOOSE(ArtifactsInput!$N$27+1,20,24,28,32,36,40),0)/100)),0)</f>
        <v/>
      </c>
      <c r="R2606">
        <f>IF(AND(Inputs!$B$38&lt;&gt;"pvp",Inputs!$B$43&gt;0),IF(MAX(0,Inputs!$B$43-B2641)&lt;=0,0,(INT(MAX(0,Inputs!$B$43-B2641)/(IF(Inputs!$B$38="pvp",15,MAX(0.1,Skills!D5-IF(Skills!E5=TRUE,Inputs!$B$32,0)))*(1-IF(AND(ArtifactsInput!$M$27,Inputs!$B$4="Chapter Hunt"),CHOOSE(ArtifactsInput!$N$27+1,20,24,28,32,36,40),0)/100)))+1)),0)</f>
        <v/>
      </c>
      <c r="S2606">
        <f>IFERROR(O2606/N2606,0)</f>
        <v/>
      </c>
      <c r="T2606">
        <f>IF(C2606,(H2606*N2606*IF(AND(Inputs!$B$38&lt;&gt;"pvp",Inputs!$B$43&gt;0),((Skills!G5*((R2606-1)*IF(Skills!H5&gt;0,Skills!I5/Skills!H5,1)+IF(Skills!H5&gt;0,MIN(Skills!I5,MAX(0,MAX(0,Inputs!$B$43-B2641)-((R2606-1)*(IF(Inputs!$B$38="pvp",15,MAX(0.1,Skills!D5-IF(Skills!E5=TRUE,Inputs!$B$32,0)))*(1-IF(AND(ArtifactsInput!$M$27,Inputs!$B$4="Chapter Hunt"),CHOOSE(ArtifactsInput!$N$27+1,20,24,28,32,36,40),0)/100)))))/Skills!H5,1)))/Inputs!$B$43),G2606*Q2606)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2606*(1-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6">
        <f>IF(C2606,(H2606*N2606*IF(AND(Inputs!$B$38&lt;&gt;"pvp",Inputs!$B$43&gt;0),((Skills!G5*((R2606-1)*IF(Skills!H5&gt;0,Skills!I5/Skills!H5,1)+IF(Skills!H5&gt;0,MIN(Skills!I5,MAX(0,MAX(0,Inputs!$B$43-B2641)-((R2606-1)*(IF(Inputs!$B$38="pvp",15,MAX(0.1,Skills!D5-IF(Skills!E5=TRUE,Inputs!$B$32,0)))*(1-IF(AND(ArtifactsInput!$M$27,Inputs!$B$4="Chapter Hunt"),CHOOSE(ArtifactsInput!$N$27+1,20,24,28,32,36,40),0)/100)))))/Skills!H5,1)))/Inputs!$B$43),G2606*Q2606))*IF(Inputs!$B$38="pvp",1,(1+(Inputs!$B$21+Skills!Q5+(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7">
      <c r="A2607">
        <f>Skills!A6</f>
        <v/>
      </c>
      <c r="B2607">
        <f>Skills!B6</f>
        <v/>
      </c>
      <c r="C2607">
        <f>Inputs!$B$3&gt;=40</f>
        <v/>
      </c>
      <c r="D2607">
        <f>IF(Skills!C6=1,60+Inputs!$B$25+Inputs!$B$29,IF(Skills!C6=2,90+Inputs!$B$26+Inputs!$B$29,IF(Skills!C6=3,120+Inputs!$B$27+Inputs!$B$29,MAX(0,(Inputs!$B$3-100)*3)+Inputs!$B$28+Inputs!$B$29)))</f>
        <v/>
      </c>
      <c r="E2607">
        <f>INDEX(FactorTable!$B$2:$Y$301, MATCH(ROUND(MIN(300,MAX(1,D2607)),0), FactorTable!$A$2:$A$301,0), Skills!M6+1)</f>
        <v/>
      </c>
      <c r="F2607">
        <f>IF(Skills!N6=TRUE,(Skills!L6/10)*(E2607/1000),Skills!L6/10)+Skills!O6</f>
        <v/>
      </c>
      <c r="G2607">
        <f>Skills!G6*IF(Skills!H6&gt;0,Skills!I6/Skills!H6,1)</f>
        <v/>
      </c>
      <c r="H2607">
        <f>1-(1-Skills!J6/100)^Skills!K6</f>
        <v/>
      </c>
      <c r="I2607" t="inlineStr">
        <is>
          <t>1</t>
        </is>
      </c>
      <c r="J2607">
        <f>((Inputs!$B$6*(1+Inputs!$B$7/100))+(((Inputs!$B$12*(1+Inputs!$B$13/100))-(Inputs!$B$12*(1+Inputs!$B$13/100)))+0.25*(Inputs!$B$14-Inputs!$B$14))*(1+Inputs!$B$7/100))*(F2607/100)</f>
        <v/>
      </c>
      <c r="K2607">
        <f>J2607*(1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2608=TRUE,F2608,0)/100)*(1+(IF(Skills!A6="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2625=TRUE)*(F2625-Calc!F24)),(Inputs!$B$23+((C2630=TRUE)*(F2630-Calc!F29))+(IF(ArtifactsInput!$M$15,CHOOSE(ArtifactsInput!$N$15+1,25,30,35,40,45,50)/100*(Inputs!$B$11-Inputs!$B$11),0))))/100+(Inputs!$B$23+((C2630=TRUE)*(F2630-Calc!F29))+(IF(ArtifactsInput!$M$15,CHOOSE(ArtifactsInput!$N$15+1,25,30,35,40,45,50)/100*(Inputs!$B$11-Inputs!$B$11),0)))/100)/2</f>
        <v/>
      </c>
      <c r="M2607">
        <f>L2607*(1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IF(B2644=0,0,O2607/B2644)</f>
        <v/>
      </c>
      <c r="Q2607">
        <f>IFERROR(1/(IF(Inputs!$B$38="pvp",15,MAX(0.1,Skills!D6-IF(Skills!E6=TRUE,Inputs!$B$32,0)))*(1-IF(AND(ArtifactsInput!$M$27,Inputs!$B$4="Chapter Hunt"),CHOOSE(ArtifactsInput!$N$27+1,20,24,28,32,36,40),0)/100)),0)</f>
        <v/>
      </c>
      <c r="R2607">
        <f>IF(AND(Inputs!$B$38&lt;&gt;"pvp",Inputs!$B$43&gt;0),IF(MAX(0,Inputs!$B$43-B2641)&lt;=0,0,(INT(MAX(0,Inputs!$B$43-B2641)/(IF(Inputs!$B$38="pvp",15,MAX(0.1,Skills!D6-IF(Skills!E6=TRUE,Inputs!$B$32,0)))*(1-IF(AND(ArtifactsInput!$M$27,Inputs!$B$4="Chapter Hunt"),CHOOSE(ArtifactsInput!$N$27+1,20,24,28,32,36,40),0)/100)))+1)),0)</f>
        <v/>
      </c>
      <c r="S2607">
        <f>IFERROR(O2607/N2607,0)</f>
        <v/>
      </c>
      <c r="T2607">
        <f>IF(C2607,(H2607*N2607*IF(AND(Inputs!$B$38&lt;&gt;"pvp",Inputs!$B$43&gt;0),((Skills!G6*((R2607-1)*IF(Skills!H6&gt;0,Skills!I6/Skills!H6,1)+IF(Skills!H6&gt;0,MIN(Skills!I6,MAX(0,MAX(0,Inputs!$B$43-B2641)-((R2607-1)*(IF(Inputs!$B$38="pvp",15,MAX(0.1,Skills!D6-IF(Skills!E6=TRUE,Inputs!$B$32,0)))*(1-IF(AND(ArtifactsInput!$M$27,Inputs!$B$4="Chapter Hunt"),CHOOSE(ArtifactsInput!$N$27+1,20,24,28,32,36,40),0)/100)))))/Skills!H6,1)))/Inputs!$B$43),G2607*Q2607)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2607*(1-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7">
        <f>IF(C2607,(H2607*N2607*IF(AND(Inputs!$B$38&lt;&gt;"pvp",Inputs!$B$43&gt;0),((Skills!G6*((R2607-1)*IF(Skills!H6&gt;0,Skills!I6/Skills!H6,1)+IF(Skills!H6&gt;0,MIN(Skills!I6,MAX(0,MAX(0,Inputs!$B$43-B2641)-((R2607-1)*(IF(Inputs!$B$38="pvp",15,MAX(0.1,Skills!D6-IF(Skills!E6=TRUE,Inputs!$B$32,0)))*(1-IF(AND(ArtifactsInput!$M$27,Inputs!$B$4="Chapter Hunt"),CHOOSE(ArtifactsInput!$N$27+1,20,24,28,32,36,40),0)/100)))))/Skills!H6,1)))/Inputs!$B$43),G2607*Q2607))*IF(Inputs!$B$38="pvp",1,(1+(Inputs!$B$21+Skills!Q6+(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Skills!A7</f>
        <v/>
      </c>
      <c r="B2608">
        <f>Skills!B7</f>
        <v/>
      </c>
      <c r="C2608">
        <f>Inputs!$B$3&gt;=107</f>
        <v/>
      </c>
      <c r="D2608">
        <f>IF(Skills!C7=1,60+Inputs!$B$25+Inputs!$B$29,IF(Skills!C7=2,90+Inputs!$B$26+Inputs!$B$29,IF(Skills!C7=3,120+Inputs!$B$27+Inputs!$B$29,MAX(0,(Inputs!$B$3-100)*3)+Inputs!$B$28+Inputs!$B$29)))</f>
        <v/>
      </c>
      <c r="E2608">
        <f>INDEX(FactorTable!$B$2:$Y$301, MATCH(ROUND(MIN(300,MAX(1,D2608)),0), FactorTable!$A$2:$A$301,0), Skills!M7+1)</f>
        <v/>
      </c>
      <c r="F2608">
        <f>IF(Skills!N7=TRUE,(Skills!L7/10)*(E2608/1000),Skills!L7/10)+Skills!O7</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T2608" t="inlineStr"/>
      <c r="V2608" t="inlineStr"/>
    </row>
    <row r="2609">
      <c r="A2609">
        <f>Skills!A8</f>
        <v/>
      </c>
      <c r="B2609">
        <f>Skills!B8</f>
        <v/>
      </c>
      <c r="C2609">
        <f>Inputs!$B$3&gt;=69</f>
        <v/>
      </c>
      <c r="D2609">
        <f>IF(Skills!C8=1,60+Inputs!$B$25+Inputs!$B$29,IF(Skills!C8=2,90+Inputs!$B$26+Inputs!$B$29,IF(Skills!C8=3,120+Inputs!$B$27+Inputs!$B$29,MAX(0,(Inputs!$B$3-100)*3)+Inputs!$B$28+Inputs!$B$29)))</f>
        <v/>
      </c>
      <c r="E2609">
        <f>INDEX(FactorTable!$B$2:$Y$301, MATCH(ROUND(MIN(300,MAX(1,D2609)),0), FactorTable!$A$2:$A$301,0), Skills!M8+1)</f>
        <v/>
      </c>
      <c r="F2609">
        <f>IF(Skills!N8=TRUE,(Skills!L8/10)*(E2609/1000),Skills!L8/10)+Skills!O8</f>
        <v/>
      </c>
      <c r="G2609">
        <f>Skills!G8*IF(Skills!H8&gt;0,Skills!I8/Skills!H8,1)</f>
        <v/>
      </c>
      <c r="H2609">
        <f>1-(1-Skills!J8/100)^Skills!K8</f>
        <v/>
      </c>
      <c r="I2609" t="inlineStr">
        <is>
          <t>1</t>
        </is>
      </c>
      <c r="J2609">
        <f>((Inputs!$B$6*(1+Inputs!$B$7/100))+(((Inputs!$B$12*(1+Inputs!$B$13/100))-(Inputs!$B$12*(1+Inputs!$B$13/100)))+0.25*(Inputs!$B$14-Inputs!$B$14))*(1+Inputs!$B$7/100))*(F2609/100)</f>
        <v/>
      </c>
      <c r="K2609">
        <f>J2609*(1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2611=TRUE,F2611,0)/100)*(1+(IF(Skills!A8="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2625=TRUE)*(F2625-Calc!F24)),(Inputs!$B$23+((C2630=TRUE)*(F2630-Calc!F29))+(IF(ArtifactsInput!$M$15,CHOOSE(ArtifactsInput!$N$15+1,25,30,35,40,45,50)/100*(Inputs!$B$11-Inputs!$B$11),0))))/100+(Inputs!$B$23+((C2630=TRUE)*(F2630-Calc!F29))+(IF(ArtifactsInput!$M$15,CHOOSE(ArtifactsInput!$N$15+1,25,30,35,40,45,50)/100*(Inputs!$B$11-Inputs!$B$11),0)))/100)/2</f>
        <v/>
      </c>
      <c r="M2609">
        <f>L2609*(1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IF(B2644=0,0,O2609/B2644)</f>
        <v/>
      </c>
      <c r="Q2609">
        <f>IFERROR(1/(IF(Inputs!$B$38="pvp",15,MAX(0.1,Skills!D8-IF(Skills!E8=TRUE,Inputs!$B$32,0)))*(1-IF(AND(ArtifactsInput!$M$27,Inputs!$B$4="Chapter Hunt"),CHOOSE(ArtifactsInput!$N$27+1,20,24,28,32,36,40),0)/100)),0)</f>
        <v/>
      </c>
      <c r="R2609">
        <f>IF(AND(Inputs!$B$38&lt;&gt;"pvp",Inputs!$B$43&gt;0),IF(MAX(0,Inputs!$B$43-B2641)&lt;=0,0,(INT(MAX(0,Inputs!$B$43-B2641)/(IF(Inputs!$B$38="pvp",15,MAX(0.1,Skills!D8-IF(Skills!E8=TRUE,Inputs!$B$32,0)))*(1-IF(AND(ArtifactsInput!$M$27,Inputs!$B$4="Chapter Hunt"),CHOOSE(ArtifactsInput!$N$27+1,20,24,28,32,36,40),0)/100)))+1)),0)</f>
        <v/>
      </c>
      <c r="S2609">
        <f>IFERROR(O2609/N2609,0)</f>
        <v/>
      </c>
      <c r="T2609">
        <f>IF(C2609,(H2609*N2609*IF(AND(Inputs!$B$38&lt;&gt;"pvp",Inputs!$B$43&gt;0),((Skills!G8*((R2609-1)*IF(Skills!H8&gt;0,Skills!I8/Skills!H8,1)+IF(Skills!H8&gt;0,MIN(Skills!I8,MAX(0,MAX(0,Inputs!$B$43-B2641)-((R2609-1)*(IF(Inputs!$B$38="pvp",15,MAX(0.1,Skills!D8-IF(Skills!E8=TRUE,Inputs!$B$32,0)))*(1-IF(AND(ArtifactsInput!$M$27,Inputs!$B$4="Chapter Hunt"),CHOOSE(ArtifactsInput!$N$27+1,20,24,28,32,36,40),0)/100)))))/Skills!H8,1)))/Inputs!$B$43),G2609*Q2609)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2609*(1-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9">
        <f>IF(C2609,(H2609*N2609*IF(AND(Inputs!$B$38&lt;&gt;"pvp",Inputs!$B$43&gt;0),((Skills!G8*((R2609-1)*IF(Skills!H8&gt;0,Skills!I8/Skills!H8,1)+IF(Skills!H8&gt;0,MIN(Skills!I8,MAX(0,MAX(0,Inputs!$B$43-B2641)-((R2609-1)*(IF(Inputs!$B$38="pvp",15,MAX(0.1,Skills!D8-IF(Skills!E8=TRUE,Inputs!$B$32,0)))*(1-IF(AND(ArtifactsInput!$M$27,Inputs!$B$4="Chapter Hunt"),CHOOSE(ArtifactsInput!$N$27+1,20,24,28,32,36,40),0)/100)))))/Skills!H8,1)))/Inputs!$B$43),G2609*Q2609))*IF(Inputs!$B$38="pvp",1,(1+(Inputs!$B$21+Skills!Q8+(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Skills!A9</f>
        <v/>
      </c>
      <c r="B2610">
        <f>Skills!B9</f>
        <v/>
      </c>
      <c r="C2610">
        <f>Inputs!$B$3&gt;=63</f>
        <v/>
      </c>
      <c r="D2610">
        <f>IF(Skills!C9=1,60+Inputs!$B$25+Inputs!$B$29,IF(Skills!C9=2,90+Inputs!$B$26+Inputs!$B$29,IF(Skills!C9=3,120+Inputs!$B$27+Inputs!$B$29,MAX(0,(Inputs!$B$3-100)*3)+Inputs!$B$28+Inputs!$B$29)))</f>
        <v/>
      </c>
      <c r="E2610">
        <f>INDEX(FactorTable!$B$2:$Y$301, MATCH(ROUND(MIN(300,MAX(1,D2610)),0), FactorTable!$A$2:$A$301,0), Skills!M9+1)</f>
        <v/>
      </c>
      <c r="F2610">
        <f>IF(Skills!N9=TRUE,(Skills!L9/10)*(E2610/1000),Skills!L9/10)+Skills!O9</f>
        <v/>
      </c>
      <c r="G2610">
        <f>Skills!G9*IF(Skills!H9&gt;0,Skills!I9/Skills!H9,1)</f>
        <v/>
      </c>
      <c r="H2610">
        <f>1-(1-Skills!J9/100)^Skills!K9</f>
        <v/>
      </c>
      <c r="I2610" t="inlineStr">
        <is>
          <t>1</t>
        </is>
      </c>
      <c r="J2610">
        <f>((Inputs!$B$6*(1+Inputs!$B$7/100))+(((Inputs!$B$12*(1+Inputs!$B$13/100))-(Inputs!$B$12*(1+Inputs!$B$13/100)))+0.25*(Inputs!$B$14-Inputs!$B$14))*(1+Inputs!$B$7/100))*(F2610/100)</f>
        <v/>
      </c>
      <c r="K2610">
        <f>J2610*(1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2611=TRUE,F2611,0)/100)*(1+(IF(Skills!A9="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2625=TRUE)*(F2625-Calc!F24)),(Inputs!$B$23+((C2630=TRUE)*(F2630-Calc!F29))+(IF(ArtifactsInput!$M$15,CHOOSE(ArtifactsInput!$N$15+1,25,30,35,40,45,50)/100*(Inputs!$B$11-Inputs!$B$11),0))))/100+(Inputs!$B$23+((C2630=TRUE)*(F2630-Calc!F29))+(IF(ArtifactsInput!$M$15,CHOOSE(ArtifactsInput!$N$15+1,25,30,35,40,45,50)/100*(Inputs!$B$11-Inputs!$B$11),0)))/100)/2</f>
        <v/>
      </c>
      <c r="M2610">
        <f>L2610*(1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IF(B2644=0,0,O2610/B2644)</f>
        <v/>
      </c>
      <c r="Q2610">
        <f>IFERROR(1/(IF(Inputs!$B$38="pvp",15,MAX(0.1,Skills!D9-IF(Skills!E9=TRUE,Inputs!$B$32,0)))*(1-IF(AND(ArtifactsInput!$M$27,Inputs!$B$4="Chapter Hunt"),CHOOSE(ArtifactsInput!$N$27+1,20,24,28,32,36,40),0)/100)),0)</f>
        <v/>
      </c>
      <c r="R2610">
        <f>IF(AND(Inputs!$B$38&lt;&gt;"pvp",Inputs!$B$43&gt;0),IF(MAX(0,Inputs!$B$43-B2641)&lt;=0,0,(INT(MAX(0,Inputs!$B$43-B2641)/(IF(Inputs!$B$38="pvp",15,MAX(0.1,Skills!D9-IF(Skills!E9=TRUE,Inputs!$B$32,0)))*(1-IF(AND(ArtifactsInput!$M$27,Inputs!$B$4="Chapter Hunt"),CHOOSE(ArtifactsInput!$N$27+1,20,24,28,32,36,40),0)/100)))+1)),0)</f>
        <v/>
      </c>
      <c r="S2610">
        <f>IFERROR(O2610/N2610,0)</f>
        <v/>
      </c>
      <c r="T2610">
        <f>IF(C2610,(H2610*N2610*IF(AND(Inputs!$B$38&lt;&gt;"pvp",Inputs!$B$43&gt;0),((Skills!G9*((R2610-1)*IF(Skills!H9&gt;0,Skills!I9/Skills!H9,1)+IF(Skills!H9&gt;0,MIN(Skills!I9,MAX(0,MAX(0,Inputs!$B$43-B2641)-((R2610-1)*(IF(Inputs!$B$38="pvp",15,MAX(0.1,Skills!D9-IF(Skills!E9=TRUE,Inputs!$B$32,0)))*(1-IF(AND(ArtifactsInput!$M$27,Inputs!$B$4="Chapter Hunt"),CHOOSE(ArtifactsInput!$N$27+1,20,24,28,32,36,40),0)/100)))))/Skills!H9,1)))/Inputs!$B$43),G2610*Q2610)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2610*(1-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9*((R2610-1)*IF(Skills!H9&gt;0,Skills!I9/Skills!H9,1)+IF(Skills!H9&gt;0,MIN(Skills!I9,MAX(0,MAX(0,Inputs!$B$43-B2641)-((R2610-1)*(IF(Inputs!$B$38="pvp",15,MAX(0.1,Skills!D9-IF(Skills!E9=TRUE,Inputs!$B$32,0)))*(1-IF(AND(ArtifactsInput!$M$27,Inputs!$B$4="Chapter Hunt"),CHOOSE(ArtifactsInput!$N$27+1,20,24,28,32,36,40),0)/100)))))/Skills!H9,1)))/Inputs!$B$43),G2610*Q2610))*IF(Inputs!$B$38="pvp",1,(1+(Inputs!$B$21+Skills!Q9+(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Skills!A10</f>
        <v/>
      </c>
      <c r="B2611">
        <f>Skills!B10</f>
        <v/>
      </c>
      <c r="C2611">
        <f>Inputs!$B$3&gt;=100</f>
        <v/>
      </c>
      <c r="D2611">
        <f>IF(Skills!C10=1,60+Inputs!$B$25+Inputs!$B$29,IF(Skills!C10=2,90+Inputs!$B$26+Inputs!$B$29,IF(Skills!C10=3,120+Inputs!$B$27+Inputs!$B$29,MAX(0,(Inputs!$B$3-100)*3)+Inputs!$B$28+Inputs!$B$29)))</f>
        <v/>
      </c>
      <c r="E2611">
        <f>INDEX(FactorTable!$B$2:$Y$301, MATCH(ROUND(MIN(300,MAX(1,D2611)),0), FactorTable!$A$2:$A$301,0), Skills!M10+1)</f>
        <v/>
      </c>
      <c r="F2611">
        <f>IF(Skills!N10=TRUE,(Skills!L10/10)*(E2611/1000),Skills!L10/10)+Skills!O10</f>
        <v/>
      </c>
      <c r="G2611" t="inlineStr"/>
      <c r="H2611" t="inlineStr"/>
      <c r="I2611" t="inlineStr">
        <is>
          <t>1</t>
        </is>
      </c>
      <c r="J2611" t="inlineStr"/>
      <c r="K2611" t="inlineStr"/>
      <c r="L2611" t="inlineStr"/>
      <c r="M2611" t="inlineStr"/>
      <c r="N2611" t="inlineStr"/>
      <c r="O2611" t="inlineStr"/>
      <c r="P2611" t="inlineStr"/>
      <c r="Q2611" t="inlineStr"/>
      <c r="R2611" t="inlineStr"/>
      <c r="S2611" t="inlineStr"/>
      <c r="T2611" t="inlineStr"/>
      <c r="V2611" t="inlineStr"/>
    </row>
    <row r="2612">
      <c r="A2612">
        <f>Skills!A11</f>
        <v/>
      </c>
      <c r="B2612">
        <f>Skills!B11</f>
        <v/>
      </c>
      <c r="C2612">
        <f>Inputs!$B$3&gt;=60</f>
        <v/>
      </c>
      <c r="D2612">
        <f>IF(Skills!C11=1,60+Inputs!$B$25+Inputs!$B$29,IF(Skills!C11=2,90+Inputs!$B$26+Inputs!$B$29,IF(Skills!C11=3,120+Inputs!$B$27+Inputs!$B$29,MAX(0,(Inputs!$B$3-100)*3)+Inputs!$B$28+Inputs!$B$29)))</f>
        <v/>
      </c>
      <c r="E2612">
        <f>INDEX(FactorTable!$B$2:$Y$301, MATCH(ROUND(MIN(300,MAX(1,D2612)),0), FactorTable!$A$2:$A$301,0), Skills!M11+1)</f>
        <v/>
      </c>
      <c r="F2612">
        <f>IF(Skills!N11=TRUE,(Skills!L11/10)*(E2612/1000),Skills!L11/10)+Skills!O11</f>
        <v/>
      </c>
      <c r="G2612">
        <f>Skills!G11*IF(Skills!H11&gt;0,Skills!I11/Skills!H11,1)</f>
        <v/>
      </c>
      <c r="H2612">
        <f>1-(1-Skills!J11/100)^Skills!K11</f>
        <v/>
      </c>
      <c r="I2612" t="inlineStr">
        <is>
          <t>1</t>
        </is>
      </c>
      <c r="J2612">
        <f>((Inputs!$B$6*(1+Inputs!$B$7/100))+(((Inputs!$B$12*(1+Inputs!$B$13/100))-(Inputs!$B$12*(1+Inputs!$B$13/100)))+0.25*(Inputs!$B$14-Inputs!$B$14))*(1+Inputs!$B$7/100))*(F2612/100)</f>
        <v/>
      </c>
      <c r="K2612">
        <f>J2612*(1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11="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2625=TRUE)*(F2625-Calc!F24)),(Inputs!$B$23+((C2630=TRUE)*(F2630-Calc!F29))+(IF(ArtifactsInput!$M$15,CHOOSE(ArtifactsInput!$N$15+1,25,30,35,40,45,50)/100*(Inputs!$B$11-Inputs!$B$11),0))))/100+(Inputs!$B$23+((C2630=TRUE)*(F2630-Calc!F29))+(IF(ArtifactsInput!$M$15,CHOOSE(ArtifactsInput!$N$15+1,25,30,35,40,45,50)/100*(Inputs!$B$11-Inputs!$B$11),0)))/100)/2</f>
        <v/>
      </c>
      <c r="M2612">
        <f>L2612*(1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IF(B2644=0,0,O2612/B2644)</f>
        <v/>
      </c>
      <c r="Q2612">
        <f>IFERROR(1/(IF(Inputs!$B$38="pvp",15,MAX(0.1,Skills!D11-IF(Skills!E11=TRUE,Inputs!$B$32,0)))*(1-IF(AND(ArtifactsInput!$M$27,Inputs!$B$4="Chapter Hunt"),CHOOSE(ArtifactsInput!$N$27+1,20,24,28,32,36,40),0)/100)),0)</f>
        <v/>
      </c>
      <c r="R2612">
        <f>IF(AND(Inputs!$B$38&lt;&gt;"pvp",Inputs!$B$43&gt;0),IF(MAX(0,Inputs!$B$43-B2641)&lt;=0,0,(INT(MAX(0,Inputs!$B$43-B2641)/(IF(Inputs!$B$38="pvp",15,MAX(0.1,Skills!D11-IF(Skills!E11=TRUE,Inputs!$B$32,0)))*(1-IF(AND(ArtifactsInput!$M$27,Inputs!$B$4="Chapter Hunt"),CHOOSE(ArtifactsInput!$N$27+1,20,24,28,32,36,40),0)/100)))+1)),0)</f>
        <v/>
      </c>
      <c r="S2612">
        <f>IFERROR(O2612/N2612,0)</f>
        <v/>
      </c>
      <c r="T2612">
        <f>IF(C2612,(H2612*N2612*IF(AND(Inputs!$B$38&lt;&gt;"pvp",Inputs!$B$43&gt;0),((Skills!G11*((R2612-1)*IF(Skills!H11&gt;0,Skills!I11/Skills!H11,1)+IF(Skills!H11&gt;0,MIN(Skills!I11,MAX(0,MAX(0,Inputs!$B$43-B2641)-((R2612-1)*(IF(Inputs!$B$38="pvp",15,MAX(0.1,Skills!D11-IF(Skills!E11=TRUE,Inputs!$B$32,0)))*(1-IF(AND(ArtifactsInput!$M$27,Inputs!$B$4="Chapter Hunt"),CHOOSE(ArtifactsInput!$N$27+1,20,24,28,32,36,40),0)/100)))))/Skills!H11,1)))/Inputs!$B$43),G2612*Q2612)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2612*(1-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11*((R2612-1)*IF(Skills!H11&gt;0,Skills!I11/Skills!H11,1)+IF(Skills!H11&gt;0,MIN(Skills!I11,MAX(0,MAX(0,Inputs!$B$43-B2641)-((R2612-1)*(IF(Inputs!$B$38="pvp",15,MAX(0.1,Skills!D11-IF(Skills!E11=TRUE,Inputs!$B$32,0)))*(1-IF(AND(ArtifactsInput!$M$27,Inputs!$B$4="Chapter Hunt"),CHOOSE(ArtifactsInput!$N$27+1,20,24,28,32,36,40),0)/100)))))/Skills!H11,1)))/Inputs!$B$43),G2612*Q2612))*IF(Inputs!$B$38="pvp",1,(1+(Inputs!$B$21+Skills!Q11+(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Skills!A12</f>
        <v/>
      </c>
      <c r="B2613">
        <f>Skills!B12</f>
        <v/>
      </c>
      <c r="C2613">
        <f>Inputs!$B$3&gt;=110</f>
        <v/>
      </c>
      <c r="D2613">
        <f>IF(Skills!C12=1,60+Inputs!$B$25+Inputs!$B$29,IF(Skills!C12=2,90+Inputs!$B$26+Inputs!$B$29,IF(Skills!C12=3,120+Inputs!$B$27+Inputs!$B$29,MAX(0,(Inputs!$B$3-100)*3)+Inputs!$B$28+Inputs!$B$29)))</f>
        <v/>
      </c>
      <c r="E2613">
        <f>INDEX(FactorTable!$B$2:$Y$301, MATCH(ROUND(MIN(300,MAX(1,D2613)),0), FactorTable!$A$2:$A$301,0), Skills!M12+1)</f>
        <v/>
      </c>
      <c r="F2613">
        <f>IF(Skills!N12=TRUE,(Skills!L12/10)*(E2613/1000),Skills!L12/10)+Skills!O12</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V2613" t="inlineStr"/>
    </row>
    <row r="2614">
      <c r="A2614">
        <f>Skills!A13</f>
        <v/>
      </c>
      <c r="B2614">
        <f>Skills!B13</f>
        <v/>
      </c>
      <c r="C2614">
        <f>Inputs!$B$3&gt;=74</f>
        <v/>
      </c>
      <c r="D2614">
        <f>IF(Skills!C13=1,60+Inputs!$B$25+Inputs!$B$29,IF(Skills!C13=2,90+Inputs!$B$26+Inputs!$B$29,IF(Skills!C13=3,120+Inputs!$B$27+Inputs!$B$29,MAX(0,(Inputs!$B$3-100)*3)+Inputs!$B$28+Inputs!$B$29)))</f>
        <v/>
      </c>
      <c r="E2614">
        <f>INDEX(FactorTable!$B$2:$Y$301, MATCH(ROUND(MIN(300,MAX(1,D2614)),0), FactorTable!$A$2:$A$301,0), Skills!M13+1)</f>
        <v/>
      </c>
      <c r="F2614">
        <f>IF(Skills!N13=TRUE,(Skills!L13/10)*(E2614/1000),Skills!L13/10)+Skills!O13</f>
        <v/>
      </c>
      <c r="G2614">
        <f>Skills!G13*IF(Skills!H13&gt;0,Skills!I13/Skills!H13,1)</f>
        <v/>
      </c>
      <c r="H2614">
        <f>1-(1-Skills!J13/100)^Skills!K13</f>
        <v/>
      </c>
      <c r="I2614" t="inlineStr">
        <is>
          <t>1</t>
        </is>
      </c>
      <c r="J2614" t="inlineStr"/>
      <c r="K2614" t="inlineStr"/>
      <c r="L2614" t="inlineStr"/>
      <c r="M2614" t="inlineStr"/>
      <c r="N2614" t="inlineStr"/>
      <c r="O2614">
        <f>(1-Summary!$B$11)*T2614+Summary!$B$11*V2614</f>
        <v/>
      </c>
      <c r="P2614">
        <f>IF(B2644=0,0,O2614/B2644)</f>
        <v/>
      </c>
      <c r="Q2614" t="n">
        <v>0</v>
      </c>
      <c r="R2614" t="n">
        <v>0</v>
      </c>
      <c r="S2614">
        <f>IFERROR(O2614/N2614,0)</f>
        <v/>
      </c>
      <c r="T2614" t="n">
        <v>0</v>
      </c>
      <c r="V2614" t="n">
        <v>0</v>
      </c>
    </row>
    <row r="2615">
      <c r="A2615">
        <f>Skills!A14</f>
        <v/>
      </c>
      <c r="B2615">
        <f>Skills!B14</f>
        <v/>
      </c>
      <c r="C2615">
        <f>Inputs!$B$3&gt;=74</f>
        <v/>
      </c>
      <c r="D2615">
        <f>IF(Skills!C14=1,60+Inputs!$B$25+Inputs!$B$29,IF(Skills!C14=2,90+Inputs!$B$26+Inputs!$B$29,IF(Skills!C14=3,120+Inputs!$B$27+Inputs!$B$29,MAX(0,(Inputs!$B$3-100)*3)+Inputs!$B$28+Inputs!$B$29)))</f>
        <v/>
      </c>
      <c r="E2615">
        <f>INDEX(FactorTable!$B$2:$Y$301, MATCH(ROUND(MIN(300,MAX(1,D2615)),0), FactorTable!$A$2:$A$301,0), Skills!M14+1)</f>
        <v/>
      </c>
      <c r="F2615">
        <f>IF(Skills!N14=TRUE,(Skills!L14/10)*(E2615/1000),Skills!L14/10)+Skills!O14</f>
        <v/>
      </c>
      <c r="G2615">
        <f>Skills!G14*IF(Skills!H14&gt;0,Skills!I14/Skills!H14,1)</f>
        <v/>
      </c>
      <c r="H2615">
        <f>1-(1-Skills!J14/100)^Skills!K14</f>
        <v/>
      </c>
      <c r="I2615" t="inlineStr">
        <is>
          <t>1</t>
        </is>
      </c>
      <c r="J2615" t="inlineStr"/>
      <c r="K2615" t="inlineStr"/>
      <c r="L2615" t="inlineStr"/>
      <c r="M2615" t="inlineStr"/>
      <c r="N2615" t="inlineStr"/>
      <c r="O2615">
        <f>(1-Summary!$B$11)*T2615+Summary!$B$11*V2615</f>
        <v/>
      </c>
      <c r="P2615">
        <f>IF(B2644=0,0,O2615/B2644)</f>
        <v/>
      </c>
      <c r="Q2615" t="n">
        <v>0</v>
      </c>
      <c r="R2615" t="n">
        <v>0</v>
      </c>
      <c r="S2615">
        <f>IFERROR(O2615/N2615,0)</f>
        <v/>
      </c>
      <c r="T2615" t="n">
        <v>0</v>
      </c>
      <c r="V2615" t="n">
        <v>0</v>
      </c>
    </row>
    <row r="2616">
      <c r="A2616">
        <f>Skills!A15</f>
        <v/>
      </c>
      <c r="B2616">
        <f>Skills!B15</f>
        <v/>
      </c>
      <c r="C2616">
        <f>Inputs!$B$3&gt;=117</f>
        <v/>
      </c>
      <c r="D2616">
        <f>IF(Skills!C15=1,60+Inputs!$B$25+Inputs!$B$29,IF(Skills!C15=2,90+Inputs!$B$26+Inputs!$B$29,IF(Skills!C15=3,120+Inputs!$B$27+Inputs!$B$29,MAX(0,(Inputs!$B$3-100)*3)+Inputs!$B$28+Inputs!$B$29)))</f>
        <v/>
      </c>
      <c r="E2616">
        <f>INDEX(FactorTable!$B$2:$Y$301, MATCH(ROUND(MIN(300,MAX(1,D2616)),0), FactorTable!$A$2:$A$301,0), Skills!M15+1)</f>
        <v/>
      </c>
      <c r="F2616">
        <f>IF(Skills!N15=TRUE,(Skills!L15/10)*(E2616/1000),Skills!L15/10)+Skills!O15</f>
        <v/>
      </c>
      <c r="G2616">
        <f>Skills!G15*IF(Skills!H15&gt;0,Skills!I15/Skills!H15,1)</f>
        <v/>
      </c>
      <c r="H2616">
        <f>1-(1-Skills!J15/100)^Skills!K15</f>
        <v/>
      </c>
      <c r="I2616" t="inlineStr">
        <is>
          <t>1</t>
        </is>
      </c>
      <c r="J2616" t="inlineStr"/>
      <c r="K2616" t="inlineStr"/>
      <c r="L2616" t="inlineStr"/>
      <c r="M2616" t="inlineStr"/>
      <c r="N2616" t="inlineStr"/>
      <c r="O2616">
        <f>(1-Summary!$B$11)*T2616+Summary!$B$11*V2616</f>
        <v/>
      </c>
      <c r="P2616">
        <f>IF(B2644=0,0,O2616/B2644)</f>
        <v/>
      </c>
      <c r="Q2616">
        <f>IFERROR(1/(IF(Inputs!$B$38="pvp",15,MAX(0.1,Skills!D15-IF(Skills!E15=TRUE,Inputs!$B$32,0)))*(1-IF(AND(ArtifactsInput!$M$27,Inputs!$B$4="Chapter Hunt"),CHOOSE(ArtifactsInput!$N$27+1,20,24,28,32,36,40),0)/100)),0)</f>
        <v/>
      </c>
      <c r="R2616">
        <f>IF(AND(Inputs!$B$38&lt;&gt;"pvp",Inputs!$B$43&gt;0),IF(Inputs!$B$43&lt;=0,0,(INT(Inputs!$B$43/(IF(Inputs!$B$38="pvp",15,MAX(0.1,Skills!D15-IF(Skills!E15=TRUE,Inputs!$B$32,0)))*(1-IF(AND(ArtifactsInput!$M$27,Inputs!$B$4="Chapter Hunt"),CHOOSE(ArtifactsInput!$N$27+1,20,24,28,32,36,40),0)/100)))+1)),0)</f>
        <v/>
      </c>
      <c r="S2616">
        <f>IFERROR(O2616/N2616,0)</f>
        <v/>
      </c>
      <c r="T2616" t="n">
        <v>0</v>
      </c>
      <c r="V2616" t="n">
        <v>0</v>
      </c>
    </row>
    <row r="2617">
      <c r="A2617">
        <f>Skills!A16</f>
        <v/>
      </c>
      <c r="B2617">
        <f>Skills!B16</f>
        <v/>
      </c>
      <c r="C2617">
        <f>Inputs!$B$3&gt;=115</f>
        <v/>
      </c>
      <c r="D2617">
        <f>IF(Skills!C16=1,60+Inputs!$B$25+Inputs!$B$29,IF(Skills!C16=2,90+Inputs!$B$26+Inputs!$B$29,IF(Skills!C16=3,120+Inputs!$B$27+Inputs!$B$29,MAX(0,(Inputs!$B$3-100)*3)+Inputs!$B$28+Inputs!$B$29)))</f>
        <v/>
      </c>
      <c r="E2617">
        <f>INDEX(FactorTable!$B$2:$Y$301, MATCH(ROUND(MIN(300,MAX(1,D2617)),0), FactorTable!$A$2:$A$301,0), Skills!M16+1)</f>
        <v/>
      </c>
      <c r="F2617">
        <f>IF(Skills!N16=TRUE,(Skills!L16/10)*(E2617/1000),Skills!L16/10)+Skills!O16</f>
        <v/>
      </c>
      <c r="G2617">
        <f>Skills!G16*IF(Skills!H16&gt;0,Skills!I16/Skills!H16,1)</f>
        <v/>
      </c>
      <c r="H2617">
        <f>1-(1-Skills!J16/100)^Skills!K16</f>
        <v/>
      </c>
      <c r="I2617" t="inlineStr">
        <is>
          <t>1</t>
        </is>
      </c>
      <c r="J2617" t="inlineStr"/>
      <c r="K2617" t="inlineStr"/>
      <c r="L2617" t="inlineStr"/>
      <c r="M2617" t="inlineStr"/>
      <c r="N2617" t="inlineStr"/>
      <c r="O2617">
        <f>(1-Summary!$B$11)*T2617+Summary!$B$11*V2617</f>
        <v/>
      </c>
      <c r="P2617">
        <f>IF(B2644=0,0,O2617/B2644)</f>
        <v/>
      </c>
      <c r="Q2617">
        <f>IFERROR(1/(IF(Inputs!$B$38="pvp",15,MAX(0.1,Skills!D16-IF(Skills!E16=TRUE,Inputs!$B$32,0)))*(1-IF(AND(ArtifactsInput!$M$27,Inputs!$B$4="Chapter Hunt"),CHOOSE(ArtifactsInput!$N$27+1,20,24,28,32,36,40),0)/100)),0)</f>
        <v/>
      </c>
      <c r="R2617">
        <f>IF(AND(Inputs!$B$38&lt;&gt;"pvp",Inputs!$B$43&gt;0),IF(Inputs!$B$43&lt;=0,0,(INT(Inputs!$B$43/(IF(Inputs!$B$38="pvp",15,MAX(0.1,Skills!D16-IF(Skills!E16=TRUE,Inputs!$B$32,0)))*(1-IF(AND(ArtifactsInput!$M$27,Inputs!$B$4="Chapter Hunt"),CHOOSE(ArtifactsInput!$N$27+1,20,24,28,32,36,40),0)/100)))+1)),0)</f>
        <v/>
      </c>
      <c r="S2617">
        <f>IFERROR(O2617/N2617,0)</f>
        <v/>
      </c>
      <c r="T2617" t="n">
        <v>0</v>
      </c>
      <c r="V2617" t="n">
        <v>0</v>
      </c>
    </row>
    <row r="2618">
      <c r="A2618">
        <f>Skills!A17</f>
        <v/>
      </c>
      <c r="B2618">
        <f>Skills!B17</f>
        <v/>
      </c>
      <c r="C2618">
        <f>Inputs!$B$3&gt;=66</f>
        <v/>
      </c>
      <c r="D2618">
        <f>IF(Skills!C17=1,60+Inputs!$B$25+Inputs!$B$29,IF(Skills!C17=2,90+Inputs!$B$26+Inputs!$B$29,IF(Skills!C17=3,120+Inputs!$B$27+Inputs!$B$29,MAX(0,(Inputs!$B$3-100)*3)+Inputs!$B$28+Inputs!$B$29)))</f>
        <v/>
      </c>
      <c r="E2618">
        <f>INDEX(FactorTable!$B$2:$Y$301, MATCH(ROUND(MIN(300,MAX(1,D2618)),0), FactorTable!$A$2:$A$301,0), Skills!M17+1)</f>
        <v/>
      </c>
      <c r="F2618">
        <f>IF(Skills!N17=TRUE,(Skills!L17/10)*(E2618/1000),Skills!L17/10)+Skills!O17</f>
        <v/>
      </c>
      <c r="G2618">
        <f>Skills!G17*IF(Skills!H17&gt;0,Skills!I17/Skills!H17,1)</f>
        <v/>
      </c>
      <c r="H2618">
        <f>1-(1-Skills!J17/100)^Skills!K17</f>
        <v/>
      </c>
      <c r="I2618" t="inlineStr">
        <is>
          <t>1</t>
        </is>
      </c>
      <c r="J2618" t="inlineStr"/>
      <c r="K2618" t="inlineStr"/>
      <c r="L2618" t="inlineStr"/>
      <c r="M2618" t="inlineStr"/>
      <c r="N2618" t="inlineStr"/>
      <c r="O2618">
        <f>(1-Summary!$B$11)*T2618+Summary!$B$11*V2618</f>
        <v/>
      </c>
      <c r="P2618">
        <f>IF(B2644=0,0,O2618/B2644)</f>
        <v/>
      </c>
      <c r="Q2618" t="n">
        <v>0</v>
      </c>
      <c r="R2618" t="n">
        <v>0</v>
      </c>
      <c r="S2618">
        <f>IFERROR(O2618/N2618,0)</f>
        <v/>
      </c>
      <c r="T2618" t="n">
        <v>0</v>
      </c>
      <c r="V2618" t="n">
        <v>0</v>
      </c>
    </row>
    <row r="2619">
      <c r="A2619">
        <f>Skills!A18</f>
        <v/>
      </c>
      <c r="B2619">
        <f>Skills!B18</f>
        <v/>
      </c>
      <c r="C2619">
        <f>Inputs!$B$3&gt;=72</f>
        <v/>
      </c>
      <c r="D2619">
        <f>IF(Skills!C18=1,60+Inputs!$B$25+Inputs!$B$29,IF(Skills!C18=2,90+Inputs!$B$26+Inputs!$B$29,IF(Skills!C18=3,120+Inputs!$B$27+Inputs!$B$29,MAX(0,(Inputs!$B$3-100)*3)+Inputs!$B$28+Inputs!$B$29)))</f>
        <v/>
      </c>
      <c r="E2619">
        <f>INDEX(FactorTable!$B$2:$Y$301, MATCH(ROUND(MIN(300,MAX(1,D2619)),0), FactorTable!$A$2:$A$301,0), Skills!M18+1)</f>
        <v/>
      </c>
      <c r="F2619">
        <f>IF(Skills!N18=TRUE,(Skills!L18/10)*(E2619/1000),Skills!L18/10)+Skills!O18</f>
        <v/>
      </c>
      <c r="G2619">
        <f>Skills!G18*IF(Skills!H18&gt;0,Skills!I18/Skills!H18,1)</f>
        <v/>
      </c>
      <c r="H2619">
        <f>1-(1-Skills!J18/100)^Skills!K18</f>
        <v/>
      </c>
      <c r="I2619" t="inlineStr">
        <is>
          <t>1</t>
        </is>
      </c>
      <c r="J2619" t="inlineStr"/>
      <c r="K2619" t="inlineStr"/>
      <c r="L2619" t="inlineStr"/>
      <c r="M2619" t="inlineStr"/>
      <c r="N2619" t="inlineStr"/>
      <c r="O2619">
        <f>(1-Summary!$B$11)*T2619+Summary!$B$11*V2619</f>
        <v/>
      </c>
      <c r="P2619">
        <f>IF(B2644=0,0,O2619/B2644)</f>
        <v/>
      </c>
      <c r="Q2619" t="n">
        <v>0</v>
      </c>
      <c r="R2619" t="n">
        <v>0</v>
      </c>
      <c r="S2619">
        <f>IFERROR(O2619/N2619,0)</f>
        <v/>
      </c>
      <c r="T2619" t="n">
        <v>0</v>
      </c>
      <c r="V2619" t="n">
        <v>0</v>
      </c>
    </row>
    <row r="2620">
      <c r="A2620">
        <f>Skills!A19</f>
        <v/>
      </c>
      <c r="B2620">
        <f>Skills!B19</f>
        <v/>
      </c>
      <c r="C2620">
        <f>TRUE</f>
        <v/>
      </c>
      <c r="D2620">
        <f>IF(Skills!C19=1,60+Inputs!$B$25+Inputs!$B$29,IF(Skills!C19=2,90+Inputs!$B$26+Inputs!$B$29,IF(Skills!C19=3,120+Inputs!$B$27+Inputs!$B$29,MAX(0,(Inputs!$B$3-100)*3)+Inputs!$B$28+Inputs!$B$29)))</f>
        <v/>
      </c>
      <c r="E2620">
        <f>INDEX(FactorTable!$B$2:$Y$301, MATCH(ROUND(MIN(300,MAX(1,D2620)),0), FactorTable!$A$2:$A$301,0), Skills!M19+1)</f>
        <v/>
      </c>
      <c r="F2620">
        <f>IF(Skills!N19=TRUE,(Skills!L19/10)*(E2620/1000),Skills!L19/10)+Skills!O19</f>
        <v/>
      </c>
      <c r="G2620">
        <f>Skills!G19*IF(Skills!H19&gt;0,Skills!I19/Skills!H19,1)</f>
        <v/>
      </c>
      <c r="H2620">
        <f>1-(1-Skills!J19/100)^Skills!K19</f>
        <v/>
      </c>
      <c r="I2620" t="inlineStr">
        <is>
          <t>1</t>
        </is>
      </c>
      <c r="J2620" t="inlineStr"/>
      <c r="K2620" t="inlineStr"/>
      <c r="L2620" t="inlineStr"/>
      <c r="M2620" t="inlineStr"/>
      <c r="N2620" t="inlineStr"/>
      <c r="O2620">
        <f>(1-Summary!$B$11)*T2620+Summary!$B$11*V2620</f>
        <v/>
      </c>
      <c r="P2620">
        <f>IF(B2644=0,0,O2620/B2644)</f>
        <v/>
      </c>
      <c r="Q2620">
        <f>IFERROR(1/(IF(Inputs!$B$38="pvp",15,MAX(0.1,Skills!D19-IF(Skills!E19=TRUE,Inputs!$B$32,0)))*(1-IF(AND(ArtifactsInput!$M$27,Inputs!$B$4="Chapter Hunt"),CHOOSE(ArtifactsInput!$N$27+1,20,24,28,32,36,40),0)/100)),0)</f>
        <v/>
      </c>
      <c r="R2620">
        <f>IF(AND(Inputs!$B$38&lt;&gt;"pvp",Inputs!$B$43&gt;0),IF(Inputs!$B$43&lt;=0,0,(INT(Inputs!$B$43/(IF(Inputs!$B$38="pvp",15,MAX(0.1,Skills!D19-IF(Skills!E19=TRUE,Inputs!$B$32,0)))*(1-IF(AND(ArtifactsInput!$M$27,Inputs!$B$4="Chapter Hunt"),CHOOSE(ArtifactsInput!$N$27+1,20,24,28,32,36,40),0)/100)))+1)),0)</f>
        <v/>
      </c>
      <c r="S2620">
        <f>IFERROR(O2620/N2620,0)</f>
        <v/>
      </c>
      <c r="T2620" t="n">
        <v>0</v>
      </c>
      <c r="V2620" t="n">
        <v>0</v>
      </c>
    </row>
    <row r="2621">
      <c r="A2621">
        <f>Skills!A20</f>
        <v/>
      </c>
      <c r="B2621">
        <f>Skills!B20</f>
        <v/>
      </c>
      <c r="C2621">
        <f>Inputs!$B$3&gt;=15</f>
        <v/>
      </c>
      <c r="D2621">
        <f>IF(Skills!C20=1,60+Inputs!$B$25+Inputs!$B$29,IF(Skills!C20=2,90+Inputs!$B$26+Inputs!$B$29,IF(Skills!C20=3,120+Inputs!$B$27+Inputs!$B$29,MAX(0,(Inputs!$B$3-100)*3)+Inputs!$B$28+Inputs!$B$29)))</f>
        <v/>
      </c>
      <c r="E2621">
        <f>INDEX(FactorTable!$B$2:$Y$301, MATCH(ROUND(MIN(300,MAX(1,D2621)),0), FactorTable!$A$2:$A$301,0), Skills!M20+1)</f>
        <v/>
      </c>
      <c r="F2621">
        <f>IF(Skills!N20=TRUE,(Skills!L20/10)*(E2621/1000),Skills!L20/10)+Skills!O20</f>
        <v/>
      </c>
      <c r="G2621">
        <f>Skills!G20*IF(Skills!H20&gt;0,Skills!I20/Skills!H20,1)</f>
        <v/>
      </c>
      <c r="H2621">
        <f>1-(1-Skills!J20/100)^Skills!K20</f>
        <v/>
      </c>
      <c r="I2621" t="inlineStr">
        <is>
          <t>1</t>
        </is>
      </c>
      <c r="J2621" t="inlineStr"/>
      <c r="K2621" t="inlineStr"/>
      <c r="L2621" t="inlineStr"/>
      <c r="M2621" t="inlineStr"/>
      <c r="N2621" t="inlineStr"/>
      <c r="O2621">
        <f>(1-Summary!$B$11)*T2621+Summary!$B$11*V2621</f>
        <v/>
      </c>
      <c r="P2621">
        <f>IF(B2644=0,0,O2621/B2644)</f>
        <v/>
      </c>
      <c r="Q2621" t="n">
        <v>0</v>
      </c>
      <c r="R2621" t="n">
        <v>0</v>
      </c>
      <c r="S2621">
        <f>IFERROR(O2621/N2621,0)</f>
        <v/>
      </c>
      <c r="T2621" t="n">
        <v>0</v>
      </c>
      <c r="V2621" t="n">
        <v>0</v>
      </c>
    </row>
    <row r="2622">
      <c r="A2622">
        <f>Skills!A21</f>
        <v/>
      </c>
      <c r="B2622">
        <f>Skills!B21</f>
        <v/>
      </c>
      <c r="C2622">
        <f>Inputs!$B$3&gt;=10</f>
        <v/>
      </c>
      <c r="D2622">
        <f>IF(Skills!C21=1,60+Inputs!$B$25+Inputs!$B$29,IF(Skills!C21=2,90+Inputs!$B$26+Inputs!$B$29,IF(Skills!C21=3,120+Inputs!$B$27+Inputs!$B$29,MAX(0,(Inputs!$B$3-100)*3)+Inputs!$B$28+Inputs!$B$29)))</f>
        <v/>
      </c>
      <c r="E2622">
        <f>INDEX(FactorTable!$B$2:$Y$301, MATCH(ROUND(MIN(300,MAX(1,D2622)),0), FactorTable!$A$2:$A$301,0), Skills!M21+1)</f>
        <v/>
      </c>
      <c r="F2622">
        <f>IF(Skills!N21=TRUE,(Skills!L21/10)*(E2622/1000),Skills!L21/10)+Skills!O21</f>
        <v/>
      </c>
      <c r="G2622">
        <f>Skills!G21*IF(Skills!H21&gt;0,Skills!I21/Skills!H21,1)</f>
        <v/>
      </c>
      <c r="H2622">
        <f>1-(1-Skills!J21/100)^Skills!K21</f>
        <v/>
      </c>
      <c r="I2622" t="inlineStr">
        <is>
          <t>1</t>
        </is>
      </c>
      <c r="J2622" t="inlineStr"/>
      <c r="K2622" t="inlineStr"/>
      <c r="L2622" t="inlineStr"/>
      <c r="M2622" t="inlineStr"/>
      <c r="N2622" t="inlineStr"/>
      <c r="O2622">
        <f>(1-Summary!$B$11)*T2622+Summary!$B$11*V2622</f>
        <v/>
      </c>
      <c r="P2622">
        <f>IF(B2644=0,0,O2622/B2644)</f>
        <v/>
      </c>
      <c r="Q2622" t="n">
        <v>0</v>
      </c>
      <c r="R2622" t="n">
        <v>0</v>
      </c>
      <c r="S2622">
        <f>IFERROR(O2622/N2622,0)</f>
        <v/>
      </c>
      <c r="T2622" t="n">
        <v>0</v>
      </c>
      <c r="V2622" t="n">
        <v>0</v>
      </c>
    </row>
    <row r="2623">
      <c r="A2623">
        <f>Skills!A22</f>
        <v/>
      </c>
      <c r="B2623">
        <f>Skills!B22</f>
        <v/>
      </c>
      <c r="C2623">
        <f>Inputs!$B$3&gt;=33</f>
        <v/>
      </c>
      <c r="D2623">
        <f>IF(Skills!C22=1,60+Inputs!$B$25+Inputs!$B$29,IF(Skills!C22=2,90+Inputs!$B$26+Inputs!$B$29,IF(Skills!C22=3,120+Inputs!$B$27+Inputs!$B$29,MAX(0,(Inputs!$B$3-100)*3)+Inputs!$B$28+Inputs!$B$29)))</f>
        <v/>
      </c>
      <c r="E2623">
        <f>INDEX(FactorTable!$B$2:$Y$301, MATCH(ROUND(MIN(300,MAX(1,D2623)),0), FactorTable!$A$2:$A$301,0), Skills!M22+1)</f>
        <v/>
      </c>
      <c r="F2623">
        <f>IF(Skills!N22=TRUE,(Skills!L22/10)*(E2623/1000),Skills!L22/10)+Skills!O22</f>
        <v/>
      </c>
      <c r="G2623">
        <f>Skills!G22*IF(Skills!H22&gt;0,Skills!I22/Skills!H22,1)</f>
        <v/>
      </c>
      <c r="H2623">
        <f>1-(1-Skills!J22/100)^Skills!K22</f>
        <v/>
      </c>
      <c r="I2623" t="inlineStr">
        <is>
          <t>1</t>
        </is>
      </c>
      <c r="J2623" t="inlineStr"/>
      <c r="K2623" t="inlineStr"/>
      <c r="L2623" t="inlineStr"/>
      <c r="M2623" t="inlineStr"/>
      <c r="N2623" t="inlineStr"/>
      <c r="O2623">
        <f>(1-Summary!$B$11)*T2623+Summary!$B$11*V2623</f>
        <v/>
      </c>
      <c r="P2623">
        <f>IF(B2644=0,0,O2623/B2644)</f>
        <v/>
      </c>
      <c r="Q2623" t="n">
        <v>0</v>
      </c>
      <c r="R2623" t="n">
        <v>0</v>
      </c>
      <c r="S2623">
        <f>IFERROR(O2623/N2623,0)</f>
        <v/>
      </c>
      <c r="T2623" t="n">
        <v>0</v>
      </c>
      <c r="V2623" t="n">
        <v>0</v>
      </c>
    </row>
    <row r="2624">
      <c r="A2624">
        <f>Skills!A23</f>
        <v/>
      </c>
      <c r="B2624">
        <f>Skills!B23</f>
        <v/>
      </c>
      <c r="C2624">
        <f>Inputs!$B$3&gt;=38</f>
        <v/>
      </c>
      <c r="D2624">
        <f>IF(Skills!C23=1,60+Inputs!$B$25+Inputs!$B$29,IF(Skills!C23=2,90+Inputs!$B$26+Inputs!$B$29,IF(Skills!C23=3,120+Inputs!$B$27+Inputs!$B$29,MAX(0,(Inputs!$B$3-100)*3)+Inputs!$B$28+Inputs!$B$29)))</f>
        <v/>
      </c>
      <c r="E2624">
        <f>INDEX(FactorTable!$B$2:$Y$301, MATCH(ROUND(MIN(300,MAX(1,D2624)),0), FactorTable!$A$2:$A$301,0), Skills!M23+1)</f>
        <v/>
      </c>
      <c r="F2624">
        <f>IF(Skills!N23=TRUE,(Skills!L23/10)*(E2624/1000),Skills!L23/10)+Skills!O23</f>
        <v/>
      </c>
      <c r="G2624">
        <f>Skills!G23*IF(Skills!H23&gt;0,Skills!I23/Skills!H23,1)</f>
        <v/>
      </c>
      <c r="H2624">
        <f>1-(1-Skills!J23/100)^Skills!K23</f>
        <v/>
      </c>
      <c r="I2624" t="inlineStr">
        <is>
          <t>1</t>
        </is>
      </c>
      <c r="J2624" t="inlineStr"/>
      <c r="K2624" t="inlineStr"/>
      <c r="L2624" t="inlineStr"/>
      <c r="M2624" t="inlineStr"/>
      <c r="N2624" t="inlineStr"/>
      <c r="O2624">
        <f>(1-Summary!$B$11)*T2624+Summary!$B$11*V2624</f>
        <v/>
      </c>
      <c r="P2624">
        <f>IF(B2644=0,0,O2624/B2644)</f>
        <v/>
      </c>
      <c r="Q2624" t="n">
        <v>0</v>
      </c>
      <c r="R2624" t="n">
        <v>0</v>
      </c>
      <c r="S2624">
        <f>IFERROR(O2624/N2624,0)</f>
        <v/>
      </c>
      <c r="T2624" t="n">
        <v>0</v>
      </c>
      <c r="V2624" t="n">
        <v>0</v>
      </c>
    </row>
    <row r="2625">
      <c r="A2625">
        <f>Skills!A24</f>
        <v/>
      </c>
      <c r="B2625">
        <f>Skills!B24</f>
        <v/>
      </c>
      <c r="C2625">
        <f>Inputs!$B$3&gt;=43</f>
        <v/>
      </c>
      <c r="D2625">
        <f>IF(Skills!C24=1,60+Inputs!$B$25+Inputs!$B$29,IF(Skills!C24=2,90+Inputs!$B$26+Inputs!$B$29,IF(Skills!C24=3,120+Inputs!$B$27+Inputs!$B$29,MAX(0,(Inputs!$B$3-100)*3)+Inputs!$B$28+Inputs!$B$29)))</f>
        <v/>
      </c>
      <c r="E2625">
        <f>INDEX(FactorTable!$B$2:$Y$301, MATCH(ROUND(MIN(300,MAX(1,D2625)),0), FactorTable!$A$2:$A$301,0), Skills!M24+1)</f>
        <v/>
      </c>
      <c r="F2625">
        <f>IF(Skills!N24=TRUE,(Skills!L24/10)*(E2625/1000),Skills!L24/10)+Skills!O24</f>
        <v/>
      </c>
      <c r="G2625">
        <f>Skills!G24*IF(Skills!H24&gt;0,Skills!I24/Skills!H24,1)</f>
        <v/>
      </c>
      <c r="H2625">
        <f>1-(1-Skills!J24/100)^Skills!K24</f>
        <v/>
      </c>
      <c r="I2625" t="inlineStr">
        <is>
          <t>1</t>
        </is>
      </c>
      <c r="J2625" t="inlineStr"/>
      <c r="K2625" t="inlineStr"/>
      <c r="L2625" t="inlineStr"/>
      <c r="M2625" t="inlineStr"/>
      <c r="N2625" t="inlineStr"/>
      <c r="O2625">
        <f>(1-Summary!$B$11)*T2625+Summary!$B$11*V2625</f>
        <v/>
      </c>
      <c r="P2625">
        <f>IF(B2644=0,0,O2625/B2644)</f>
        <v/>
      </c>
      <c r="Q2625" t="n">
        <v>0</v>
      </c>
      <c r="R2625" t="n">
        <v>0</v>
      </c>
      <c r="S2625">
        <f>IFERROR(O2625/N2625,0)</f>
        <v/>
      </c>
      <c r="T2625" t="n">
        <v>0</v>
      </c>
      <c r="V2625" t="n">
        <v>0</v>
      </c>
    </row>
    <row r="2626">
      <c r="A2626">
        <f>Skills!A25</f>
        <v/>
      </c>
      <c r="B2626">
        <f>Skills!B25</f>
        <v/>
      </c>
      <c r="C2626">
        <f>Inputs!$B$3&gt;=75</f>
        <v/>
      </c>
      <c r="D2626">
        <f>IF(Skills!C25=1,60+Inputs!$B$25+Inputs!$B$29,IF(Skills!C25=2,90+Inputs!$B$26+Inputs!$B$29,IF(Skills!C25=3,120+Inputs!$B$27+Inputs!$B$29,MAX(0,(Inputs!$B$3-100)*3)+Inputs!$B$28+Inputs!$B$29)))</f>
        <v/>
      </c>
      <c r="E2626">
        <f>INDEX(FactorTable!$B$2:$Y$301, MATCH(ROUND(MIN(300,MAX(1,D2626)),0), FactorTable!$A$2:$A$301,0), Skills!M25+1)</f>
        <v/>
      </c>
      <c r="F2626">
        <f>IF(Skills!N25=TRUE,(Skills!L25/10)*(E2626/1000),Skills!L25/10)+Skills!O25</f>
        <v/>
      </c>
      <c r="G2626">
        <f>Skills!G25*IF(Skills!H25&gt;0,Skills!I25/Skills!H25,1)</f>
        <v/>
      </c>
      <c r="H2626">
        <f>1-(1-Skills!J25/100)^Skills!K25</f>
        <v/>
      </c>
      <c r="I2626" t="inlineStr">
        <is>
          <t>1</t>
        </is>
      </c>
      <c r="J2626" t="inlineStr"/>
      <c r="K2626" t="inlineStr"/>
      <c r="L2626" t="inlineStr"/>
      <c r="M2626" t="inlineStr"/>
      <c r="N2626" t="inlineStr"/>
      <c r="O2626">
        <f>(1-Summary!$B$11)*T2626+Summary!$B$11*V2626</f>
        <v/>
      </c>
      <c r="P2626">
        <f>IF(B2644=0,0,O2626/B2644)</f>
        <v/>
      </c>
      <c r="Q2626" t="n">
        <v>0</v>
      </c>
      <c r="R2626" t="n">
        <v>0</v>
      </c>
      <c r="S2626">
        <f>IFERROR(O2626/N2626,0)</f>
        <v/>
      </c>
      <c r="T2626" t="n">
        <v>0</v>
      </c>
      <c r="V2626" t="n">
        <v>0</v>
      </c>
    </row>
    <row r="2627">
      <c r="A2627">
        <f>Skills!A26</f>
        <v/>
      </c>
      <c r="B2627">
        <f>Skills!B26</f>
        <v/>
      </c>
      <c r="C2627">
        <f>Inputs!$B$3&gt;=125</f>
        <v/>
      </c>
      <c r="D2627">
        <f>IF(Skills!C26=1,60+Inputs!$B$25+Inputs!$B$29,IF(Skills!C26=2,90+Inputs!$B$26+Inputs!$B$29,IF(Skills!C26=3,120+Inputs!$B$27+Inputs!$B$29,MAX(0,(Inputs!$B$3-100)*3)+Inputs!$B$28+Inputs!$B$29)))</f>
        <v/>
      </c>
      <c r="E2627">
        <f>INDEX(FactorTable!$B$2:$Y$301, MATCH(ROUND(MIN(300,MAX(1,D2627)),0), FactorTable!$A$2:$A$301,0), Skills!M26+1)</f>
        <v/>
      </c>
      <c r="F2627">
        <f>IF(Skills!N26=TRUE,(Skills!L26/10)*(E2627/1000),Skills!L26/10)+Skills!O26</f>
        <v/>
      </c>
      <c r="G2627">
        <f>Skills!G26*IF(Skills!H26&gt;0,Skills!I26/Skills!H26,1)</f>
        <v/>
      </c>
      <c r="H2627">
        <f>1-(1-Skills!J26/100)^Skills!K26</f>
        <v/>
      </c>
      <c r="I2627" t="inlineStr">
        <is>
          <t>1</t>
        </is>
      </c>
      <c r="J2627" t="inlineStr"/>
      <c r="K2627" t="inlineStr"/>
      <c r="L2627" t="inlineStr"/>
      <c r="M2627" t="inlineStr"/>
      <c r="N2627" t="inlineStr"/>
      <c r="O2627">
        <f>(1-Summary!$B$11)*T2627+Summary!$B$11*V2627</f>
        <v/>
      </c>
      <c r="P2627">
        <f>IF(B2644=0,0,O2627/B2644)</f>
        <v/>
      </c>
      <c r="Q2627" t="n">
        <v>0</v>
      </c>
      <c r="R2627" t="n">
        <v>0</v>
      </c>
      <c r="S2627">
        <f>IFERROR(O2627/N2627,0)</f>
        <v/>
      </c>
      <c r="T2627" t="n">
        <v>0</v>
      </c>
      <c r="V2627" t="n">
        <v>0</v>
      </c>
    </row>
    <row r="2628">
      <c r="A2628">
        <f>Skills!A27</f>
        <v/>
      </c>
      <c r="B2628">
        <f>Skills!B27</f>
        <v/>
      </c>
      <c r="C2628">
        <f>Inputs!$B$3&gt;=125</f>
        <v/>
      </c>
      <c r="D2628">
        <f>IF(Skills!C27=1,60+Inputs!$B$25+Inputs!$B$29,IF(Skills!C27=2,90+Inputs!$B$26+Inputs!$B$29,IF(Skills!C27=3,120+Inputs!$B$27+Inputs!$B$29,MAX(0,(Inputs!$B$3-100)*3)+Inputs!$B$28+Inputs!$B$29)))</f>
        <v/>
      </c>
      <c r="E2628">
        <f>INDEX(FactorTable!$B$2:$Y$301, MATCH(ROUND(MIN(300,MAX(1,D2628)),0), FactorTable!$A$2:$A$301,0), Skills!M27+1)</f>
        <v/>
      </c>
      <c r="F2628">
        <f>IF(Skills!N27=TRUE,(Skills!L27/10)*(E2628/1000),Skills!L27/10)+Skills!O27</f>
        <v/>
      </c>
      <c r="G2628">
        <f>Skills!G27*IF(Skills!H27&gt;0,Skills!I27/Skills!H27,1)</f>
        <v/>
      </c>
      <c r="H2628">
        <f>1-(1-Skills!J27/100)^Skills!K27</f>
        <v/>
      </c>
      <c r="I2628" t="inlineStr">
        <is>
          <t>1</t>
        </is>
      </c>
      <c r="J2628" t="inlineStr"/>
      <c r="K2628" t="inlineStr"/>
      <c r="L2628" t="inlineStr"/>
      <c r="M2628" t="inlineStr"/>
      <c r="N2628" t="inlineStr"/>
      <c r="O2628">
        <f>(1-Summary!$B$11)*T2628+Summary!$B$11*V2628</f>
        <v/>
      </c>
      <c r="P2628">
        <f>IF(B2644=0,0,O2628/B2644)</f>
        <v/>
      </c>
      <c r="Q2628" t="n">
        <v>0</v>
      </c>
      <c r="R2628" t="n">
        <v>0</v>
      </c>
      <c r="S2628">
        <f>IFERROR(O2628/N2628,0)</f>
        <v/>
      </c>
      <c r="T2628" t="n">
        <v>0</v>
      </c>
      <c r="V2628" t="n">
        <v>0</v>
      </c>
    </row>
    <row r="2629">
      <c r="A2629">
        <f>Skills!A28</f>
        <v/>
      </c>
      <c r="B2629">
        <f>Skills!B28</f>
        <v/>
      </c>
      <c r="C2629">
        <f>Inputs!$B$3&gt;=120</f>
        <v/>
      </c>
      <c r="D2629">
        <f>IF(Skills!C28=1,60+Inputs!$B$25+Inputs!$B$29,IF(Skills!C28=2,90+Inputs!$B$26+Inputs!$B$29,IF(Skills!C28=3,120+Inputs!$B$27+Inputs!$B$29,MAX(0,(Inputs!$B$3-100)*3)+Inputs!$B$28+Inputs!$B$29)))</f>
        <v/>
      </c>
      <c r="E2629">
        <f>INDEX(FactorTable!$B$2:$Y$301, MATCH(ROUND(MIN(300,MAX(1,D2629)),0), FactorTable!$A$2:$A$301,0), Skills!M28+1)</f>
        <v/>
      </c>
      <c r="F2629">
        <f>IF(Skills!N28=TRUE,(Skills!L28/10)*(E2629/1000),Skills!L28/10)+Skills!O28</f>
        <v/>
      </c>
      <c r="G2629">
        <f>Skills!G28*IF(Skills!H28&gt;0,Skills!I28/Skills!H28,1)</f>
        <v/>
      </c>
      <c r="H2629">
        <f>1-(1-Skills!J28/100)^Skills!K28</f>
        <v/>
      </c>
      <c r="I2629" t="inlineStr">
        <is>
          <t>1</t>
        </is>
      </c>
      <c r="J2629" t="inlineStr"/>
      <c r="K2629" t="inlineStr"/>
      <c r="L2629" t="inlineStr"/>
      <c r="M2629" t="inlineStr"/>
      <c r="N2629" t="inlineStr"/>
      <c r="O2629">
        <f>(1-Summary!$B$11)*T2629+Summary!$B$11*V2629</f>
        <v/>
      </c>
      <c r="P2629">
        <f>IF(B2644=0,0,O2629/B2644)</f>
        <v/>
      </c>
      <c r="Q2629" t="n">
        <v>0</v>
      </c>
      <c r="R2629" t="n">
        <v>0</v>
      </c>
      <c r="S2629">
        <f>IFERROR(O2629/N2629,0)</f>
        <v/>
      </c>
      <c r="T2629" t="n">
        <v>0</v>
      </c>
      <c r="V2629" t="n">
        <v>0</v>
      </c>
    </row>
    <row r="2630">
      <c r="A2630">
        <f>Skills!A29</f>
        <v/>
      </c>
      <c r="B2630">
        <f>Skills!B29</f>
        <v/>
      </c>
      <c r="C2630">
        <f>Inputs!$B$3&gt;=120</f>
        <v/>
      </c>
      <c r="D2630">
        <f>IF(Skills!C29=1,60+Inputs!$B$25+Inputs!$B$29,IF(Skills!C29=2,90+Inputs!$B$26+Inputs!$B$29,IF(Skills!C29=3,120+Inputs!$B$27+Inputs!$B$29,MAX(0,(Inputs!$B$3-100)*3)+Inputs!$B$28+Inputs!$B$29)))</f>
        <v/>
      </c>
      <c r="E2630">
        <f>INDEX(FactorTable!$B$2:$Y$301, MATCH(ROUND(MIN(300,MAX(1,D2630)),0), FactorTable!$A$2:$A$301,0), Skills!M29+1)</f>
        <v/>
      </c>
      <c r="F2630">
        <f>IF(Skills!N29=TRUE,(Skills!L29/10)*(E2630/1000),Skills!L29/10)+Skills!O29</f>
        <v/>
      </c>
      <c r="G2630">
        <f>Skills!G29*IF(Skills!H29&gt;0,Skills!I29/Skills!H29,1)</f>
        <v/>
      </c>
      <c r="H2630">
        <f>1-(1-Skills!J29/100)^Skills!K29</f>
        <v/>
      </c>
      <c r="I2630" t="inlineStr">
        <is>
          <t>1</t>
        </is>
      </c>
      <c r="J2630" t="inlineStr"/>
      <c r="K2630" t="inlineStr"/>
      <c r="L2630" t="inlineStr"/>
      <c r="M2630" t="inlineStr"/>
      <c r="N2630" t="inlineStr"/>
      <c r="O2630">
        <f>(1-Summary!$B$11)*T2630+Summary!$B$11*V2630</f>
        <v/>
      </c>
      <c r="P2630">
        <f>IF(B2644=0,0,O2630/B2644)</f>
        <v/>
      </c>
      <c r="Q2630" t="n">
        <v>0</v>
      </c>
      <c r="R2630" t="n">
        <v>0</v>
      </c>
      <c r="S2630">
        <f>IFERROR(O2630/N2630,0)</f>
        <v/>
      </c>
      <c r="T2630" t="n">
        <v>0</v>
      </c>
      <c r="V2630" t="n">
        <v>0</v>
      </c>
    </row>
    <row r="2631">
      <c r="A2631">
        <f>Skills!A30</f>
        <v/>
      </c>
      <c r="B2631">
        <f>Skills!B30</f>
        <v/>
      </c>
      <c r="C2631">
        <f>Inputs!$B$3&gt;=45</f>
        <v/>
      </c>
      <c r="D2631">
        <f>IF(Skills!C30=1,60+Inputs!$B$25+Inputs!$B$29,IF(Skills!C30=2,90+Inputs!$B$26+Inputs!$B$29,IF(Skills!C30=3,120+Inputs!$B$27+Inputs!$B$29,MAX(0,(Inputs!$B$3-100)*3)+Inputs!$B$28+Inputs!$B$29)))</f>
        <v/>
      </c>
      <c r="E2631">
        <f>INDEX(FactorTable!$B$2:$Y$301, MATCH(ROUND(MIN(300,MAX(1,D2631)),0), FactorTable!$A$2:$A$301,0), Skills!M30+1)</f>
        <v/>
      </c>
      <c r="F2631">
        <f>IF(Skills!N30=TRUE,(Skills!L30/10)*(E2631/1000),Skills!L30/10)+Skills!O30</f>
        <v/>
      </c>
      <c r="G2631">
        <f>Skills!G30*IF(Skills!H30&gt;0,Skills!I30/Skills!H30,1)</f>
        <v/>
      </c>
      <c r="H2631">
        <f>1-(1-Skills!J30/100)^Skills!K30</f>
        <v/>
      </c>
      <c r="I2631" t="inlineStr">
        <is>
          <t>1</t>
        </is>
      </c>
      <c r="J2631" t="inlineStr"/>
      <c r="K2631" t="inlineStr"/>
      <c r="L2631" t="inlineStr"/>
      <c r="M2631" t="inlineStr"/>
      <c r="N2631" t="inlineStr"/>
      <c r="O2631">
        <f>(1-Summary!$B$11)*T2631+Summary!$B$11*V2631</f>
        <v/>
      </c>
      <c r="P2631">
        <f>IF(B2644=0,0,O2631/B2644)</f>
        <v/>
      </c>
      <c r="Q2631" t="n">
        <v>0</v>
      </c>
      <c r="R2631" t="n">
        <v>0</v>
      </c>
      <c r="S2631">
        <f>IFERROR(O2631/N2631,0)</f>
        <v/>
      </c>
      <c r="T2631" t="n">
        <v>0</v>
      </c>
      <c r="V2631" t="n">
        <v>0</v>
      </c>
    </row>
    <row r="2633">
      <c r="A2633" t="inlineStr">
        <is>
          <t>Attack% Bucket Multiplier</t>
        </is>
      </c>
      <c r="B2633">
        <f>(1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4">
      <c r="A2634" t="inlineStr">
        <is>
          <t>Global Crit Rate Bonus %</t>
        </is>
      </c>
      <c r="B2634">
        <f>(C2617=TRUE)*20*IF(AND(Inputs!$B$38&lt;&gt;"pvp",Inputs!$B$43&gt;0),(((R2617-1)*(Skills!T16*(1+Inputs!$B$34/100))+MIN((Skills!T16*(1+Inputs!$B$34/100)),MAX(0,Inputs!$B$43-((R2617-1)*Skills!D16))))/Inputs!$B$43),IF(Inputs!$B$38="pvp",MIN((Skills!T16*(1+Inputs!$B$34/100)),15)/15,(Skills!T16*(1+Inputs!$B$34/100))/Skills!D16))</f>
        <v/>
      </c>
    </row>
    <row r="2635">
      <c r="A2635" t="inlineStr">
        <is>
          <t>Attack Speed Buff Bonus %</t>
        </is>
      </c>
      <c r="B2635">
        <f>((C2620=TRUE)*F2620*IF(AND(Inputs!$B$38&lt;&gt;"pvp",Inputs!$B$43&gt;0),(((R2620-1)*(Skills!T19*(1+Inputs!$B$34/100))+MIN((Skills!T19*(1+Inputs!$B$34/100)),MAX(0,Inputs!$B$43-((R2620-1)*Skills!D19))))/Inputs!$B$43),IF(Inputs!$B$38="pvp",MIN((Skills!T19*(1+Inputs!$B$34/100)),15)/15,(Skills!T19*(1+Inputs!$B$34/100))/Skills!D19)))</f>
        <v/>
      </c>
    </row>
    <row r="2636">
      <c r="A2636" t="inlineStr">
        <is>
          <t>Actions Per Second</t>
        </is>
      </c>
      <c r="B2636">
        <f>1+MIN(150,150*(1-(1-(Inputs!$B$11+((C2622=TRUE)*(F2622-Calc!F21))+((C2623=TRUE)*(F2623-Calc!F22)))/150)*(1-B2635/150)))/100</f>
        <v/>
      </c>
    </row>
    <row r="2637">
      <c r="A2637" t="inlineStr">
        <is>
          <t>Skill + Buff Cast Rate</t>
        </is>
      </c>
      <c r="B2637">
        <f>IF(AND(Inputs!$B$38&lt;&gt;"pvp",Inputs!$B$43&gt;0),SUMPRODUCT((Skills!E2:E30=TRUE)*(C2603:C2631=TRUE)*R2603:R2631*Skills!F2:F30)/Inputs!$B$43,SUMPRODUCT((Skills!E2:E30=TRUE)*(C2603:C2631=TRUE)*Q2603:Q2631*Skills!F2:F30))</f>
        <v/>
      </c>
    </row>
    <row r="2638">
      <c r="A2638" t="inlineStr">
        <is>
          <t>Arrow Stream Casts Per Second</t>
        </is>
      </c>
      <c r="B2638">
        <f>MAX(0,B2636-B2637)</f>
        <v/>
      </c>
    </row>
    <row r="2639">
      <c r="A2639" t="inlineStr">
        <is>
          <t>Global Critical Damage Bonus % (Sharp Eyes + Concentration)</t>
        </is>
      </c>
      <c r="B2639">
        <f>(C2617=TRUE)*F2617*IF(AND(Inputs!$B$38&lt;&gt;"pvp",Inputs!$B$43&gt;0),(((R2617-1)*(Skills!T16*(1+Inputs!$B$34/100))+MIN((Skills!T16*(1+Inputs!$B$34/100)),MAX(0,Inputs!$B$43-((R2617-1)*Skills!D16))))/Inputs!$B$43),IF(Inputs!$B$38="pvp",MIN((Skills!T16*(1+Inputs!$B$34/100)),15)/15,(Skills!T16*(1+Inputs!$B$34/100))/Skills!D16))+(C2618=TRUE)*30</f>
        <v/>
      </c>
    </row>
    <row r="2640">
      <c r="A2640" t="inlineStr">
        <is>
          <t>Global Final Damage Bonus % (Mortal Blow)</t>
        </is>
      </c>
      <c r="B2640">
        <f>(C2619=TRUE)*F2619</f>
        <v/>
      </c>
    </row>
    <row r="2641">
      <c r="A2641" t="inlineStr">
        <is>
          <t>Buff-Casting Startup Delay (s, fixed-duration only)</t>
        </is>
      </c>
      <c r="B2641">
        <f>IF(AND(Inputs!$B$38&lt;&gt;"pvp",Inputs!$B$43&gt;0),SUMPRODUCT((Skills!T2:T30&gt;0)*(Skills!E2:E30=TRUE)*(C2603:C2631=TRUE))/B2636,0)</f>
        <v/>
      </c>
    </row>
    <row r="2642">
      <c r="A2642" t="inlineStr">
        <is>
          <t>Boss-Only Total DPS (this block's swept value)</t>
        </is>
      </c>
      <c r="B2642">
        <f>SUM(T2603:T2631)</f>
        <v/>
      </c>
    </row>
    <row r="2643">
      <c r="A2643" t="inlineStr">
        <is>
          <t>Normal-Only Total DPS (this block's swept value)</t>
        </is>
      </c>
      <c r="B2643">
        <f>SUM(V2603:V2631)</f>
        <v/>
      </c>
    </row>
    <row r="2644">
      <c r="A2644" s="6" t="inlineStr">
        <is>
          <t>TOTAL DPS</t>
        </is>
      </c>
      <c r="B2644" s="6">
        <f>SUM(O2603:O2631)</f>
        <v/>
      </c>
    </row>
    <row r="2647">
      <c r="A2647" s="6" t="inlineStr">
        <is>
          <t>Stat: Alliance Badge (Equip)</t>
        </is>
      </c>
    </row>
    <row r="2648">
      <c r="A2648" s="5" t="inlineStr">
        <is>
          <t>Key</t>
        </is>
      </c>
      <c r="B2648" s="5" t="inlineStr">
        <is>
          <t>Name</t>
        </is>
      </c>
      <c r="C2648" s="5" t="inlineStr">
        <is>
          <t>Unlocked</t>
        </is>
      </c>
      <c r="D2648" s="5" t="inlineStr">
        <is>
          <t>InputLevel</t>
        </is>
      </c>
      <c r="E2648" s="5" t="inlineStr">
        <is>
          <t>Factor</t>
        </is>
      </c>
      <c r="F2648" s="5" t="inlineStr">
        <is>
          <t>CoefficientPercent</t>
        </is>
      </c>
      <c r="G2648" s="5" t="inlineStr">
        <is>
          <t>EffectiveHits</t>
        </is>
      </c>
      <c r="H2648" s="5" t="inlineStr">
        <is>
          <t>ProcProbability</t>
        </is>
      </c>
      <c r="I2648" s="5" t="inlineStr">
        <is>
          <t>MapleHeroMultiplier</t>
        </is>
      </c>
      <c r="J2648" s="5" t="inlineStr">
        <is>
          <t>BaseDamage</t>
        </is>
      </c>
      <c r="K2648" s="5" t="inlineStr">
        <is>
          <t>BaseHitDamage</t>
        </is>
      </c>
      <c r="L2648" s="5" t="inlineStr">
        <is>
          <t>NonCritAvg</t>
        </is>
      </c>
      <c r="M2648" s="5" t="inlineStr">
        <is>
          <t>CritAvg</t>
        </is>
      </c>
      <c r="N2648" s="5" t="inlineStr">
        <is>
          <t>ExpectedDamage(perHit)</t>
        </is>
      </c>
      <c r="O2648" s="5" t="inlineStr">
        <is>
          <t>DPS</t>
        </is>
      </c>
      <c r="P2648" s="5" t="inlineStr">
        <is>
          <t>% of Total</t>
        </is>
      </c>
      <c r="Q2648" s="5" t="inlineStr">
        <is>
          <t>InvCooldown</t>
        </is>
      </c>
      <c r="R2648" s="5" t="inlineStr">
        <is>
          <t>CastsInFight</t>
        </is>
      </c>
      <c r="S2648" s="5" t="inlineStr">
        <is>
          <t>HitRate(perSec)</t>
        </is>
      </c>
      <c r="U2648" t="inlineStr">
        <is>
          <t>helpers</t>
        </is>
      </c>
    </row>
    <row r="2649">
      <c r="A2649">
        <f>Skills!A2</f>
        <v/>
      </c>
      <c r="B2649">
        <f>Skills!B2</f>
        <v/>
      </c>
      <c r="C2649">
        <f>Inputs!$B$3&gt;=100</f>
        <v/>
      </c>
      <c r="D2649" t="inlineStr"/>
      <c r="E2649" t="inlineStr"/>
      <c r="F2649">
        <f>U2651+Skills!O2</f>
        <v/>
      </c>
      <c r="G2649">
        <f>Skills!G2*IF(Skills!H2&gt;0,Skills!I2/Skills!H2,1)</f>
        <v/>
      </c>
      <c r="H2649">
        <f>1-(1-Skills!J2/100)^Skills!K2</f>
        <v/>
      </c>
      <c r="I2649" t="inlineStr">
        <is>
          <t>1</t>
        </is>
      </c>
      <c r="J2649">
        <f>((Inputs!$B$6*(1+Inputs!$B$7/100))+(((Inputs!$B$12*(1+Inputs!$B$13/100))-(Inputs!$B$12*(1+Inputs!$B$13/100)))+0.25*(Inputs!$B$14-Inputs!$B$14))*(1+Inputs!$B$7/100))*(F2649/100)</f>
        <v/>
      </c>
      <c r="K2649">
        <f>J2649*(1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2671=TRUE)*(F2671-Calc!F24)),(Inputs!$B$23+((C2676=TRUE)*(F2676-Calc!F29))+(IF(ArtifactsInput!$M$15,CHOOSE(ArtifactsInput!$N$15+1,25,30,35,40,45,50)/100*(Inputs!$B$11-Inputs!$B$11),0))))/100+(Inputs!$B$23+((C2676=TRUE)*(F2676-Calc!F29))+(IF(ArtifactsInput!$M$15,CHOOSE(ArtifactsInput!$N$15+1,25,30,35,40,45,50)/100*(Inputs!$B$11-Inputs!$B$11),0)))/100)/2</f>
        <v/>
      </c>
      <c r="M2649">
        <f>L2649*(1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IF(B2690=0,0,O2649/B2690)</f>
        <v/>
      </c>
      <c r="Q2649" t="n">
        <v>0</v>
      </c>
      <c r="R2649" t="n">
        <v>0</v>
      </c>
      <c r="S2649">
        <f>IFERROR(O2649/N2649,0)</f>
        <v/>
      </c>
      <c r="T2649">
        <f>IF(C2649,(Skills!G2*N2649*B2684)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2649*(1-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MAX(0,(Inputs!$B$3-100)*3)+Inputs!$B$28+Inputs!$B$29</f>
        <v/>
      </c>
      <c r="V2649">
        <f>IF(C2649,(Skills!G2*N2649*B2684)*IF(Inputs!$B$38="pvp",1,(1+(Inputs!$B$21+Skills!Q2+(IF(ArtifactsInput!$M$33,CHOOSE(ArtifactsInput!$N$33+1,30,36,42,48,54,60),0))+(IF(AND(ArtifactsInput!$M$35,Inputs!$B$4&lt;&gt;"Chapter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Skills!A3</f>
        <v/>
      </c>
      <c r="B2650">
        <f>Skills!B3</f>
        <v/>
      </c>
      <c r="C2650">
        <f>Inputs!$B$3&gt;=50</f>
        <v/>
      </c>
      <c r="D2650">
        <f>IF(Skills!C3=1,60+Inputs!$B$25+Inputs!$B$29,IF(Skills!C3=2,90+Inputs!$B$26+Inputs!$B$29,IF(Skills!C3=3,120+Inputs!$B$27+Inputs!$B$29,MAX(0,(Inputs!$B$3-100)*3)+Inputs!$B$28+Inputs!$B$29)))</f>
        <v/>
      </c>
      <c r="E2650">
        <f>INDEX(FactorTable!$B$2:$Y$301, MATCH(ROUND(MIN(300,MAX(1,D2650)),0), FactorTable!$A$2:$A$301,0), Skills!M3+1)</f>
        <v/>
      </c>
      <c r="F2650">
        <f>IF(Skills!N3=TRUE,(Skills!L3/10)*(E2650/1000),Skills!L3/10)+Skills!O3</f>
        <v/>
      </c>
      <c r="G2650" t="inlineStr"/>
      <c r="H2650" t="inlineStr"/>
      <c r="I2650" t="inlineStr">
        <is>
          <t>1</t>
        </is>
      </c>
      <c r="J2650" t="inlineStr"/>
      <c r="K2650" t="inlineStr"/>
      <c r="L2650" t="inlineStr"/>
      <c r="M2650" t="inlineStr"/>
      <c r="N2650" t="inlineStr"/>
      <c r="O2650" t="inlineStr"/>
      <c r="P2650" t="inlineStr"/>
      <c r="Q2650" t="inlineStr"/>
      <c r="R2650" t="inlineStr"/>
      <c r="S2650" t="inlineStr"/>
      <c r="T2650" t="inlineStr"/>
      <c r="U2650">
        <f>INDEX(FactorTable!$B$2:$Y$301, MATCH(ROUND(MIN(300,MAX(1,U2649)),0), FactorTable!$A$2:$A$301,0), 22)</f>
        <v/>
      </c>
      <c r="V2650" t="inlineStr"/>
    </row>
    <row r="2651">
      <c r="A2651">
        <f>Skills!A4</f>
        <v/>
      </c>
      <c r="B2651">
        <f>Skills!B4</f>
        <v/>
      </c>
      <c r="C2651">
        <f>Inputs!$B$3&gt;=105</f>
        <v/>
      </c>
      <c r="D2651">
        <f>IF(Skills!C4=1,60+Inputs!$B$25+Inputs!$B$29,IF(Skills!C4=2,90+Inputs!$B$26+Inputs!$B$29,IF(Skills!C4=3,120+Inputs!$B$27+Inputs!$B$29,MAX(0,(Inputs!$B$3-100)*3)+Inputs!$B$28+Inputs!$B$29)))</f>
        <v/>
      </c>
      <c r="E2651">
        <f>INDEX(FactorTable!$B$2:$Y$301, MATCH(ROUND(MIN(300,MAX(1,D2651)),0), FactorTable!$A$2:$A$301,0), Skills!M4+1)</f>
        <v/>
      </c>
      <c r="F2651">
        <f>IF(Skills!N4=TRUE,(Skills!L4/10)*(E2651/1000),Skills!L4/10)+Skills!O4</f>
        <v/>
      </c>
      <c r="G2651" t="inlineStr"/>
      <c r="H2651" t="inlineStr"/>
      <c r="I2651" t="inlineStr">
        <is>
          <t>1</t>
        </is>
      </c>
      <c r="J2651" t="inlineStr"/>
      <c r="K2651" t="inlineStr"/>
      <c r="L2651" t="inlineStr"/>
      <c r="M2651" t="inlineStr"/>
      <c r="N2651" t="inlineStr"/>
      <c r="O2651" t="inlineStr"/>
      <c r="P2651" t="inlineStr"/>
      <c r="Q2651" t="inlineStr"/>
      <c r="R2651" t="inlineStr"/>
      <c r="S2651" t="inlineStr"/>
      <c r="T2651" t="inlineStr"/>
      <c r="U2651">
        <f>290*U2650/1000</f>
        <v/>
      </c>
      <c r="V2651" t="inlineStr"/>
    </row>
    <row r="2652">
      <c r="A2652">
        <f>Skills!A5</f>
        <v/>
      </c>
      <c r="B2652">
        <f>Skills!B5</f>
        <v/>
      </c>
      <c r="C2652">
        <f>Inputs!$B$3&gt;=35</f>
        <v/>
      </c>
      <c r="D2652">
        <f>IF(Skills!C5=1,60+Inputs!$B$25+Inputs!$B$29,IF(Skills!C5=2,90+Inputs!$B$26+Inputs!$B$29,IF(Skills!C5=3,120+Inputs!$B$27+Inputs!$B$29,MAX(0,(Inputs!$B$3-100)*3)+Inputs!$B$28+Inputs!$B$29)))</f>
        <v/>
      </c>
      <c r="E2652">
        <f>INDEX(FactorTable!$B$2:$Y$301, MATCH(ROUND(MIN(300,MAX(1,D2652)),0), FactorTable!$A$2:$A$301,0), Skills!M5+1)</f>
        <v/>
      </c>
      <c r="F2652">
        <f>IF(Skills!N5=TRUE,(Skills!L5/10)*(E2652/1000),Skills!L5/10)+Skills!O5</f>
        <v/>
      </c>
      <c r="G2652">
        <f>Skills!G5*IF(Skills!H5&gt;0,Skills!I5/Skills!H5,1)</f>
        <v/>
      </c>
      <c r="H2652">
        <f>1-(1-Skills!J5/100)^Skills!K5</f>
        <v/>
      </c>
      <c r="I2652" t="inlineStr">
        <is>
          <t>1</t>
        </is>
      </c>
      <c r="J2652">
        <f>((Inputs!$B$6*(1+Inputs!$B$7/100))+(((Inputs!$B$12*(1+Inputs!$B$13/100))-(Inputs!$B$12*(1+Inputs!$B$13/100)))+0.25*(Inputs!$B$14-Inputs!$B$14))*(1+Inputs!$B$7/100))*(F2652/100)</f>
        <v/>
      </c>
      <c r="K2652">
        <f>J2652*(1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5="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2671=TRUE)*(F2671-Calc!F24)),(Inputs!$B$23+((C2676=TRUE)*(F2676-Calc!F29))+(IF(ArtifactsInput!$M$15,CHOOSE(ArtifactsInput!$N$15+1,25,30,35,40,45,50)/100*(Inputs!$B$11-Inputs!$B$11),0))))/100+(Inputs!$B$23+((C2676=TRUE)*(F2676-Calc!F29))+(IF(ArtifactsInput!$M$15,CHOOSE(ArtifactsInput!$N$15+1,25,30,35,40,45,50)/100*(Inputs!$B$11-Inputs!$B$11),0)))/100)/2</f>
        <v/>
      </c>
      <c r="M2652">
        <f>L2652*(1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IF(B2690=0,0,O2652/B2690)</f>
        <v/>
      </c>
      <c r="Q2652">
        <f>IFERROR(1/(IF(Inputs!$B$38="pvp",15,MAX(0.1,Skills!D5-IF(Skills!E5=TRUE,Inputs!$B$32,0)))*(1-IF(AND(ArtifactsInput!$M$27,Inputs!$B$4="Chapter Hunt"),CHOOSE(ArtifactsInput!$N$27+1,20,24,28,32,36,40),0)/100)),0)</f>
        <v/>
      </c>
      <c r="R2652">
        <f>IF(AND(Inputs!$B$38&lt;&gt;"pvp",Inputs!$B$43&gt;0),IF(MAX(0,Inputs!$B$43-B2687)&lt;=0,0,(INT(MAX(0,Inputs!$B$43-B2687)/(IF(Inputs!$B$38="pvp",15,MAX(0.1,Skills!D5-IF(Skills!E5=TRUE,Inputs!$B$32,0)))*(1-IF(AND(ArtifactsInput!$M$27,Inputs!$B$4="Chapter Hunt"),CHOOSE(ArtifactsInput!$N$27+1,20,24,28,32,36,40),0)/100)))+1)),0)</f>
        <v/>
      </c>
      <c r="S2652">
        <f>IFERROR(O2652/N2652,0)</f>
        <v/>
      </c>
      <c r="T2652">
        <f>IF(C2652,(H2652*N2652*IF(AND(Inputs!$B$38&lt;&gt;"pvp",Inputs!$B$43&gt;0),((Skills!G5*((R2652-1)*IF(Skills!H5&gt;0,Skills!I5/Skills!H5,1)+IF(Skills!H5&gt;0,MIN(Skills!I5,MAX(0,MAX(0,Inputs!$B$43-B2687)-((R2652-1)*(IF(Inputs!$B$38="pvp",15,MAX(0.1,Skills!D5-IF(Skills!E5=TRUE,Inputs!$B$32,0)))*(1-IF(AND(ArtifactsInput!$M$27,Inputs!$B$4="Chapter Hunt"),CHOOSE(ArtifactsInput!$N$27+1,20,24,28,32,36,40),0)/100)))))/Skills!H5,1)))/Inputs!$B$43),G2652*Q2652)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2652*(1-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5*((R2652-1)*IF(Skills!H5&gt;0,Skills!I5/Skills!H5,1)+IF(Skills!H5&gt;0,MIN(Skills!I5,MAX(0,MAX(0,Inputs!$B$43-B2687)-((R2652-1)*(IF(Inputs!$B$38="pvp",15,MAX(0.1,Skills!D5-IF(Skills!E5=TRUE,Inputs!$B$32,0)))*(1-IF(AND(ArtifactsInput!$M$27,Inputs!$B$4="Chapter Hunt"),CHOOSE(ArtifactsInput!$N$27+1,20,24,28,32,36,40),0)/100)))))/Skills!H5,1)))/Inputs!$B$43),G2652*Q2652))*IF(Inputs!$B$38="pvp",1,(1+(Inputs!$B$21+Skills!Q5+(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Skills!A6</f>
        <v/>
      </c>
      <c r="B2653">
        <f>Skills!B6</f>
        <v/>
      </c>
      <c r="C2653">
        <f>Inputs!$B$3&gt;=40</f>
        <v/>
      </c>
      <c r="D2653">
        <f>IF(Skills!C6=1,60+Inputs!$B$25+Inputs!$B$29,IF(Skills!C6=2,90+Inputs!$B$26+Inputs!$B$29,IF(Skills!C6=3,120+Inputs!$B$27+Inputs!$B$29,MAX(0,(Inputs!$B$3-100)*3)+Inputs!$B$28+Inputs!$B$29)))</f>
        <v/>
      </c>
      <c r="E2653">
        <f>INDEX(FactorTable!$B$2:$Y$301, MATCH(ROUND(MIN(300,MAX(1,D2653)),0), FactorTable!$A$2:$A$301,0), Skills!M6+1)</f>
        <v/>
      </c>
      <c r="F2653">
        <f>IF(Skills!N6=TRUE,(Skills!L6/10)*(E2653/1000),Skills!L6/10)+Skills!O6</f>
        <v/>
      </c>
      <c r="G2653">
        <f>Skills!G6*IF(Skills!H6&gt;0,Skills!I6/Skills!H6,1)</f>
        <v/>
      </c>
      <c r="H2653">
        <f>1-(1-Skills!J6/100)^Skills!K6</f>
        <v/>
      </c>
      <c r="I2653" t="inlineStr">
        <is>
          <t>1</t>
        </is>
      </c>
      <c r="J2653">
        <f>((Inputs!$B$6*(1+Inputs!$B$7/100))+(((Inputs!$B$12*(1+Inputs!$B$13/100))-(Inputs!$B$12*(1+Inputs!$B$13/100)))+0.25*(Inputs!$B$14-Inputs!$B$14))*(1+Inputs!$B$7/100))*(F2653/100)</f>
        <v/>
      </c>
      <c r="K2653">
        <f>J2653*(1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2654=TRUE,F2654,0)/100)*(1+(IF(Skills!A6="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2671=TRUE)*(F2671-Calc!F24)),(Inputs!$B$23+((C2676=TRUE)*(F2676-Calc!F29))+(IF(ArtifactsInput!$M$15,CHOOSE(ArtifactsInput!$N$15+1,25,30,35,40,45,50)/100*(Inputs!$B$11-Inputs!$B$11),0))))/100+(Inputs!$B$23+((C2676=TRUE)*(F2676-Calc!F29))+(IF(ArtifactsInput!$M$15,CHOOSE(ArtifactsInput!$N$15+1,25,30,35,40,45,50)/100*(Inputs!$B$11-Inputs!$B$11),0)))/100)/2</f>
        <v/>
      </c>
      <c r="M2653">
        <f>L2653*(1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IF(B2690=0,0,O2653/B2690)</f>
        <v/>
      </c>
      <c r="Q2653">
        <f>IFERROR(1/(IF(Inputs!$B$38="pvp",15,MAX(0.1,Skills!D6-IF(Skills!E6=TRUE,Inputs!$B$32,0)))*(1-IF(AND(ArtifactsInput!$M$27,Inputs!$B$4="Chapter Hunt"),CHOOSE(ArtifactsInput!$N$27+1,20,24,28,32,36,40),0)/100)),0)</f>
        <v/>
      </c>
      <c r="R2653">
        <f>IF(AND(Inputs!$B$38&lt;&gt;"pvp",Inputs!$B$43&gt;0),IF(MAX(0,Inputs!$B$43-B2687)&lt;=0,0,(INT(MAX(0,Inputs!$B$43-B2687)/(IF(Inputs!$B$38="pvp",15,MAX(0.1,Skills!D6-IF(Skills!E6=TRUE,Inputs!$B$32,0)))*(1-IF(AND(ArtifactsInput!$M$27,Inputs!$B$4="Chapter Hunt"),CHOOSE(ArtifactsInput!$N$27+1,20,24,28,32,36,40),0)/100)))+1)),0)</f>
        <v/>
      </c>
      <c r="S2653">
        <f>IFERROR(O2653/N2653,0)</f>
        <v/>
      </c>
      <c r="T2653">
        <f>IF(C2653,(H2653*N2653*IF(AND(Inputs!$B$38&lt;&gt;"pvp",Inputs!$B$43&gt;0),((Skills!G6*((R2653-1)*IF(Skills!H6&gt;0,Skills!I6/Skills!H6,1)+IF(Skills!H6&gt;0,MIN(Skills!I6,MAX(0,MAX(0,Inputs!$B$43-B2687)-((R2653-1)*(IF(Inputs!$B$38="pvp",15,MAX(0.1,Skills!D6-IF(Skills!E6=TRUE,Inputs!$B$32,0)))*(1-IF(AND(ArtifactsInput!$M$27,Inputs!$B$4="Chapter Hunt"),CHOOSE(ArtifactsInput!$N$27+1,20,24,28,32,36,40),0)/100)))))/Skills!H6,1)))/Inputs!$B$43),G2653*Q2653)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2653*(1-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6*((R2653-1)*IF(Skills!H6&gt;0,Skills!I6/Skills!H6,1)+IF(Skills!H6&gt;0,MIN(Skills!I6,MAX(0,MAX(0,Inputs!$B$43-B2687)-((R2653-1)*(IF(Inputs!$B$38="pvp",15,MAX(0.1,Skills!D6-IF(Skills!E6=TRUE,Inputs!$B$32,0)))*(1-IF(AND(ArtifactsInput!$M$27,Inputs!$B$4="Chapter Hunt"),CHOOSE(ArtifactsInput!$N$27+1,20,24,28,32,36,40),0)/100)))))/Skills!H6,1)))/Inputs!$B$43),G2653*Q2653))*IF(Inputs!$B$38="pvp",1,(1+(Inputs!$B$21+Skills!Q6+(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Skills!A7</f>
        <v/>
      </c>
      <c r="B2654">
        <f>Skills!B7</f>
        <v/>
      </c>
      <c r="C2654">
        <f>Inputs!$B$3&gt;=107</f>
        <v/>
      </c>
      <c r="D2654">
        <f>IF(Skills!C7=1,60+Inputs!$B$25+Inputs!$B$29,IF(Skills!C7=2,90+Inputs!$B$26+Inputs!$B$29,IF(Skills!C7=3,120+Inputs!$B$27+Inputs!$B$29,MAX(0,(Inputs!$B$3-100)*3)+Inputs!$B$28+Inputs!$B$29)))</f>
        <v/>
      </c>
      <c r="E2654">
        <f>INDEX(FactorTable!$B$2:$Y$301, MATCH(ROUND(MIN(300,MAX(1,D2654)),0), FactorTable!$A$2:$A$301,0), Skills!M7+1)</f>
        <v/>
      </c>
      <c r="F2654">
        <f>IF(Skills!N7=TRUE,(Skills!L7/10)*(E2654/1000),Skills!L7/10)+Skills!O7</f>
        <v/>
      </c>
      <c r="G2654" t="inlineStr"/>
      <c r="H2654" t="inlineStr"/>
      <c r="I2654" t="inlineStr">
        <is>
          <t>1</t>
        </is>
      </c>
      <c r="J2654" t="inlineStr"/>
      <c r="K2654" t="inlineStr"/>
      <c r="L2654" t="inlineStr"/>
      <c r="M2654" t="inlineStr"/>
      <c r="N2654" t="inlineStr"/>
      <c r="O2654" t="inlineStr"/>
      <c r="P2654" t="inlineStr"/>
      <c r="Q2654" t="inlineStr"/>
      <c r="R2654" t="inlineStr"/>
      <c r="S2654" t="inlineStr"/>
      <c r="T2654" t="inlineStr"/>
      <c r="V2654" t="inlineStr"/>
    </row>
    <row r="2655">
      <c r="A2655">
        <f>Skills!A8</f>
        <v/>
      </c>
      <c r="B2655">
        <f>Skills!B8</f>
        <v/>
      </c>
      <c r="C2655">
        <f>Inputs!$B$3&gt;=69</f>
        <v/>
      </c>
      <c r="D2655">
        <f>IF(Skills!C8=1,60+Inputs!$B$25+Inputs!$B$29,IF(Skills!C8=2,90+Inputs!$B$26+Inputs!$B$29,IF(Skills!C8=3,120+Inputs!$B$27+Inputs!$B$29,MAX(0,(Inputs!$B$3-100)*3)+Inputs!$B$28+Inputs!$B$29)))</f>
        <v/>
      </c>
      <c r="E2655">
        <f>INDEX(FactorTable!$B$2:$Y$301, MATCH(ROUND(MIN(300,MAX(1,D2655)),0), FactorTable!$A$2:$A$301,0), Skills!M8+1)</f>
        <v/>
      </c>
      <c r="F2655">
        <f>IF(Skills!N8=TRUE,(Skills!L8/10)*(E2655/1000),Skills!L8/10)+Skills!O8</f>
        <v/>
      </c>
      <c r="G2655">
        <f>Skills!G8*IF(Skills!H8&gt;0,Skills!I8/Skills!H8,1)</f>
        <v/>
      </c>
      <c r="H2655">
        <f>1-(1-Skills!J8/100)^Skills!K8</f>
        <v/>
      </c>
      <c r="I2655" t="inlineStr">
        <is>
          <t>1</t>
        </is>
      </c>
      <c r="J2655">
        <f>((Inputs!$B$6*(1+Inputs!$B$7/100))+(((Inputs!$B$12*(1+Inputs!$B$13/100))-(Inputs!$B$12*(1+Inputs!$B$13/100)))+0.25*(Inputs!$B$14-Inputs!$B$14))*(1+Inputs!$B$7/100))*(F2655/100)</f>
        <v/>
      </c>
      <c r="K2655">
        <f>J2655*(1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2657=TRUE,F2657,0)/100)*(1+(IF(Skills!A8="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2671=TRUE)*(F2671-Calc!F24)),(Inputs!$B$23+((C2676=TRUE)*(F2676-Calc!F29))+(IF(ArtifactsInput!$M$15,CHOOSE(ArtifactsInput!$N$15+1,25,30,35,40,45,50)/100*(Inputs!$B$11-Inputs!$B$11),0))))/100+(Inputs!$B$23+((C2676=TRUE)*(F2676-Calc!F29))+(IF(ArtifactsInput!$M$15,CHOOSE(ArtifactsInput!$N$15+1,25,30,35,40,45,50)/100*(Inputs!$B$11-Inputs!$B$11),0)))/100)/2</f>
        <v/>
      </c>
      <c r="M2655">
        <f>L2655*(1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IF(B2690=0,0,O2655/B2690)</f>
        <v/>
      </c>
      <c r="Q2655">
        <f>IFERROR(1/(IF(Inputs!$B$38="pvp",15,MAX(0.1,Skills!D8-IF(Skills!E8=TRUE,Inputs!$B$32,0)))*(1-IF(AND(ArtifactsInput!$M$27,Inputs!$B$4="Chapter Hunt"),CHOOSE(ArtifactsInput!$N$27+1,20,24,28,32,36,40),0)/100)),0)</f>
        <v/>
      </c>
      <c r="R2655">
        <f>IF(AND(Inputs!$B$38&lt;&gt;"pvp",Inputs!$B$43&gt;0),IF(MAX(0,Inputs!$B$43-B2687)&lt;=0,0,(INT(MAX(0,Inputs!$B$43-B2687)/(IF(Inputs!$B$38="pvp",15,MAX(0.1,Skills!D8-IF(Skills!E8=TRUE,Inputs!$B$32,0)))*(1-IF(AND(ArtifactsInput!$M$27,Inputs!$B$4="Chapter Hunt"),CHOOSE(ArtifactsInput!$N$27+1,20,24,28,32,36,40),0)/100)))+1)),0)</f>
        <v/>
      </c>
      <c r="S2655">
        <f>IFERROR(O2655/N2655,0)</f>
        <v/>
      </c>
      <c r="T2655">
        <f>IF(C2655,(H2655*N2655*IF(AND(Inputs!$B$38&lt;&gt;"pvp",Inputs!$B$43&gt;0),((Skills!G8*((R2655-1)*IF(Skills!H8&gt;0,Skills!I8/Skills!H8,1)+IF(Skills!H8&gt;0,MIN(Skills!I8,MAX(0,MAX(0,Inputs!$B$43-B2687)-((R2655-1)*(IF(Inputs!$B$38="pvp",15,MAX(0.1,Skills!D8-IF(Skills!E8=TRUE,Inputs!$B$32,0)))*(1-IF(AND(ArtifactsInput!$M$27,Inputs!$B$4="Chapter Hunt"),CHOOSE(ArtifactsInput!$N$27+1,20,24,28,32,36,40),0)/100)))))/Skills!H8,1)))/Inputs!$B$43),G2655*Q2655)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2655*(1-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8*((R2655-1)*IF(Skills!H8&gt;0,Skills!I8/Skills!H8,1)+IF(Skills!H8&gt;0,MIN(Skills!I8,MAX(0,MAX(0,Inputs!$B$43-B2687)-((R2655-1)*(IF(Inputs!$B$38="pvp",15,MAX(0.1,Skills!D8-IF(Skills!E8=TRUE,Inputs!$B$32,0)))*(1-IF(AND(ArtifactsInput!$M$27,Inputs!$B$4="Chapter Hunt"),CHOOSE(ArtifactsInput!$N$27+1,20,24,28,32,36,40),0)/100)))))/Skills!H8,1)))/Inputs!$B$43),G2655*Q2655))*IF(Inputs!$B$38="pvp",1,(1+(Inputs!$B$21+Skills!Q8+(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Skills!A9</f>
        <v/>
      </c>
      <c r="B2656">
        <f>Skills!B9</f>
        <v/>
      </c>
      <c r="C2656">
        <f>Inputs!$B$3&gt;=63</f>
        <v/>
      </c>
      <c r="D2656">
        <f>IF(Skills!C9=1,60+Inputs!$B$25+Inputs!$B$29,IF(Skills!C9=2,90+Inputs!$B$26+Inputs!$B$29,IF(Skills!C9=3,120+Inputs!$B$27+Inputs!$B$29,MAX(0,(Inputs!$B$3-100)*3)+Inputs!$B$28+Inputs!$B$29)))</f>
        <v/>
      </c>
      <c r="E2656">
        <f>INDEX(FactorTable!$B$2:$Y$301, MATCH(ROUND(MIN(300,MAX(1,D2656)),0), FactorTable!$A$2:$A$301,0), Skills!M9+1)</f>
        <v/>
      </c>
      <c r="F2656">
        <f>IF(Skills!N9=TRUE,(Skills!L9/10)*(E2656/1000),Skills!L9/10)+Skills!O9</f>
        <v/>
      </c>
      <c r="G2656">
        <f>Skills!G9*IF(Skills!H9&gt;0,Skills!I9/Skills!H9,1)</f>
        <v/>
      </c>
      <c r="H2656">
        <f>1-(1-Skills!J9/100)^Skills!K9</f>
        <v/>
      </c>
      <c r="I2656" t="inlineStr">
        <is>
          <t>1</t>
        </is>
      </c>
      <c r="J2656">
        <f>((Inputs!$B$6*(1+Inputs!$B$7/100))+(((Inputs!$B$12*(1+Inputs!$B$13/100))-(Inputs!$B$12*(1+Inputs!$B$13/100)))+0.25*(Inputs!$B$14-Inputs!$B$14))*(1+Inputs!$B$7/100))*(F2656/100)</f>
        <v/>
      </c>
      <c r="K2656">
        <f>J2656*(1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9="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2671=TRUE)*(F2671-Calc!F24)),(Inputs!$B$23+((C2676=TRUE)*(F2676-Calc!F29))+(IF(ArtifactsInput!$M$15,CHOOSE(ArtifactsInput!$N$15+1,25,30,35,40,45,50)/100*(Inputs!$B$11-Inputs!$B$11),0))))/100+(Inputs!$B$23+((C2676=TRUE)*(F2676-Calc!F29))+(IF(ArtifactsInput!$M$15,CHOOSE(ArtifactsInput!$N$15+1,25,30,35,40,45,50)/100*(Inputs!$B$11-Inputs!$B$11),0)))/100)/2</f>
        <v/>
      </c>
      <c r="M2656">
        <f>L2656*(1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IF(B2690=0,0,O2656/B2690)</f>
        <v/>
      </c>
      <c r="Q2656">
        <f>IFERROR(1/(IF(Inputs!$B$38="pvp",15,MAX(0.1,Skills!D9-IF(Skills!E9=TRUE,Inputs!$B$32,0)))*(1-IF(AND(ArtifactsInput!$M$27,Inputs!$B$4="Chapter Hunt"),CHOOSE(ArtifactsInput!$N$27+1,20,24,28,32,36,40),0)/100)),0)</f>
        <v/>
      </c>
      <c r="R2656">
        <f>IF(AND(Inputs!$B$38&lt;&gt;"pvp",Inputs!$B$43&gt;0),IF(MAX(0,Inputs!$B$43-B2687)&lt;=0,0,(INT(MAX(0,Inputs!$B$43-B2687)/(IF(Inputs!$B$38="pvp",15,MAX(0.1,Skills!D9-IF(Skills!E9=TRUE,Inputs!$B$32,0)))*(1-IF(AND(ArtifactsInput!$M$27,Inputs!$B$4="Chapter Hunt"),CHOOSE(ArtifactsInput!$N$27+1,20,24,28,32,36,40),0)/100)))+1)),0)</f>
        <v/>
      </c>
      <c r="S2656">
        <f>IFERROR(O2656/N2656,0)</f>
        <v/>
      </c>
      <c r="T2656">
        <f>IF(C2656,(H2656*N2656*IF(AND(Inputs!$B$38&lt;&gt;"pvp",Inputs!$B$43&gt;0),((Skills!G9*((R2656-1)*IF(Skills!H9&gt;0,Skills!I9/Skills!H9,1)+IF(Skills!H9&gt;0,MIN(Skills!I9,MAX(0,MAX(0,Inputs!$B$43-B2687)-((R2656-1)*(IF(Inputs!$B$38="pvp",15,MAX(0.1,Skills!D9-IF(Skills!E9=TRUE,Inputs!$B$32,0)))*(1-IF(AND(ArtifactsInput!$M$27,Inputs!$B$4="Chapter Hunt"),CHOOSE(ArtifactsInput!$N$27+1,20,24,28,32,36,40),0)/100)))))/Skills!H9,1)))/Inputs!$B$43),G2656*Q2656)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2656*(1-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9*((R2656-1)*IF(Skills!H9&gt;0,Skills!I9/Skills!H9,1)+IF(Skills!H9&gt;0,MIN(Skills!I9,MAX(0,MAX(0,Inputs!$B$43-B2687)-((R2656-1)*(IF(Inputs!$B$38="pvp",15,MAX(0.1,Skills!D9-IF(Skills!E9=TRUE,Inputs!$B$32,0)))*(1-IF(AND(ArtifactsInput!$M$27,Inputs!$B$4="Chapter Hunt"),CHOOSE(ArtifactsInput!$N$27+1,20,24,28,32,36,40),0)/100)))))/Skills!H9,1)))/Inputs!$B$43),G2656*Q2656))*IF(Inputs!$B$38="pvp",1,(1+(Inputs!$B$21+Skills!Q9+(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Skills!A10</f>
        <v/>
      </c>
      <c r="B2657">
        <f>Skills!B10</f>
        <v/>
      </c>
      <c r="C2657">
        <f>Inputs!$B$3&gt;=100</f>
        <v/>
      </c>
      <c r="D2657">
        <f>IF(Skills!C10=1,60+Inputs!$B$25+Inputs!$B$29,IF(Skills!C10=2,90+Inputs!$B$26+Inputs!$B$29,IF(Skills!C10=3,120+Inputs!$B$27+Inputs!$B$29,MAX(0,(Inputs!$B$3-100)*3)+Inputs!$B$28+Inputs!$B$29)))</f>
        <v/>
      </c>
      <c r="E2657">
        <f>INDEX(FactorTable!$B$2:$Y$301, MATCH(ROUND(MIN(300,MAX(1,D2657)),0), FactorTable!$A$2:$A$301,0), Skills!M10+1)</f>
        <v/>
      </c>
      <c r="F2657">
        <f>IF(Skills!N10=TRUE,(Skills!L10/10)*(E2657/1000),Skills!L10/10)+Skills!O10</f>
        <v/>
      </c>
      <c r="G2657" t="inlineStr"/>
      <c r="H2657" t="inlineStr"/>
      <c r="I2657" t="inlineStr">
        <is>
          <t>1</t>
        </is>
      </c>
      <c r="J2657" t="inlineStr"/>
      <c r="K2657" t="inlineStr"/>
      <c r="L2657" t="inlineStr"/>
      <c r="M2657" t="inlineStr"/>
      <c r="N2657" t="inlineStr"/>
      <c r="O2657" t="inlineStr"/>
      <c r="P2657" t="inlineStr"/>
      <c r="Q2657" t="inlineStr"/>
      <c r="R2657" t="inlineStr"/>
      <c r="S2657" t="inlineStr"/>
      <c r="T2657" t="inlineStr"/>
      <c r="V2657" t="inlineStr"/>
    </row>
    <row r="2658">
      <c r="A2658">
        <f>Skills!A11</f>
        <v/>
      </c>
      <c r="B2658">
        <f>Skills!B11</f>
        <v/>
      </c>
      <c r="C2658">
        <f>Inputs!$B$3&gt;=60</f>
        <v/>
      </c>
      <c r="D2658">
        <f>IF(Skills!C11=1,60+Inputs!$B$25+Inputs!$B$29,IF(Skills!C11=2,90+Inputs!$B$26+Inputs!$B$29,IF(Skills!C11=3,120+Inputs!$B$27+Inputs!$B$29,MAX(0,(Inputs!$B$3-100)*3)+Inputs!$B$28+Inputs!$B$29)))</f>
        <v/>
      </c>
      <c r="E2658">
        <f>INDEX(FactorTable!$B$2:$Y$301, MATCH(ROUND(MIN(300,MAX(1,D2658)),0), FactorTable!$A$2:$A$301,0), Skills!M11+1)</f>
        <v/>
      </c>
      <c r="F2658">
        <f>IF(Skills!N11=TRUE,(Skills!L11/10)*(E2658/1000),Skills!L11/10)+Skills!O11</f>
        <v/>
      </c>
      <c r="G2658">
        <f>Skills!G11*IF(Skills!H11&gt;0,Skills!I11/Skills!H11,1)</f>
        <v/>
      </c>
      <c r="H2658">
        <f>1-(1-Skills!J11/100)^Skills!K11</f>
        <v/>
      </c>
      <c r="I2658" t="inlineStr">
        <is>
          <t>1</t>
        </is>
      </c>
      <c r="J2658">
        <f>((Inputs!$B$6*(1+Inputs!$B$7/100))+(((Inputs!$B$12*(1+Inputs!$B$13/100))-(Inputs!$B$12*(1+Inputs!$B$13/100)))+0.25*(Inputs!$B$14-Inputs!$B$14))*(1+Inputs!$B$7/100))*(F2658/100)</f>
        <v/>
      </c>
      <c r="K2658">
        <f>J2658*(1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Skills!A11="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2671=TRUE)*(F2671-Calc!F24)),(Inputs!$B$23+((C2676=TRUE)*(F2676-Calc!F29))+(IF(ArtifactsInput!$M$15,CHOOSE(ArtifactsInput!$N$15+1,25,30,35,40,45,50)/100*(Inputs!$B$11-Inputs!$B$11),0))))/100+(Inputs!$B$23+((C2676=TRUE)*(F2676-Calc!F29))+(IF(ArtifactsInput!$M$15,CHOOSE(ArtifactsInput!$N$15+1,25,30,35,40,45,50)/100*(Inputs!$B$11-Inputs!$B$11),0)))/100)/2</f>
        <v/>
      </c>
      <c r="M2658">
        <f>L2658*(1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IF(B2690=0,0,O2658/B2690)</f>
        <v/>
      </c>
      <c r="Q2658">
        <f>IFERROR(1/(IF(Inputs!$B$38="pvp",15,MAX(0.1,Skills!D11-IF(Skills!E11=TRUE,Inputs!$B$32,0)))*(1-IF(AND(ArtifactsInput!$M$27,Inputs!$B$4="Chapter Hunt"),CHOOSE(ArtifactsInput!$N$27+1,20,24,28,32,36,40),0)/100)),0)</f>
        <v/>
      </c>
      <c r="R2658">
        <f>IF(AND(Inputs!$B$38&lt;&gt;"pvp",Inputs!$B$43&gt;0),IF(MAX(0,Inputs!$B$43-B2687)&lt;=0,0,(INT(MAX(0,Inputs!$B$43-B2687)/(IF(Inputs!$B$38="pvp",15,MAX(0.1,Skills!D11-IF(Skills!E11=TRUE,Inputs!$B$32,0)))*(1-IF(AND(ArtifactsInput!$M$27,Inputs!$B$4="Chapter Hunt"),CHOOSE(ArtifactsInput!$N$27+1,20,24,28,32,36,40),0)/100)))+1)),0)</f>
        <v/>
      </c>
      <c r="S2658">
        <f>IFERROR(O2658/N2658,0)</f>
        <v/>
      </c>
      <c r="T2658">
        <f>IF(C2658,(H2658*N2658*IF(AND(Inputs!$B$38&lt;&gt;"pvp",Inputs!$B$43&gt;0),((Skills!G11*((R2658-1)*IF(Skills!H11&gt;0,Skills!I11/Skills!H11,1)+IF(Skills!H11&gt;0,MIN(Skills!I11,MAX(0,MAX(0,Inputs!$B$43-B2687)-((R2658-1)*(IF(Inputs!$B$38="pvp",15,MAX(0.1,Skills!D11-IF(Skills!E11=TRUE,Inputs!$B$32,0)))*(1-IF(AND(ArtifactsInput!$M$27,Inputs!$B$4="Chapter Hunt"),CHOOSE(ArtifactsInput!$N$27+1,20,24,28,32,36,40),0)/100)))))/Skills!H11,1)))/Inputs!$B$43),G2658*Q2658)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2658*(1-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11*((R2658-1)*IF(Skills!H11&gt;0,Skills!I11/Skills!H11,1)+IF(Skills!H11&gt;0,MIN(Skills!I11,MAX(0,MAX(0,Inputs!$B$43-B2687)-((R2658-1)*(IF(Inputs!$B$38="pvp",15,MAX(0.1,Skills!D11-IF(Skills!E11=TRUE,Inputs!$B$32,0)))*(1-IF(AND(ArtifactsInput!$M$27,Inputs!$B$4="Chapter Hunt"),CHOOSE(ArtifactsInput!$N$27+1,20,24,28,32,36,40),0)/100)))))/Skills!H11,1)))/Inputs!$B$43),G2658*Q2658))*IF(Inputs!$B$38="pvp",1,(1+(Inputs!$B$21+Skills!Q11+(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Skills!A12</f>
        <v/>
      </c>
      <c r="B2659">
        <f>Skills!B12</f>
        <v/>
      </c>
      <c r="C2659">
        <f>Inputs!$B$3&gt;=110</f>
        <v/>
      </c>
      <c r="D2659">
        <f>IF(Skills!C12=1,60+Inputs!$B$25+Inputs!$B$29,IF(Skills!C12=2,90+Inputs!$B$26+Inputs!$B$29,IF(Skills!C12=3,120+Inputs!$B$27+Inputs!$B$29,MAX(0,(Inputs!$B$3-100)*3)+Inputs!$B$28+Inputs!$B$29)))</f>
        <v/>
      </c>
      <c r="E2659">
        <f>INDEX(FactorTable!$B$2:$Y$301, MATCH(ROUND(MIN(300,MAX(1,D2659)),0), FactorTable!$A$2:$A$301,0), Skills!M12+1)</f>
        <v/>
      </c>
      <c r="F2659">
        <f>IF(Skills!N12=TRUE,(Skills!L12/10)*(E2659/1000),Skills!L12/10)+Skills!O12</f>
        <v/>
      </c>
      <c r="G2659" t="inlineStr"/>
      <c r="H2659" t="inlineStr"/>
      <c r="I2659" t="inlineStr">
        <is>
          <t>1</t>
        </is>
      </c>
      <c r="J2659" t="inlineStr"/>
      <c r="K2659" t="inlineStr"/>
      <c r="L2659" t="inlineStr"/>
      <c r="M2659" t="inlineStr"/>
      <c r="N2659" t="inlineStr"/>
      <c r="O2659" t="inlineStr"/>
      <c r="P2659" t="inlineStr"/>
      <c r="Q2659" t="inlineStr"/>
      <c r="R2659" t="inlineStr"/>
      <c r="S2659" t="inlineStr"/>
      <c r="T2659" t="inlineStr"/>
      <c r="V2659" t="inlineStr"/>
    </row>
    <row r="2660">
      <c r="A2660">
        <f>Skills!A13</f>
        <v/>
      </c>
      <c r="B2660">
        <f>Skills!B13</f>
        <v/>
      </c>
      <c r="C2660">
        <f>Inputs!$B$3&gt;=74</f>
        <v/>
      </c>
      <c r="D2660">
        <f>IF(Skills!C13=1,60+Inputs!$B$25+Inputs!$B$29,IF(Skills!C13=2,90+Inputs!$B$26+Inputs!$B$29,IF(Skills!C13=3,120+Inputs!$B$27+Inputs!$B$29,MAX(0,(Inputs!$B$3-100)*3)+Inputs!$B$28+Inputs!$B$29)))</f>
        <v/>
      </c>
      <c r="E2660">
        <f>INDEX(FactorTable!$B$2:$Y$301, MATCH(ROUND(MIN(300,MAX(1,D2660)),0), FactorTable!$A$2:$A$301,0), Skills!M13+1)</f>
        <v/>
      </c>
      <c r="F2660">
        <f>IF(Skills!N13=TRUE,(Skills!L13/10)*(E2660/1000),Skills!L13/10)+Skills!O13</f>
        <v/>
      </c>
      <c r="G2660">
        <f>Skills!G13*IF(Skills!H13&gt;0,Skills!I13/Skills!H13,1)</f>
        <v/>
      </c>
      <c r="H2660">
        <f>1-(1-Skills!J13/100)^Skills!K13</f>
        <v/>
      </c>
      <c r="I2660" t="inlineStr">
        <is>
          <t>1</t>
        </is>
      </c>
      <c r="J2660" t="inlineStr"/>
      <c r="K2660" t="inlineStr"/>
      <c r="L2660" t="inlineStr"/>
      <c r="M2660" t="inlineStr"/>
      <c r="N2660" t="inlineStr"/>
      <c r="O2660">
        <f>(1-Summary!$B$11)*T2660+Summary!$B$11*V2660</f>
        <v/>
      </c>
      <c r="P2660">
        <f>IF(B2690=0,0,O2660/B2690)</f>
        <v/>
      </c>
      <c r="Q2660" t="n">
        <v>0</v>
      </c>
      <c r="R2660" t="n">
        <v>0</v>
      </c>
      <c r="S2660">
        <f>IFERROR(O2660/N2660,0)</f>
        <v/>
      </c>
      <c r="T2660" t="n">
        <v>0</v>
      </c>
      <c r="V2660" t="n">
        <v>0</v>
      </c>
    </row>
    <row r="2661">
      <c r="A2661">
        <f>Skills!A14</f>
        <v/>
      </c>
      <c r="B2661">
        <f>Skills!B14</f>
        <v/>
      </c>
      <c r="C2661">
        <f>Inputs!$B$3&gt;=74</f>
        <v/>
      </c>
      <c r="D2661">
        <f>IF(Skills!C14=1,60+Inputs!$B$25+Inputs!$B$29,IF(Skills!C14=2,90+Inputs!$B$26+Inputs!$B$29,IF(Skills!C14=3,120+Inputs!$B$27+Inputs!$B$29,MAX(0,(Inputs!$B$3-100)*3)+Inputs!$B$28+Inputs!$B$29)))</f>
        <v/>
      </c>
      <c r="E2661">
        <f>INDEX(FactorTable!$B$2:$Y$301, MATCH(ROUND(MIN(300,MAX(1,D2661)),0), FactorTable!$A$2:$A$301,0), Skills!M14+1)</f>
        <v/>
      </c>
      <c r="F2661">
        <f>IF(Skills!N14=TRUE,(Skills!L14/10)*(E2661/1000),Skills!L14/10)+Skills!O14</f>
        <v/>
      </c>
      <c r="G2661">
        <f>Skills!G14*IF(Skills!H14&gt;0,Skills!I14/Skills!H14,1)</f>
        <v/>
      </c>
      <c r="H2661">
        <f>1-(1-Skills!J14/100)^Skills!K14</f>
        <v/>
      </c>
      <c r="I2661" t="inlineStr">
        <is>
          <t>1</t>
        </is>
      </c>
      <c r="J2661" t="inlineStr"/>
      <c r="K2661" t="inlineStr"/>
      <c r="L2661" t="inlineStr"/>
      <c r="M2661" t="inlineStr"/>
      <c r="N2661" t="inlineStr"/>
      <c r="O2661">
        <f>(1-Summary!$B$11)*T2661+Summary!$B$11*V2661</f>
        <v/>
      </c>
      <c r="P2661">
        <f>IF(B2690=0,0,O2661/B2690)</f>
        <v/>
      </c>
      <c r="Q2661" t="n">
        <v>0</v>
      </c>
      <c r="R2661" t="n">
        <v>0</v>
      </c>
      <c r="S2661">
        <f>IFERROR(O2661/N2661,0)</f>
        <v/>
      </c>
      <c r="T2661" t="n">
        <v>0</v>
      </c>
      <c r="V2661" t="n">
        <v>0</v>
      </c>
    </row>
    <row r="2662">
      <c r="A2662">
        <f>Skills!A15</f>
        <v/>
      </c>
      <c r="B2662">
        <f>Skills!B15</f>
        <v/>
      </c>
      <c r="C2662">
        <f>Inputs!$B$3&gt;=117</f>
        <v/>
      </c>
      <c r="D2662">
        <f>IF(Skills!C15=1,60+Inputs!$B$25+Inputs!$B$29,IF(Skills!C15=2,90+Inputs!$B$26+Inputs!$B$29,IF(Skills!C15=3,120+Inputs!$B$27+Inputs!$B$29,MAX(0,(Inputs!$B$3-100)*3)+Inputs!$B$28+Inputs!$B$29)))</f>
        <v/>
      </c>
      <c r="E2662">
        <f>INDEX(FactorTable!$B$2:$Y$301, MATCH(ROUND(MIN(300,MAX(1,D2662)),0), FactorTable!$A$2:$A$301,0), Skills!M15+1)</f>
        <v/>
      </c>
      <c r="F2662">
        <f>IF(Skills!N15=TRUE,(Skills!L15/10)*(E2662/1000),Skills!L15/10)+Skills!O15</f>
        <v/>
      </c>
      <c r="G2662">
        <f>Skills!G15*IF(Skills!H15&gt;0,Skills!I15/Skills!H15,1)</f>
        <v/>
      </c>
      <c r="H2662">
        <f>1-(1-Skills!J15/100)^Skills!K15</f>
        <v/>
      </c>
      <c r="I2662" t="inlineStr">
        <is>
          <t>1</t>
        </is>
      </c>
      <c r="J2662" t="inlineStr"/>
      <c r="K2662" t="inlineStr"/>
      <c r="L2662" t="inlineStr"/>
      <c r="M2662" t="inlineStr"/>
      <c r="N2662" t="inlineStr"/>
      <c r="O2662">
        <f>(1-Summary!$B$11)*T2662+Summary!$B$11*V2662</f>
        <v/>
      </c>
      <c r="P2662">
        <f>IF(B2690=0,0,O2662/B2690)</f>
        <v/>
      </c>
      <c r="Q2662">
        <f>IFERROR(1/(IF(Inputs!$B$38="pvp",15,MAX(0.1,Skills!D15-IF(Skills!E15=TRUE,Inputs!$B$32,0)))*(1-IF(AND(ArtifactsInput!$M$27,Inputs!$B$4="Chapter Hunt"),CHOOSE(ArtifactsInput!$N$27+1,20,24,28,32,36,40),0)/100)),0)</f>
        <v/>
      </c>
      <c r="R2662">
        <f>IF(AND(Inputs!$B$38&lt;&gt;"pvp",Inputs!$B$43&gt;0),IF(Inputs!$B$43&lt;=0,0,(INT(Inputs!$B$43/(IF(Inputs!$B$38="pvp",15,MAX(0.1,Skills!D15-IF(Skills!E15=TRUE,Inputs!$B$32,0)))*(1-IF(AND(ArtifactsInput!$M$27,Inputs!$B$4="Chapter Hunt"),CHOOSE(ArtifactsInput!$N$27+1,20,24,28,32,36,40),0)/100)))+1)),0)</f>
        <v/>
      </c>
      <c r="S2662">
        <f>IFERROR(O2662/N2662,0)</f>
        <v/>
      </c>
      <c r="T2662" t="n">
        <v>0</v>
      </c>
      <c r="V2662" t="n">
        <v>0</v>
      </c>
    </row>
    <row r="2663">
      <c r="A2663">
        <f>Skills!A16</f>
        <v/>
      </c>
      <c r="B2663">
        <f>Skills!B16</f>
        <v/>
      </c>
      <c r="C2663">
        <f>Inputs!$B$3&gt;=115</f>
        <v/>
      </c>
      <c r="D2663">
        <f>IF(Skills!C16=1,60+Inputs!$B$25+Inputs!$B$29,IF(Skills!C16=2,90+Inputs!$B$26+Inputs!$B$29,IF(Skills!C16=3,120+Inputs!$B$27+Inputs!$B$29,MAX(0,(Inputs!$B$3-100)*3)+Inputs!$B$28+Inputs!$B$29)))</f>
        <v/>
      </c>
      <c r="E2663">
        <f>INDEX(FactorTable!$B$2:$Y$301, MATCH(ROUND(MIN(300,MAX(1,D2663)),0), FactorTable!$A$2:$A$301,0), Skills!M16+1)</f>
        <v/>
      </c>
      <c r="F2663">
        <f>IF(Skills!N16=TRUE,(Skills!L16/10)*(E2663/1000),Skills!L16/10)+Skills!O16</f>
        <v/>
      </c>
      <c r="G2663">
        <f>Skills!G16*IF(Skills!H16&gt;0,Skills!I16/Skills!H16,1)</f>
        <v/>
      </c>
      <c r="H2663">
        <f>1-(1-Skills!J16/100)^Skills!K16</f>
        <v/>
      </c>
      <c r="I2663" t="inlineStr">
        <is>
          <t>1</t>
        </is>
      </c>
      <c r="J2663" t="inlineStr"/>
      <c r="K2663" t="inlineStr"/>
      <c r="L2663" t="inlineStr"/>
      <c r="M2663" t="inlineStr"/>
      <c r="N2663" t="inlineStr"/>
      <c r="O2663">
        <f>(1-Summary!$B$11)*T2663+Summary!$B$11*V2663</f>
        <v/>
      </c>
      <c r="P2663">
        <f>IF(B2690=0,0,O2663/B2690)</f>
        <v/>
      </c>
      <c r="Q2663">
        <f>IFERROR(1/(IF(Inputs!$B$38="pvp",15,MAX(0.1,Skills!D16-IF(Skills!E16=TRUE,Inputs!$B$32,0)))*(1-IF(AND(ArtifactsInput!$M$27,Inputs!$B$4="Chapter Hunt"),CHOOSE(ArtifactsInput!$N$27+1,20,24,28,32,36,40),0)/100)),0)</f>
        <v/>
      </c>
      <c r="R2663">
        <f>IF(AND(Inputs!$B$38&lt;&gt;"pvp",Inputs!$B$43&gt;0),IF(Inputs!$B$43&lt;=0,0,(INT(Inputs!$B$43/(IF(Inputs!$B$38="pvp",15,MAX(0.1,Skills!D16-IF(Skills!E16=TRUE,Inputs!$B$32,0)))*(1-IF(AND(ArtifactsInput!$M$27,Inputs!$B$4="Chapter Hunt"),CHOOSE(ArtifactsInput!$N$27+1,20,24,28,32,36,40),0)/100)))+1)),0)</f>
        <v/>
      </c>
      <c r="S2663">
        <f>IFERROR(O2663/N2663,0)</f>
        <v/>
      </c>
      <c r="T2663" t="n">
        <v>0</v>
      </c>
      <c r="V2663" t="n">
        <v>0</v>
      </c>
    </row>
    <row r="2664">
      <c r="A2664">
        <f>Skills!A17</f>
        <v/>
      </c>
      <c r="B2664">
        <f>Skills!B17</f>
        <v/>
      </c>
      <c r="C2664">
        <f>Inputs!$B$3&gt;=66</f>
        <v/>
      </c>
      <c r="D2664">
        <f>IF(Skills!C17=1,60+Inputs!$B$25+Inputs!$B$29,IF(Skills!C17=2,90+Inputs!$B$26+Inputs!$B$29,IF(Skills!C17=3,120+Inputs!$B$27+Inputs!$B$29,MAX(0,(Inputs!$B$3-100)*3)+Inputs!$B$28+Inputs!$B$29)))</f>
        <v/>
      </c>
      <c r="E2664">
        <f>INDEX(FactorTable!$B$2:$Y$301, MATCH(ROUND(MIN(300,MAX(1,D2664)),0), FactorTable!$A$2:$A$301,0), Skills!M17+1)</f>
        <v/>
      </c>
      <c r="F2664">
        <f>IF(Skills!N17=TRUE,(Skills!L17/10)*(E2664/1000),Skills!L17/10)+Skills!O17</f>
        <v/>
      </c>
      <c r="G2664">
        <f>Skills!G17*IF(Skills!H17&gt;0,Skills!I17/Skills!H17,1)</f>
        <v/>
      </c>
      <c r="H2664">
        <f>1-(1-Skills!J17/100)^Skills!K17</f>
        <v/>
      </c>
      <c r="I2664" t="inlineStr">
        <is>
          <t>1</t>
        </is>
      </c>
      <c r="J2664" t="inlineStr"/>
      <c r="K2664" t="inlineStr"/>
      <c r="L2664" t="inlineStr"/>
      <c r="M2664" t="inlineStr"/>
      <c r="N2664" t="inlineStr"/>
      <c r="O2664">
        <f>(1-Summary!$B$11)*T2664+Summary!$B$11*V2664</f>
        <v/>
      </c>
      <c r="P2664">
        <f>IF(B2690=0,0,O2664/B2690)</f>
        <v/>
      </c>
      <c r="Q2664" t="n">
        <v>0</v>
      </c>
      <c r="R2664" t="n">
        <v>0</v>
      </c>
      <c r="S2664">
        <f>IFERROR(O2664/N2664,0)</f>
        <v/>
      </c>
      <c r="T2664" t="n">
        <v>0</v>
      </c>
      <c r="V2664" t="n">
        <v>0</v>
      </c>
    </row>
    <row r="2665">
      <c r="A2665">
        <f>Skills!A18</f>
        <v/>
      </c>
      <c r="B2665">
        <f>Skills!B18</f>
        <v/>
      </c>
      <c r="C2665">
        <f>Inputs!$B$3&gt;=72</f>
        <v/>
      </c>
      <c r="D2665">
        <f>IF(Skills!C18=1,60+Inputs!$B$25+Inputs!$B$29,IF(Skills!C18=2,90+Inputs!$B$26+Inputs!$B$29,IF(Skills!C18=3,120+Inputs!$B$27+Inputs!$B$29,MAX(0,(Inputs!$B$3-100)*3)+Inputs!$B$28+Inputs!$B$29)))</f>
        <v/>
      </c>
      <c r="E2665">
        <f>INDEX(FactorTable!$B$2:$Y$301, MATCH(ROUND(MIN(300,MAX(1,D2665)),0), FactorTable!$A$2:$A$301,0), Skills!M18+1)</f>
        <v/>
      </c>
      <c r="F2665">
        <f>IF(Skills!N18=TRUE,(Skills!L18/10)*(E2665/1000),Skills!L18/10)+Skills!O18</f>
        <v/>
      </c>
      <c r="G2665">
        <f>Skills!G18*IF(Skills!H18&gt;0,Skills!I18/Skills!H18,1)</f>
        <v/>
      </c>
      <c r="H2665">
        <f>1-(1-Skills!J18/100)^Skills!K18</f>
        <v/>
      </c>
      <c r="I2665" t="inlineStr">
        <is>
          <t>1</t>
        </is>
      </c>
      <c r="J2665" t="inlineStr"/>
      <c r="K2665" t="inlineStr"/>
      <c r="L2665" t="inlineStr"/>
      <c r="M2665" t="inlineStr"/>
      <c r="N2665" t="inlineStr"/>
      <c r="O2665">
        <f>(1-Summary!$B$11)*T2665+Summary!$B$11*V2665</f>
        <v/>
      </c>
      <c r="P2665">
        <f>IF(B2690=0,0,O2665/B2690)</f>
        <v/>
      </c>
      <c r="Q2665" t="n">
        <v>0</v>
      </c>
      <c r="R2665" t="n">
        <v>0</v>
      </c>
      <c r="S2665">
        <f>IFERROR(O2665/N2665,0)</f>
        <v/>
      </c>
      <c r="T2665" t="n">
        <v>0</v>
      </c>
      <c r="V2665" t="n">
        <v>0</v>
      </c>
    </row>
    <row r="2666">
      <c r="A2666">
        <f>Skills!A19</f>
        <v/>
      </c>
      <c r="B2666">
        <f>Skills!B19</f>
        <v/>
      </c>
      <c r="C2666">
        <f>TRUE</f>
        <v/>
      </c>
      <c r="D2666">
        <f>IF(Skills!C19=1,60+Inputs!$B$25+Inputs!$B$29,IF(Skills!C19=2,90+Inputs!$B$26+Inputs!$B$29,IF(Skills!C19=3,120+Inputs!$B$27+Inputs!$B$29,MAX(0,(Inputs!$B$3-100)*3)+Inputs!$B$28+Inputs!$B$29)))</f>
        <v/>
      </c>
      <c r="E2666">
        <f>INDEX(FactorTable!$B$2:$Y$301, MATCH(ROUND(MIN(300,MAX(1,D2666)),0), FactorTable!$A$2:$A$301,0), Skills!M19+1)</f>
        <v/>
      </c>
      <c r="F2666">
        <f>IF(Skills!N19=TRUE,(Skills!L19/10)*(E2666/1000),Skills!L19/10)+Skills!O19</f>
        <v/>
      </c>
      <c r="G2666">
        <f>Skills!G19*IF(Skills!H19&gt;0,Skills!I19/Skills!H19,1)</f>
        <v/>
      </c>
      <c r="H2666">
        <f>1-(1-Skills!J19/100)^Skills!K19</f>
        <v/>
      </c>
      <c r="I2666" t="inlineStr">
        <is>
          <t>1</t>
        </is>
      </c>
      <c r="J2666" t="inlineStr"/>
      <c r="K2666" t="inlineStr"/>
      <c r="L2666" t="inlineStr"/>
      <c r="M2666" t="inlineStr"/>
      <c r="N2666" t="inlineStr"/>
      <c r="O2666">
        <f>(1-Summary!$B$11)*T2666+Summary!$B$11*V2666</f>
        <v/>
      </c>
      <c r="P2666">
        <f>IF(B2690=0,0,O2666/B2690)</f>
        <v/>
      </c>
      <c r="Q2666">
        <f>IFERROR(1/(IF(Inputs!$B$38="pvp",15,MAX(0.1,Skills!D19-IF(Skills!E19=TRUE,Inputs!$B$32,0)))*(1-IF(AND(ArtifactsInput!$M$27,Inputs!$B$4="Chapter Hunt"),CHOOSE(ArtifactsInput!$N$27+1,20,24,28,32,36,40),0)/100)),0)</f>
        <v/>
      </c>
      <c r="R2666">
        <f>IF(AND(Inputs!$B$38&lt;&gt;"pvp",Inputs!$B$43&gt;0),IF(Inputs!$B$43&lt;=0,0,(INT(Inputs!$B$43/(IF(Inputs!$B$38="pvp",15,MAX(0.1,Skills!D19-IF(Skills!E19=TRUE,Inputs!$B$32,0)))*(1-IF(AND(ArtifactsInput!$M$27,Inputs!$B$4="Chapter Hunt"),CHOOSE(ArtifactsInput!$N$27+1,20,24,28,32,36,40),0)/100)))+1)),0)</f>
        <v/>
      </c>
      <c r="S2666">
        <f>IFERROR(O2666/N2666,0)</f>
        <v/>
      </c>
      <c r="T2666" t="n">
        <v>0</v>
      </c>
      <c r="V2666" t="n">
        <v>0</v>
      </c>
    </row>
    <row r="2667">
      <c r="A2667">
        <f>Skills!A20</f>
        <v/>
      </c>
      <c r="B2667">
        <f>Skills!B20</f>
        <v/>
      </c>
      <c r="C2667">
        <f>Inputs!$B$3&gt;=15</f>
        <v/>
      </c>
      <c r="D2667">
        <f>IF(Skills!C20=1,60+Inputs!$B$25+Inputs!$B$29,IF(Skills!C20=2,90+Inputs!$B$26+Inputs!$B$29,IF(Skills!C20=3,120+Inputs!$B$27+Inputs!$B$29,MAX(0,(Inputs!$B$3-100)*3)+Inputs!$B$28+Inputs!$B$29)))</f>
        <v/>
      </c>
      <c r="E2667">
        <f>INDEX(FactorTable!$B$2:$Y$301, MATCH(ROUND(MIN(300,MAX(1,D2667)),0), FactorTable!$A$2:$A$301,0), Skills!M20+1)</f>
        <v/>
      </c>
      <c r="F2667">
        <f>IF(Skills!N20=TRUE,(Skills!L20/10)*(E2667/1000),Skills!L20/10)+Skills!O20</f>
        <v/>
      </c>
      <c r="G2667">
        <f>Skills!G20*IF(Skills!H20&gt;0,Skills!I20/Skills!H20,1)</f>
        <v/>
      </c>
      <c r="H2667">
        <f>1-(1-Skills!J20/100)^Skills!K20</f>
        <v/>
      </c>
      <c r="I2667" t="inlineStr">
        <is>
          <t>1</t>
        </is>
      </c>
      <c r="J2667" t="inlineStr"/>
      <c r="K2667" t="inlineStr"/>
      <c r="L2667" t="inlineStr"/>
      <c r="M2667" t="inlineStr"/>
      <c r="N2667" t="inlineStr"/>
      <c r="O2667">
        <f>(1-Summary!$B$11)*T2667+Summary!$B$11*V2667</f>
        <v/>
      </c>
      <c r="P2667">
        <f>IF(B2690=0,0,O2667/B2690)</f>
        <v/>
      </c>
      <c r="Q2667" t="n">
        <v>0</v>
      </c>
      <c r="R2667" t="n">
        <v>0</v>
      </c>
      <c r="S2667">
        <f>IFERROR(O2667/N2667,0)</f>
        <v/>
      </c>
      <c r="T2667" t="n">
        <v>0</v>
      </c>
      <c r="V2667" t="n">
        <v>0</v>
      </c>
    </row>
    <row r="2668">
      <c r="A2668">
        <f>Skills!A21</f>
        <v/>
      </c>
      <c r="B2668">
        <f>Skills!B21</f>
        <v/>
      </c>
      <c r="C2668">
        <f>Inputs!$B$3&gt;=10</f>
        <v/>
      </c>
      <c r="D2668">
        <f>IF(Skills!C21=1,60+Inputs!$B$25+Inputs!$B$29,IF(Skills!C21=2,90+Inputs!$B$26+Inputs!$B$29,IF(Skills!C21=3,120+Inputs!$B$27+Inputs!$B$29,MAX(0,(Inputs!$B$3-100)*3)+Inputs!$B$28+Inputs!$B$29)))</f>
        <v/>
      </c>
      <c r="E2668">
        <f>INDEX(FactorTable!$B$2:$Y$301, MATCH(ROUND(MIN(300,MAX(1,D2668)),0), FactorTable!$A$2:$A$301,0), Skills!M21+1)</f>
        <v/>
      </c>
      <c r="F2668">
        <f>IF(Skills!N21=TRUE,(Skills!L21/10)*(E2668/1000),Skills!L21/10)+Skills!O21</f>
        <v/>
      </c>
      <c r="G2668">
        <f>Skills!G21*IF(Skills!H21&gt;0,Skills!I21/Skills!H21,1)</f>
        <v/>
      </c>
      <c r="H2668">
        <f>1-(1-Skills!J21/100)^Skills!K21</f>
        <v/>
      </c>
      <c r="I2668" t="inlineStr">
        <is>
          <t>1</t>
        </is>
      </c>
      <c r="J2668" t="inlineStr"/>
      <c r="K2668" t="inlineStr"/>
      <c r="L2668" t="inlineStr"/>
      <c r="M2668" t="inlineStr"/>
      <c r="N2668" t="inlineStr"/>
      <c r="O2668">
        <f>(1-Summary!$B$11)*T2668+Summary!$B$11*V2668</f>
        <v/>
      </c>
      <c r="P2668">
        <f>IF(B2690=0,0,O2668/B2690)</f>
        <v/>
      </c>
      <c r="Q2668" t="n">
        <v>0</v>
      </c>
      <c r="R2668" t="n">
        <v>0</v>
      </c>
      <c r="S2668">
        <f>IFERROR(O2668/N2668,0)</f>
        <v/>
      </c>
      <c r="T2668" t="n">
        <v>0</v>
      </c>
      <c r="V2668" t="n">
        <v>0</v>
      </c>
    </row>
    <row r="2669">
      <c r="A2669">
        <f>Skills!A22</f>
        <v/>
      </c>
      <c r="B2669">
        <f>Skills!B22</f>
        <v/>
      </c>
      <c r="C2669">
        <f>Inputs!$B$3&gt;=33</f>
        <v/>
      </c>
      <c r="D2669">
        <f>IF(Skills!C22=1,60+Inputs!$B$25+Inputs!$B$29,IF(Skills!C22=2,90+Inputs!$B$26+Inputs!$B$29,IF(Skills!C22=3,120+Inputs!$B$27+Inputs!$B$29,MAX(0,(Inputs!$B$3-100)*3)+Inputs!$B$28+Inputs!$B$29)))</f>
        <v/>
      </c>
      <c r="E2669">
        <f>INDEX(FactorTable!$B$2:$Y$301, MATCH(ROUND(MIN(300,MAX(1,D2669)),0), FactorTable!$A$2:$A$301,0), Skills!M22+1)</f>
        <v/>
      </c>
      <c r="F2669">
        <f>IF(Skills!N22=TRUE,(Skills!L22/10)*(E2669/1000),Skills!L22/10)+Skills!O22</f>
        <v/>
      </c>
      <c r="G2669">
        <f>Skills!G22*IF(Skills!H22&gt;0,Skills!I22/Skills!H22,1)</f>
        <v/>
      </c>
      <c r="H2669">
        <f>1-(1-Skills!J22/100)^Skills!K22</f>
        <v/>
      </c>
      <c r="I2669" t="inlineStr">
        <is>
          <t>1</t>
        </is>
      </c>
      <c r="J2669" t="inlineStr"/>
      <c r="K2669" t="inlineStr"/>
      <c r="L2669" t="inlineStr"/>
      <c r="M2669" t="inlineStr"/>
      <c r="N2669" t="inlineStr"/>
      <c r="O2669">
        <f>(1-Summary!$B$11)*T2669+Summary!$B$11*V2669</f>
        <v/>
      </c>
      <c r="P2669">
        <f>IF(B2690=0,0,O2669/B2690)</f>
        <v/>
      </c>
      <c r="Q2669" t="n">
        <v>0</v>
      </c>
      <c r="R2669" t="n">
        <v>0</v>
      </c>
      <c r="S2669">
        <f>IFERROR(O2669/N2669,0)</f>
        <v/>
      </c>
      <c r="T2669" t="n">
        <v>0</v>
      </c>
      <c r="V2669" t="n">
        <v>0</v>
      </c>
    </row>
    <row r="2670">
      <c r="A2670">
        <f>Skills!A23</f>
        <v/>
      </c>
      <c r="B2670">
        <f>Skills!B23</f>
        <v/>
      </c>
      <c r="C2670">
        <f>Inputs!$B$3&gt;=38</f>
        <v/>
      </c>
      <c r="D2670">
        <f>IF(Skills!C23=1,60+Inputs!$B$25+Inputs!$B$29,IF(Skills!C23=2,90+Inputs!$B$26+Inputs!$B$29,IF(Skills!C23=3,120+Inputs!$B$27+Inputs!$B$29,MAX(0,(Inputs!$B$3-100)*3)+Inputs!$B$28+Inputs!$B$29)))</f>
        <v/>
      </c>
      <c r="E2670">
        <f>INDEX(FactorTable!$B$2:$Y$301, MATCH(ROUND(MIN(300,MAX(1,D2670)),0), FactorTable!$A$2:$A$301,0), Skills!M23+1)</f>
        <v/>
      </c>
      <c r="F2670">
        <f>IF(Skills!N23=TRUE,(Skills!L23/10)*(E2670/1000),Skills!L23/10)+Skills!O23</f>
        <v/>
      </c>
      <c r="G2670">
        <f>Skills!G23*IF(Skills!H23&gt;0,Skills!I23/Skills!H23,1)</f>
        <v/>
      </c>
      <c r="H2670">
        <f>1-(1-Skills!J23/100)^Skills!K23</f>
        <v/>
      </c>
      <c r="I2670" t="inlineStr">
        <is>
          <t>1</t>
        </is>
      </c>
      <c r="J2670" t="inlineStr"/>
      <c r="K2670" t="inlineStr"/>
      <c r="L2670" t="inlineStr"/>
      <c r="M2670" t="inlineStr"/>
      <c r="N2670" t="inlineStr"/>
      <c r="O2670">
        <f>(1-Summary!$B$11)*T2670+Summary!$B$11*V2670</f>
        <v/>
      </c>
      <c r="P2670">
        <f>IF(B2690=0,0,O2670/B2690)</f>
        <v/>
      </c>
      <c r="Q2670" t="n">
        <v>0</v>
      </c>
      <c r="R2670" t="n">
        <v>0</v>
      </c>
      <c r="S2670">
        <f>IFERROR(O2670/N2670,0)</f>
        <v/>
      </c>
      <c r="T2670" t="n">
        <v>0</v>
      </c>
      <c r="V2670" t="n">
        <v>0</v>
      </c>
    </row>
    <row r="2671">
      <c r="A2671">
        <f>Skills!A24</f>
        <v/>
      </c>
      <c r="B2671">
        <f>Skills!B24</f>
        <v/>
      </c>
      <c r="C2671">
        <f>Inputs!$B$3&gt;=43</f>
        <v/>
      </c>
      <c r="D2671">
        <f>IF(Skills!C24=1,60+Inputs!$B$25+Inputs!$B$29,IF(Skills!C24=2,90+Inputs!$B$26+Inputs!$B$29,IF(Skills!C24=3,120+Inputs!$B$27+Inputs!$B$29,MAX(0,(Inputs!$B$3-100)*3)+Inputs!$B$28+Inputs!$B$29)))</f>
        <v/>
      </c>
      <c r="E2671">
        <f>INDEX(FactorTable!$B$2:$Y$301, MATCH(ROUND(MIN(300,MAX(1,D2671)),0), FactorTable!$A$2:$A$301,0), Skills!M24+1)</f>
        <v/>
      </c>
      <c r="F2671">
        <f>IF(Skills!N24=TRUE,(Skills!L24/10)*(E2671/1000),Skills!L24/10)+Skills!O24</f>
        <v/>
      </c>
      <c r="G2671">
        <f>Skills!G24*IF(Skills!H24&gt;0,Skills!I24/Skills!H24,1)</f>
        <v/>
      </c>
      <c r="H2671">
        <f>1-(1-Skills!J24/100)^Skills!K24</f>
        <v/>
      </c>
      <c r="I2671" t="inlineStr">
        <is>
          <t>1</t>
        </is>
      </c>
      <c r="J2671" t="inlineStr"/>
      <c r="K2671" t="inlineStr"/>
      <c r="L2671" t="inlineStr"/>
      <c r="M2671" t="inlineStr"/>
      <c r="N2671" t="inlineStr"/>
      <c r="O2671">
        <f>(1-Summary!$B$11)*T2671+Summary!$B$11*V2671</f>
        <v/>
      </c>
      <c r="P2671">
        <f>IF(B2690=0,0,O2671/B2690)</f>
        <v/>
      </c>
      <c r="Q2671" t="n">
        <v>0</v>
      </c>
      <c r="R2671" t="n">
        <v>0</v>
      </c>
      <c r="S2671">
        <f>IFERROR(O2671/N2671,0)</f>
        <v/>
      </c>
      <c r="T2671" t="n">
        <v>0</v>
      </c>
      <c r="V2671" t="n">
        <v>0</v>
      </c>
    </row>
    <row r="2672">
      <c r="A2672">
        <f>Skills!A25</f>
        <v/>
      </c>
      <c r="B2672">
        <f>Skills!B25</f>
        <v/>
      </c>
      <c r="C2672">
        <f>Inputs!$B$3&gt;=75</f>
        <v/>
      </c>
      <c r="D2672">
        <f>IF(Skills!C25=1,60+Inputs!$B$25+Inputs!$B$29,IF(Skills!C25=2,90+Inputs!$B$26+Inputs!$B$29,IF(Skills!C25=3,120+Inputs!$B$27+Inputs!$B$29,MAX(0,(Inputs!$B$3-100)*3)+Inputs!$B$28+Inputs!$B$29)))</f>
        <v/>
      </c>
      <c r="E2672">
        <f>INDEX(FactorTable!$B$2:$Y$301, MATCH(ROUND(MIN(300,MAX(1,D2672)),0), FactorTable!$A$2:$A$301,0), Skills!M25+1)</f>
        <v/>
      </c>
      <c r="F2672">
        <f>IF(Skills!N25=TRUE,(Skills!L25/10)*(E2672/1000),Skills!L25/10)+Skills!O25</f>
        <v/>
      </c>
      <c r="G2672">
        <f>Skills!G25*IF(Skills!H25&gt;0,Skills!I25/Skills!H25,1)</f>
        <v/>
      </c>
      <c r="H2672">
        <f>1-(1-Skills!J25/100)^Skills!K25</f>
        <v/>
      </c>
      <c r="I2672" t="inlineStr">
        <is>
          <t>1</t>
        </is>
      </c>
      <c r="J2672" t="inlineStr"/>
      <c r="K2672" t="inlineStr"/>
      <c r="L2672" t="inlineStr"/>
      <c r="M2672" t="inlineStr"/>
      <c r="N2672" t="inlineStr"/>
      <c r="O2672">
        <f>(1-Summary!$B$11)*T2672+Summary!$B$11*V2672</f>
        <v/>
      </c>
      <c r="P2672">
        <f>IF(B2690=0,0,O2672/B2690)</f>
        <v/>
      </c>
      <c r="Q2672" t="n">
        <v>0</v>
      </c>
      <c r="R2672" t="n">
        <v>0</v>
      </c>
      <c r="S2672">
        <f>IFERROR(O2672/N2672,0)</f>
        <v/>
      </c>
      <c r="T2672" t="n">
        <v>0</v>
      </c>
      <c r="V2672" t="n">
        <v>0</v>
      </c>
    </row>
    <row r="2673">
      <c r="A2673">
        <f>Skills!A26</f>
        <v/>
      </c>
      <c r="B2673">
        <f>Skills!B26</f>
        <v/>
      </c>
      <c r="C2673">
        <f>Inputs!$B$3&gt;=125</f>
        <v/>
      </c>
      <c r="D2673">
        <f>IF(Skills!C26=1,60+Inputs!$B$25+Inputs!$B$29,IF(Skills!C26=2,90+Inputs!$B$26+Inputs!$B$29,IF(Skills!C26=3,120+Inputs!$B$27+Inputs!$B$29,MAX(0,(Inputs!$B$3-100)*3)+Inputs!$B$28+Inputs!$B$29)))</f>
        <v/>
      </c>
      <c r="E2673">
        <f>INDEX(FactorTable!$B$2:$Y$301, MATCH(ROUND(MIN(300,MAX(1,D2673)),0), FactorTable!$A$2:$A$301,0), Skills!M26+1)</f>
        <v/>
      </c>
      <c r="F2673">
        <f>IF(Skills!N26=TRUE,(Skills!L26/10)*(E2673/1000),Skills!L26/10)+Skills!O26</f>
        <v/>
      </c>
      <c r="G2673">
        <f>Skills!G26*IF(Skills!H26&gt;0,Skills!I26/Skills!H26,1)</f>
        <v/>
      </c>
      <c r="H2673">
        <f>1-(1-Skills!J26/100)^Skills!K26</f>
        <v/>
      </c>
      <c r="I2673" t="inlineStr">
        <is>
          <t>1</t>
        </is>
      </c>
      <c r="J2673" t="inlineStr"/>
      <c r="K2673" t="inlineStr"/>
      <c r="L2673" t="inlineStr"/>
      <c r="M2673" t="inlineStr"/>
      <c r="N2673" t="inlineStr"/>
      <c r="O2673">
        <f>(1-Summary!$B$11)*T2673+Summary!$B$11*V2673</f>
        <v/>
      </c>
      <c r="P2673">
        <f>IF(B2690=0,0,O2673/B2690)</f>
        <v/>
      </c>
      <c r="Q2673" t="n">
        <v>0</v>
      </c>
      <c r="R2673" t="n">
        <v>0</v>
      </c>
      <c r="S2673">
        <f>IFERROR(O2673/N2673,0)</f>
        <v/>
      </c>
      <c r="T2673" t="n">
        <v>0</v>
      </c>
      <c r="V2673" t="n">
        <v>0</v>
      </c>
    </row>
    <row r="2674">
      <c r="A2674">
        <f>Skills!A27</f>
        <v/>
      </c>
      <c r="B2674">
        <f>Skills!B27</f>
        <v/>
      </c>
      <c r="C2674">
        <f>Inputs!$B$3&gt;=125</f>
        <v/>
      </c>
      <c r="D2674">
        <f>IF(Skills!C27=1,60+Inputs!$B$25+Inputs!$B$29,IF(Skills!C27=2,90+Inputs!$B$26+Inputs!$B$29,IF(Skills!C27=3,120+Inputs!$B$27+Inputs!$B$29,MAX(0,(Inputs!$B$3-100)*3)+Inputs!$B$28+Inputs!$B$29)))</f>
        <v/>
      </c>
      <c r="E2674">
        <f>INDEX(FactorTable!$B$2:$Y$301, MATCH(ROUND(MIN(300,MAX(1,D2674)),0), FactorTable!$A$2:$A$301,0), Skills!M27+1)</f>
        <v/>
      </c>
      <c r="F2674">
        <f>IF(Skills!N27=TRUE,(Skills!L27/10)*(E2674/1000),Skills!L27/10)+Skills!O27</f>
        <v/>
      </c>
      <c r="G2674">
        <f>Skills!G27*IF(Skills!H27&gt;0,Skills!I27/Skills!H27,1)</f>
        <v/>
      </c>
      <c r="H2674">
        <f>1-(1-Skills!J27/100)^Skills!K27</f>
        <v/>
      </c>
      <c r="I2674" t="inlineStr">
        <is>
          <t>1</t>
        </is>
      </c>
      <c r="J2674" t="inlineStr"/>
      <c r="K2674" t="inlineStr"/>
      <c r="L2674" t="inlineStr"/>
      <c r="M2674" t="inlineStr"/>
      <c r="N2674" t="inlineStr"/>
      <c r="O2674">
        <f>(1-Summary!$B$11)*T2674+Summary!$B$11*V2674</f>
        <v/>
      </c>
      <c r="P2674">
        <f>IF(B2690=0,0,O2674/B2690)</f>
        <v/>
      </c>
      <c r="Q2674" t="n">
        <v>0</v>
      </c>
      <c r="R2674" t="n">
        <v>0</v>
      </c>
      <c r="S2674">
        <f>IFERROR(O2674/N2674,0)</f>
        <v/>
      </c>
      <c r="T2674" t="n">
        <v>0</v>
      </c>
      <c r="V2674" t="n">
        <v>0</v>
      </c>
    </row>
    <row r="2675">
      <c r="A2675">
        <f>Skills!A28</f>
        <v/>
      </c>
      <c r="B2675">
        <f>Skills!B28</f>
        <v/>
      </c>
      <c r="C2675">
        <f>Inputs!$B$3&gt;=120</f>
        <v/>
      </c>
      <c r="D2675">
        <f>IF(Skills!C28=1,60+Inputs!$B$25+Inputs!$B$29,IF(Skills!C28=2,90+Inputs!$B$26+Inputs!$B$29,IF(Skills!C28=3,120+Inputs!$B$27+Inputs!$B$29,MAX(0,(Inputs!$B$3-100)*3)+Inputs!$B$28+Inputs!$B$29)))</f>
        <v/>
      </c>
      <c r="E2675">
        <f>INDEX(FactorTable!$B$2:$Y$301, MATCH(ROUND(MIN(300,MAX(1,D2675)),0), FactorTable!$A$2:$A$301,0), Skills!M28+1)</f>
        <v/>
      </c>
      <c r="F2675">
        <f>IF(Skills!N28=TRUE,(Skills!L28/10)*(E2675/1000),Skills!L28/10)+Skills!O28</f>
        <v/>
      </c>
      <c r="G2675">
        <f>Skills!G28*IF(Skills!H28&gt;0,Skills!I28/Skills!H28,1)</f>
        <v/>
      </c>
      <c r="H2675">
        <f>1-(1-Skills!J28/100)^Skills!K28</f>
        <v/>
      </c>
      <c r="I2675" t="inlineStr">
        <is>
          <t>1</t>
        </is>
      </c>
      <c r="J2675" t="inlineStr"/>
      <c r="K2675" t="inlineStr"/>
      <c r="L2675" t="inlineStr"/>
      <c r="M2675" t="inlineStr"/>
      <c r="N2675" t="inlineStr"/>
      <c r="O2675">
        <f>(1-Summary!$B$11)*T2675+Summary!$B$11*V2675</f>
        <v/>
      </c>
      <c r="P2675">
        <f>IF(B2690=0,0,O2675/B2690)</f>
        <v/>
      </c>
      <c r="Q2675" t="n">
        <v>0</v>
      </c>
      <c r="R2675" t="n">
        <v>0</v>
      </c>
      <c r="S2675">
        <f>IFERROR(O2675/N2675,0)</f>
        <v/>
      </c>
      <c r="T2675" t="n">
        <v>0</v>
      </c>
      <c r="V2675" t="n">
        <v>0</v>
      </c>
    </row>
    <row r="2676">
      <c r="A2676">
        <f>Skills!A29</f>
        <v/>
      </c>
      <c r="B2676">
        <f>Skills!B29</f>
        <v/>
      </c>
      <c r="C2676">
        <f>Inputs!$B$3&gt;=120</f>
        <v/>
      </c>
      <c r="D2676">
        <f>IF(Skills!C29=1,60+Inputs!$B$25+Inputs!$B$29,IF(Skills!C29=2,90+Inputs!$B$26+Inputs!$B$29,IF(Skills!C29=3,120+Inputs!$B$27+Inputs!$B$29,MAX(0,(Inputs!$B$3-100)*3)+Inputs!$B$28+Inputs!$B$29)))</f>
        <v/>
      </c>
      <c r="E2676">
        <f>INDEX(FactorTable!$B$2:$Y$301, MATCH(ROUND(MIN(300,MAX(1,D2676)),0), FactorTable!$A$2:$A$301,0), Skills!M29+1)</f>
        <v/>
      </c>
      <c r="F2676">
        <f>IF(Skills!N29=TRUE,(Skills!L29/10)*(E2676/1000),Skills!L29/10)+Skills!O29</f>
        <v/>
      </c>
      <c r="G2676">
        <f>Skills!G29*IF(Skills!H29&gt;0,Skills!I29/Skills!H29,1)</f>
        <v/>
      </c>
      <c r="H2676">
        <f>1-(1-Skills!J29/100)^Skills!K29</f>
        <v/>
      </c>
      <c r="I2676" t="inlineStr">
        <is>
          <t>1</t>
        </is>
      </c>
      <c r="J2676" t="inlineStr"/>
      <c r="K2676" t="inlineStr"/>
      <c r="L2676" t="inlineStr"/>
      <c r="M2676" t="inlineStr"/>
      <c r="N2676" t="inlineStr"/>
      <c r="O2676">
        <f>(1-Summary!$B$11)*T2676+Summary!$B$11*V2676</f>
        <v/>
      </c>
      <c r="P2676">
        <f>IF(B2690=0,0,O2676/B2690)</f>
        <v/>
      </c>
      <c r="Q2676" t="n">
        <v>0</v>
      </c>
      <c r="R2676" t="n">
        <v>0</v>
      </c>
      <c r="S2676">
        <f>IFERROR(O2676/N2676,0)</f>
        <v/>
      </c>
      <c r="T2676" t="n">
        <v>0</v>
      </c>
      <c r="V2676" t="n">
        <v>0</v>
      </c>
    </row>
    <row r="2677">
      <c r="A2677">
        <f>Skills!A30</f>
        <v/>
      </c>
      <c r="B2677">
        <f>Skills!B30</f>
        <v/>
      </c>
      <c r="C2677">
        <f>Inputs!$B$3&gt;=45</f>
        <v/>
      </c>
      <c r="D2677">
        <f>IF(Skills!C30=1,60+Inputs!$B$25+Inputs!$B$29,IF(Skills!C30=2,90+Inputs!$B$26+Inputs!$B$29,IF(Skills!C30=3,120+Inputs!$B$27+Inputs!$B$29,MAX(0,(Inputs!$B$3-100)*3)+Inputs!$B$28+Inputs!$B$29)))</f>
        <v/>
      </c>
      <c r="E2677">
        <f>INDEX(FactorTable!$B$2:$Y$301, MATCH(ROUND(MIN(300,MAX(1,D2677)),0), FactorTable!$A$2:$A$301,0), Skills!M30+1)</f>
        <v/>
      </c>
      <c r="F2677">
        <f>IF(Skills!N30=TRUE,(Skills!L30/10)*(E2677/1000),Skills!L30/10)+Skills!O30</f>
        <v/>
      </c>
      <c r="G2677">
        <f>Skills!G30*IF(Skills!H30&gt;0,Skills!I30/Skills!H30,1)</f>
        <v/>
      </c>
      <c r="H2677">
        <f>1-(1-Skills!J30/100)^Skills!K30</f>
        <v/>
      </c>
      <c r="I2677" t="inlineStr">
        <is>
          <t>1</t>
        </is>
      </c>
      <c r="J2677" t="inlineStr"/>
      <c r="K2677" t="inlineStr"/>
      <c r="L2677" t="inlineStr"/>
      <c r="M2677" t="inlineStr"/>
      <c r="N2677" t="inlineStr"/>
      <c r="O2677">
        <f>(1-Summary!$B$11)*T2677+Summary!$B$11*V2677</f>
        <v/>
      </c>
      <c r="P2677">
        <f>IF(B2690=0,0,O2677/B2690)</f>
        <v/>
      </c>
      <c r="Q2677" t="n">
        <v>0</v>
      </c>
      <c r="R2677" t="n">
        <v>0</v>
      </c>
      <c r="S2677">
        <f>IFERROR(O2677/N2677,0)</f>
        <v/>
      </c>
      <c r="T2677" t="n">
        <v>0</v>
      </c>
      <c r="V2677" t="n">
        <v>0</v>
      </c>
    </row>
    <row r="2679">
      <c r="A2679" t="inlineStr">
        <is>
          <t>Attack% Bucket Multiplier</t>
        </is>
      </c>
      <c r="B2679">
        <f>(1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0">
      <c r="A2680" t="inlineStr">
        <is>
          <t>Global Crit Rate Bonus %</t>
        </is>
      </c>
      <c r="B2680">
        <f>(C2663=TRUE)*20*IF(AND(Inputs!$B$38&lt;&gt;"pvp",Inputs!$B$43&gt;0),(((R2663-1)*(Skills!T16*(1+Inputs!$B$34/100))+MIN((Skills!T16*(1+Inputs!$B$34/100)),MAX(0,Inputs!$B$43-((R2663-1)*Skills!D16))))/Inputs!$B$43),IF(Inputs!$B$38="pvp",MIN((Skills!T16*(1+Inputs!$B$34/100)),15)/15,(Skills!T16*(1+Inputs!$B$34/100))/Skills!D16))</f>
        <v/>
      </c>
    </row>
    <row r="2681">
      <c r="A2681" t="inlineStr">
        <is>
          <t>Attack Speed Buff Bonus %</t>
        </is>
      </c>
      <c r="B2681">
        <f>((C2666=TRUE)*F2666*IF(AND(Inputs!$B$38&lt;&gt;"pvp",Inputs!$B$43&gt;0),(((R2666-1)*(Skills!T19*(1+Inputs!$B$34/100))+MIN((Skills!T19*(1+Inputs!$B$34/100)),MAX(0,Inputs!$B$43-((R2666-1)*Skills!D19))))/Inputs!$B$43),IF(Inputs!$B$38="pvp",MIN((Skills!T19*(1+Inputs!$B$34/100)),15)/15,(Skills!T19*(1+Inputs!$B$34/100))/Skills!D19)))</f>
        <v/>
      </c>
    </row>
    <row r="2682">
      <c r="A2682" t="inlineStr">
        <is>
          <t>Actions Per Second</t>
        </is>
      </c>
      <c r="B2682">
        <f>1+MIN(150,150*(1-(1-(Inputs!$B$11+((C2668=TRUE)*(F2668-Calc!F21))+((C2669=TRUE)*(F2669-Calc!F22)))/150)*(1-B2681/150)))/100</f>
        <v/>
      </c>
    </row>
    <row r="2683">
      <c r="A2683" t="inlineStr">
        <is>
          <t>Skill + Buff Cast Rate</t>
        </is>
      </c>
      <c r="B2683">
        <f>IF(AND(Inputs!$B$38&lt;&gt;"pvp",Inputs!$B$43&gt;0),SUMPRODUCT((Skills!E2:E30=TRUE)*(C2649:C2677=TRUE)*R2649:R2677*Skills!F2:F30)/Inputs!$B$43,SUMPRODUCT((Skills!E2:E30=TRUE)*(C2649:C2677=TRUE)*Q2649:Q2677*Skills!F2:F30))</f>
        <v/>
      </c>
    </row>
    <row r="2684">
      <c r="A2684" t="inlineStr">
        <is>
          <t>Arrow Stream Casts Per Second</t>
        </is>
      </c>
      <c r="B2684">
        <f>MAX(0,B2682-B2683)</f>
        <v/>
      </c>
    </row>
    <row r="2685">
      <c r="A2685" t="inlineStr">
        <is>
          <t>Global Critical Damage Bonus % (Sharp Eyes + Concentration)</t>
        </is>
      </c>
      <c r="B2685">
        <f>(C2663=TRUE)*F2663*IF(AND(Inputs!$B$38&lt;&gt;"pvp",Inputs!$B$43&gt;0),(((R2663-1)*(Skills!T16*(1+Inputs!$B$34/100))+MIN((Skills!T16*(1+Inputs!$B$34/100)),MAX(0,Inputs!$B$43-((R2663-1)*Skills!D16))))/Inputs!$B$43),IF(Inputs!$B$38="pvp",MIN((Skills!T16*(1+Inputs!$B$34/100)),15)/15,(Skills!T16*(1+Inputs!$B$34/100))/Skills!D16))+(C2664=TRUE)*30</f>
        <v/>
      </c>
    </row>
    <row r="2686">
      <c r="A2686" t="inlineStr">
        <is>
          <t>Global Final Damage Bonus % (Mortal Blow)</t>
        </is>
      </c>
      <c r="B2686">
        <f>(C2665=TRUE)*F2665</f>
        <v/>
      </c>
    </row>
    <row r="2687">
      <c r="A2687" t="inlineStr">
        <is>
          <t>Buff-Casting Startup Delay (s, fixed-duration only)</t>
        </is>
      </c>
      <c r="B2687">
        <f>IF(AND(Inputs!$B$38&lt;&gt;"pvp",Inputs!$B$43&gt;0),SUMPRODUCT((Skills!T2:T30&gt;0)*(Skills!E2:E30=TRUE)*(C2649:C2677=TRUE))/B2682,0)</f>
        <v/>
      </c>
    </row>
    <row r="2688">
      <c r="A2688" t="inlineStr">
        <is>
          <t>Boss-Only Total DPS (this block's swept value)</t>
        </is>
      </c>
      <c r="B2688">
        <f>SUM(T2649:T2677)</f>
        <v/>
      </c>
    </row>
    <row r="2689">
      <c r="A2689" t="inlineStr">
        <is>
          <t>Normal-Only Total DPS (this block's swept value)</t>
        </is>
      </c>
      <c r="B2689">
        <f>SUM(V2649:V2677)</f>
        <v/>
      </c>
    </row>
    <row r="2690">
      <c r="A2690" s="6" t="inlineStr">
        <is>
          <t>TOTAL DPS</t>
        </is>
      </c>
      <c r="B2690" s="6">
        <f>SUM(O2649:O2677)</f>
        <v/>
      </c>
    </row>
    <row r="2693">
      <c r="A2693" s="6" t="inlineStr">
        <is>
          <t>Stat: Horn Flute (Equip)</t>
        </is>
      </c>
    </row>
    <row r="2694">
      <c r="A2694" s="5" t="inlineStr">
        <is>
          <t>Key</t>
        </is>
      </c>
      <c r="B2694" s="5" t="inlineStr">
        <is>
          <t>Name</t>
        </is>
      </c>
      <c r="C2694" s="5" t="inlineStr">
        <is>
          <t>Unlocked</t>
        </is>
      </c>
      <c r="D2694" s="5" t="inlineStr">
        <is>
          <t>InputLevel</t>
        </is>
      </c>
      <c r="E2694" s="5" t="inlineStr">
        <is>
          <t>Factor</t>
        </is>
      </c>
      <c r="F2694" s="5" t="inlineStr">
        <is>
          <t>CoefficientPercent</t>
        </is>
      </c>
      <c r="G2694" s="5" t="inlineStr">
        <is>
          <t>EffectiveHits</t>
        </is>
      </c>
      <c r="H2694" s="5" t="inlineStr">
        <is>
          <t>ProcProbability</t>
        </is>
      </c>
      <c r="I2694" s="5" t="inlineStr">
        <is>
          <t>MapleHeroMultiplier</t>
        </is>
      </c>
      <c r="J2694" s="5" t="inlineStr">
        <is>
          <t>BaseDamage</t>
        </is>
      </c>
      <c r="K2694" s="5" t="inlineStr">
        <is>
          <t>BaseHitDamage</t>
        </is>
      </c>
      <c r="L2694" s="5" t="inlineStr">
        <is>
          <t>NonCritAvg</t>
        </is>
      </c>
      <c r="M2694" s="5" t="inlineStr">
        <is>
          <t>CritAvg</t>
        </is>
      </c>
      <c r="N2694" s="5" t="inlineStr">
        <is>
          <t>ExpectedDamage(perHit)</t>
        </is>
      </c>
      <c r="O2694" s="5" t="inlineStr">
        <is>
          <t>DPS</t>
        </is>
      </c>
      <c r="P2694" s="5" t="inlineStr">
        <is>
          <t>% of Total</t>
        </is>
      </c>
      <c r="Q2694" s="5" t="inlineStr">
        <is>
          <t>InvCooldown</t>
        </is>
      </c>
      <c r="R2694" s="5" t="inlineStr">
        <is>
          <t>CastsInFight</t>
        </is>
      </c>
      <c r="S2694" s="5" t="inlineStr">
        <is>
          <t>HitRate(perSec)</t>
        </is>
      </c>
      <c r="U2694" t="inlineStr">
        <is>
          <t>helpers</t>
        </is>
      </c>
    </row>
    <row r="2695">
      <c r="A2695">
        <f>Skills!A2</f>
        <v/>
      </c>
      <c r="B2695">
        <f>Skills!B2</f>
        <v/>
      </c>
      <c r="C2695">
        <f>Inputs!$B$3&gt;=100</f>
        <v/>
      </c>
      <c r="D2695" t="inlineStr"/>
      <c r="E2695" t="inlineStr"/>
      <c r="F2695">
        <f>U2697+Skills!O2</f>
        <v/>
      </c>
      <c r="G2695">
        <f>Skills!G2*IF(Skills!H2&gt;0,Skills!I2/Skills!H2,1)</f>
        <v/>
      </c>
      <c r="H2695">
        <f>1-(1-Skills!J2/100)^Skills!K2</f>
        <v/>
      </c>
      <c r="I2695" t="inlineStr">
        <is>
          <t>1</t>
        </is>
      </c>
      <c r="J2695">
        <f>((Inputs!$B$6*(1+Inputs!$B$7/100))+(((Inputs!$B$12*(1+Inputs!$B$13/100))-(Inputs!$B$12*(1+Inputs!$B$13/100)))+0.25*(Inputs!$B$14-Inputs!$B$14))*(1+Inputs!$B$7/100))*(F2695/100)</f>
        <v/>
      </c>
      <c r="K2695">
        <f>J2695*(1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2717=TRUE)*(F2717-Calc!F24)),(Inputs!$B$23+((C2722=TRUE)*(F2722-Calc!F29))+(IF(ArtifactsInput!$M$15,CHOOSE(ArtifactsInput!$N$15+1,25,30,35,40,45,50)/100*(Inputs!$B$11-Inputs!$B$11),0))))/100+(Inputs!$B$23+((C2722=TRUE)*(F2722-Calc!F29))+(IF(ArtifactsInput!$M$15,CHOOSE(ArtifactsInput!$N$15+1,25,30,35,40,45,50)/100*(Inputs!$B$11-Inputs!$B$11),0)))/100)/2</f>
        <v/>
      </c>
      <c r="M2695">
        <f>L2695*(1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IF(B2736=0,0,O2695/B2736)</f>
        <v/>
      </c>
      <c r="Q2695" t="n">
        <v>0</v>
      </c>
      <c r="R2695" t="n">
        <v>0</v>
      </c>
      <c r="S2695">
        <f>IFERROR(O2695/N2695,0)</f>
        <v/>
      </c>
      <c r="T2695">
        <f>IF(C2695,(Skills!G2*N2695*B2730)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2695*(1-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MAX(0,(Inputs!$B$3-100)*3)+Inputs!$B$28+Inputs!$B$29</f>
        <v/>
      </c>
      <c r="V2695">
        <f>IF(C2695,(Skills!G2*N2695*B2730)*IF(Inputs!$B$38="pvp",1,(1+(Inputs!$B$21+Skills!Q2+(IF(ArtifactsInput!$M$33,CHOOSE(ArtifactsInput!$N$33+1,30,36,42,48,54,60),0))+(IF(AND(ArtifactsInput!$M$35,Inputs!$B$4&lt;&gt;"Chapter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Skills!A3</f>
        <v/>
      </c>
      <c r="B2696">
        <f>Skills!B3</f>
        <v/>
      </c>
      <c r="C2696">
        <f>Inputs!$B$3&gt;=50</f>
        <v/>
      </c>
      <c r="D2696">
        <f>IF(Skills!C3=1,60+Inputs!$B$25+Inputs!$B$29,IF(Skills!C3=2,90+Inputs!$B$26+Inputs!$B$29,IF(Skills!C3=3,120+Inputs!$B$27+Inputs!$B$29,MAX(0,(Inputs!$B$3-100)*3)+Inputs!$B$28+Inputs!$B$29)))</f>
        <v/>
      </c>
      <c r="E2696">
        <f>INDEX(FactorTable!$B$2:$Y$301, MATCH(ROUND(MIN(300,MAX(1,D2696)),0), FactorTable!$A$2:$A$301,0), Skills!M3+1)</f>
        <v/>
      </c>
      <c r="F2696">
        <f>IF(Skills!N3=TRUE,(Skills!L3/10)*(E2696/1000),Skills!L3/10)+Skills!O3</f>
        <v/>
      </c>
      <c r="G2696" t="inlineStr"/>
      <c r="H2696" t="inlineStr"/>
      <c r="I2696" t="inlineStr">
        <is>
          <t>1</t>
        </is>
      </c>
      <c r="J2696" t="inlineStr"/>
      <c r="K2696" t="inlineStr"/>
      <c r="L2696" t="inlineStr"/>
      <c r="M2696" t="inlineStr"/>
      <c r="N2696" t="inlineStr"/>
      <c r="O2696" t="inlineStr"/>
      <c r="P2696" t="inlineStr"/>
      <c r="Q2696" t="inlineStr"/>
      <c r="R2696" t="inlineStr"/>
      <c r="S2696" t="inlineStr"/>
      <c r="T2696" t="inlineStr"/>
      <c r="U2696">
        <f>INDEX(FactorTable!$B$2:$Y$301, MATCH(ROUND(MIN(300,MAX(1,U2695)),0), FactorTable!$A$2:$A$301,0), 22)</f>
        <v/>
      </c>
      <c r="V2696" t="inlineStr"/>
    </row>
    <row r="2697">
      <c r="A2697">
        <f>Skills!A4</f>
        <v/>
      </c>
      <c r="B2697">
        <f>Skills!B4</f>
        <v/>
      </c>
      <c r="C2697">
        <f>Inputs!$B$3&gt;=105</f>
        <v/>
      </c>
      <c r="D2697">
        <f>IF(Skills!C4=1,60+Inputs!$B$25+Inputs!$B$29,IF(Skills!C4=2,90+Inputs!$B$26+Inputs!$B$29,IF(Skills!C4=3,120+Inputs!$B$27+Inputs!$B$29,MAX(0,(Inputs!$B$3-100)*3)+Inputs!$B$28+Inputs!$B$29)))</f>
        <v/>
      </c>
      <c r="E2697">
        <f>INDEX(FactorTable!$B$2:$Y$301, MATCH(ROUND(MIN(300,MAX(1,D2697)),0), FactorTable!$A$2:$A$301,0), Skills!M4+1)</f>
        <v/>
      </c>
      <c r="F2697">
        <f>IF(Skills!N4=TRUE,(Skills!L4/10)*(E2697/1000),Skills!L4/10)+Skills!O4</f>
        <v/>
      </c>
      <c r="G2697" t="inlineStr"/>
      <c r="H2697" t="inlineStr"/>
      <c r="I2697" t="inlineStr">
        <is>
          <t>1</t>
        </is>
      </c>
      <c r="J2697" t="inlineStr"/>
      <c r="K2697" t="inlineStr"/>
      <c r="L2697" t="inlineStr"/>
      <c r="M2697" t="inlineStr"/>
      <c r="N2697" t="inlineStr"/>
      <c r="O2697" t="inlineStr"/>
      <c r="P2697" t="inlineStr"/>
      <c r="Q2697" t="inlineStr"/>
      <c r="R2697" t="inlineStr"/>
      <c r="S2697" t="inlineStr"/>
      <c r="T2697" t="inlineStr"/>
      <c r="U2697">
        <f>290*U2696/1000</f>
        <v/>
      </c>
      <c r="V2697" t="inlineStr"/>
    </row>
    <row r="2698">
      <c r="A2698">
        <f>Skills!A5</f>
        <v/>
      </c>
      <c r="B2698">
        <f>Skills!B5</f>
        <v/>
      </c>
      <c r="C2698">
        <f>Inputs!$B$3&gt;=35</f>
        <v/>
      </c>
      <c r="D2698">
        <f>IF(Skills!C5=1,60+Inputs!$B$25+Inputs!$B$29,IF(Skills!C5=2,90+Inputs!$B$26+Inputs!$B$29,IF(Skills!C5=3,120+Inputs!$B$27+Inputs!$B$29,MAX(0,(Inputs!$B$3-100)*3)+Inputs!$B$28+Inputs!$B$29)))</f>
        <v/>
      </c>
      <c r="E2698">
        <f>INDEX(FactorTable!$B$2:$Y$301, MATCH(ROUND(MIN(300,MAX(1,D2698)),0), FactorTable!$A$2:$A$301,0), Skills!M5+1)</f>
        <v/>
      </c>
      <c r="F2698">
        <f>IF(Skills!N5=TRUE,(Skills!L5/10)*(E2698/1000),Skills!L5/10)+Skills!O5</f>
        <v/>
      </c>
      <c r="G2698">
        <f>Skills!G5*IF(Skills!H5&gt;0,Skills!I5/Skills!H5,1)</f>
        <v/>
      </c>
      <c r="H2698">
        <f>1-(1-Skills!J5/100)^Skills!K5</f>
        <v/>
      </c>
      <c r="I2698" t="inlineStr">
        <is>
          <t>1</t>
        </is>
      </c>
      <c r="J2698">
        <f>((Inputs!$B$6*(1+Inputs!$B$7/100))+(((Inputs!$B$12*(1+Inputs!$B$13/100))-(Inputs!$B$12*(1+Inputs!$B$13/100)))+0.25*(Inputs!$B$14-Inputs!$B$14))*(1+Inputs!$B$7/100))*(F2698/100)</f>
        <v/>
      </c>
      <c r="K2698">
        <f>J2698*(1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2703=TRUE,F2703,0)/100)*(1+(IF(Skills!A5="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2717=TRUE)*(F2717-Calc!F24)),(Inputs!$B$23+((C2722=TRUE)*(F2722-Calc!F29))+(IF(ArtifactsInput!$M$15,CHOOSE(ArtifactsInput!$N$15+1,25,30,35,40,45,50)/100*(Inputs!$B$11-Inputs!$B$11),0))))/100+(Inputs!$B$23+((C2722=TRUE)*(F2722-Calc!F29))+(IF(ArtifactsInput!$M$15,CHOOSE(ArtifactsInput!$N$15+1,25,30,35,40,45,50)/100*(Inputs!$B$11-Inputs!$B$11),0)))/100)/2</f>
        <v/>
      </c>
      <c r="M2698">
        <f>L2698*(1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IF(B2736=0,0,O2698/B2736)</f>
        <v/>
      </c>
      <c r="Q2698">
        <f>IFERROR(1/(IF(Inputs!$B$38="pvp",15,MAX(0.1,Skills!D5-IF(Skills!E5=TRUE,Inputs!$B$32,0)))*(1-IF(AND(ArtifactsInput!$M$27,Inputs!$B$4="Chapter Hunt"),CHOOSE(ArtifactsInput!$N$27+1,20,24,28,32,36,40),0)/100)),0)</f>
        <v/>
      </c>
      <c r="R2698">
        <f>IF(AND(Inputs!$B$38&lt;&gt;"pvp",Inputs!$B$43&gt;0),IF(MAX(0,Inputs!$B$43-B2733)&lt;=0,0,(INT(MAX(0,Inputs!$B$43-B2733)/(IF(Inputs!$B$38="pvp",15,MAX(0.1,Skills!D5-IF(Skills!E5=TRUE,Inputs!$B$32,0)))*(1-IF(AND(ArtifactsInput!$M$27,Inputs!$B$4="Chapter Hunt"),CHOOSE(ArtifactsInput!$N$27+1,20,24,28,32,36,40),0)/100)))+1)),0)</f>
        <v/>
      </c>
      <c r="S2698">
        <f>IFERROR(O2698/N2698,0)</f>
        <v/>
      </c>
      <c r="T2698">
        <f>IF(C2698,(H2698*N2698*IF(AND(Inputs!$B$38&lt;&gt;"pvp",Inputs!$B$43&gt;0),((Skills!G5*((R2698-1)*IF(Skills!H5&gt;0,Skills!I5/Skills!H5,1)+IF(Skills!H5&gt;0,MIN(Skills!I5,MAX(0,MAX(0,Inputs!$B$43-B2733)-((R2698-1)*(IF(Inputs!$B$38="pvp",15,MAX(0.1,Skills!D5-IF(Skills!E5=TRUE,Inputs!$B$32,0)))*(1-IF(AND(ArtifactsInput!$M$27,Inputs!$B$4="Chapter Hunt"),CHOOSE(ArtifactsInput!$N$27+1,20,24,28,32,36,40),0)/100)))))/Skills!H5,1)))/Inputs!$B$43),G2698*Q2698)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2698*(1-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5*((R2698-1)*IF(Skills!H5&gt;0,Skills!I5/Skills!H5,1)+IF(Skills!H5&gt;0,MIN(Skills!I5,MAX(0,MAX(0,Inputs!$B$43-B2733)-((R2698-1)*(IF(Inputs!$B$38="pvp",15,MAX(0.1,Skills!D5-IF(Skills!E5=TRUE,Inputs!$B$32,0)))*(1-IF(AND(ArtifactsInput!$M$27,Inputs!$B$4="Chapter Hunt"),CHOOSE(ArtifactsInput!$N$27+1,20,24,28,32,36,40),0)/100)))))/Skills!H5,1)))/Inputs!$B$43),G2698*Q2698))*IF(Inputs!$B$38="pvp",1,(1+(Inputs!$B$21+Skills!Q5+(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Skills!A6</f>
        <v/>
      </c>
      <c r="B2699">
        <f>Skills!B6</f>
        <v/>
      </c>
      <c r="C2699">
        <f>Inputs!$B$3&gt;=40</f>
        <v/>
      </c>
      <c r="D2699">
        <f>IF(Skills!C6=1,60+Inputs!$B$25+Inputs!$B$29,IF(Skills!C6=2,90+Inputs!$B$26+Inputs!$B$29,IF(Skills!C6=3,120+Inputs!$B$27+Inputs!$B$29,MAX(0,(Inputs!$B$3-100)*3)+Inputs!$B$28+Inputs!$B$29)))</f>
        <v/>
      </c>
      <c r="E2699">
        <f>INDEX(FactorTable!$B$2:$Y$301, MATCH(ROUND(MIN(300,MAX(1,D2699)),0), FactorTable!$A$2:$A$301,0), Skills!M6+1)</f>
        <v/>
      </c>
      <c r="F2699">
        <f>IF(Skills!N6=TRUE,(Skills!L6/10)*(E2699/1000),Skills!L6/10)+Skills!O6</f>
        <v/>
      </c>
      <c r="G2699">
        <f>Skills!G6*IF(Skills!H6&gt;0,Skills!I6/Skills!H6,1)</f>
        <v/>
      </c>
      <c r="H2699">
        <f>1-(1-Skills!J6/100)^Skills!K6</f>
        <v/>
      </c>
      <c r="I2699" t="inlineStr">
        <is>
          <t>1</t>
        </is>
      </c>
      <c r="J2699">
        <f>((Inputs!$B$6*(1+Inputs!$B$7/100))+(((Inputs!$B$12*(1+Inputs!$B$13/100))-(Inputs!$B$12*(1+Inputs!$B$13/100)))+0.25*(Inputs!$B$14-Inputs!$B$14))*(1+Inputs!$B$7/100))*(F2699/100)</f>
        <v/>
      </c>
      <c r="K2699">
        <f>J2699*(1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2700=TRUE,F2700,0)/100)*(1+(IF(Skills!A6="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2717=TRUE)*(F2717-Calc!F24)),(Inputs!$B$23+((C2722=TRUE)*(F2722-Calc!F29))+(IF(ArtifactsInput!$M$15,CHOOSE(ArtifactsInput!$N$15+1,25,30,35,40,45,50)/100*(Inputs!$B$11-Inputs!$B$11),0))))/100+(Inputs!$B$23+((C2722=TRUE)*(F2722-Calc!F29))+(IF(ArtifactsInput!$M$15,CHOOSE(ArtifactsInput!$N$15+1,25,30,35,40,45,50)/100*(Inputs!$B$11-Inputs!$B$11),0)))/100)/2</f>
        <v/>
      </c>
      <c r="M2699">
        <f>L2699*(1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IF(B2736=0,0,O2699/B2736)</f>
        <v/>
      </c>
      <c r="Q2699">
        <f>IFERROR(1/(IF(Inputs!$B$38="pvp",15,MAX(0.1,Skills!D6-IF(Skills!E6=TRUE,Inputs!$B$32,0)))*(1-IF(AND(ArtifactsInput!$M$27,Inputs!$B$4="Chapter Hunt"),CHOOSE(ArtifactsInput!$N$27+1,20,24,28,32,36,40),0)/100)),0)</f>
        <v/>
      </c>
      <c r="R2699">
        <f>IF(AND(Inputs!$B$38&lt;&gt;"pvp",Inputs!$B$43&gt;0),IF(MAX(0,Inputs!$B$43-B2733)&lt;=0,0,(INT(MAX(0,Inputs!$B$43-B2733)/(IF(Inputs!$B$38="pvp",15,MAX(0.1,Skills!D6-IF(Skills!E6=TRUE,Inputs!$B$32,0)))*(1-IF(AND(ArtifactsInput!$M$27,Inputs!$B$4="Chapter Hunt"),CHOOSE(ArtifactsInput!$N$27+1,20,24,28,32,36,40),0)/100)))+1)),0)</f>
        <v/>
      </c>
      <c r="S2699">
        <f>IFERROR(O2699/N2699,0)</f>
        <v/>
      </c>
      <c r="T2699">
        <f>IF(C2699,(H2699*N2699*IF(AND(Inputs!$B$38&lt;&gt;"pvp",Inputs!$B$43&gt;0),((Skills!G6*((R2699-1)*IF(Skills!H6&gt;0,Skills!I6/Skills!H6,1)+IF(Skills!H6&gt;0,MIN(Skills!I6,MAX(0,MAX(0,Inputs!$B$43-B2733)-((R2699-1)*(IF(Inputs!$B$38="pvp",15,MAX(0.1,Skills!D6-IF(Skills!E6=TRUE,Inputs!$B$32,0)))*(1-IF(AND(ArtifactsInput!$M$27,Inputs!$B$4="Chapter Hunt"),CHOOSE(ArtifactsInput!$N$27+1,20,24,28,32,36,40),0)/100)))))/Skills!H6,1)))/Inputs!$B$43),G2699*Q2699)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2699*(1-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6*((R2699-1)*IF(Skills!H6&gt;0,Skills!I6/Skills!H6,1)+IF(Skills!H6&gt;0,MIN(Skills!I6,MAX(0,MAX(0,Inputs!$B$43-B2733)-((R2699-1)*(IF(Inputs!$B$38="pvp",15,MAX(0.1,Skills!D6-IF(Skills!E6=TRUE,Inputs!$B$32,0)))*(1-IF(AND(ArtifactsInput!$M$27,Inputs!$B$4="Chapter Hunt"),CHOOSE(ArtifactsInput!$N$27+1,20,24,28,32,36,40),0)/100)))))/Skills!H6,1)))/Inputs!$B$43),G2699*Q2699))*IF(Inputs!$B$38="pvp",1,(1+(Inputs!$B$21+Skills!Q6+(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Skills!A7</f>
        <v/>
      </c>
      <c r="B2700">
        <f>Skills!B7</f>
        <v/>
      </c>
      <c r="C2700">
        <f>Inputs!$B$3&gt;=107</f>
        <v/>
      </c>
      <c r="D2700">
        <f>IF(Skills!C7=1,60+Inputs!$B$25+Inputs!$B$29,IF(Skills!C7=2,90+Inputs!$B$26+Inputs!$B$29,IF(Skills!C7=3,120+Inputs!$B$27+Inputs!$B$29,MAX(0,(Inputs!$B$3-100)*3)+Inputs!$B$28+Inputs!$B$29)))</f>
        <v/>
      </c>
      <c r="E2700">
        <f>INDEX(FactorTable!$B$2:$Y$301, MATCH(ROUND(MIN(300,MAX(1,D2700)),0), FactorTable!$A$2:$A$301,0), Skills!M7+1)</f>
        <v/>
      </c>
      <c r="F2700">
        <f>IF(Skills!N7=TRUE,(Skills!L7/10)*(E2700/1000),Skills!L7/10)+Skills!O7</f>
        <v/>
      </c>
      <c r="G2700" t="inlineStr"/>
      <c r="H2700" t="inlineStr"/>
      <c r="I2700" t="inlineStr">
        <is>
          <t>1</t>
        </is>
      </c>
      <c r="J2700" t="inlineStr"/>
      <c r="K2700" t="inlineStr"/>
      <c r="L2700" t="inlineStr"/>
      <c r="M2700" t="inlineStr"/>
      <c r="N2700" t="inlineStr"/>
      <c r="O2700" t="inlineStr"/>
      <c r="P2700" t="inlineStr"/>
      <c r="Q2700" t="inlineStr"/>
      <c r="R2700" t="inlineStr"/>
      <c r="S2700" t="inlineStr"/>
      <c r="T2700" t="inlineStr"/>
      <c r="V2700" t="inlineStr"/>
    </row>
    <row r="2701">
      <c r="A2701">
        <f>Skills!A8</f>
        <v/>
      </c>
      <c r="B2701">
        <f>Skills!B8</f>
        <v/>
      </c>
      <c r="C2701">
        <f>Inputs!$B$3&gt;=69</f>
        <v/>
      </c>
      <c r="D2701">
        <f>IF(Skills!C8=1,60+Inputs!$B$25+Inputs!$B$29,IF(Skills!C8=2,90+Inputs!$B$26+Inputs!$B$29,IF(Skills!C8=3,120+Inputs!$B$27+Inputs!$B$29,MAX(0,(Inputs!$B$3-100)*3)+Inputs!$B$28+Inputs!$B$29)))</f>
        <v/>
      </c>
      <c r="E2701">
        <f>INDEX(FactorTable!$B$2:$Y$301, MATCH(ROUND(MIN(300,MAX(1,D2701)),0), FactorTable!$A$2:$A$301,0), Skills!M8+1)</f>
        <v/>
      </c>
      <c r="F2701">
        <f>IF(Skills!N8=TRUE,(Skills!L8/10)*(E2701/1000),Skills!L8/10)+Skills!O8</f>
        <v/>
      </c>
      <c r="G2701">
        <f>Skills!G8*IF(Skills!H8&gt;0,Skills!I8/Skills!H8,1)</f>
        <v/>
      </c>
      <c r="H2701">
        <f>1-(1-Skills!J8/100)^Skills!K8</f>
        <v/>
      </c>
      <c r="I2701" t="inlineStr">
        <is>
          <t>1</t>
        </is>
      </c>
      <c r="J2701">
        <f>((Inputs!$B$6*(1+Inputs!$B$7/100))+(((Inputs!$B$12*(1+Inputs!$B$13/100))-(Inputs!$B$12*(1+Inputs!$B$13/100)))+0.25*(Inputs!$B$14-Inputs!$B$14))*(1+Inputs!$B$7/100))*(F2701/100)</f>
        <v/>
      </c>
      <c r="K2701">
        <f>J2701*(1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2703=TRUE,F2703,0)/100)*(1+(IF(Skills!A8="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2717=TRUE)*(F2717-Calc!F24)),(Inputs!$B$23+((C2722=TRUE)*(F2722-Calc!F29))+(IF(ArtifactsInput!$M$15,CHOOSE(ArtifactsInput!$N$15+1,25,30,35,40,45,50)/100*(Inputs!$B$11-Inputs!$B$11),0))))/100+(Inputs!$B$23+((C2722=TRUE)*(F2722-Calc!F29))+(IF(ArtifactsInput!$M$15,CHOOSE(ArtifactsInput!$N$15+1,25,30,35,40,45,50)/100*(Inputs!$B$11-Inputs!$B$11),0)))/100)/2</f>
        <v/>
      </c>
      <c r="M2701">
        <f>L2701*(1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IF(B2736=0,0,O2701/B2736)</f>
        <v/>
      </c>
      <c r="Q2701">
        <f>IFERROR(1/(IF(Inputs!$B$38="pvp",15,MAX(0.1,Skills!D8-IF(Skills!E8=TRUE,Inputs!$B$32,0)))*(1-IF(AND(ArtifactsInput!$M$27,Inputs!$B$4="Chapter Hunt"),CHOOSE(ArtifactsInput!$N$27+1,20,24,28,32,36,40),0)/100)),0)</f>
        <v/>
      </c>
      <c r="R2701">
        <f>IF(AND(Inputs!$B$38&lt;&gt;"pvp",Inputs!$B$43&gt;0),IF(MAX(0,Inputs!$B$43-B2733)&lt;=0,0,(INT(MAX(0,Inputs!$B$43-B2733)/(IF(Inputs!$B$38="pvp",15,MAX(0.1,Skills!D8-IF(Skills!E8=TRUE,Inputs!$B$32,0)))*(1-IF(AND(ArtifactsInput!$M$27,Inputs!$B$4="Chapter Hunt"),CHOOSE(ArtifactsInput!$N$27+1,20,24,28,32,36,40),0)/100)))+1)),0)</f>
        <v/>
      </c>
      <c r="S2701">
        <f>IFERROR(O2701/N2701,0)</f>
        <v/>
      </c>
      <c r="T2701">
        <f>IF(C2701,(H2701*N2701*IF(AND(Inputs!$B$38&lt;&gt;"pvp",Inputs!$B$43&gt;0),((Skills!G8*((R2701-1)*IF(Skills!H8&gt;0,Skills!I8/Skills!H8,1)+IF(Skills!H8&gt;0,MIN(Skills!I8,MAX(0,MAX(0,Inputs!$B$43-B2733)-((R2701-1)*(IF(Inputs!$B$38="pvp",15,MAX(0.1,Skills!D8-IF(Skills!E8=TRUE,Inputs!$B$32,0)))*(1-IF(AND(ArtifactsInput!$M$27,Inputs!$B$4="Chapter Hunt"),CHOOSE(ArtifactsInput!$N$27+1,20,24,28,32,36,40),0)/100)))))/Skills!H8,1)))/Inputs!$B$43),G2701*Q2701)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2701*(1-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8*((R2701-1)*IF(Skills!H8&gt;0,Skills!I8/Skills!H8,1)+IF(Skills!H8&gt;0,MIN(Skills!I8,MAX(0,MAX(0,Inputs!$B$43-B2733)-((R2701-1)*(IF(Inputs!$B$38="pvp",15,MAX(0.1,Skills!D8-IF(Skills!E8=TRUE,Inputs!$B$32,0)))*(1-IF(AND(ArtifactsInput!$M$27,Inputs!$B$4="Chapter Hunt"),CHOOSE(ArtifactsInput!$N$27+1,20,24,28,32,36,40),0)/100)))))/Skills!H8,1)))/Inputs!$B$43),G2701*Q2701))*IF(Inputs!$B$38="pvp",1,(1+(Inputs!$B$21+Skills!Q8+(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Skills!A9</f>
        <v/>
      </c>
      <c r="B2702">
        <f>Skills!B9</f>
        <v/>
      </c>
      <c r="C2702">
        <f>Inputs!$B$3&gt;=63</f>
        <v/>
      </c>
      <c r="D2702">
        <f>IF(Skills!C9=1,60+Inputs!$B$25+Inputs!$B$29,IF(Skills!C9=2,90+Inputs!$B$26+Inputs!$B$29,IF(Skills!C9=3,120+Inputs!$B$27+Inputs!$B$29,MAX(0,(Inputs!$B$3-100)*3)+Inputs!$B$28+Inputs!$B$29)))</f>
        <v/>
      </c>
      <c r="E2702">
        <f>INDEX(FactorTable!$B$2:$Y$301, MATCH(ROUND(MIN(300,MAX(1,D2702)),0), FactorTable!$A$2:$A$301,0), Skills!M9+1)</f>
        <v/>
      </c>
      <c r="F2702">
        <f>IF(Skills!N9=TRUE,(Skills!L9/10)*(E2702/1000),Skills!L9/10)+Skills!O9</f>
        <v/>
      </c>
      <c r="G2702">
        <f>Skills!G9*IF(Skills!H9&gt;0,Skills!I9/Skills!H9,1)</f>
        <v/>
      </c>
      <c r="H2702">
        <f>1-(1-Skills!J9/100)^Skills!K9</f>
        <v/>
      </c>
      <c r="I2702" t="inlineStr">
        <is>
          <t>1</t>
        </is>
      </c>
      <c r="J2702">
        <f>((Inputs!$B$6*(1+Inputs!$B$7/100))+(((Inputs!$B$12*(1+Inputs!$B$13/100))-(Inputs!$B$12*(1+Inputs!$B$13/100)))+0.25*(Inputs!$B$14-Inputs!$B$14))*(1+Inputs!$B$7/100))*(F2702/100)</f>
        <v/>
      </c>
      <c r="K2702">
        <f>J2702*(1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2703=TRUE,F2703,0)/100)*(1+(IF(Skills!A9="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2717=TRUE)*(F2717-Calc!F24)),(Inputs!$B$23+((C2722=TRUE)*(F2722-Calc!F29))+(IF(ArtifactsInput!$M$15,CHOOSE(ArtifactsInput!$N$15+1,25,30,35,40,45,50)/100*(Inputs!$B$11-Inputs!$B$11),0))))/100+(Inputs!$B$23+((C2722=TRUE)*(F2722-Calc!F29))+(IF(ArtifactsInput!$M$15,CHOOSE(ArtifactsInput!$N$15+1,25,30,35,40,45,50)/100*(Inputs!$B$11-Inputs!$B$11),0)))/100)/2</f>
        <v/>
      </c>
      <c r="M2702">
        <f>L2702*(1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IF(B2736=0,0,O2702/B2736)</f>
        <v/>
      </c>
      <c r="Q2702">
        <f>IFERROR(1/(IF(Inputs!$B$38="pvp",15,MAX(0.1,Skills!D9-IF(Skills!E9=TRUE,Inputs!$B$32,0)))*(1-IF(AND(ArtifactsInput!$M$27,Inputs!$B$4="Chapter Hunt"),CHOOSE(ArtifactsInput!$N$27+1,20,24,28,32,36,40),0)/100)),0)</f>
        <v/>
      </c>
      <c r="R2702">
        <f>IF(AND(Inputs!$B$38&lt;&gt;"pvp",Inputs!$B$43&gt;0),IF(MAX(0,Inputs!$B$43-B2733)&lt;=0,0,(INT(MAX(0,Inputs!$B$43-B2733)/(IF(Inputs!$B$38="pvp",15,MAX(0.1,Skills!D9-IF(Skills!E9=TRUE,Inputs!$B$32,0)))*(1-IF(AND(ArtifactsInput!$M$27,Inputs!$B$4="Chapter Hunt"),CHOOSE(ArtifactsInput!$N$27+1,20,24,28,32,36,40),0)/100)))+1)),0)</f>
        <v/>
      </c>
      <c r="S2702">
        <f>IFERROR(O2702/N2702,0)</f>
        <v/>
      </c>
      <c r="T2702">
        <f>IF(C2702,(H2702*N2702*IF(AND(Inputs!$B$38&lt;&gt;"pvp",Inputs!$B$43&gt;0),((Skills!G9*((R2702-1)*IF(Skills!H9&gt;0,Skills!I9/Skills!H9,1)+IF(Skills!H9&gt;0,MIN(Skills!I9,MAX(0,MAX(0,Inputs!$B$43-B2733)-((R2702-1)*(IF(Inputs!$B$38="pvp",15,MAX(0.1,Skills!D9-IF(Skills!E9=TRUE,Inputs!$B$32,0)))*(1-IF(AND(ArtifactsInput!$M$27,Inputs!$B$4="Chapter Hunt"),CHOOSE(ArtifactsInput!$N$27+1,20,24,28,32,36,40),0)/100)))))/Skills!H9,1)))/Inputs!$B$43),G2702*Q2702)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2702*(1-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9*((R2702-1)*IF(Skills!H9&gt;0,Skills!I9/Skills!H9,1)+IF(Skills!H9&gt;0,MIN(Skills!I9,MAX(0,MAX(0,Inputs!$B$43-B2733)-((R2702-1)*(IF(Inputs!$B$38="pvp",15,MAX(0.1,Skills!D9-IF(Skills!E9=TRUE,Inputs!$B$32,0)))*(1-IF(AND(ArtifactsInput!$M$27,Inputs!$B$4="Chapter Hunt"),CHOOSE(ArtifactsInput!$N$27+1,20,24,28,32,36,40),0)/100)))))/Skills!H9,1)))/Inputs!$B$43),G2702*Q2702))*IF(Inputs!$B$38="pvp",1,(1+(Inputs!$B$21+Skills!Q9+(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Skills!A10</f>
        <v/>
      </c>
      <c r="B2703">
        <f>Skills!B10</f>
        <v/>
      </c>
      <c r="C2703">
        <f>Inputs!$B$3&gt;=100</f>
        <v/>
      </c>
      <c r="D2703">
        <f>IF(Skills!C10=1,60+Inputs!$B$25+Inputs!$B$29,IF(Skills!C10=2,90+Inputs!$B$26+Inputs!$B$29,IF(Skills!C10=3,120+Inputs!$B$27+Inputs!$B$29,MAX(0,(Inputs!$B$3-100)*3)+Inputs!$B$28+Inputs!$B$29)))</f>
        <v/>
      </c>
      <c r="E2703">
        <f>INDEX(FactorTable!$B$2:$Y$301, MATCH(ROUND(MIN(300,MAX(1,D2703)),0), FactorTable!$A$2:$A$301,0), Skills!M10+1)</f>
        <v/>
      </c>
      <c r="F2703">
        <f>IF(Skills!N10=TRUE,(Skills!L10/10)*(E2703/1000),Skills!L10/10)+Skills!O10</f>
        <v/>
      </c>
      <c r="G2703" t="inlineStr"/>
      <c r="H2703" t="inlineStr"/>
      <c r="I2703" t="inlineStr">
        <is>
          <t>1</t>
        </is>
      </c>
      <c r="J2703" t="inlineStr"/>
      <c r="K2703" t="inlineStr"/>
      <c r="L2703" t="inlineStr"/>
      <c r="M2703" t="inlineStr"/>
      <c r="N2703" t="inlineStr"/>
      <c r="O2703" t="inlineStr"/>
      <c r="P2703" t="inlineStr"/>
      <c r="Q2703" t="inlineStr"/>
      <c r="R2703" t="inlineStr"/>
      <c r="S2703" t="inlineStr"/>
      <c r="T2703" t="inlineStr"/>
      <c r="V2703" t="inlineStr"/>
    </row>
    <row r="2704">
      <c r="A2704">
        <f>Skills!A11</f>
        <v/>
      </c>
      <c r="B2704">
        <f>Skills!B11</f>
        <v/>
      </c>
      <c r="C2704">
        <f>Inputs!$B$3&gt;=60</f>
        <v/>
      </c>
      <c r="D2704">
        <f>IF(Skills!C11=1,60+Inputs!$B$25+Inputs!$B$29,IF(Skills!C11=2,90+Inputs!$B$26+Inputs!$B$29,IF(Skills!C11=3,120+Inputs!$B$27+Inputs!$B$29,MAX(0,(Inputs!$B$3-100)*3)+Inputs!$B$28+Inputs!$B$29)))</f>
        <v/>
      </c>
      <c r="E2704">
        <f>INDEX(FactorTable!$B$2:$Y$301, MATCH(ROUND(MIN(300,MAX(1,D2704)),0), FactorTable!$A$2:$A$301,0), Skills!M11+1)</f>
        <v/>
      </c>
      <c r="F2704">
        <f>IF(Skills!N11=TRUE,(Skills!L11/10)*(E2704/1000),Skills!L11/10)+Skills!O11</f>
        <v/>
      </c>
      <c r="G2704">
        <f>Skills!G11*IF(Skills!H11&gt;0,Skills!I11/Skills!H11,1)</f>
        <v/>
      </c>
      <c r="H2704">
        <f>1-(1-Skills!J11/100)^Skills!K11</f>
        <v/>
      </c>
      <c r="I2704" t="inlineStr">
        <is>
          <t>1</t>
        </is>
      </c>
      <c r="J2704">
        <f>((Inputs!$B$6*(1+Inputs!$B$7/100))+(((Inputs!$B$12*(1+Inputs!$B$13/100))-(Inputs!$B$12*(1+Inputs!$B$13/100)))+0.25*(Inputs!$B$14-Inputs!$B$14))*(1+Inputs!$B$7/100))*(F2704/100)</f>
        <v/>
      </c>
      <c r="K2704">
        <f>J2704*(1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2705=TRUE,F2705,0)/100)*(1+(IF(Skills!A11="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2717=TRUE)*(F2717-Calc!F24)),(Inputs!$B$23+((C2722=TRUE)*(F2722-Calc!F29))+(IF(ArtifactsInput!$M$15,CHOOSE(ArtifactsInput!$N$15+1,25,30,35,40,45,50)/100*(Inputs!$B$11-Inputs!$B$11),0))))/100+(Inputs!$B$23+((C2722=TRUE)*(F2722-Calc!F29))+(IF(ArtifactsInput!$M$15,CHOOSE(ArtifactsInput!$N$15+1,25,30,35,40,45,50)/100*(Inputs!$B$11-Inputs!$B$11),0)))/100)/2</f>
        <v/>
      </c>
      <c r="M2704">
        <f>L2704*(1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IF(B2736=0,0,O2704/B2736)</f>
        <v/>
      </c>
      <c r="Q2704">
        <f>IFERROR(1/(IF(Inputs!$B$38="pvp",15,MAX(0.1,Skills!D11-IF(Skills!E11=TRUE,Inputs!$B$32,0)))*(1-IF(AND(ArtifactsInput!$M$27,Inputs!$B$4="Chapter Hunt"),CHOOSE(ArtifactsInput!$N$27+1,20,24,28,32,36,40),0)/100)),0)</f>
        <v/>
      </c>
      <c r="R2704">
        <f>IF(AND(Inputs!$B$38&lt;&gt;"pvp",Inputs!$B$43&gt;0),IF(MAX(0,Inputs!$B$43-B2733)&lt;=0,0,(INT(MAX(0,Inputs!$B$43-B2733)/(IF(Inputs!$B$38="pvp",15,MAX(0.1,Skills!D11-IF(Skills!E11=TRUE,Inputs!$B$32,0)))*(1-IF(AND(ArtifactsInput!$M$27,Inputs!$B$4="Chapter Hunt"),CHOOSE(ArtifactsInput!$N$27+1,20,24,28,32,36,40),0)/100)))+1)),0)</f>
        <v/>
      </c>
      <c r="S2704">
        <f>IFERROR(O2704/N2704,0)</f>
        <v/>
      </c>
      <c r="T2704">
        <f>IF(C2704,(H2704*N2704*IF(AND(Inputs!$B$38&lt;&gt;"pvp",Inputs!$B$43&gt;0),((Skills!G11*((R2704-1)*IF(Skills!H11&gt;0,Skills!I11/Skills!H11,1)+IF(Skills!H11&gt;0,MIN(Skills!I11,MAX(0,MAX(0,Inputs!$B$43-B2733)-((R2704-1)*(IF(Inputs!$B$38="pvp",15,MAX(0.1,Skills!D11-IF(Skills!E11=TRUE,Inputs!$B$32,0)))*(1-IF(AND(ArtifactsInput!$M$27,Inputs!$B$4="Chapter Hunt"),CHOOSE(ArtifactsInput!$N$27+1,20,24,28,32,36,40),0)/100)))))/Skills!H11,1)))/Inputs!$B$43),G2704*Q2704)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2704*(1-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11*((R2704-1)*IF(Skills!H11&gt;0,Skills!I11/Skills!H11,1)+IF(Skills!H11&gt;0,MIN(Skills!I11,MAX(0,MAX(0,Inputs!$B$43-B2733)-((R2704-1)*(IF(Inputs!$B$38="pvp",15,MAX(0.1,Skills!D11-IF(Skills!E11=TRUE,Inputs!$B$32,0)))*(1-IF(AND(ArtifactsInput!$M$27,Inputs!$B$4="Chapter Hunt"),CHOOSE(ArtifactsInput!$N$27+1,20,24,28,32,36,40),0)/100)))))/Skills!H11,1)))/Inputs!$B$43),G2704*Q2704))*IF(Inputs!$B$38="pvp",1,(1+(Inputs!$B$21+Skills!Q11+(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Skills!A12</f>
        <v/>
      </c>
      <c r="B2705">
        <f>Skills!B12</f>
        <v/>
      </c>
      <c r="C2705">
        <f>Inputs!$B$3&gt;=110</f>
        <v/>
      </c>
      <c r="D2705">
        <f>IF(Skills!C12=1,60+Inputs!$B$25+Inputs!$B$29,IF(Skills!C12=2,90+Inputs!$B$26+Inputs!$B$29,IF(Skills!C12=3,120+Inputs!$B$27+Inputs!$B$29,MAX(0,(Inputs!$B$3-100)*3)+Inputs!$B$28+Inputs!$B$29)))</f>
        <v/>
      </c>
      <c r="E2705">
        <f>INDEX(FactorTable!$B$2:$Y$301, MATCH(ROUND(MIN(300,MAX(1,D2705)),0), FactorTable!$A$2:$A$301,0), Skills!M12+1)</f>
        <v/>
      </c>
      <c r="F2705">
        <f>IF(Skills!N12=TRUE,(Skills!L12/10)*(E2705/1000),Skills!L12/10)+Skills!O12</f>
        <v/>
      </c>
      <c r="G2705" t="inlineStr"/>
      <c r="H2705" t="inlineStr"/>
      <c r="I2705" t="inlineStr">
        <is>
          <t>1</t>
        </is>
      </c>
      <c r="J2705" t="inlineStr"/>
      <c r="K2705" t="inlineStr"/>
      <c r="L2705" t="inlineStr"/>
      <c r="M2705" t="inlineStr"/>
      <c r="N2705" t="inlineStr"/>
      <c r="O2705" t="inlineStr"/>
      <c r="P2705" t="inlineStr"/>
      <c r="Q2705" t="inlineStr"/>
      <c r="R2705" t="inlineStr"/>
      <c r="S2705" t="inlineStr"/>
      <c r="T2705" t="inlineStr"/>
      <c r="V2705" t="inlineStr"/>
    </row>
    <row r="2706">
      <c r="A2706">
        <f>Skills!A13</f>
        <v/>
      </c>
      <c r="B2706">
        <f>Skills!B13</f>
        <v/>
      </c>
      <c r="C2706">
        <f>Inputs!$B$3&gt;=74</f>
        <v/>
      </c>
      <c r="D2706">
        <f>IF(Skills!C13=1,60+Inputs!$B$25+Inputs!$B$29,IF(Skills!C13=2,90+Inputs!$B$26+Inputs!$B$29,IF(Skills!C13=3,120+Inputs!$B$27+Inputs!$B$29,MAX(0,(Inputs!$B$3-100)*3)+Inputs!$B$28+Inputs!$B$29)))</f>
        <v/>
      </c>
      <c r="E2706">
        <f>INDEX(FactorTable!$B$2:$Y$301, MATCH(ROUND(MIN(300,MAX(1,D2706)),0), FactorTable!$A$2:$A$301,0), Skills!M13+1)</f>
        <v/>
      </c>
      <c r="F2706">
        <f>IF(Skills!N13=TRUE,(Skills!L13/10)*(E2706/1000),Skills!L13/10)+Skills!O13</f>
        <v/>
      </c>
      <c r="G2706">
        <f>Skills!G13*IF(Skills!H13&gt;0,Skills!I13/Skills!H13,1)</f>
        <v/>
      </c>
      <c r="H2706">
        <f>1-(1-Skills!J13/100)^Skills!K13</f>
        <v/>
      </c>
      <c r="I2706" t="inlineStr">
        <is>
          <t>1</t>
        </is>
      </c>
      <c r="J2706" t="inlineStr"/>
      <c r="K2706" t="inlineStr"/>
      <c r="L2706" t="inlineStr"/>
      <c r="M2706" t="inlineStr"/>
      <c r="N2706" t="inlineStr"/>
      <c r="O2706">
        <f>(1-Summary!$B$11)*T2706+Summary!$B$11*V2706</f>
        <v/>
      </c>
      <c r="P2706">
        <f>IF(B2736=0,0,O2706/B2736)</f>
        <v/>
      </c>
      <c r="Q2706" t="n">
        <v>0</v>
      </c>
      <c r="R2706" t="n">
        <v>0</v>
      </c>
      <c r="S2706">
        <f>IFERROR(O2706/N2706,0)</f>
        <v/>
      </c>
      <c r="T2706" t="n">
        <v>0</v>
      </c>
      <c r="V2706" t="n">
        <v>0</v>
      </c>
    </row>
    <row r="2707">
      <c r="A2707">
        <f>Skills!A14</f>
        <v/>
      </c>
      <c r="B2707">
        <f>Skills!B14</f>
        <v/>
      </c>
      <c r="C2707">
        <f>Inputs!$B$3&gt;=74</f>
        <v/>
      </c>
      <c r="D2707">
        <f>IF(Skills!C14=1,60+Inputs!$B$25+Inputs!$B$29,IF(Skills!C14=2,90+Inputs!$B$26+Inputs!$B$29,IF(Skills!C14=3,120+Inputs!$B$27+Inputs!$B$29,MAX(0,(Inputs!$B$3-100)*3)+Inputs!$B$28+Inputs!$B$29)))</f>
        <v/>
      </c>
      <c r="E2707">
        <f>INDEX(FactorTable!$B$2:$Y$301, MATCH(ROUND(MIN(300,MAX(1,D2707)),0), FactorTable!$A$2:$A$301,0), Skills!M14+1)</f>
        <v/>
      </c>
      <c r="F2707">
        <f>IF(Skills!N14=TRUE,(Skills!L14/10)*(E2707/1000),Skills!L14/10)+Skills!O14</f>
        <v/>
      </c>
      <c r="G2707">
        <f>Skills!G14*IF(Skills!H14&gt;0,Skills!I14/Skills!H14,1)</f>
        <v/>
      </c>
      <c r="H2707">
        <f>1-(1-Skills!J14/100)^Skills!K14</f>
        <v/>
      </c>
      <c r="I2707" t="inlineStr">
        <is>
          <t>1</t>
        </is>
      </c>
      <c r="J2707" t="inlineStr"/>
      <c r="K2707" t="inlineStr"/>
      <c r="L2707" t="inlineStr"/>
      <c r="M2707" t="inlineStr"/>
      <c r="N2707" t="inlineStr"/>
      <c r="O2707">
        <f>(1-Summary!$B$11)*T2707+Summary!$B$11*V2707</f>
        <v/>
      </c>
      <c r="P2707">
        <f>IF(B2736=0,0,O2707/B2736)</f>
        <v/>
      </c>
      <c r="Q2707" t="n">
        <v>0</v>
      </c>
      <c r="R2707" t="n">
        <v>0</v>
      </c>
      <c r="S2707">
        <f>IFERROR(O2707/N2707,0)</f>
        <v/>
      </c>
      <c r="T2707" t="n">
        <v>0</v>
      </c>
      <c r="V2707" t="n">
        <v>0</v>
      </c>
    </row>
    <row r="2708">
      <c r="A2708">
        <f>Skills!A15</f>
        <v/>
      </c>
      <c r="B2708">
        <f>Skills!B15</f>
        <v/>
      </c>
      <c r="C2708">
        <f>Inputs!$B$3&gt;=117</f>
        <v/>
      </c>
      <c r="D2708">
        <f>IF(Skills!C15=1,60+Inputs!$B$25+Inputs!$B$29,IF(Skills!C15=2,90+Inputs!$B$26+Inputs!$B$29,IF(Skills!C15=3,120+Inputs!$B$27+Inputs!$B$29,MAX(0,(Inputs!$B$3-100)*3)+Inputs!$B$28+Inputs!$B$29)))</f>
        <v/>
      </c>
      <c r="E2708">
        <f>INDEX(FactorTable!$B$2:$Y$301, MATCH(ROUND(MIN(300,MAX(1,D2708)),0), FactorTable!$A$2:$A$301,0), Skills!M15+1)</f>
        <v/>
      </c>
      <c r="F2708">
        <f>IF(Skills!N15=TRUE,(Skills!L15/10)*(E2708/1000),Skills!L15/10)+Skills!O15</f>
        <v/>
      </c>
      <c r="G2708">
        <f>Skills!G15*IF(Skills!H15&gt;0,Skills!I15/Skills!H15,1)</f>
        <v/>
      </c>
      <c r="H2708">
        <f>1-(1-Skills!J15/100)^Skills!K15</f>
        <v/>
      </c>
      <c r="I2708" t="inlineStr">
        <is>
          <t>1</t>
        </is>
      </c>
      <c r="J2708" t="inlineStr"/>
      <c r="K2708" t="inlineStr"/>
      <c r="L2708" t="inlineStr"/>
      <c r="M2708" t="inlineStr"/>
      <c r="N2708" t="inlineStr"/>
      <c r="O2708">
        <f>(1-Summary!$B$11)*T2708+Summary!$B$11*V2708</f>
        <v/>
      </c>
      <c r="P2708">
        <f>IF(B2736=0,0,O2708/B2736)</f>
        <v/>
      </c>
      <c r="Q2708">
        <f>IFERROR(1/(IF(Inputs!$B$38="pvp",15,MAX(0.1,Skills!D15-IF(Skills!E15=TRUE,Inputs!$B$32,0)))*(1-IF(AND(ArtifactsInput!$M$27,Inputs!$B$4="Chapter Hunt"),CHOOSE(ArtifactsInput!$N$27+1,20,24,28,32,36,40),0)/100)),0)</f>
        <v/>
      </c>
      <c r="R2708">
        <f>IF(AND(Inputs!$B$38&lt;&gt;"pvp",Inputs!$B$43&gt;0),IF(Inputs!$B$43&lt;=0,0,(INT(Inputs!$B$43/(IF(Inputs!$B$38="pvp",15,MAX(0.1,Skills!D15-IF(Skills!E15=TRUE,Inputs!$B$32,0)))*(1-IF(AND(ArtifactsInput!$M$27,Inputs!$B$4="Chapter Hunt"),CHOOSE(ArtifactsInput!$N$27+1,20,24,28,32,36,40),0)/100)))+1)),0)</f>
        <v/>
      </c>
      <c r="S2708">
        <f>IFERROR(O2708/N2708,0)</f>
        <v/>
      </c>
      <c r="T2708" t="n">
        <v>0</v>
      </c>
      <c r="V2708" t="n">
        <v>0</v>
      </c>
    </row>
    <row r="2709">
      <c r="A2709">
        <f>Skills!A16</f>
        <v/>
      </c>
      <c r="B2709">
        <f>Skills!B16</f>
        <v/>
      </c>
      <c r="C2709">
        <f>Inputs!$B$3&gt;=115</f>
        <v/>
      </c>
      <c r="D2709">
        <f>IF(Skills!C16=1,60+Inputs!$B$25+Inputs!$B$29,IF(Skills!C16=2,90+Inputs!$B$26+Inputs!$B$29,IF(Skills!C16=3,120+Inputs!$B$27+Inputs!$B$29,MAX(0,(Inputs!$B$3-100)*3)+Inputs!$B$28+Inputs!$B$29)))</f>
        <v/>
      </c>
      <c r="E2709">
        <f>INDEX(FactorTable!$B$2:$Y$301, MATCH(ROUND(MIN(300,MAX(1,D2709)),0), FactorTable!$A$2:$A$301,0), Skills!M16+1)</f>
        <v/>
      </c>
      <c r="F2709">
        <f>IF(Skills!N16=TRUE,(Skills!L16/10)*(E2709/1000),Skills!L16/10)+Skills!O16</f>
        <v/>
      </c>
      <c r="G2709">
        <f>Skills!G16*IF(Skills!H16&gt;0,Skills!I16/Skills!H16,1)</f>
        <v/>
      </c>
      <c r="H2709">
        <f>1-(1-Skills!J16/100)^Skills!K16</f>
        <v/>
      </c>
      <c r="I2709" t="inlineStr">
        <is>
          <t>1</t>
        </is>
      </c>
      <c r="J2709" t="inlineStr"/>
      <c r="K2709" t="inlineStr"/>
      <c r="L2709" t="inlineStr"/>
      <c r="M2709" t="inlineStr"/>
      <c r="N2709" t="inlineStr"/>
      <c r="O2709">
        <f>(1-Summary!$B$11)*T2709+Summary!$B$11*V2709</f>
        <v/>
      </c>
      <c r="P2709">
        <f>IF(B2736=0,0,O2709/B2736)</f>
        <v/>
      </c>
      <c r="Q2709">
        <f>IFERROR(1/(IF(Inputs!$B$38="pvp",15,MAX(0.1,Skills!D16-IF(Skills!E16=TRUE,Inputs!$B$32,0)))*(1-IF(AND(ArtifactsInput!$M$27,Inputs!$B$4="Chapter Hunt"),CHOOSE(ArtifactsInput!$N$27+1,20,24,28,32,36,40),0)/100)),0)</f>
        <v/>
      </c>
      <c r="R2709">
        <f>IF(AND(Inputs!$B$38&lt;&gt;"pvp",Inputs!$B$43&gt;0),IF(Inputs!$B$43&lt;=0,0,(INT(Inputs!$B$43/(IF(Inputs!$B$38="pvp",15,MAX(0.1,Skills!D16-IF(Skills!E16=TRUE,Inputs!$B$32,0)))*(1-IF(AND(ArtifactsInput!$M$27,Inputs!$B$4="Chapter Hunt"),CHOOSE(ArtifactsInput!$N$27+1,20,24,28,32,36,40),0)/100)))+1)),0)</f>
        <v/>
      </c>
      <c r="S2709">
        <f>IFERROR(O2709/N2709,0)</f>
        <v/>
      </c>
      <c r="T2709" t="n">
        <v>0</v>
      </c>
      <c r="V2709" t="n">
        <v>0</v>
      </c>
    </row>
    <row r="2710">
      <c r="A2710">
        <f>Skills!A17</f>
        <v/>
      </c>
      <c r="B2710">
        <f>Skills!B17</f>
        <v/>
      </c>
      <c r="C2710">
        <f>Inputs!$B$3&gt;=66</f>
        <v/>
      </c>
      <c r="D2710">
        <f>IF(Skills!C17=1,60+Inputs!$B$25+Inputs!$B$29,IF(Skills!C17=2,90+Inputs!$B$26+Inputs!$B$29,IF(Skills!C17=3,120+Inputs!$B$27+Inputs!$B$29,MAX(0,(Inputs!$B$3-100)*3)+Inputs!$B$28+Inputs!$B$29)))</f>
        <v/>
      </c>
      <c r="E2710">
        <f>INDEX(FactorTable!$B$2:$Y$301, MATCH(ROUND(MIN(300,MAX(1,D2710)),0), FactorTable!$A$2:$A$301,0), Skills!M17+1)</f>
        <v/>
      </c>
      <c r="F2710">
        <f>IF(Skills!N17=TRUE,(Skills!L17/10)*(E2710/1000),Skills!L17/10)+Skills!O17</f>
        <v/>
      </c>
      <c r="G2710">
        <f>Skills!G17*IF(Skills!H17&gt;0,Skills!I17/Skills!H17,1)</f>
        <v/>
      </c>
      <c r="H2710">
        <f>1-(1-Skills!J17/100)^Skills!K17</f>
        <v/>
      </c>
      <c r="I2710" t="inlineStr">
        <is>
          <t>1</t>
        </is>
      </c>
      <c r="J2710" t="inlineStr"/>
      <c r="K2710" t="inlineStr"/>
      <c r="L2710" t="inlineStr"/>
      <c r="M2710" t="inlineStr"/>
      <c r="N2710" t="inlineStr"/>
      <c r="O2710">
        <f>(1-Summary!$B$11)*T2710+Summary!$B$11*V2710</f>
        <v/>
      </c>
      <c r="P2710">
        <f>IF(B2736=0,0,O2710/B2736)</f>
        <v/>
      </c>
      <c r="Q2710" t="n">
        <v>0</v>
      </c>
      <c r="R2710" t="n">
        <v>0</v>
      </c>
      <c r="S2710">
        <f>IFERROR(O2710/N2710,0)</f>
        <v/>
      </c>
      <c r="T2710" t="n">
        <v>0</v>
      </c>
      <c r="V2710" t="n">
        <v>0</v>
      </c>
    </row>
    <row r="2711">
      <c r="A2711">
        <f>Skills!A18</f>
        <v/>
      </c>
      <c r="B2711">
        <f>Skills!B18</f>
        <v/>
      </c>
      <c r="C2711">
        <f>Inputs!$B$3&gt;=72</f>
        <v/>
      </c>
      <c r="D2711">
        <f>IF(Skills!C18=1,60+Inputs!$B$25+Inputs!$B$29,IF(Skills!C18=2,90+Inputs!$B$26+Inputs!$B$29,IF(Skills!C18=3,120+Inputs!$B$27+Inputs!$B$29,MAX(0,(Inputs!$B$3-100)*3)+Inputs!$B$28+Inputs!$B$29)))</f>
        <v/>
      </c>
      <c r="E2711">
        <f>INDEX(FactorTable!$B$2:$Y$301, MATCH(ROUND(MIN(300,MAX(1,D2711)),0), FactorTable!$A$2:$A$301,0), Skills!M18+1)</f>
        <v/>
      </c>
      <c r="F2711">
        <f>IF(Skills!N18=TRUE,(Skills!L18/10)*(E2711/1000),Skills!L18/10)+Skills!O18</f>
        <v/>
      </c>
      <c r="G2711">
        <f>Skills!G18*IF(Skills!H18&gt;0,Skills!I18/Skills!H18,1)</f>
        <v/>
      </c>
      <c r="H2711">
        <f>1-(1-Skills!J18/100)^Skills!K18</f>
        <v/>
      </c>
      <c r="I2711" t="inlineStr">
        <is>
          <t>1</t>
        </is>
      </c>
      <c r="J2711" t="inlineStr"/>
      <c r="K2711" t="inlineStr"/>
      <c r="L2711" t="inlineStr"/>
      <c r="M2711" t="inlineStr"/>
      <c r="N2711" t="inlineStr"/>
      <c r="O2711">
        <f>(1-Summary!$B$11)*T2711+Summary!$B$11*V2711</f>
        <v/>
      </c>
      <c r="P2711">
        <f>IF(B2736=0,0,O2711/B2736)</f>
        <v/>
      </c>
      <c r="Q2711" t="n">
        <v>0</v>
      </c>
      <c r="R2711" t="n">
        <v>0</v>
      </c>
      <c r="S2711">
        <f>IFERROR(O2711/N2711,0)</f>
        <v/>
      </c>
      <c r="T2711" t="n">
        <v>0</v>
      </c>
      <c r="V2711" t="n">
        <v>0</v>
      </c>
    </row>
    <row r="2712">
      <c r="A2712">
        <f>Skills!A19</f>
        <v/>
      </c>
      <c r="B2712">
        <f>Skills!B19</f>
        <v/>
      </c>
      <c r="C2712">
        <f>TRUE</f>
        <v/>
      </c>
      <c r="D2712">
        <f>IF(Skills!C19=1,60+Inputs!$B$25+Inputs!$B$29,IF(Skills!C19=2,90+Inputs!$B$26+Inputs!$B$29,IF(Skills!C19=3,120+Inputs!$B$27+Inputs!$B$29,MAX(0,(Inputs!$B$3-100)*3)+Inputs!$B$28+Inputs!$B$29)))</f>
        <v/>
      </c>
      <c r="E2712">
        <f>INDEX(FactorTable!$B$2:$Y$301, MATCH(ROUND(MIN(300,MAX(1,D2712)),0), FactorTable!$A$2:$A$301,0), Skills!M19+1)</f>
        <v/>
      </c>
      <c r="F2712">
        <f>IF(Skills!N19=TRUE,(Skills!L19/10)*(E2712/1000),Skills!L19/10)+Skills!O19</f>
        <v/>
      </c>
      <c r="G2712">
        <f>Skills!G19*IF(Skills!H19&gt;0,Skills!I19/Skills!H19,1)</f>
        <v/>
      </c>
      <c r="H2712">
        <f>1-(1-Skills!J19/100)^Skills!K19</f>
        <v/>
      </c>
      <c r="I2712" t="inlineStr">
        <is>
          <t>1</t>
        </is>
      </c>
      <c r="J2712" t="inlineStr"/>
      <c r="K2712" t="inlineStr"/>
      <c r="L2712" t="inlineStr"/>
      <c r="M2712" t="inlineStr"/>
      <c r="N2712" t="inlineStr"/>
      <c r="O2712">
        <f>(1-Summary!$B$11)*T2712+Summary!$B$11*V2712</f>
        <v/>
      </c>
      <c r="P2712">
        <f>IF(B2736=0,0,O2712/B2736)</f>
        <v/>
      </c>
      <c r="Q2712">
        <f>IFERROR(1/(IF(Inputs!$B$38="pvp",15,MAX(0.1,Skills!D19-IF(Skills!E19=TRUE,Inputs!$B$32,0)))*(1-IF(AND(ArtifactsInput!$M$27,Inputs!$B$4="Chapter Hunt"),CHOOSE(ArtifactsInput!$N$27+1,20,24,28,32,36,40),0)/100)),0)</f>
        <v/>
      </c>
      <c r="R2712">
        <f>IF(AND(Inputs!$B$38&lt;&gt;"pvp",Inputs!$B$43&gt;0),IF(Inputs!$B$43&lt;=0,0,(INT(Inputs!$B$43/(IF(Inputs!$B$38="pvp",15,MAX(0.1,Skills!D19-IF(Skills!E19=TRUE,Inputs!$B$32,0)))*(1-IF(AND(ArtifactsInput!$M$27,Inputs!$B$4="Chapter Hunt"),CHOOSE(ArtifactsInput!$N$27+1,20,24,28,32,36,40),0)/100)))+1)),0)</f>
        <v/>
      </c>
      <c r="S2712">
        <f>IFERROR(O2712/N2712,0)</f>
        <v/>
      </c>
      <c r="T2712" t="n">
        <v>0</v>
      </c>
      <c r="V2712" t="n">
        <v>0</v>
      </c>
    </row>
    <row r="2713">
      <c r="A2713">
        <f>Skills!A20</f>
        <v/>
      </c>
      <c r="B2713">
        <f>Skills!B20</f>
        <v/>
      </c>
      <c r="C2713">
        <f>Inputs!$B$3&gt;=15</f>
        <v/>
      </c>
      <c r="D2713">
        <f>IF(Skills!C20=1,60+Inputs!$B$25+Inputs!$B$29,IF(Skills!C20=2,90+Inputs!$B$26+Inputs!$B$29,IF(Skills!C20=3,120+Inputs!$B$27+Inputs!$B$29,MAX(0,(Inputs!$B$3-100)*3)+Inputs!$B$28+Inputs!$B$29)))</f>
        <v/>
      </c>
      <c r="E2713">
        <f>INDEX(FactorTable!$B$2:$Y$301, MATCH(ROUND(MIN(300,MAX(1,D2713)),0), FactorTable!$A$2:$A$301,0), Skills!M20+1)</f>
        <v/>
      </c>
      <c r="F2713">
        <f>IF(Skills!N20=TRUE,(Skills!L20/10)*(E2713/1000),Skills!L20/10)+Skills!O20</f>
        <v/>
      </c>
      <c r="G2713">
        <f>Skills!G20*IF(Skills!H20&gt;0,Skills!I20/Skills!H20,1)</f>
        <v/>
      </c>
      <c r="H2713">
        <f>1-(1-Skills!J20/100)^Skills!K20</f>
        <v/>
      </c>
      <c r="I2713" t="inlineStr">
        <is>
          <t>1</t>
        </is>
      </c>
      <c r="J2713" t="inlineStr"/>
      <c r="K2713" t="inlineStr"/>
      <c r="L2713" t="inlineStr"/>
      <c r="M2713" t="inlineStr"/>
      <c r="N2713" t="inlineStr"/>
      <c r="O2713">
        <f>(1-Summary!$B$11)*T2713+Summary!$B$11*V2713</f>
        <v/>
      </c>
      <c r="P2713">
        <f>IF(B2736=0,0,O2713/B2736)</f>
        <v/>
      </c>
      <c r="Q2713" t="n">
        <v>0</v>
      </c>
      <c r="R2713" t="n">
        <v>0</v>
      </c>
      <c r="S2713">
        <f>IFERROR(O2713/N2713,0)</f>
        <v/>
      </c>
      <c r="T2713" t="n">
        <v>0</v>
      </c>
      <c r="V2713" t="n">
        <v>0</v>
      </c>
    </row>
    <row r="2714">
      <c r="A2714">
        <f>Skills!A21</f>
        <v/>
      </c>
      <c r="B2714">
        <f>Skills!B21</f>
        <v/>
      </c>
      <c r="C2714">
        <f>Inputs!$B$3&gt;=10</f>
        <v/>
      </c>
      <c r="D2714">
        <f>IF(Skills!C21=1,60+Inputs!$B$25+Inputs!$B$29,IF(Skills!C21=2,90+Inputs!$B$26+Inputs!$B$29,IF(Skills!C21=3,120+Inputs!$B$27+Inputs!$B$29,MAX(0,(Inputs!$B$3-100)*3)+Inputs!$B$28+Inputs!$B$29)))</f>
        <v/>
      </c>
      <c r="E2714">
        <f>INDEX(FactorTable!$B$2:$Y$301, MATCH(ROUND(MIN(300,MAX(1,D2714)),0), FactorTable!$A$2:$A$301,0), Skills!M21+1)</f>
        <v/>
      </c>
      <c r="F2714">
        <f>IF(Skills!N21=TRUE,(Skills!L21/10)*(E2714/1000),Skills!L21/10)+Skills!O21</f>
        <v/>
      </c>
      <c r="G2714">
        <f>Skills!G21*IF(Skills!H21&gt;0,Skills!I21/Skills!H21,1)</f>
        <v/>
      </c>
      <c r="H2714">
        <f>1-(1-Skills!J21/100)^Skills!K21</f>
        <v/>
      </c>
      <c r="I2714" t="inlineStr">
        <is>
          <t>1</t>
        </is>
      </c>
      <c r="J2714" t="inlineStr"/>
      <c r="K2714" t="inlineStr"/>
      <c r="L2714" t="inlineStr"/>
      <c r="M2714" t="inlineStr"/>
      <c r="N2714" t="inlineStr"/>
      <c r="O2714">
        <f>(1-Summary!$B$11)*T2714+Summary!$B$11*V2714</f>
        <v/>
      </c>
      <c r="P2714">
        <f>IF(B2736=0,0,O2714/B2736)</f>
        <v/>
      </c>
      <c r="Q2714" t="n">
        <v>0</v>
      </c>
      <c r="R2714" t="n">
        <v>0</v>
      </c>
      <c r="S2714">
        <f>IFERROR(O2714/N2714,0)</f>
        <v/>
      </c>
      <c r="T2714" t="n">
        <v>0</v>
      </c>
      <c r="V2714" t="n">
        <v>0</v>
      </c>
    </row>
    <row r="2715">
      <c r="A2715">
        <f>Skills!A22</f>
        <v/>
      </c>
      <c r="B2715">
        <f>Skills!B22</f>
        <v/>
      </c>
      <c r="C2715">
        <f>Inputs!$B$3&gt;=33</f>
        <v/>
      </c>
      <c r="D2715">
        <f>IF(Skills!C22=1,60+Inputs!$B$25+Inputs!$B$29,IF(Skills!C22=2,90+Inputs!$B$26+Inputs!$B$29,IF(Skills!C22=3,120+Inputs!$B$27+Inputs!$B$29,MAX(0,(Inputs!$B$3-100)*3)+Inputs!$B$28+Inputs!$B$29)))</f>
        <v/>
      </c>
      <c r="E2715">
        <f>INDEX(FactorTable!$B$2:$Y$301, MATCH(ROUND(MIN(300,MAX(1,D2715)),0), FactorTable!$A$2:$A$301,0), Skills!M22+1)</f>
        <v/>
      </c>
      <c r="F2715">
        <f>IF(Skills!N22=TRUE,(Skills!L22/10)*(E2715/1000),Skills!L22/10)+Skills!O22</f>
        <v/>
      </c>
      <c r="G2715">
        <f>Skills!G22*IF(Skills!H22&gt;0,Skills!I22/Skills!H22,1)</f>
        <v/>
      </c>
      <c r="H2715">
        <f>1-(1-Skills!J22/100)^Skills!K22</f>
        <v/>
      </c>
      <c r="I2715" t="inlineStr">
        <is>
          <t>1</t>
        </is>
      </c>
      <c r="J2715" t="inlineStr"/>
      <c r="K2715" t="inlineStr"/>
      <c r="L2715" t="inlineStr"/>
      <c r="M2715" t="inlineStr"/>
      <c r="N2715" t="inlineStr"/>
      <c r="O2715">
        <f>(1-Summary!$B$11)*T2715+Summary!$B$11*V2715</f>
        <v/>
      </c>
      <c r="P2715">
        <f>IF(B2736=0,0,O2715/B2736)</f>
        <v/>
      </c>
      <c r="Q2715" t="n">
        <v>0</v>
      </c>
      <c r="R2715" t="n">
        <v>0</v>
      </c>
      <c r="S2715">
        <f>IFERROR(O2715/N2715,0)</f>
        <v/>
      </c>
      <c r="T2715" t="n">
        <v>0</v>
      </c>
      <c r="V2715" t="n">
        <v>0</v>
      </c>
    </row>
    <row r="2716">
      <c r="A2716">
        <f>Skills!A23</f>
        <v/>
      </c>
      <c r="B2716">
        <f>Skills!B23</f>
        <v/>
      </c>
      <c r="C2716">
        <f>Inputs!$B$3&gt;=38</f>
        <v/>
      </c>
      <c r="D2716">
        <f>IF(Skills!C23=1,60+Inputs!$B$25+Inputs!$B$29,IF(Skills!C23=2,90+Inputs!$B$26+Inputs!$B$29,IF(Skills!C23=3,120+Inputs!$B$27+Inputs!$B$29,MAX(0,(Inputs!$B$3-100)*3)+Inputs!$B$28+Inputs!$B$29)))</f>
        <v/>
      </c>
      <c r="E2716">
        <f>INDEX(FactorTable!$B$2:$Y$301, MATCH(ROUND(MIN(300,MAX(1,D2716)),0), FactorTable!$A$2:$A$301,0), Skills!M23+1)</f>
        <v/>
      </c>
      <c r="F2716">
        <f>IF(Skills!N23=TRUE,(Skills!L23/10)*(E2716/1000),Skills!L23/10)+Skills!O23</f>
        <v/>
      </c>
      <c r="G2716">
        <f>Skills!G23*IF(Skills!H23&gt;0,Skills!I23/Skills!H23,1)</f>
        <v/>
      </c>
      <c r="H2716">
        <f>1-(1-Skills!J23/100)^Skills!K23</f>
        <v/>
      </c>
      <c r="I2716" t="inlineStr">
        <is>
          <t>1</t>
        </is>
      </c>
      <c r="J2716" t="inlineStr"/>
      <c r="K2716" t="inlineStr"/>
      <c r="L2716" t="inlineStr"/>
      <c r="M2716" t="inlineStr"/>
      <c r="N2716" t="inlineStr"/>
      <c r="O2716">
        <f>(1-Summary!$B$11)*T2716+Summary!$B$11*V2716</f>
        <v/>
      </c>
      <c r="P2716">
        <f>IF(B2736=0,0,O2716/B2736)</f>
        <v/>
      </c>
      <c r="Q2716" t="n">
        <v>0</v>
      </c>
      <c r="R2716" t="n">
        <v>0</v>
      </c>
      <c r="S2716">
        <f>IFERROR(O2716/N2716,0)</f>
        <v/>
      </c>
      <c r="T2716" t="n">
        <v>0</v>
      </c>
      <c r="V2716" t="n">
        <v>0</v>
      </c>
    </row>
    <row r="2717">
      <c r="A2717">
        <f>Skills!A24</f>
        <v/>
      </c>
      <c r="B2717">
        <f>Skills!B24</f>
        <v/>
      </c>
      <c r="C2717">
        <f>Inputs!$B$3&gt;=43</f>
        <v/>
      </c>
      <c r="D2717">
        <f>IF(Skills!C24=1,60+Inputs!$B$25+Inputs!$B$29,IF(Skills!C24=2,90+Inputs!$B$26+Inputs!$B$29,IF(Skills!C24=3,120+Inputs!$B$27+Inputs!$B$29,MAX(0,(Inputs!$B$3-100)*3)+Inputs!$B$28+Inputs!$B$29)))</f>
        <v/>
      </c>
      <c r="E2717">
        <f>INDEX(FactorTable!$B$2:$Y$301, MATCH(ROUND(MIN(300,MAX(1,D2717)),0), FactorTable!$A$2:$A$301,0), Skills!M24+1)</f>
        <v/>
      </c>
      <c r="F2717">
        <f>IF(Skills!N24=TRUE,(Skills!L24/10)*(E2717/1000),Skills!L24/10)+Skills!O24</f>
        <v/>
      </c>
      <c r="G2717">
        <f>Skills!G24*IF(Skills!H24&gt;0,Skills!I24/Skills!H24,1)</f>
        <v/>
      </c>
      <c r="H2717">
        <f>1-(1-Skills!J24/100)^Skills!K24</f>
        <v/>
      </c>
      <c r="I2717" t="inlineStr">
        <is>
          <t>1</t>
        </is>
      </c>
      <c r="J2717" t="inlineStr"/>
      <c r="K2717" t="inlineStr"/>
      <c r="L2717" t="inlineStr"/>
      <c r="M2717" t="inlineStr"/>
      <c r="N2717" t="inlineStr"/>
      <c r="O2717">
        <f>(1-Summary!$B$11)*T2717+Summary!$B$11*V2717</f>
        <v/>
      </c>
      <c r="P2717">
        <f>IF(B2736=0,0,O2717/B2736)</f>
        <v/>
      </c>
      <c r="Q2717" t="n">
        <v>0</v>
      </c>
      <c r="R2717" t="n">
        <v>0</v>
      </c>
      <c r="S2717">
        <f>IFERROR(O2717/N2717,0)</f>
        <v/>
      </c>
      <c r="T2717" t="n">
        <v>0</v>
      </c>
      <c r="V2717" t="n">
        <v>0</v>
      </c>
    </row>
    <row r="2718">
      <c r="A2718">
        <f>Skills!A25</f>
        <v/>
      </c>
      <c r="B2718">
        <f>Skills!B25</f>
        <v/>
      </c>
      <c r="C2718">
        <f>Inputs!$B$3&gt;=75</f>
        <v/>
      </c>
      <c r="D2718">
        <f>IF(Skills!C25=1,60+Inputs!$B$25+Inputs!$B$29,IF(Skills!C25=2,90+Inputs!$B$26+Inputs!$B$29,IF(Skills!C25=3,120+Inputs!$B$27+Inputs!$B$29,MAX(0,(Inputs!$B$3-100)*3)+Inputs!$B$28+Inputs!$B$29)))</f>
        <v/>
      </c>
      <c r="E2718">
        <f>INDEX(FactorTable!$B$2:$Y$301, MATCH(ROUND(MIN(300,MAX(1,D2718)),0), FactorTable!$A$2:$A$301,0), Skills!M25+1)</f>
        <v/>
      </c>
      <c r="F2718">
        <f>IF(Skills!N25=TRUE,(Skills!L25/10)*(E2718/1000),Skills!L25/10)+Skills!O25</f>
        <v/>
      </c>
      <c r="G2718">
        <f>Skills!G25*IF(Skills!H25&gt;0,Skills!I25/Skills!H25,1)</f>
        <v/>
      </c>
      <c r="H2718">
        <f>1-(1-Skills!J25/100)^Skills!K25</f>
        <v/>
      </c>
      <c r="I2718" t="inlineStr">
        <is>
          <t>1</t>
        </is>
      </c>
      <c r="J2718" t="inlineStr"/>
      <c r="K2718" t="inlineStr"/>
      <c r="L2718" t="inlineStr"/>
      <c r="M2718" t="inlineStr"/>
      <c r="N2718" t="inlineStr"/>
      <c r="O2718">
        <f>(1-Summary!$B$11)*T2718+Summary!$B$11*V2718</f>
        <v/>
      </c>
      <c r="P2718">
        <f>IF(B2736=0,0,O2718/B2736)</f>
        <v/>
      </c>
      <c r="Q2718" t="n">
        <v>0</v>
      </c>
      <c r="R2718" t="n">
        <v>0</v>
      </c>
      <c r="S2718">
        <f>IFERROR(O2718/N2718,0)</f>
        <v/>
      </c>
      <c r="T2718" t="n">
        <v>0</v>
      </c>
      <c r="V2718" t="n">
        <v>0</v>
      </c>
    </row>
    <row r="2719">
      <c r="A2719">
        <f>Skills!A26</f>
        <v/>
      </c>
      <c r="B2719">
        <f>Skills!B26</f>
        <v/>
      </c>
      <c r="C2719">
        <f>Inputs!$B$3&gt;=125</f>
        <v/>
      </c>
      <c r="D2719">
        <f>IF(Skills!C26=1,60+Inputs!$B$25+Inputs!$B$29,IF(Skills!C26=2,90+Inputs!$B$26+Inputs!$B$29,IF(Skills!C26=3,120+Inputs!$B$27+Inputs!$B$29,MAX(0,(Inputs!$B$3-100)*3)+Inputs!$B$28+Inputs!$B$29)))</f>
        <v/>
      </c>
      <c r="E2719">
        <f>INDEX(FactorTable!$B$2:$Y$301, MATCH(ROUND(MIN(300,MAX(1,D2719)),0), FactorTable!$A$2:$A$301,0), Skills!M26+1)</f>
        <v/>
      </c>
      <c r="F2719">
        <f>IF(Skills!N26=TRUE,(Skills!L26/10)*(E2719/1000),Skills!L26/10)+Skills!O26</f>
        <v/>
      </c>
      <c r="G2719">
        <f>Skills!G26*IF(Skills!H26&gt;0,Skills!I26/Skills!H26,1)</f>
        <v/>
      </c>
      <c r="H2719">
        <f>1-(1-Skills!J26/100)^Skills!K26</f>
        <v/>
      </c>
      <c r="I2719" t="inlineStr">
        <is>
          <t>1</t>
        </is>
      </c>
      <c r="J2719" t="inlineStr"/>
      <c r="K2719" t="inlineStr"/>
      <c r="L2719" t="inlineStr"/>
      <c r="M2719" t="inlineStr"/>
      <c r="N2719" t="inlineStr"/>
      <c r="O2719">
        <f>(1-Summary!$B$11)*T2719+Summary!$B$11*V2719</f>
        <v/>
      </c>
      <c r="P2719">
        <f>IF(B2736=0,0,O2719/B2736)</f>
        <v/>
      </c>
      <c r="Q2719" t="n">
        <v>0</v>
      </c>
      <c r="R2719" t="n">
        <v>0</v>
      </c>
      <c r="S2719">
        <f>IFERROR(O2719/N2719,0)</f>
        <v/>
      </c>
      <c r="T2719" t="n">
        <v>0</v>
      </c>
      <c r="V2719" t="n">
        <v>0</v>
      </c>
    </row>
    <row r="2720">
      <c r="A2720">
        <f>Skills!A27</f>
        <v/>
      </c>
      <c r="B2720">
        <f>Skills!B27</f>
        <v/>
      </c>
      <c r="C2720">
        <f>Inputs!$B$3&gt;=125</f>
        <v/>
      </c>
      <c r="D2720">
        <f>IF(Skills!C27=1,60+Inputs!$B$25+Inputs!$B$29,IF(Skills!C27=2,90+Inputs!$B$26+Inputs!$B$29,IF(Skills!C27=3,120+Inputs!$B$27+Inputs!$B$29,MAX(0,(Inputs!$B$3-100)*3)+Inputs!$B$28+Inputs!$B$29)))</f>
        <v/>
      </c>
      <c r="E2720">
        <f>INDEX(FactorTable!$B$2:$Y$301, MATCH(ROUND(MIN(300,MAX(1,D2720)),0), FactorTable!$A$2:$A$301,0), Skills!M27+1)</f>
        <v/>
      </c>
      <c r="F2720">
        <f>IF(Skills!N27=TRUE,(Skills!L27/10)*(E2720/1000),Skills!L27/10)+Skills!O27</f>
        <v/>
      </c>
      <c r="G2720">
        <f>Skills!G27*IF(Skills!H27&gt;0,Skills!I27/Skills!H27,1)</f>
        <v/>
      </c>
      <c r="H2720">
        <f>1-(1-Skills!J27/100)^Skills!K27</f>
        <v/>
      </c>
      <c r="I2720" t="inlineStr">
        <is>
          <t>1</t>
        </is>
      </c>
      <c r="J2720" t="inlineStr"/>
      <c r="K2720" t="inlineStr"/>
      <c r="L2720" t="inlineStr"/>
      <c r="M2720" t="inlineStr"/>
      <c r="N2720" t="inlineStr"/>
      <c r="O2720">
        <f>(1-Summary!$B$11)*T2720+Summary!$B$11*V2720</f>
        <v/>
      </c>
      <c r="P2720">
        <f>IF(B2736=0,0,O2720/B2736)</f>
        <v/>
      </c>
      <c r="Q2720" t="n">
        <v>0</v>
      </c>
      <c r="R2720" t="n">
        <v>0</v>
      </c>
      <c r="S2720">
        <f>IFERROR(O2720/N2720,0)</f>
        <v/>
      </c>
      <c r="T2720" t="n">
        <v>0</v>
      </c>
      <c r="V2720" t="n">
        <v>0</v>
      </c>
    </row>
    <row r="2721">
      <c r="A2721">
        <f>Skills!A28</f>
        <v/>
      </c>
      <c r="B2721">
        <f>Skills!B28</f>
        <v/>
      </c>
      <c r="C2721">
        <f>Inputs!$B$3&gt;=120</f>
        <v/>
      </c>
      <c r="D2721">
        <f>IF(Skills!C28=1,60+Inputs!$B$25+Inputs!$B$29,IF(Skills!C28=2,90+Inputs!$B$26+Inputs!$B$29,IF(Skills!C28=3,120+Inputs!$B$27+Inputs!$B$29,MAX(0,(Inputs!$B$3-100)*3)+Inputs!$B$28+Inputs!$B$29)))</f>
        <v/>
      </c>
      <c r="E2721">
        <f>INDEX(FactorTable!$B$2:$Y$301, MATCH(ROUND(MIN(300,MAX(1,D2721)),0), FactorTable!$A$2:$A$301,0), Skills!M28+1)</f>
        <v/>
      </c>
      <c r="F2721">
        <f>IF(Skills!N28=TRUE,(Skills!L28/10)*(E2721/1000),Skills!L28/10)+Skills!O28</f>
        <v/>
      </c>
      <c r="G2721">
        <f>Skills!G28*IF(Skills!H28&gt;0,Skills!I28/Skills!H28,1)</f>
        <v/>
      </c>
      <c r="H2721">
        <f>1-(1-Skills!J28/100)^Skills!K28</f>
        <v/>
      </c>
      <c r="I2721" t="inlineStr">
        <is>
          <t>1</t>
        </is>
      </c>
      <c r="J2721" t="inlineStr"/>
      <c r="K2721" t="inlineStr"/>
      <c r="L2721" t="inlineStr"/>
      <c r="M2721" t="inlineStr"/>
      <c r="N2721" t="inlineStr"/>
      <c r="O2721">
        <f>(1-Summary!$B$11)*T2721+Summary!$B$11*V2721</f>
        <v/>
      </c>
      <c r="P2721">
        <f>IF(B2736=0,0,O2721/B2736)</f>
        <v/>
      </c>
      <c r="Q2721" t="n">
        <v>0</v>
      </c>
      <c r="R2721" t="n">
        <v>0</v>
      </c>
      <c r="S2721">
        <f>IFERROR(O2721/N2721,0)</f>
        <v/>
      </c>
      <c r="T2721" t="n">
        <v>0</v>
      </c>
      <c r="V2721" t="n">
        <v>0</v>
      </c>
    </row>
    <row r="2722">
      <c r="A2722">
        <f>Skills!A29</f>
        <v/>
      </c>
      <c r="B2722">
        <f>Skills!B29</f>
        <v/>
      </c>
      <c r="C2722">
        <f>Inputs!$B$3&gt;=120</f>
        <v/>
      </c>
      <c r="D2722">
        <f>IF(Skills!C29=1,60+Inputs!$B$25+Inputs!$B$29,IF(Skills!C29=2,90+Inputs!$B$26+Inputs!$B$29,IF(Skills!C29=3,120+Inputs!$B$27+Inputs!$B$29,MAX(0,(Inputs!$B$3-100)*3)+Inputs!$B$28+Inputs!$B$29)))</f>
        <v/>
      </c>
      <c r="E2722">
        <f>INDEX(FactorTable!$B$2:$Y$301, MATCH(ROUND(MIN(300,MAX(1,D2722)),0), FactorTable!$A$2:$A$301,0), Skills!M29+1)</f>
        <v/>
      </c>
      <c r="F2722">
        <f>IF(Skills!N29=TRUE,(Skills!L29/10)*(E2722/1000),Skills!L29/10)+Skills!O29</f>
        <v/>
      </c>
      <c r="G2722">
        <f>Skills!G29*IF(Skills!H29&gt;0,Skills!I29/Skills!H29,1)</f>
        <v/>
      </c>
      <c r="H2722">
        <f>1-(1-Skills!J29/100)^Skills!K29</f>
        <v/>
      </c>
      <c r="I2722" t="inlineStr">
        <is>
          <t>1</t>
        </is>
      </c>
      <c r="J2722" t="inlineStr"/>
      <c r="K2722" t="inlineStr"/>
      <c r="L2722" t="inlineStr"/>
      <c r="M2722" t="inlineStr"/>
      <c r="N2722" t="inlineStr"/>
      <c r="O2722">
        <f>(1-Summary!$B$11)*T2722+Summary!$B$11*V2722</f>
        <v/>
      </c>
      <c r="P2722">
        <f>IF(B2736=0,0,O2722/B2736)</f>
        <v/>
      </c>
      <c r="Q2722" t="n">
        <v>0</v>
      </c>
      <c r="R2722" t="n">
        <v>0</v>
      </c>
      <c r="S2722">
        <f>IFERROR(O2722/N2722,0)</f>
        <v/>
      </c>
      <c r="T2722" t="n">
        <v>0</v>
      </c>
      <c r="V2722" t="n">
        <v>0</v>
      </c>
    </row>
    <row r="2723">
      <c r="A2723">
        <f>Skills!A30</f>
        <v/>
      </c>
      <c r="B2723">
        <f>Skills!B30</f>
        <v/>
      </c>
      <c r="C2723">
        <f>Inputs!$B$3&gt;=45</f>
        <v/>
      </c>
      <c r="D2723">
        <f>IF(Skills!C30=1,60+Inputs!$B$25+Inputs!$B$29,IF(Skills!C30=2,90+Inputs!$B$26+Inputs!$B$29,IF(Skills!C30=3,120+Inputs!$B$27+Inputs!$B$29,MAX(0,(Inputs!$B$3-100)*3)+Inputs!$B$28+Inputs!$B$29)))</f>
        <v/>
      </c>
      <c r="E2723">
        <f>INDEX(FactorTable!$B$2:$Y$301, MATCH(ROUND(MIN(300,MAX(1,D2723)),0), FactorTable!$A$2:$A$301,0), Skills!M30+1)</f>
        <v/>
      </c>
      <c r="F2723">
        <f>IF(Skills!N30=TRUE,(Skills!L30/10)*(E2723/1000),Skills!L30/10)+Skills!O30</f>
        <v/>
      </c>
      <c r="G2723">
        <f>Skills!G30*IF(Skills!H30&gt;0,Skills!I30/Skills!H30,1)</f>
        <v/>
      </c>
      <c r="H2723">
        <f>1-(1-Skills!J30/100)^Skills!K30</f>
        <v/>
      </c>
      <c r="I2723" t="inlineStr">
        <is>
          <t>1</t>
        </is>
      </c>
      <c r="J2723" t="inlineStr"/>
      <c r="K2723" t="inlineStr"/>
      <c r="L2723" t="inlineStr"/>
      <c r="M2723" t="inlineStr"/>
      <c r="N2723" t="inlineStr"/>
      <c r="O2723">
        <f>(1-Summary!$B$11)*T2723+Summary!$B$11*V2723</f>
        <v/>
      </c>
      <c r="P2723">
        <f>IF(B2736=0,0,O2723/B2736)</f>
        <v/>
      </c>
      <c r="Q2723" t="n">
        <v>0</v>
      </c>
      <c r="R2723" t="n">
        <v>0</v>
      </c>
      <c r="S2723">
        <f>IFERROR(O2723/N2723,0)</f>
        <v/>
      </c>
      <c r="T2723" t="n">
        <v>0</v>
      </c>
      <c r="V2723" t="n">
        <v>0</v>
      </c>
    </row>
    <row r="2725">
      <c r="A2725" t="inlineStr">
        <is>
          <t>Attack% Bucket Multiplier</t>
        </is>
      </c>
      <c r="B2725">
        <f>(1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6">
      <c r="A2726" t="inlineStr">
        <is>
          <t>Global Crit Rate Bonus %</t>
        </is>
      </c>
      <c r="B2726">
        <f>(C2709=TRUE)*20*IF(AND(Inputs!$B$38&lt;&gt;"pvp",Inputs!$B$43&gt;0),(((R2709-1)*(Skills!T16*(1+Inputs!$B$34/100))+MIN((Skills!T16*(1+Inputs!$B$34/100)),MAX(0,Inputs!$B$43-((R2709-1)*Skills!D16))))/Inputs!$B$43),IF(Inputs!$B$38="pvp",MIN((Skills!T16*(1+Inputs!$B$34/100)),15)/15,(Skills!T16*(1+Inputs!$B$34/100))/Skills!D16))</f>
        <v/>
      </c>
    </row>
    <row r="2727">
      <c r="A2727" t="inlineStr">
        <is>
          <t>Attack Speed Buff Bonus %</t>
        </is>
      </c>
      <c r="B2727">
        <f>((C2712=TRUE)*F2712*IF(AND(Inputs!$B$38&lt;&gt;"pvp",Inputs!$B$43&gt;0),(((R2712-1)*(Skills!T19*(1+Inputs!$B$34/100))+MIN((Skills!T19*(1+Inputs!$B$34/100)),MAX(0,Inputs!$B$43-((R2712-1)*Skills!D19))))/Inputs!$B$43),IF(Inputs!$B$38="pvp",MIN((Skills!T19*(1+Inputs!$B$34/100)),15)/15,(Skills!T19*(1+Inputs!$B$34/100))/Skills!D19)))</f>
        <v/>
      </c>
    </row>
    <row r="2728">
      <c r="A2728" t="inlineStr">
        <is>
          <t>Actions Per Second</t>
        </is>
      </c>
      <c r="B2728">
        <f>1+MIN(150,150*(1-(1-(Inputs!$B$11+((C2714=TRUE)*(F2714-Calc!F21))+((C2715=TRUE)*(F2715-Calc!F22)))/150)*(1-B2727/150)))/100</f>
        <v/>
      </c>
    </row>
    <row r="2729">
      <c r="A2729" t="inlineStr">
        <is>
          <t>Skill + Buff Cast Rate</t>
        </is>
      </c>
      <c r="B2729">
        <f>IF(AND(Inputs!$B$38&lt;&gt;"pvp",Inputs!$B$43&gt;0),SUMPRODUCT((Skills!E2:E30=TRUE)*(C2695:C2723=TRUE)*R2695:R2723*Skills!F2:F30)/Inputs!$B$43,SUMPRODUCT((Skills!E2:E30=TRUE)*(C2695:C2723=TRUE)*Q2695:Q2723*Skills!F2:F30))</f>
        <v/>
      </c>
    </row>
    <row r="2730">
      <c r="A2730" t="inlineStr">
        <is>
          <t>Arrow Stream Casts Per Second</t>
        </is>
      </c>
      <c r="B2730">
        <f>MAX(0,B2728-B2729)</f>
        <v/>
      </c>
    </row>
    <row r="2731">
      <c r="A2731" t="inlineStr">
        <is>
          <t>Global Critical Damage Bonus % (Sharp Eyes + Concentration)</t>
        </is>
      </c>
      <c r="B2731">
        <f>(C2709=TRUE)*F2709*IF(AND(Inputs!$B$38&lt;&gt;"pvp",Inputs!$B$43&gt;0),(((R2709-1)*(Skills!T16*(1+Inputs!$B$34/100))+MIN((Skills!T16*(1+Inputs!$B$34/100)),MAX(0,Inputs!$B$43-((R2709-1)*Skills!D16))))/Inputs!$B$43),IF(Inputs!$B$38="pvp",MIN((Skills!T16*(1+Inputs!$B$34/100)),15)/15,(Skills!T16*(1+Inputs!$B$34/100))/Skills!D16))+(C2710=TRUE)*30</f>
        <v/>
      </c>
    </row>
    <row r="2732">
      <c r="A2732" t="inlineStr">
        <is>
          <t>Global Final Damage Bonus % (Mortal Blow)</t>
        </is>
      </c>
      <c r="B2732">
        <f>(C2711=TRUE)*F2711</f>
        <v/>
      </c>
    </row>
    <row r="2733">
      <c r="A2733" t="inlineStr">
        <is>
          <t>Buff-Casting Startup Delay (s, fixed-duration only)</t>
        </is>
      </c>
      <c r="B2733">
        <f>IF(AND(Inputs!$B$38&lt;&gt;"pvp",Inputs!$B$43&gt;0),SUMPRODUCT((Skills!T2:T30&gt;0)*(Skills!E2:E30=TRUE)*(C2695:C2723=TRUE))/B2728,0)</f>
        <v/>
      </c>
    </row>
    <row r="2734">
      <c r="A2734" t="inlineStr">
        <is>
          <t>Boss-Only Total DPS (this block's swept value)</t>
        </is>
      </c>
      <c r="B2734">
        <f>SUM(T2695:T2723)</f>
        <v/>
      </c>
    </row>
    <row r="2735">
      <c r="A2735" t="inlineStr">
        <is>
          <t>Normal-Only Total DPS (this block's swept value)</t>
        </is>
      </c>
      <c r="B2735">
        <f>SUM(V2695:V2723)</f>
        <v/>
      </c>
    </row>
    <row r="2736">
      <c r="A2736" s="6" t="inlineStr">
        <is>
          <t>TOTAL DPS</t>
        </is>
      </c>
      <c r="B2736" s="6">
        <f>SUM(O2695:O2723)</f>
        <v/>
      </c>
    </row>
    <row r="2739">
      <c r="A2739" s="6" t="inlineStr">
        <is>
          <t>Stat: Cursed Doll (Equip)</t>
        </is>
      </c>
    </row>
    <row r="2740">
      <c r="A2740" s="5" t="inlineStr">
        <is>
          <t>Key</t>
        </is>
      </c>
      <c r="B2740" s="5" t="inlineStr">
        <is>
          <t>Name</t>
        </is>
      </c>
      <c r="C2740" s="5" t="inlineStr">
        <is>
          <t>Unlocked</t>
        </is>
      </c>
      <c r="D2740" s="5" t="inlineStr">
        <is>
          <t>InputLevel</t>
        </is>
      </c>
      <c r="E2740" s="5" t="inlineStr">
        <is>
          <t>Factor</t>
        </is>
      </c>
      <c r="F2740" s="5" t="inlineStr">
        <is>
          <t>CoefficientPercent</t>
        </is>
      </c>
      <c r="G2740" s="5" t="inlineStr">
        <is>
          <t>EffectiveHits</t>
        </is>
      </c>
      <c r="H2740" s="5" t="inlineStr">
        <is>
          <t>ProcProbability</t>
        </is>
      </c>
      <c r="I2740" s="5" t="inlineStr">
        <is>
          <t>MapleHeroMultiplier</t>
        </is>
      </c>
      <c r="J2740" s="5" t="inlineStr">
        <is>
          <t>BaseDamage</t>
        </is>
      </c>
      <c r="K2740" s="5" t="inlineStr">
        <is>
          <t>BaseHitDamage</t>
        </is>
      </c>
      <c r="L2740" s="5" t="inlineStr">
        <is>
          <t>NonCritAvg</t>
        </is>
      </c>
      <c r="M2740" s="5" t="inlineStr">
        <is>
          <t>CritAvg</t>
        </is>
      </c>
      <c r="N2740" s="5" t="inlineStr">
        <is>
          <t>ExpectedDamage(perHit)</t>
        </is>
      </c>
      <c r="O2740" s="5" t="inlineStr">
        <is>
          <t>DPS</t>
        </is>
      </c>
      <c r="P2740" s="5" t="inlineStr">
        <is>
          <t>% of Total</t>
        </is>
      </c>
      <c r="Q2740" s="5" t="inlineStr">
        <is>
          <t>InvCooldown</t>
        </is>
      </c>
      <c r="R2740" s="5" t="inlineStr">
        <is>
          <t>CastsInFight</t>
        </is>
      </c>
      <c r="S2740" s="5" t="inlineStr">
        <is>
          <t>HitRate(perSec)</t>
        </is>
      </c>
      <c r="U2740" t="inlineStr">
        <is>
          <t>helpers</t>
        </is>
      </c>
    </row>
    <row r="2741">
      <c r="A2741">
        <f>Skills!A2</f>
        <v/>
      </c>
      <c r="B2741">
        <f>Skills!B2</f>
        <v/>
      </c>
      <c r="C2741">
        <f>Inputs!$B$3&gt;=100</f>
        <v/>
      </c>
      <c r="D2741" t="inlineStr"/>
      <c r="E2741" t="inlineStr"/>
      <c r="F2741">
        <f>U2743+Skills!O2</f>
        <v/>
      </c>
      <c r="G2741">
        <f>Skills!G2*IF(Skills!H2&gt;0,Skills!I2/Skills!H2,1)</f>
        <v/>
      </c>
      <c r="H2741">
        <f>1-(1-Skills!J2/100)^Skills!K2</f>
        <v/>
      </c>
      <c r="I2741" t="inlineStr">
        <is>
          <t>1</t>
        </is>
      </c>
      <c r="J2741">
        <f>((Inputs!$B$6*(1+Inputs!$B$7/100))+(((Inputs!$B$12*(1+Inputs!$B$13/100))-(Inputs!$B$12*(1+Inputs!$B$13/100)))+0.25*(Inputs!$B$14-Inputs!$B$14))*(1+Inputs!$B$7/100))*(F2741/100)</f>
        <v/>
      </c>
      <c r="K2741">
        <f>J2741*(1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2763=TRUE)*(F2763-Calc!F24)),(Inputs!$B$23+((C2768=TRUE)*(F2768-Calc!F29))+(IF(ArtifactsInput!$M$15,CHOOSE(ArtifactsInput!$N$15+1,25,30,35,40,45,50)/100*(Inputs!$B$11-Inputs!$B$11),0))))/100+(Inputs!$B$23+((C2768=TRUE)*(F2768-Calc!F29))+(IF(ArtifactsInput!$M$15,CHOOSE(ArtifactsInput!$N$15+1,25,30,35,40,45,50)/100*(Inputs!$B$11-Inputs!$B$11),0)))/100)/2</f>
        <v/>
      </c>
      <c r="M2741">
        <f>L2741*(1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IF(B2782=0,0,O2741/B2782)</f>
        <v/>
      </c>
      <c r="Q2741" t="n">
        <v>0</v>
      </c>
      <c r="R2741" t="n">
        <v>0</v>
      </c>
      <c r="S2741">
        <f>IFERROR(O2741/N2741,0)</f>
        <v/>
      </c>
      <c r="T2741">
        <f>IF(C2741,(Skills!G2*N2741*B2776)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2741*(1-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MAX(0,(Inputs!$B$3-100)*3)+Inputs!$B$28+Inputs!$B$29</f>
        <v/>
      </c>
      <c r="V2741">
        <f>IF(C2741,(Skills!G2*N2741*B2776)*IF(Inputs!$B$38="pvp",1,(1+(Inputs!$B$21+Skills!Q2+(IF(ArtifactsInput!$M$33,CHOOSE(ArtifactsInput!$N$33+1,30,36,42,48,54,60),0))+(IF(AND(ArtifactsInput!$M$35,Inputs!$B$4&lt;&gt;"Chapter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Skills!A3</f>
        <v/>
      </c>
      <c r="B2742">
        <f>Skills!B3</f>
        <v/>
      </c>
      <c r="C2742">
        <f>Inputs!$B$3&gt;=50</f>
        <v/>
      </c>
      <c r="D2742">
        <f>IF(Skills!C3=1,60+Inputs!$B$25+Inputs!$B$29,IF(Skills!C3=2,90+Inputs!$B$26+Inputs!$B$29,IF(Skills!C3=3,120+Inputs!$B$27+Inputs!$B$29,MAX(0,(Inputs!$B$3-100)*3)+Inputs!$B$28+Inputs!$B$29)))</f>
        <v/>
      </c>
      <c r="E2742">
        <f>INDEX(FactorTable!$B$2:$Y$301, MATCH(ROUND(MIN(300,MAX(1,D2742)),0), FactorTable!$A$2:$A$301,0), Skills!M3+1)</f>
        <v/>
      </c>
      <c r="F2742">
        <f>IF(Skills!N3=TRUE,(Skills!L3/10)*(E2742/1000),Skills!L3/10)+Skills!O3</f>
        <v/>
      </c>
      <c r="G2742" t="inlineStr"/>
      <c r="H2742" t="inlineStr"/>
      <c r="I2742" t="inlineStr">
        <is>
          <t>1</t>
        </is>
      </c>
      <c r="J2742" t="inlineStr"/>
      <c r="K2742" t="inlineStr"/>
      <c r="L2742" t="inlineStr"/>
      <c r="M2742" t="inlineStr"/>
      <c r="N2742" t="inlineStr"/>
      <c r="O2742" t="inlineStr"/>
      <c r="P2742" t="inlineStr"/>
      <c r="Q2742" t="inlineStr"/>
      <c r="R2742" t="inlineStr"/>
      <c r="S2742" t="inlineStr"/>
      <c r="T2742" t="inlineStr"/>
      <c r="U2742">
        <f>INDEX(FactorTable!$B$2:$Y$301, MATCH(ROUND(MIN(300,MAX(1,U2741)),0), FactorTable!$A$2:$A$301,0), 22)</f>
        <v/>
      </c>
      <c r="V2742" t="inlineStr"/>
    </row>
    <row r="2743">
      <c r="A2743">
        <f>Skills!A4</f>
        <v/>
      </c>
      <c r="B2743">
        <f>Skills!B4</f>
        <v/>
      </c>
      <c r="C2743">
        <f>Inputs!$B$3&gt;=105</f>
        <v/>
      </c>
      <c r="D2743">
        <f>IF(Skills!C4=1,60+Inputs!$B$25+Inputs!$B$29,IF(Skills!C4=2,90+Inputs!$B$26+Inputs!$B$29,IF(Skills!C4=3,120+Inputs!$B$27+Inputs!$B$29,MAX(0,(Inputs!$B$3-100)*3)+Inputs!$B$28+Inputs!$B$29)))</f>
        <v/>
      </c>
      <c r="E2743">
        <f>INDEX(FactorTable!$B$2:$Y$301, MATCH(ROUND(MIN(300,MAX(1,D2743)),0), FactorTable!$A$2:$A$301,0), Skills!M4+1)</f>
        <v/>
      </c>
      <c r="F2743">
        <f>IF(Skills!N4=TRUE,(Skills!L4/10)*(E2743/1000),Skills!L4/10)+Skills!O4</f>
        <v/>
      </c>
      <c r="G2743" t="inlineStr"/>
      <c r="H2743" t="inlineStr"/>
      <c r="I2743" t="inlineStr">
        <is>
          <t>1</t>
        </is>
      </c>
      <c r="J2743" t="inlineStr"/>
      <c r="K2743" t="inlineStr"/>
      <c r="L2743" t="inlineStr"/>
      <c r="M2743" t="inlineStr"/>
      <c r="N2743" t="inlineStr"/>
      <c r="O2743" t="inlineStr"/>
      <c r="P2743" t="inlineStr"/>
      <c r="Q2743" t="inlineStr"/>
      <c r="R2743" t="inlineStr"/>
      <c r="S2743" t="inlineStr"/>
      <c r="T2743" t="inlineStr"/>
      <c r="U2743">
        <f>290*U2742/1000</f>
        <v/>
      </c>
      <c r="V2743" t="inlineStr"/>
    </row>
    <row r="2744">
      <c r="A2744">
        <f>Skills!A5</f>
        <v/>
      </c>
      <c r="B2744">
        <f>Skills!B5</f>
        <v/>
      </c>
      <c r="C2744">
        <f>Inputs!$B$3&gt;=35</f>
        <v/>
      </c>
      <c r="D2744">
        <f>IF(Skills!C5=1,60+Inputs!$B$25+Inputs!$B$29,IF(Skills!C5=2,90+Inputs!$B$26+Inputs!$B$29,IF(Skills!C5=3,120+Inputs!$B$27+Inputs!$B$29,MAX(0,(Inputs!$B$3-100)*3)+Inputs!$B$28+Inputs!$B$29)))</f>
        <v/>
      </c>
      <c r="E2744">
        <f>INDEX(FactorTable!$B$2:$Y$301, MATCH(ROUND(MIN(300,MAX(1,D2744)),0), FactorTable!$A$2:$A$301,0), Skills!M5+1)</f>
        <v/>
      </c>
      <c r="F2744">
        <f>IF(Skills!N5=TRUE,(Skills!L5/10)*(E2744/1000),Skills!L5/10)+Skills!O5</f>
        <v/>
      </c>
      <c r="G2744">
        <f>Skills!G5*IF(Skills!H5&gt;0,Skills!I5/Skills!H5,1)</f>
        <v/>
      </c>
      <c r="H2744">
        <f>1-(1-Skills!J5/100)^Skills!K5</f>
        <v/>
      </c>
      <c r="I2744" t="inlineStr">
        <is>
          <t>1</t>
        </is>
      </c>
      <c r="J2744">
        <f>((Inputs!$B$6*(1+Inputs!$B$7/100))+(((Inputs!$B$12*(1+Inputs!$B$13/100))-(Inputs!$B$12*(1+Inputs!$B$13/100)))+0.25*(Inputs!$B$14-Inputs!$B$14))*(1+Inputs!$B$7/100))*(F2744/100)</f>
        <v/>
      </c>
      <c r="K2744">
        <f>J2744*(1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2749=TRUE,F2749,0)/100)*(1+(IF(Skills!A5="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2763=TRUE)*(F2763-Calc!F24)),(Inputs!$B$23+((C2768=TRUE)*(F2768-Calc!F29))+(IF(ArtifactsInput!$M$15,CHOOSE(ArtifactsInput!$N$15+1,25,30,35,40,45,50)/100*(Inputs!$B$11-Inputs!$B$11),0))))/100+(Inputs!$B$23+((C2768=TRUE)*(F2768-Calc!F29))+(IF(ArtifactsInput!$M$15,CHOOSE(ArtifactsInput!$N$15+1,25,30,35,40,45,50)/100*(Inputs!$B$11-Inputs!$B$11),0)))/100)/2</f>
        <v/>
      </c>
      <c r="M2744">
        <f>L2744*(1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IF(B2782=0,0,O2744/B2782)</f>
        <v/>
      </c>
      <c r="Q2744">
        <f>IFERROR(1/(IF(Inputs!$B$38="pvp",15,MAX(0.1,Skills!D5-IF(Skills!E5=TRUE,Inputs!$B$32,0)))*(1-IF(AND(ArtifactsInput!$M$27,Inputs!$B$4="Chapter Hunt"),CHOOSE(ArtifactsInput!$N$27+1,20,24,28,32,36,40),0)/100)),0)</f>
        <v/>
      </c>
      <c r="R2744">
        <f>IF(AND(Inputs!$B$38&lt;&gt;"pvp",Inputs!$B$43&gt;0),IF(MAX(0,Inputs!$B$43-B2779)&lt;=0,0,(INT(MAX(0,Inputs!$B$43-B2779)/(IF(Inputs!$B$38="pvp",15,MAX(0.1,Skills!D5-IF(Skills!E5=TRUE,Inputs!$B$32,0)))*(1-IF(AND(ArtifactsInput!$M$27,Inputs!$B$4="Chapter Hunt"),CHOOSE(ArtifactsInput!$N$27+1,20,24,28,32,36,40),0)/100)))+1)),0)</f>
        <v/>
      </c>
      <c r="S2744">
        <f>IFERROR(O2744/N2744,0)</f>
        <v/>
      </c>
      <c r="T2744">
        <f>IF(C2744,(H2744*N2744*IF(AND(Inputs!$B$38&lt;&gt;"pvp",Inputs!$B$43&gt;0),((Skills!G5*((R2744-1)*IF(Skills!H5&gt;0,Skills!I5/Skills!H5,1)+IF(Skills!H5&gt;0,MIN(Skills!I5,MAX(0,MAX(0,Inputs!$B$43-B2779)-((R2744-1)*(IF(Inputs!$B$38="pvp",15,MAX(0.1,Skills!D5-IF(Skills!E5=TRUE,Inputs!$B$32,0)))*(1-IF(AND(ArtifactsInput!$M$27,Inputs!$B$4="Chapter Hunt"),CHOOSE(ArtifactsInput!$N$27+1,20,24,28,32,36,40),0)/100)))))/Skills!H5,1)))/Inputs!$B$43),G2744*Q2744)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5*((R2744-1)*IF(Skills!H5&gt;0,Skills!I5/Skills!H5,1)+IF(Skills!H5&gt;0,MIN(Skills!I5,MAX(0,MAX(0,Inputs!$B$43-B2779)-((R2744-1)*(IF(Inputs!$B$38="pvp",15,MAX(0.1,Skills!D5-IF(Skills!E5=TRUE,Inputs!$B$32,0)))*(1-IF(AND(ArtifactsInput!$M$27,Inputs!$B$4="Chapter Hunt"),CHOOSE(ArtifactsInput!$N$27+1,20,24,28,32,36,40),0)/100)))))/Skills!H5,1)))/Inputs!$B$43),G2744*Q2744))*IF(Inputs!$B$38="pvp",1,(1+(Inputs!$B$21+Skills!Q5+(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Skills!A6</f>
        <v/>
      </c>
      <c r="B2745">
        <f>Skills!B6</f>
        <v/>
      </c>
      <c r="C2745">
        <f>Inputs!$B$3&gt;=40</f>
        <v/>
      </c>
      <c r="D2745">
        <f>IF(Skills!C6=1,60+Inputs!$B$25+Inputs!$B$29,IF(Skills!C6=2,90+Inputs!$B$26+Inputs!$B$29,IF(Skills!C6=3,120+Inputs!$B$27+Inputs!$B$29,MAX(0,(Inputs!$B$3-100)*3)+Inputs!$B$28+Inputs!$B$29)))</f>
        <v/>
      </c>
      <c r="E2745">
        <f>INDEX(FactorTable!$B$2:$Y$301, MATCH(ROUND(MIN(300,MAX(1,D2745)),0), FactorTable!$A$2:$A$301,0), Skills!M6+1)</f>
        <v/>
      </c>
      <c r="F2745">
        <f>IF(Skills!N6=TRUE,(Skills!L6/10)*(E2745/1000),Skills!L6/10)+Skills!O6</f>
        <v/>
      </c>
      <c r="G2745">
        <f>Skills!G6*IF(Skills!H6&gt;0,Skills!I6/Skills!H6,1)</f>
        <v/>
      </c>
      <c r="H2745">
        <f>1-(1-Skills!J6/100)^Skills!K6</f>
        <v/>
      </c>
      <c r="I2745" t="inlineStr">
        <is>
          <t>1</t>
        </is>
      </c>
      <c r="J2745">
        <f>((Inputs!$B$6*(1+Inputs!$B$7/100))+(((Inputs!$B$12*(1+Inputs!$B$13/100))-(Inputs!$B$12*(1+Inputs!$B$13/100)))+0.25*(Inputs!$B$14-Inputs!$B$14))*(1+Inputs!$B$7/100))*(F2745/100)</f>
        <v/>
      </c>
      <c r="K2745">
        <f>J2745*(1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2746=TRUE,F2746,0)/100)*(1+(IF(Skills!A6="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2763=TRUE)*(F2763-Calc!F24)),(Inputs!$B$23+((C2768=TRUE)*(F2768-Calc!F29))+(IF(ArtifactsInput!$M$15,CHOOSE(ArtifactsInput!$N$15+1,25,30,35,40,45,50)/100*(Inputs!$B$11-Inputs!$B$11),0))))/100+(Inputs!$B$23+((C2768=TRUE)*(F2768-Calc!F29))+(IF(ArtifactsInput!$M$15,CHOOSE(ArtifactsInput!$N$15+1,25,30,35,40,45,50)/100*(Inputs!$B$11-Inputs!$B$11),0)))/100)/2</f>
        <v/>
      </c>
      <c r="M2745">
        <f>L2745*(1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IF(B2782=0,0,O2745/B2782)</f>
        <v/>
      </c>
      <c r="Q2745">
        <f>IFERROR(1/(IF(Inputs!$B$38="pvp",15,MAX(0.1,Skills!D6-IF(Skills!E6=TRUE,Inputs!$B$32,0)))*(1-IF(AND(ArtifactsInput!$M$27,Inputs!$B$4="Chapter Hunt"),CHOOSE(ArtifactsInput!$N$27+1,20,24,28,32,36,40),0)/100)),0)</f>
        <v/>
      </c>
      <c r="R2745">
        <f>IF(AND(Inputs!$B$38&lt;&gt;"pvp",Inputs!$B$43&gt;0),IF(MAX(0,Inputs!$B$43-B2779)&lt;=0,0,(INT(MAX(0,Inputs!$B$43-B2779)/(IF(Inputs!$B$38="pvp",15,MAX(0.1,Skills!D6-IF(Skills!E6=TRUE,Inputs!$B$32,0)))*(1-IF(AND(ArtifactsInput!$M$27,Inputs!$B$4="Chapter Hunt"),CHOOSE(ArtifactsInput!$N$27+1,20,24,28,32,36,40),0)/100)))+1)),0)</f>
        <v/>
      </c>
      <c r="S2745">
        <f>IFERROR(O2745/N2745,0)</f>
        <v/>
      </c>
      <c r="T2745">
        <f>IF(C2745,(H2745*N2745*IF(AND(Inputs!$B$38&lt;&gt;"pvp",Inputs!$B$43&gt;0),((Skills!G6*((R2745-1)*IF(Skills!H6&gt;0,Skills!I6/Skills!H6,1)+IF(Skills!H6&gt;0,MIN(Skills!I6,MAX(0,MAX(0,Inputs!$B$43-B2779)-((R2745-1)*(IF(Inputs!$B$38="pvp",15,MAX(0.1,Skills!D6-IF(Skills!E6=TRUE,Inputs!$B$32,0)))*(1-IF(AND(ArtifactsInput!$M$27,Inputs!$B$4="Chapter Hunt"),CHOOSE(ArtifactsInput!$N$27+1,20,24,28,32,36,40),0)/100)))))/Skills!H6,1)))/Inputs!$B$43),G2745*Q2745)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2745*(1-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6*((R2745-1)*IF(Skills!H6&gt;0,Skills!I6/Skills!H6,1)+IF(Skills!H6&gt;0,MIN(Skills!I6,MAX(0,MAX(0,Inputs!$B$43-B2779)-((R2745-1)*(IF(Inputs!$B$38="pvp",15,MAX(0.1,Skills!D6-IF(Skills!E6=TRUE,Inputs!$B$32,0)))*(1-IF(AND(ArtifactsInput!$M$27,Inputs!$B$4="Chapter Hunt"),CHOOSE(ArtifactsInput!$N$27+1,20,24,28,32,36,40),0)/100)))))/Skills!H6,1)))/Inputs!$B$43),G2745*Q2745))*IF(Inputs!$B$38="pvp",1,(1+(Inputs!$B$21+Skills!Q6+(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Skills!A7</f>
        <v/>
      </c>
      <c r="B2746">
        <f>Skills!B7</f>
        <v/>
      </c>
      <c r="C2746">
        <f>Inputs!$B$3&gt;=107</f>
        <v/>
      </c>
      <c r="D2746">
        <f>IF(Skills!C7=1,60+Inputs!$B$25+Inputs!$B$29,IF(Skills!C7=2,90+Inputs!$B$26+Inputs!$B$29,IF(Skills!C7=3,120+Inputs!$B$27+Inputs!$B$29,MAX(0,(Inputs!$B$3-100)*3)+Inputs!$B$28+Inputs!$B$29)))</f>
        <v/>
      </c>
      <c r="E2746">
        <f>INDEX(FactorTable!$B$2:$Y$301, MATCH(ROUND(MIN(300,MAX(1,D2746)),0), FactorTable!$A$2:$A$301,0), Skills!M7+1)</f>
        <v/>
      </c>
      <c r="F2746">
        <f>IF(Skills!N7=TRUE,(Skills!L7/10)*(E2746/1000),Skills!L7/10)+Skills!O7</f>
        <v/>
      </c>
      <c r="G2746" t="inlineStr"/>
      <c r="H2746" t="inlineStr"/>
      <c r="I2746" t="inlineStr">
        <is>
          <t>1</t>
        </is>
      </c>
      <c r="J2746" t="inlineStr"/>
      <c r="K2746" t="inlineStr"/>
      <c r="L2746" t="inlineStr"/>
      <c r="M2746" t="inlineStr"/>
      <c r="N2746" t="inlineStr"/>
      <c r="O2746" t="inlineStr"/>
      <c r="P2746" t="inlineStr"/>
      <c r="Q2746" t="inlineStr"/>
      <c r="R2746" t="inlineStr"/>
      <c r="S2746" t="inlineStr"/>
      <c r="T2746" t="inlineStr"/>
      <c r="V2746" t="inlineStr"/>
    </row>
    <row r="2747">
      <c r="A2747">
        <f>Skills!A8</f>
        <v/>
      </c>
      <c r="B2747">
        <f>Skills!B8</f>
        <v/>
      </c>
      <c r="C2747">
        <f>Inputs!$B$3&gt;=69</f>
        <v/>
      </c>
      <c r="D2747">
        <f>IF(Skills!C8=1,60+Inputs!$B$25+Inputs!$B$29,IF(Skills!C8=2,90+Inputs!$B$26+Inputs!$B$29,IF(Skills!C8=3,120+Inputs!$B$27+Inputs!$B$29,MAX(0,(Inputs!$B$3-100)*3)+Inputs!$B$28+Inputs!$B$29)))</f>
        <v/>
      </c>
      <c r="E2747">
        <f>INDEX(FactorTable!$B$2:$Y$301, MATCH(ROUND(MIN(300,MAX(1,D2747)),0), FactorTable!$A$2:$A$301,0), Skills!M8+1)</f>
        <v/>
      </c>
      <c r="F2747">
        <f>IF(Skills!N8=TRUE,(Skills!L8/10)*(E2747/1000),Skills!L8/10)+Skills!O8</f>
        <v/>
      </c>
      <c r="G2747">
        <f>Skills!G8*IF(Skills!H8&gt;0,Skills!I8/Skills!H8,1)</f>
        <v/>
      </c>
      <c r="H2747">
        <f>1-(1-Skills!J8/100)^Skills!K8</f>
        <v/>
      </c>
      <c r="I2747" t="inlineStr">
        <is>
          <t>1</t>
        </is>
      </c>
      <c r="J2747">
        <f>((Inputs!$B$6*(1+Inputs!$B$7/100))+(((Inputs!$B$12*(1+Inputs!$B$13/100))-(Inputs!$B$12*(1+Inputs!$B$13/100)))+0.25*(Inputs!$B$14-Inputs!$B$14))*(1+Inputs!$B$7/100))*(F2747/100)</f>
        <v/>
      </c>
      <c r="K2747">
        <f>J2747*(1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2749=TRUE,F2749,0)/100)*(1+(IF(Skills!A8="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2763=TRUE)*(F2763-Calc!F24)),(Inputs!$B$23+((C2768=TRUE)*(F2768-Calc!F29))+(IF(ArtifactsInput!$M$15,CHOOSE(ArtifactsInput!$N$15+1,25,30,35,40,45,50)/100*(Inputs!$B$11-Inputs!$B$11),0))))/100+(Inputs!$B$23+((C2768=TRUE)*(F2768-Calc!F29))+(IF(ArtifactsInput!$M$15,CHOOSE(ArtifactsInput!$N$15+1,25,30,35,40,45,50)/100*(Inputs!$B$11-Inputs!$B$11),0)))/100)/2</f>
        <v/>
      </c>
      <c r="M2747">
        <f>L2747*(1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IF(B2782=0,0,O2747/B2782)</f>
        <v/>
      </c>
      <c r="Q2747">
        <f>IFERROR(1/(IF(Inputs!$B$38="pvp",15,MAX(0.1,Skills!D8-IF(Skills!E8=TRUE,Inputs!$B$32,0)))*(1-IF(AND(ArtifactsInput!$M$27,Inputs!$B$4="Chapter Hunt"),CHOOSE(ArtifactsInput!$N$27+1,20,24,28,32,36,40),0)/100)),0)</f>
        <v/>
      </c>
      <c r="R2747">
        <f>IF(AND(Inputs!$B$38&lt;&gt;"pvp",Inputs!$B$43&gt;0),IF(MAX(0,Inputs!$B$43-B2779)&lt;=0,0,(INT(MAX(0,Inputs!$B$43-B2779)/(IF(Inputs!$B$38="pvp",15,MAX(0.1,Skills!D8-IF(Skills!E8=TRUE,Inputs!$B$32,0)))*(1-IF(AND(ArtifactsInput!$M$27,Inputs!$B$4="Chapter Hunt"),CHOOSE(ArtifactsInput!$N$27+1,20,24,28,32,36,40),0)/100)))+1)),0)</f>
        <v/>
      </c>
      <c r="S2747">
        <f>IFERROR(O2747/N2747,0)</f>
        <v/>
      </c>
      <c r="T2747">
        <f>IF(C2747,(H2747*N2747*IF(AND(Inputs!$B$38&lt;&gt;"pvp",Inputs!$B$43&gt;0),((Skills!G8*((R2747-1)*IF(Skills!H8&gt;0,Skills!I8/Skills!H8,1)+IF(Skills!H8&gt;0,MIN(Skills!I8,MAX(0,MAX(0,Inputs!$B$43-B2779)-((R2747-1)*(IF(Inputs!$B$38="pvp",15,MAX(0.1,Skills!D8-IF(Skills!E8=TRUE,Inputs!$B$32,0)))*(1-IF(AND(ArtifactsInput!$M$27,Inputs!$B$4="Chapter Hunt"),CHOOSE(ArtifactsInput!$N$27+1,20,24,28,32,36,40),0)/100)))))/Skills!H8,1)))/Inputs!$B$43),G2747*Q2747)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2747*(1-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8*((R2747-1)*IF(Skills!H8&gt;0,Skills!I8/Skills!H8,1)+IF(Skills!H8&gt;0,MIN(Skills!I8,MAX(0,MAX(0,Inputs!$B$43-B2779)-((R2747-1)*(IF(Inputs!$B$38="pvp",15,MAX(0.1,Skills!D8-IF(Skills!E8=TRUE,Inputs!$B$32,0)))*(1-IF(AND(ArtifactsInput!$M$27,Inputs!$B$4="Chapter Hunt"),CHOOSE(ArtifactsInput!$N$27+1,20,24,28,32,36,40),0)/100)))))/Skills!H8,1)))/Inputs!$B$43),G2747*Q2747))*IF(Inputs!$B$38="pvp",1,(1+(Inputs!$B$21+Skills!Q8+(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Skills!A9</f>
        <v/>
      </c>
      <c r="B2748">
        <f>Skills!B9</f>
        <v/>
      </c>
      <c r="C2748">
        <f>Inputs!$B$3&gt;=63</f>
        <v/>
      </c>
      <c r="D2748">
        <f>IF(Skills!C9=1,60+Inputs!$B$25+Inputs!$B$29,IF(Skills!C9=2,90+Inputs!$B$26+Inputs!$B$29,IF(Skills!C9=3,120+Inputs!$B$27+Inputs!$B$29,MAX(0,(Inputs!$B$3-100)*3)+Inputs!$B$28+Inputs!$B$29)))</f>
        <v/>
      </c>
      <c r="E2748">
        <f>INDEX(FactorTable!$B$2:$Y$301, MATCH(ROUND(MIN(300,MAX(1,D2748)),0), FactorTable!$A$2:$A$301,0), Skills!M9+1)</f>
        <v/>
      </c>
      <c r="F2748">
        <f>IF(Skills!N9=TRUE,(Skills!L9/10)*(E2748/1000),Skills!L9/10)+Skills!O9</f>
        <v/>
      </c>
      <c r="G2748">
        <f>Skills!G9*IF(Skills!H9&gt;0,Skills!I9/Skills!H9,1)</f>
        <v/>
      </c>
      <c r="H2748">
        <f>1-(1-Skills!J9/100)^Skills!K9</f>
        <v/>
      </c>
      <c r="I2748" t="inlineStr">
        <is>
          <t>1</t>
        </is>
      </c>
      <c r="J2748">
        <f>((Inputs!$B$6*(1+Inputs!$B$7/100))+(((Inputs!$B$12*(1+Inputs!$B$13/100))-(Inputs!$B$12*(1+Inputs!$B$13/100)))+0.25*(Inputs!$B$14-Inputs!$B$14))*(1+Inputs!$B$7/100))*(F2748/100)</f>
        <v/>
      </c>
      <c r="K2748">
        <f>J2748*(1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9="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2763=TRUE)*(F2763-Calc!F24)),(Inputs!$B$23+((C2768=TRUE)*(F2768-Calc!F29))+(IF(ArtifactsInput!$M$15,CHOOSE(ArtifactsInput!$N$15+1,25,30,35,40,45,50)/100*(Inputs!$B$11-Inputs!$B$11),0))))/100+(Inputs!$B$23+((C2768=TRUE)*(F2768-Calc!F29))+(IF(ArtifactsInput!$M$15,CHOOSE(ArtifactsInput!$N$15+1,25,30,35,40,45,50)/100*(Inputs!$B$11-Inputs!$B$11),0)))/100)/2</f>
        <v/>
      </c>
      <c r="M2748">
        <f>L2748*(1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IF(B2782=0,0,O2748/B2782)</f>
        <v/>
      </c>
      <c r="Q2748">
        <f>IFERROR(1/(IF(Inputs!$B$38="pvp",15,MAX(0.1,Skills!D9-IF(Skills!E9=TRUE,Inputs!$B$32,0)))*(1-IF(AND(ArtifactsInput!$M$27,Inputs!$B$4="Chapter Hunt"),CHOOSE(ArtifactsInput!$N$27+1,20,24,28,32,36,40),0)/100)),0)</f>
        <v/>
      </c>
      <c r="R2748">
        <f>IF(AND(Inputs!$B$38&lt;&gt;"pvp",Inputs!$B$43&gt;0),IF(MAX(0,Inputs!$B$43-B2779)&lt;=0,0,(INT(MAX(0,Inputs!$B$43-B2779)/(IF(Inputs!$B$38="pvp",15,MAX(0.1,Skills!D9-IF(Skills!E9=TRUE,Inputs!$B$32,0)))*(1-IF(AND(ArtifactsInput!$M$27,Inputs!$B$4="Chapter Hunt"),CHOOSE(ArtifactsInput!$N$27+1,20,24,28,32,36,40),0)/100)))+1)),0)</f>
        <v/>
      </c>
      <c r="S2748">
        <f>IFERROR(O2748/N2748,0)</f>
        <v/>
      </c>
      <c r="T2748">
        <f>IF(C2748,(H2748*N2748*IF(AND(Inputs!$B$38&lt;&gt;"pvp",Inputs!$B$43&gt;0),((Skills!G9*((R2748-1)*IF(Skills!H9&gt;0,Skills!I9/Skills!H9,1)+IF(Skills!H9&gt;0,MIN(Skills!I9,MAX(0,MAX(0,Inputs!$B$43-B2779)-((R2748-1)*(IF(Inputs!$B$38="pvp",15,MAX(0.1,Skills!D9-IF(Skills!E9=TRUE,Inputs!$B$32,0)))*(1-IF(AND(ArtifactsInput!$M$27,Inputs!$B$4="Chapter Hunt"),CHOOSE(ArtifactsInput!$N$27+1,20,24,28,32,36,40),0)/100)))))/Skills!H9,1)))/Inputs!$B$43),G2748*Q2748)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2748*(1-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9*((R2748-1)*IF(Skills!H9&gt;0,Skills!I9/Skills!H9,1)+IF(Skills!H9&gt;0,MIN(Skills!I9,MAX(0,MAX(0,Inputs!$B$43-B2779)-((R2748-1)*(IF(Inputs!$B$38="pvp",15,MAX(0.1,Skills!D9-IF(Skills!E9=TRUE,Inputs!$B$32,0)))*(1-IF(AND(ArtifactsInput!$M$27,Inputs!$B$4="Chapter Hunt"),CHOOSE(ArtifactsInput!$N$27+1,20,24,28,32,36,40),0)/100)))))/Skills!H9,1)))/Inputs!$B$43),G2748*Q2748))*IF(Inputs!$B$38="pvp",1,(1+(Inputs!$B$21+Skills!Q9+(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Skills!A10</f>
        <v/>
      </c>
      <c r="B2749">
        <f>Skills!B10</f>
        <v/>
      </c>
      <c r="C2749">
        <f>Inputs!$B$3&gt;=100</f>
        <v/>
      </c>
      <c r="D2749">
        <f>IF(Skills!C10=1,60+Inputs!$B$25+Inputs!$B$29,IF(Skills!C10=2,90+Inputs!$B$26+Inputs!$B$29,IF(Skills!C10=3,120+Inputs!$B$27+Inputs!$B$29,MAX(0,(Inputs!$B$3-100)*3)+Inputs!$B$28+Inputs!$B$29)))</f>
        <v/>
      </c>
      <c r="E2749">
        <f>INDEX(FactorTable!$B$2:$Y$301, MATCH(ROUND(MIN(300,MAX(1,D2749)),0), FactorTable!$A$2:$A$301,0), Skills!M10+1)</f>
        <v/>
      </c>
      <c r="F2749">
        <f>IF(Skills!N10=TRUE,(Skills!L10/10)*(E2749/1000),Skills!L10/10)+Skills!O10</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Skills!A11</f>
        <v/>
      </c>
      <c r="B2750">
        <f>Skills!B11</f>
        <v/>
      </c>
      <c r="C2750">
        <f>Inputs!$B$3&gt;=60</f>
        <v/>
      </c>
      <c r="D2750">
        <f>IF(Skills!C11=1,60+Inputs!$B$25+Inputs!$B$29,IF(Skills!C11=2,90+Inputs!$B$26+Inputs!$B$29,IF(Skills!C11=3,120+Inputs!$B$27+Inputs!$B$29,MAX(0,(Inputs!$B$3-100)*3)+Inputs!$B$28+Inputs!$B$29)))</f>
        <v/>
      </c>
      <c r="E2750">
        <f>INDEX(FactorTable!$B$2:$Y$301, MATCH(ROUND(MIN(300,MAX(1,D2750)),0), FactorTable!$A$2:$A$301,0), Skills!M11+1)</f>
        <v/>
      </c>
      <c r="F2750">
        <f>IF(Skills!N11=TRUE,(Skills!L11/10)*(E2750/1000),Skills!L11/10)+Skills!O11</f>
        <v/>
      </c>
      <c r="G2750">
        <f>Skills!G11*IF(Skills!H11&gt;0,Skills!I11/Skills!H11,1)</f>
        <v/>
      </c>
      <c r="H2750">
        <f>1-(1-Skills!J11/100)^Skills!K11</f>
        <v/>
      </c>
      <c r="I2750" t="inlineStr">
        <is>
          <t>1</t>
        </is>
      </c>
      <c r="J2750">
        <f>((Inputs!$B$6*(1+Inputs!$B$7/100))+(((Inputs!$B$12*(1+Inputs!$B$13/100))-(Inputs!$B$12*(1+Inputs!$B$13/100)))+0.25*(Inputs!$B$14-Inputs!$B$14))*(1+Inputs!$B$7/100))*(F2750/100)</f>
        <v/>
      </c>
      <c r="K2750">
        <f>J2750*(1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Skills!A11="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2750)</f>
        <v/>
      </c>
      <c r="L2750">
        <f>K2750*(MIN(Inputs!$B$22+((C2763=TRUE)*(F2763-Calc!F24)),(Inputs!$B$23+((C2768=TRUE)*(F2768-Calc!F29))+(IF(ArtifactsInput!$M$15,CHOOSE(ArtifactsInput!$N$15+1,25,30,35,40,45,50)/100*(Inputs!$B$11-Inputs!$B$11),0))))/100+(Inputs!$B$23+((C2768=TRUE)*(F2768-Calc!F29))+(IF(ArtifactsInput!$M$15,CHOOSE(ArtifactsInput!$N$15+1,25,30,35,40,45,50)/100*(Inputs!$B$11-Inputs!$B$11),0)))/100)/2</f>
        <v/>
      </c>
      <c r="M2750">
        <f>L2750*(1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0">
        <f>L2750*(1-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2750*(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0">
        <f>(1-Summary!$B$11)*T2750+Summary!$B$11*V2750</f>
        <v/>
      </c>
      <c r="P2750">
        <f>IF(B2782=0,0,O2750/B2782)</f>
        <v/>
      </c>
      <c r="Q2750">
        <f>IFERROR(1/(IF(Inputs!$B$38="pvp",15,MAX(0.1,Skills!D11-IF(Skills!E11=TRUE,Inputs!$B$32,0)))*(1-IF(AND(ArtifactsInput!$M$27,Inputs!$B$4="Chapter Hunt"),CHOOSE(ArtifactsInput!$N$27+1,20,24,28,32,36,40),0)/100)),0)</f>
        <v/>
      </c>
      <c r="R2750">
        <f>IF(AND(Inputs!$B$38&lt;&gt;"pvp",Inputs!$B$43&gt;0),IF(MAX(0,Inputs!$B$43-B2779)&lt;=0,0,(INT(MAX(0,Inputs!$B$43-B2779)/(IF(Inputs!$B$38="pvp",15,MAX(0.1,Skills!D11-IF(Skills!E11=TRUE,Inputs!$B$32,0)))*(1-IF(AND(ArtifactsInput!$M$27,Inputs!$B$4="Chapter Hunt"),CHOOSE(ArtifactsInput!$N$27+1,20,24,28,32,36,40),0)/100)))+1)),0)</f>
        <v/>
      </c>
      <c r="S2750">
        <f>IFERROR(O2750/N2750,0)</f>
        <v/>
      </c>
      <c r="T2750">
        <f>IF(C2750,(H2750*N2750*IF(AND(Inputs!$B$38&lt;&gt;"pvp",Inputs!$B$43&gt;0),((Skills!G11*((R2750-1)*IF(Skills!H11&gt;0,Skills!I11/Skills!H11,1)+IF(Skills!H11&gt;0,MIN(Skills!I11,MAX(0,MAX(0,Inputs!$B$43-B2779)-((R2750-1)*(IF(Inputs!$B$38="pvp",15,MAX(0.1,Skills!D11-IF(Skills!E11=TRUE,Inputs!$B$32,0)))*(1-IF(AND(ArtifactsInput!$M$27,Inputs!$B$4="Chapter Hunt"),CHOOSE(ArtifactsInput!$N$27+1,20,24,28,32,36,40),0)/100)))))/Skills!H11,1)))/Inputs!$B$43),G2750*Q2750)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2750*(1-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2750*(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2750*(1-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2750*(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0">
        <f>IF(C2750,(H2750*N2750*IF(AND(Inputs!$B$38&lt;&gt;"pvp",Inputs!$B$43&gt;0),((Skills!G11*((R2750-1)*IF(Skills!H11&gt;0,Skills!I11/Skills!H11,1)+IF(Skills!H11&gt;0,MIN(Skills!I11,MAX(0,MAX(0,Inputs!$B$43-B2779)-((R2750-1)*(IF(Inputs!$B$38="pvp",15,MAX(0.1,Skills!D11-IF(Skills!E11=TRUE,Inputs!$B$32,0)))*(1-IF(AND(ArtifactsInput!$M$27,Inputs!$B$4="Chapter Hunt"),CHOOSE(ArtifactsInput!$N$27+1,20,24,28,32,36,40),0)/100)))))/Skills!H11,1)))/Inputs!$B$43),G2750*Q2750))*IF(Inputs!$B$38="pvp",1,(1+(Inputs!$B$21+Skills!Q11+(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1">
      <c r="A2751">
        <f>Skills!A12</f>
        <v/>
      </c>
      <c r="B2751">
        <f>Skills!B12</f>
        <v/>
      </c>
      <c r="C2751">
        <f>Inputs!$B$3&gt;=110</f>
        <v/>
      </c>
      <c r="D2751">
        <f>IF(Skills!C12=1,60+Inputs!$B$25+Inputs!$B$29,IF(Skills!C12=2,90+Inputs!$B$26+Inputs!$B$29,IF(Skills!C12=3,120+Inputs!$B$27+Inputs!$B$29,MAX(0,(Inputs!$B$3-100)*3)+Inputs!$B$28+Inputs!$B$29)))</f>
        <v/>
      </c>
      <c r="E2751">
        <f>INDEX(FactorTable!$B$2:$Y$301, MATCH(ROUND(MIN(300,MAX(1,D2751)),0), FactorTable!$A$2:$A$301,0), Skills!M12+1)</f>
        <v/>
      </c>
      <c r="F2751">
        <f>IF(Skills!N12=TRUE,(Skills!L12/10)*(E2751/1000),Skills!L12/10)+Skills!O12</f>
        <v/>
      </c>
      <c r="G2751" t="inlineStr"/>
      <c r="H2751" t="inlineStr"/>
      <c r="I2751" t="inlineStr">
        <is>
          <t>1</t>
        </is>
      </c>
      <c r="J2751" t="inlineStr"/>
      <c r="K2751" t="inlineStr"/>
      <c r="L2751" t="inlineStr"/>
      <c r="M2751" t="inlineStr"/>
      <c r="N2751" t="inlineStr"/>
      <c r="O2751" t="inlineStr"/>
      <c r="P2751" t="inlineStr"/>
      <c r="Q2751" t="inlineStr"/>
      <c r="R2751" t="inlineStr"/>
      <c r="S2751" t="inlineStr"/>
      <c r="T2751" t="inlineStr"/>
      <c r="V2751" t="inlineStr"/>
    </row>
    <row r="2752">
      <c r="A2752">
        <f>Skills!A13</f>
        <v/>
      </c>
      <c r="B2752">
        <f>Skills!B13</f>
        <v/>
      </c>
      <c r="C2752">
        <f>Inputs!$B$3&gt;=74</f>
        <v/>
      </c>
      <c r="D2752">
        <f>IF(Skills!C13=1,60+Inputs!$B$25+Inputs!$B$29,IF(Skills!C13=2,90+Inputs!$B$26+Inputs!$B$29,IF(Skills!C13=3,120+Inputs!$B$27+Inputs!$B$29,MAX(0,(Inputs!$B$3-100)*3)+Inputs!$B$28+Inputs!$B$29)))</f>
        <v/>
      </c>
      <c r="E2752">
        <f>INDEX(FactorTable!$B$2:$Y$301, MATCH(ROUND(MIN(300,MAX(1,D2752)),0), FactorTable!$A$2:$A$301,0), Skills!M13+1)</f>
        <v/>
      </c>
      <c r="F2752">
        <f>IF(Skills!N13=TRUE,(Skills!L13/10)*(E2752/1000),Skills!L13/10)+Skills!O13</f>
        <v/>
      </c>
      <c r="G2752">
        <f>Skills!G13*IF(Skills!H13&gt;0,Skills!I13/Skills!H13,1)</f>
        <v/>
      </c>
      <c r="H2752">
        <f>1-(1-Skills!J13/100)^Skills!K13</f>
        <v/>
      </c>
      <c r="I2752" t="inlineStr">
        <is>
          <t>1</t>
        </is>
      </c>
      <c r="J2752" t="inlineStr"/>
      <c r="K2752" t="inlineStr"/>
      <c r="L2752" t="inlineStr"/>
      <c r="M2752" t="inlineStr"/>
      <c r="N2752" t="inlineStr"/>
      <c r="O2752">
        <f>(1-Summary!$B$11)*T2752+Summary!$B$11*V2752</f>
        <v/>
      </c>
      <c r="P2752">
        <f>IF(B2782=0,0,O2752/B2782)</f>
        <v/>
      </c>
      <c r="Q2752" t="n">
        <v>0</v>
      </c>
      <c r="R2752" t="n">
        <v>0</v>
      </c>
      <c r="S2752">
        <f>IFERROR(O2752/N2752,0)</f>
        <v/>
      </c>
      <c r="T2752" t="n">
        <v>0</v>
      </c>
      <c r="V2752" t="n">
        <v>0</v>
      </c>
    </row>
    <row r="2753">
      <c r="A2753">
        <f>Skills!A14</f>
        <v/>
      </c>
      <c r="B2753">
        <f>Skills!B14</f>
        <v/>
      </c>
      <c r="C2753">
        <f>Inputs!$B$3&gt;=74</f>
        <v/>
      </c>
      <c r="D2753">
        <f>IF(Skills!C14=1,60+Inputs!$B$25+Inputs!$B$29,IF(Skills!C14=2,90+Inputs!$B$26+Inputs!$B$29,IF(Skills!C14=3,120+Inputs!$B$27+Inputs!$B$29,MAX(0,(Inputs!$B$3-100)*3)+Inputs!$B$28+Inputs!$B$29)))</f>
        <v/>
      </c>
      <c r="E2753">
        <f>INDEX(FactorTable!$B$2:$Y$301, MATCH(ROUND(MIN(300,MAX(1,D2753)),0), FactorTable!$A$2:$A$301,0), Skills!M14+1)</f>
        <v/>
      </c>
      <c r="F2753">
        <f>IF(Skills!N14=TRUE,(Skills!L14/10)*(E2753/1000),Skills!L14/10)+Skills!O14</f>
        <v/>
      </c>
      <c r="G2753">
        <f>Skills!G14*IF(Skills!H14&gt;0,Skills!I14/Skills!H14,1)</f>
        <v/>
      </c>
      <c r="H2753">
        <f>1-(1-Skills!J14/100)^Skills!K14</f>
        <v/>
      </c>
      <c r="I2753" t="inlineStr">
        <is>
          <t>1</t>
        </is>
      </c>
      <c r="J2753" t="inlineStr"/>
      <c r="K2753" t="inlineStr"/>
      <c r="L2753" t="inlineStr"/>
      <c r="M2753" t="inlineStr"/>
      <c r="N2753" t="inlineStr"/>
      <c r="O2753">
        <f>(1-Summary!$B$11)*T2753+Summary!$B$11*V2753</f>
        <v/>
      </c>
      <c r="P2753">
        <f>IF(B2782=0,0,O2753/B2782)</f>
        <v/>
      </c>
      <c r="Q2753" t="n">
        <v>0</v>
      </c>
      <c r="R2753" t="n">
        <v>0</v>
      </c>
      <c r="S2753">
        <f>IFERROR(O2753/N2753,0)</f>
        <v/>
      </c>
      <c r="T2753" t="n">
        <v>0</v>
      </c>
      <c r="V2753" t="n">
        <v>0</v>
      </c>
    </row>
    <row r="2754">
      <c r="A2754">
        <f>Skills!A15</f>
        <v/>
      </c>
      <c r="B2754">
        <f>Skills!B15</f>
        <v/>
      </c>
      <c r="C2754">
        <f>Inputs!$B$3&gt;=117</f>
        <v/>
      </c>
      <c r="D2754">
        <f>IF(Skills!C15=1,60+Inputs!$B$25+Inputs!$B$29,IF(Skills!C15=2,90+Inputs!$B$26+Inputs!$B$29,IF(Skills!C15=3,120+Inputs!$B$27+Inputs!$B$29,MAX(0,(Inputs!$B$3-100)*3)+Inputs!$B$28+Inputs!$B$29)))</f>
        <v/>
      </c>
      <c r="E2754">
        <f>INDEX(FactorTable!$B$2:$Y$301, MATCH(ROUND(MIN(300,MAX(1,D2754)),0), FactorTable!$A$2:$A$301,0), Skills!M15+1)</f>
        <v/>
      </c>
      <c r="F2754">
        <f>IF(Skills!N15=TRUE,(Skills!L15/10)*(E2754/1000),Skills!L15/10)+Skills!O15</f>
        <v/>
      </c>
      <c r="G2754">
        <f>Skills!G15*IF(Skills!H15&gt;0,Skills!I15/Skills!H15,1)</f>
        <v/>
      </c>
      <c r="H2754">
        <f>1-(1-Skills!J15/100)^Skills!K15</f>
        <v/>
      </c>
      <c r="I2754" t="inlineStr">
        <is>
          <t>1</t>
        </is>
      </c>
      <c r="J2754" t="inlineStr"/>
      <c r="K2754" t="inlineStr"/>
      <c r="L2754" t="inlineStr"/>
      <c r="M2754" t="inlineStr"/>
      <c r="N2754" t="inlineStr"/>
      <c r="O2754">
        <f>(1-Summary!$B$11)*T2754+Summary!$B$11*V2754</f>
        <v/>
      </c>
      <c r="P2754">
        <f>IF(B2782=0,0,O2754/B2782)</f>
        <v/>
      </c>
      <c r="Q2754">
        <f>IFERROR(1/(IF(Inputs!$B$38="pvp",15,MAX(0.1,Skills!D15-IF(Skills!E15=TRUE,Inputs!$B$32,0)))*(1-IF(AND(ArtifactsInput!$M$27,Inputs!$B$4="Chapter Hunt"),CHOOSE(ArtifactsInput!$N$27+1,20,24,28,32,36,40),0)/100)),0)</f>
        <v/>
      </c>
      <c r="R2754">
        <f>IF(AND(Inputs!$B$38&lt;&gt;"pvp",Inputs!$B$43&gt;0),IF(Inputs!$B$43&lt;=0,0,(INT(Inputs!$B$43/(IF(Inputs!$B$38="pvp",15,MAX(0.1,Skills!D15-IF(Skills!E15=TRUE,Inputs!$B$32,0)))*(1-IF(AND(ArtifactsInput!$M$27,Inputs!$B$4="Chapter Hunt"),CHOOSE(ArtifactsInput!$N$27+1,20,24,28,32,36,40),0)/100)))+1)),0)</f>
        <v/>
      </c>
      <c r="S2754">
        <f>IFERROR(O2754/N2754,0)</f>
        <v/>
      </c>
      <c r="T2754" t="n">
        <v>0</v>
      </c>
      <c r="V2754" t="n">
        <v>0</v>
      </c>
    </row>
    <row r="2755">
      <c r="A2755">
        <f>Skills!A16</f>
        <v/>
      </c>
      <c r="B2755">
        <f>Skills!B16</f>
        <v/>
      </c>
      <c r="C2755">
        <f>Inputs!$B$3&gt;=115</f>
        <v/>
      </c>
      <c r="D2755">
        <f>IF(Skills!C16=1,60+Inputs!$B$25+Inputs!$B$29,IF(Skills!C16=2,90+Inputs!$B$26+Inputs!$B$29,IF(Skills!C16=3,120+Inputs!$B$27+Inputs!$B$29,MAX(0,(Inputs!$B$3-100)*3)+Inputs!$B$28+Inputs!$B$29)))</f>
        <v/>
      </c>
      <c r="E2755">
        <f>INDEX(FactorTable!$B$2:$Y$301, MATCH(ROUND(MIN(300,MAX(1,D2755)),0), FactorTable!$A$2:$A$301,0), Skills!M16+1)</f>
        <v/>
      </c>
      <c r="F2755">
        <f>IF(Skills!N16=TRUE,(Skills!L16/10)*(E2755/1000),Skills!L16/10)+Skills!O16</f>
        <v/>
      </c>
      <c r="G2755">
        <f>Skills!G16*IF(Skills!H16&gt;0,Skills!I16/Skills!H16,1)</f>
        <v/>
      </c>
      <c r="H2755">
        <f>1-(1-Skills!J16/100)^Skills!K16</f>
        <v/>
      </c>
      <c r="I2755" t="inlineStr">
        <is>
          <t>1</t>
        </is>
      </c>
      <c r="J2755" t="inlineStr"/>
      <c r="K2755" t="inlineStr"/>
      <c r="L2755" t="inlineStr"/>
      <c r="M2755" t="inlineStr"/>
      <c r="N2755" t="inlineStr"/>
      <c r="O2755">
        <f>(1-Summary!$B$11)*T2755+Summary!$B$11*V2755</f>
        <v/>
      </c>
      <c r="P2755">
        <f>IF(B2782=0,0,O2755/B2782)</f>
        <v/>
      </c>
      <c r="Q2755">
        <f>IFERROR(1/(IF(Inputs!$B$38="pvp",15,MAX(0.1,Skills!D16-IF(Skills!E16=TRUE,Inputs!$B$32,0)))*(1-IF(AND(ArtifactsInput!$M$27,Inputs!$B$4="Chapter Hunt"),CHOOSE(ArtifactsInput!$N$27+1,20,24,28,32,36,40),0)/100)),0)</f>
        <v/>
      </c>
      <c r="R2755">
        <f>IF(AND(Inputs!$B$38&lt;&gt;"pvp",Inputs!$B$43&gt;0),IF(Inputs!$B$43&lt;=0,0,(INT(Inputs!$B$43/(IF(Inputs!$B$38="pvp",15,MAX(0.1,Skills!D16-IF(Skills!E16=TRUE,Inputs!$B$32,0)))*(1-IF(AND(ArtifactsInput!$M$27,Inputs!$B$4="Chapter Hunt"),CHOOSE(ArtifactsInput!$N$27+1,20,24,28,32,36,40),0)/100)))+1)),0)</f>
        <v/>
      </c>
      <c r="S2755">
        <f>IFERROR(O2755/N2755,0)</f>
        <v/>
      </c>
      <c r="T2755" t="n">
        <v>0</v>
      </c>
      <c r="V2755" t="n">
        <v>0</v>
      </c>
    </row>
    <row r="2756">
      <c r="A2756">
        <f>Skills!A17</f>
        <v/>
      </c>
      <c r="B2756">
        <f>Skills!B17</f>
        <v/>
      </c>
      <c r="C2756">
        <f>Inputs!$B$3&gt;=66</f>
        <v/>
      </c>
      <c r="D2756">
        <f>IF(Skills!C17=1,60+Inputs!$B$25+Inputs!$B$29,IF(Skills!C17=2,90+Inputs!$B$26+Inputs!$B$29,IF(Skills!C17=3,120+Inputs!$B$27+Inputs!$B$29,MAX(0,(Inputs!$B$3-100)*3)+Inputs!$B$28+Inputs!$B$29)))</f>
        <v/>
      </c>
      <c r="E2756">
        <f>INDEX(FactorTable!$B$2:$Y$301, MATCH(ROUND(MIN(300,MAX(1,D2756)),0), FactorTable!$A$2:$A$301,0), Skills!M17+1)</f>
        <v/>
      </c>
      <c r="F2756">
        <f>IF(Skills!N17=TRUE,(Skills!L17/10)*(E2756/1000),Skills!L17/10)+Skills!O17</f>
        <v/>
      </c>
      <c r="G2756">
        <f>Skills!G17*IF(Skills!H17&gt;0,Skills!I17/Skills!H17,1)</f>
        <v/>
      </c>
      <c r="H2756">
        <f>1-(1-Skills!J17/100)^Skills!K17</f>
        <v/>
      </c>
      <c r="I2756" t="inlineStr">
        <is>
          <t>1</t>
        </is>
      </c>
      <c r="J2756" t="inlineStr"/>
      <c r="K2756" t="inlineStr"/>
      <c r="L2756" t="inlineStr"/>
      <c r="M2756" t="inlineStr"/>
      <c r="N2756" t="inlineStr"/>
      <c r="O2756">
        <f>(1-Summary!$B$11)*T2756+Summary!$B$11*V2756</f>
        <v/>
      </c>
      <c r="P2756">
        <f>IF(B2782=0,0,O2756/B2782)</f>
        <v/>
      </c>
      <c r="Q2756" t="n">
        <v>0</v>
      </c>
      <c r="R2756" t="n">
        <v>0</v>
      </c>
      <c r="S2756">
        <f>IFERROR(O2756/N2756,0)</f>
        <v/>
      </c>
      <c r="T2756" t="n">
        <v>0</v>
      </c>
      <c r="V2756" t="n">
        <v>0</v>
      </c>
    </row>
    <row r="2757">
      <c r="A2757">
        <f>Skills!A18</f>
        <v/>
      </c>
      <c r="B2757">
        <f>Skills!B18</f>
        <v/>
      </c>
      <c r="C2757">
        <f>Inputs!$B$3&gt;=72</f>
        <v/>
      </c>
      <c r="D2757">
        <f>IF(Skills!C18=1,60+Inputs!$B$25+Inputs!$B$29,IF(Skills!C18=2,90+Inputs!$B$26+Inputs!$B$29,IF(Skills!C18=3,120+Inputs!$B$27+Inputs!$B$29,MAX(0,(Inputs!$B$3-100)*3)+Inputs!$B$28+Inputs!$B$29)))</f>
        <v/>
      </c>
      <c r="E2757">
        <f>INDEX(FactorTable!$B$2:$Y$301, MATCH(ROUND(MIN(300,MAX(1,D2757)),0), FactorTable!$A$2:$A$301,0), Skills!M18+1)</f>
        <v/>
      </c>
      <c r="F2757">
        <f>IF(Skills!N18=TRUE,(Skills!L18/10)*(E2757/1000),Skills!L18/10)+Skills!O18</f>
        <v/>
      </c>
      <c r="G2757">
        <f>Skills!G18*IF(Skills!H18&gt;0,Skills!I18/Skills!H18,1)</f>
        <v/>
      </c>
      <c r="H2757">
        <f>1-(1-Skills!J18/100)^Skills!K18</f>
        <v/>
      </c>
      <c r="I2757" t="inlineStr">
        <is>
          <t>1</t>
        </is>
      </c>
      <c r="J2757" t="inlineStr"/>
      <c r="K2757" t="inlineStr"/>
      <c r="L2757" t="inlineStr"/>
      <c r="M2757" t="inlineStr"/>
      <c r="N2757" t="inlineStr"/>
      <c r="O2757">
        <f>(1-Summary!$B$11)*T2757+Summary!$B$11*V2757</f>
        <v/>
      </c>
      <c r="P2757">
        <f>IF(B2782=0,0,O2757/B2782)</f>
        <v/>
      </c>
      <c r="Q2757" t="n">
        <v>0</v>
      </c>
      <c r="R2757" t="n">
        <v>0</v>
      </c>
      <c r="S2757">
        <f>IFERROR(O2757/N2757,0)</f>
        <v/>
      </c>
      <c r="T2757" t="n">
        <v>0</v>
      </c>
      <c r="V2757" t="n">
        <v>0</v>
      </c>
    </row>
    <row r="2758">
      <c r="A2758">
        <f>Skills!A19</f>
        <v/>
      </c>
      <c r="B2758">
        <f>Skills!B19</f>
        <v/>
      </c>
      <c r="C2758">
        <f>TRUE</f>
        <v/>
      </c>
      <c r="D2758">
        <f>IF(Skills!C19=1,60+Inputs!$B$25+Inputs!$B$29,IF(Skills!C19=2,90+Inputs!$B$26+Inputs!$B$29,IF(Skills!C19=3,120+Inputs!$B$27+Inputs!$B$29,MAX(0,(Inputs!$B$3-100)*3)+Inputs!$B$28+Inputs!$B$29)))</f>
        <v/>
      </c>
      <c r="E2758">
        <f>INDEX(FactorTable!$B$2:$Y$301, MATCH(ROUND(MIN(300,MAX(1,D2758)),0), FactorTable!$A$2:$A$301,0), Skills!M19+1)</f>
        <v/>
      </c>
      <c r="F2758">
        <f>IF(Skills!N19=TRUE,(Skills!L19/10)*(E2758/1000),Skills!L19/10)+Skills!O19</f>
        <v/>
      </c>
      <c r="G2758">
        <f>Skills!G19*IF(Skills!H19&gt;0,Skills!I19/Skills!H19,1)</f>
        <v/>
      </c>
      <c r="H2758">
        <f>1-(1-Skills!J19/100)^Skills!K19</f>
        <v/>
      </c>
      <c r="I2758" t="inlineStr">
        <is>
          <t>1</t>
        </is>
      </c>
      <c r="J2758" t="inlineStr"/>
      <c r="K2758" t="inlineStr"/>
      <c r="L2758" t="inlineStr"/>
      <c r="M2758" t="inlineStr"/>
      <c r="N2758" t="inlineStr"/>
      <c r="O2758">
        <f>(1-Summary!$B$11)*T2758+Summary!$B$11*V2758</f>
        <v/>
      </c>
      <c r="P2758">
        <f>IF(B2782=0,0,O2758/B2782)</f>
        <v/>
      </c>
      <c r="Q2758">
        <f>IFERROR(1/(IF(Inputs!$B$38="pvp",15,MAX(0.1,Skills!D19-IF(Skills!E19=TRUE,Inputs!$B$32,0)))*(1-IF(AND(ArtifactsInput!$M$27,Inputs!$B$4="Chapter Hunt"),CHOOSE(ArtifactsInput!$N$27+1,20,24,28,32,36,40),0)/100)),0)</f>
        <v/>
      </c>
      <c r="R2758">
        <f>IF(AND(Inputs!$B$38&lt;&gt;"pvp",Inputs!$B$43&gt;0),IF(Inputs!$B$43&lt;=0,0,(INT(Inputs!$B$43/(IF(Inputs!$B$38="pvp",15,MAX(0.1,Skills!D19-IF(Skills!E19=TRUE,Inputs!$B$32,0)))*(1-IF(AND(ArtifactsInput!$M$27,Inputs!$B$4="Chapter Hunt"),CHOOSE(ArtifactsInput!$N$27+1,20,24,28,32,36,40),0)/100)))+1)),0)</f>
        <v/>
      </c>
      <c r="S2758">
        <f>IFERROR(O2758/N2758,0)</f>
        <v/>
      </c>
      <c r="T2758" t="n">
        <v>0</v>
      </c>
      <c r="V2758" t="n">
        <v>0</v>
      </c>
    </row>
    <row r="2759">
      <c r="A2759">
        <f>Skills!A20</f>
        <v/>
      </c>
      <c r="B2759">
        <f>Skills!B20</f>
        <v/>
      </c>
      <c r="C2759">
        <f>Inputs!$B$3&gt;=15</f>
        <v/>
      </c>
      <c r="D2759">
        <f>IF(Skills!C20=1,60+Inputs!$B$25+Inputs!$B$29,IF(Skills!C20=2,90+Inputs!$B$26+Inputs!$B$29,IF(Skills!C20=3,120+Inputs!$B$27+Inputs!$B$29,MAX(0,(Inputs!$B$3-100)*3)+Inputs!$B$28+Inputs!$B$29)))</f>
        <v/>
      </c>
      <c r="E2759">
        <f>INDEX(FactorTable!$B$2:$Y$301, MATCH(ROUND(MIN(300,MAX(1,D2759)),0), FactorTable!$A$2:$A$301,0), Skills!M20+1)</f>
        <v/>
      </c>
      <c r="F2759">
        <f>IF(Skills!N20=TRUE,(Skills!L20/10)*(E2759/1000),Skills!L20/10)+Skills!O20</f>
        <v/>
      </c>
      <c r="G2759">
        <f>Skills!G20*IF(Skills!H20&gt;0,Skills!I20/Skills!H20,1)</f>
        <v/>
      </c>
      <c r="H2759">
        <f>1-(1-Skills!J20/100)^Skills!K20</f>
        <v/>
      </c>
      <c r="I2759" t="inlineStr">
        <is>
          <t>1</t>
        </is>
      </c>
      <c r="J2759" t="inlineStr"/>
      <c r="K2759" t="inlineStr"/>
      <c r="L2759" t="inlineStr"/>
      <c r="M2759" t="inlineStr"/>
      <c r="N2759" t="inlineStr"/>
      <c r="O2759">
        <f>(1-Summary!$B$11)*T2759+Summary!$B$11*V2759</f>
        <v/>
      </c>
      <c r="P2759">
        <f>IF(B2782=0,0,O2759/B2782)</f>
        <v/>
      </c>
      <c r="Q2759" t="n">
        <v>0</v>
      </c>
      <c r="R2759" t="n">
        <v>0</v>
      </c>
      <c r="S2759">
        <f>IFERROR(O2759/N2759,0)</f>
        <v/>
      </c>
      <c r="T2759" t="n">
        <v>0</v>
      </c>
      <c r="V2759" t="n">
        <v>0</v>
      </c>
    </row>
    <row r="2760">
      <c r="A2760">
        <f>Skills!A21</f>
        <v/>
      </c>
      <c r="B2760">
        <f>Skills!B21</f>
        <v/>
      </c>
      <c r="C2760">
        <f>Inputs!$B$3&gt;=10</f>
        <v/>
      </c>
      <c r="D2760">
        <f>IF(Skills!C21=1,60+Inputs!$B$25+Inputs!$B$29,IF(Skills!C21=2,90+Inputs!$B$26+Inputs!$B$29,IF(Skills!C21=3,120+Inputs!$B$27+Inputs!$B$29,MAX(0,(Inputs!$B$3-100)*3)+Inputs!$B$28+Inputs!$B$29)))</f>
        <v/>
      </c>
      <c r="E2760">
        <f>INDEX(FactorTable!$B$2:$Y$301, MATCH(ROUND(MIN(300,MAX(1,D2760)),0), FactorTable!$A$2:$A$301,0), Skills!M21+1)</f>
        <v/>
      </c>
      <c r="F2760">
        <f>IF(Skills!N21=TRUE,(Skills!L21/10)*(E2760/1000),Skills!L21/10)+Skills!O21</f>
        <v/>
      </c>
      <c r="G2760">
        <f>Skills!G21*IF(Skills!H21&gt;0,Skills!I21/Skills!H21,1)</f>
        <v/>
      </c>
      <c r="H2760">
        <f>1-(1-Skills!J21/100)^Skills!K21</f>
        <v/>
      </c>
      <c r="I2760" t="inlineStr">
        <is>
          <t>1</t>
        </is>
      </c>
      <c r="J2760" t="inlineStr"/>
      <c r="K2760" t="inlineStr"/>
      <c r="L2760" t="inlineStr"/>
      <c r="M2760" t="inlineStr"/>
      <c r="N2760" t="inlineStr"/>
      <c r="O2760">
        <f>(1-Summary!$B$11)*T2760+Summary!$B$11*V2760</f>
        <v/>
      </c>
      <c r="P2760">
        <f>IF(B2782=0,0,O2760/B2782)</f>
        <v/>
      </c>
      <c r="Q2760" t="n">
        <v>0</v>
      </c>
      <c r="R2760" t="n">
        <v>0</v>
      </c>
      <c r="S2760">
        <f>IFERROR(O2760/N2760,0)</f>
        <v/>
      </c>
      <c r="T2760" t="n">
        <v>0</v>
      </c>
      <c r="V2760" t="n">
        <v>0</v>
      </c>
    </row>
    <row r="2761">
      <c r="A2761">
        <f>Skills!A22</f>
        <v/>
      </c>
      <c r="B2761">
        <f>Skills!B22</f>
        <v/>
      </c>
      <c r="C2761">
        <f>Inputs!$B$3&gt;=33</f>
        <v/>
      </c>
      <c r="D2761">
        <f>IF(Skills!C22=1,60+Inputs!$B$25+Inputs!$B$29,IF(Skills!C22=2,90+Inputs!$B$26+Inputs!$B$29,IF(Skills!C22=3,120+Inputs!$B$27+Inputs!$B$29,MAX(0,(Inputs!$B$3-100)*3)+Inputs!$B$28+Inputs!$B$29)))</f>
        <v/>
      </c>
      <c r="E2761">
        <f>INDEX(FactorTable!$B$2:$Y$301, MATCH(ROUND(MIN(300,MAX(1,D2761)),0), FactorTable!$A$2:$A$301,0), Skills!M22+1)</f>
        <v/>
      </c>
      <c r="F2761">
        <f>IF(Skills!N22=TRUE,(Skills!L22/10)*(E2761/1000),Skills!L22/10)+Skills!O22</f>
        <v/>
      </c>
      <c r="G2761">
        <f>Skills!G22*IF(Skills!H22&gt;0,Skills!I22/Skills!H22,1)</f>
        <v/>
      </c>
      <c r="H2761">
        <f>1-(1-Skills!J22/100)^Skills!K22</f>
        <v/>
      </c>
      <c r="I2761" t="inlineStr">
        <is>
          <t>1</t>
        </is>
      </c>
      <c r="J2761" t="inlineStr"/>
      <c r="K2761" t="inlineStr"/>
      <c r="L2761" t="inlineStr"/>
      <c r="M2761" t="inlineStr"/>
      <c r="N2761" t="inlineStr"/>
      <c r="O2761">
        <f>(1-Summary!$B$11)*T2761+Summary!$B$11*V2761</f>
        <v/>
      </c>
      <c r="P2761">
        <f>IF(B2782=0,0,O2761/B2782)</f>
        <v/>
      </c>
      <c r="Q2761" t="n">
        <v>0</v>
      </c>
      <c r="R2761" t="n">
        <v>0</v>
      </c>
      <c r="S2761">
        <f>IFERROR(O2761/N2761,0)</f>
        <v/>
      </c>
      <c r="T2761" t="n">
        <v>0</v>
      </c>
      <c r="V2761" t="n">
        <v>0</v>
      </c>
    </row>
    <row r="2762">
      <c r="A2762">
        <f>Skills!A23</f>
        <v/>
      </c>
      <c r="B2762">
        <f>Skills!B23</f>
        <v/>
      </c>
      <c r="C2762">
        <f>Inputs!$B$3&gt;=38</f>
        <v/>
      </c>
      <c r="D2762">
        <f>IF(Skills!C23=1,60+Inputs!$B$25+Inputs!$B$29,IF(Skills!C23=2,90+Inputs!$B$26+Inputs!$B$29,IF(Skills!C23=3,120+Inputs!$B$27+Inputs!$B$29,MAX(0,(Inputs!$B$3-100)*3)+Inputs!$B$28+Inputs!$B$29)))</f>
        <v/>
      </c>
      <c r="E2762">
        <f>INDEX(FactorTable!$B$2:$Y$301, MATCH(ROUND(MIN(300,MAX(1,D2762)),0), FactorTable!$A$2:$A$301,0), Skills!M23+1)</f>
        <v/>
      </c>
      <c r="F2762">
        <f>IF(Skills!N23=TRUE,(Skills!L23/10)*(E2762/1000),Skills!L23/10)+Skills!O23</f>
        <v/>
      </c>
      <c r="G2762">
        <f>Skills!G23*IF(Skills!H23&gt;0,Skills!I23/Skills!H23,1)</f>
        <v/>
      </c>
      <c r="H2762">
        <f>1-(1-Skills!J23/100)^Skills!K23</f>
        <v/>
      </c>
      <c r="I2762" t="inlineStr">
        <is>
          <t>1</t>
        </is>
      </c>
      <c r="J2762" t="inlineStr"/>
      <c r="K2762" t="inlineStr"/>
      <c r="L2762" t="inlineStr"/>
      <c r="M2762" t="inlineStr"/>
      <c r="N2762" t="inlineStr"/>
      <c r="O2762">
        <f>(1-Summary!$B$11)*T2762+Summary!$B$11*V2762</f>
        <v/>
      </c>
      <c r="P2762">
        <f>IF(B2782=0,0,O2762/B2782)</f>
        <v/>
      </c>
      <c r="Q2762" t="n">
        <v>0</v>
      </c>
      <c r="R2762" t="n">
        <v>0</v>
      </c>
      <c r="S2762">
        <f>IFERROR(O2762/N2762,0)</f>
        <v/>
      </c>
      <c r="T2762" t="n">
        <v>0</v>
      </c>
      <c r="V2762" t="n">
        <v>0</v>
      </c>
    </row>
    <row r="2763">
      <c r="A2763">
        <f>Skills!A24</f>
        <v/>
      </c>
      <c r="B2763">
        <f>Skills!B24</f>
        <v/>
      </c>
      <c r="C2763">
        <f>Inputs!$B$3&gt;=43</f>
        <v/>
      </c>
      <c r="D2763">
        <f>IF(Skills!C24=1,60+Inputs!$B$25+Inputs!$B$29,IF(Skills!C24=2,90+Inputs!$B$26+Inputs!$B$29,IF(Skills!C24=3,120+Inputs!$B$27+Inputs!$B$29,MAX(0,(Inputs!$B$3-100)*3)+Inputs!$B$28+Inputs!$B$29)))</f>
        <v/>
      </c>
      <c r="E2763">
        <f>INDEX(FactorTable!$B$2:$Y$301, MATCH(ROUND(MIN(300,MAX(1,D2763)),0), FactorTable!$A$2:$A$301,0), Skills!M24+1)</f>
        <v/>
      </c>
      <c r="F2763">
        <f>IF(Skills!N24=TRUE,(Skills!L24/10)*(E2763/1000),Skills!L24/10)+Skills!O24</f>
        <v/>
      </c>
      <c r="G2763">
        <f>Skills!G24*IF(Skills!H24&gt;0,Skills!I24/Skills!H24,1)</f>
        <v/>
      </c>
      <c r="H2763">
        <f>1-(1-Skills!J24/100)^Skills!K24</f>
        <v/>
      </c>
      <c r="I2763" t="inlineStr">
        <is>
          <t>1</t>
        </is>
      </c>
      <c r="J2763" t="inlineStr"/>
      <c r="K2763" t="inlineStr"/>
      <c r="L2763" t="inlineStr"/>
      <c r="M2763" t="inlineStr"/>
      <c r="N2763" t="inlineStr"/>
      <c r="O2763">
        <f>(1-Summary!$B$11)*T2763+Summary!$B$11*V2763</f>
        <v/>
      </c>
      <c r="P2763">
        <f>IF(B2782=0,0,O2763/B2782)</f>
        <v/>
      </c>
      <c r="Q2763" t="n">
        <v>0</v>
      </c>
      <c r="R2763" t="n">
        <v>0</v>
      </c>
      <c r="S2763">
        <f>IFERROR(O2763/N2763,0)</f>
        <v/>
      </c>
      <c r="T2763" t="n">
        <v>0</v>
      </c>
      <c r="V2763" t="n">
        <v>0</v>
      </c>
    </row>
    <row r="2764">
      <c r="A2764">
        <f>Skills!A25</f>
        <v/>
      </c>
      <c r="B2764">
        <f>Skills!B25</f>
        <v/>
      </c>
      <c r="C2764">
        <f>Inputs!$B$3&gt;=75</f>
        <v/>
      </c>
      <c r="D2764">
        <f>IF(Skills!C25=1,60+Inputs!$B$25+Inputs!$B$29,IF(Skills!C25=2,90+Inputs!$B$26+Inputs!$B$29,IF(Skills!C25=3,120+Inputs!$B$27+Inputs!$B$29,MAX(0,(Inputs!$B$3-100)*3)+Inputs!$B$28+Inputs!$B$29)))</f>
        <v/>
      </c>
      <c r="E2764">
        <f>INDEX(FactorTable!$B$2:$Y$301, MATCH(ROUND(MIN(300,MAX(1,D2764)),0), FactorTable!$A$2:$A$301,0), Skills!M25+1)</f>
        <v/>
      </c>
      <c r="F2764">
        <f>IF(Skills!N25=TRUE,(Skills!L25/10)*(E2764/1000),Skills!L25/10)+Skills!O25</f>
        <v/>
      </c>
      <c r="G2764">
        <f>Skills!G25*IF(Skills!H25&gt;0,Skills!I25/Skills!H25,1)</f>
        <v/>
      </c>
      <c r="H2764">
        <f>1-(1-Skills!J25/100)^Skills!K25</f>
        <v/>
      </c>
      <c r="I2764" t="inlineStr">
        <is>
          <t>1</t>
        </is>
      </c>
      <c r="J2764" t="inlineStr"/>
      <c r="K2764" t="inlineStr"/>
      <c r="L2764" t="inlineStr"/>
      <c r="M2764" t="inlineStr"/>
      <c r="N2764" t="inlineStr"/>
      <c r="O2764">
        <f>(1-Summary!$B$11)*T2764+Summary!$B$11*V2764</f>
        <v/>
      </c>
      <c r="P2764">
        <f>IF(B2782=0,0,O2764/B2782)</f>
        <v/>
      </c>
      <c r="Q2764" t="n">
        <v>0</v>
      </c>
      <c r="R2764" t="n">
        <v>0</v>
      </c>
      <c r="S2764">
        <f>IFERROR(O2764/N2764,0)</f>
        <v/>
      </c>
      <c r="T2764" t="n">
        <v>0</v>
      </c>
      <c r="V2764" t="n">
        <v>0</v>
      </c>
    </row>
    <row r="2765">
      <c r="A2765">
        <f>Skills!A26</f>
        <v/>
      </c>
      <c r="B2765">
        <f>Skills!B26</f>
        <v/>
      </c>
      <c r="C2765">
        <f>Inputs!$B$3&gt;=125</f>
        <v/>
      </c>
      <c r="D2765">
        <f>IF(Skills!C26=1,60+Inputs!$B$25+Inputs!$B$29,IF(Skills!C26=2,90+Inputs!$B$26+Inputs!$B$29,IF(Skills!C26=3,120+Inputs!$B$27+Inputs!$B$29,MAX(0,(Inputs!$B$3-100)*3)+Inputs!$B$28+Inputs!$B$29)))</f>
        <v/>
      </c>
      <c r="E2765">
        <f>INDEX(FactorTable!$B$2:$Y$301, MATCH(ROUND(MIN(300,MAX(1,D2765)),0), FactorTable!$A$2:$A$301,0), Skills!M26+1)</f>
        <v/>
      </c>
      <c r="F2765">
        <f>IF(Skills!N26=TRUE,(Skills!L26/10)*(E2765/1000),Skills!L26/10)+Skills!O26</f>
        <v/>
      </c>
      <c r="G2765">
        <f>Skills!G26*IF(Skills!H26&gt;0,Skills!I26/Skills!H26,1)</f>
        <v/>
      </c>
      <c r="H2765">
        <f>1-(1-Skills!J26/100)^Skills!K26</f>
        <v/>
      </c>
      <c r="I2765" t="inlineStr">
        <is>
          <t>1</t>
        </is>
      </c>
      <c r="J2765" t="inlineStr"/>
      <c r="K2765" t="inlineStr"/>
      <c r="L2765" t="inlineStr"/>
      <c r="M2765" t="inlineStr"/>
      <c r="N2765" t="inlineStr"/>
      <c r="O2765">
        <f>(1-Summary!$B$11)*T2765+Summary!$B$11*V2765</f>
        <v/>
      </c>
      <c r="P2765">
        <f>IF(B2782=0,0,O2765/B2782)</f>
        <v/>
      </c>
      <c r="Q2765" t="n">
        <v>0</v>
      </c>
      <c r="R2765" t="n">
        <v>0</v>
      </c>
      <c r="S2765">
        <f>IFERROR(O2765/N2765,0)</f>
        <v/>
      </c>
      <c r="T2765" t="n">
        <v>0</v>
      </c>
      <c r="V2765" t="n">
        <v>0</v>
      </c>
    </row>
    <row r="2766">
      <c r="A2766">
        <f>Skills!A27</f>
        <v/>
      </c>
      <c r="B2766">
        <f>Skills!B27</f>
        <v/>
      </c>
      <c r="C2766">
        <f>Inputs!$B$3&gt;=125</f>
        <v/>
      </c>
      <c r="D2766">
        <f>IF(Skills!C27=1,60+Inputs!$B$25+Inputs!$B$29,IF(Skills!C27=2,90+Inputs!$B$26+Inputs!$B$29,IF(Skills!C27=3,120+Inputs!$B$27+Inputs!$B$29,MAX(0,(Inputs!$B$3-100)*3)+Inputs!$B$28+Inputs!$B$29)))</f>
        <v/>
      </c>
      <c r="E2766">
        <f>INDEX(FactorTable!$B$2:$Y$301, MATCH(ROUND(MIN(300,MAX(1,D2766)),0), FactorTable!$A$2:$A$301,0), Skills!M27+1)</f>
        <v/>
      </c>
      <c r="F2766">
        <f>IF(Skills!N27=TRUE,(Skills!L27/10)*(E2766/1000),Skills!L27/10)+Skills!O27</f>
        <v/>
      </c>
      <c r="G2766">
        <f>Skills!G27*IF(Skills!H27&gt;0,Skills!I27/Skills!H27,1)</f>
        <v/>
      </c>
      <c r="H2766">
        <f>1-(1-Skills!J27/100)^Skills!K27</f>
        <v/>
      </c>
      <c r="I2766" t="inlineStr">
        <is>
          <t>1</t>
        </is>
      </c>
      <c r="J2766" t="inlineStr"/>
      <c r="K2766" t="inlineStr"/>
      <c r="L2766" t="inlineStr"/>
      <c r="M2766" t="inlineStr"/>
      <c r="N2766" t="inlineStr"/>
      <c r="O2766">
        <f>(1-Summary!$B$11)*T2766+Summary!$B$11*V2766</f>
        <v/>
      </c>
      <c r="P2766">
        <f>IF(B2782=0,0,O2766/B2782)</f>
        <v/>
      </c>
      <c r="Q2766" t="n">
        <v>0</v>
      </c>
      <c r="R2766" t="n">
        <v>0</v>
      </c>
      <c r="S2766">
        <f>IFERROR(O2766/N2766,0)</f>
        <v/>
      </c>
      <c r="T2766" t="n">
        <v>0</v>
      </c>
      <c r="V2766" t="n">
        <v>0</v>
      </c>
    </row>
    <row r="2767">
      <c r="A2767">
        <f>Skills!A28</f>
        <v/>
      </c>
      <c r="B2767">
        <f>Skills!B28</f>
        <v/>
      </c>
      <c r="C2767">
        <f>Inputs!$B$3&gt;=120</f>
        <v/>
      </c>
      <c r="D2767">
        <f>IF(Skills!C28=1,60+Inputs!$B$25+Inputs!$B$29,IF(Skills!C28=2,90+Inputs!$B$26+Inputs!$B$29,IF(Skills!C28=3,120+Inputs!$B$27+Inputs!$B$29,MAX(0,(Inputs!$B$3-100)*3)+Inputs!$B$28+Inputs!$B$29)))</f>
        <v/>
      </c>
      <c r="E2767">
        <f>INDEX(FactorTable!$B$2:$Y$301, MATCH(ROUND(MIN(300,MAX(1,D2767)),0), FactorTable!$A$2:$A$301,0), Skills!M28+1)</f>
        <v/>
      </c>
      <c r="F2767">
        <f>IF(Skills!N28=TRUE,(Skills!L28/10)*(E2767/1000),Skills!L28/10)+Skills!O28</f>
        <v/>
      </c>
      <c r="G2767">
        <f>Skills!G28*IF(Skills!H28&gt;0,Skills!I28/Skills!H28,1)</f>
        <v/>
      </c>
      <c r="H2767">
        <f>1-(1-Skills!J28/100)^Skills!K28</f>
        <v/>
      </c>
      <c r="I2767" t="inlineStr">
        <is>
          <t>1</t>
        </is>
      </c>
      <c r="J2767" t="inlineStr"/>
      <c r="K2767" t="inlineStr"/>
      <c r="L2767" t="inlineStr"/>
      <c r="M2767" t="inlineStr"/>
      <c r="N2767" t="inlineStr"/>
      <c r="O2767">
        <f>(1-Summary!$B$11)*T2767+Summary!$B$11*V2767</f>
        <v/>
      </c>
      <c r="P2767">
        <f>IF(B2782=0,0,O2767/B2782)</f>
        <v/>
      </c>
      <c r="Q2767" t="n">
        <v>0</v>
      </c>
      <c r="R2767" t="n">
        <v>0</v>
      </c>
      <c r="S2767">
        <f>IFERROR(O2767/N2767,0)</f>
        <v/>
      </c>
      <c r="T2767" t="n">
        <v>0</v>
      </c>
      <c r="V2767" t="n">
        <v>0</v>
      </c>
    </row>
    <row r="2768">
      <c r="A2768">
        <f>Skills!A29</f>
        <v/>
      </c>
      <c r="B2768">
        <f>Skills!B29</f>
        <v/>
      </c>
      <c r="C2768">
        <f>Inputs!$B$3&gt;=120</f>
        <v/>
      </c>
      <c r="D2768">
        <f>IF(Skills!C29=1,60+Inputs!$B$25+Inputs!$B$29,IF(Skills!C29=2,90+Inputs!$B$26+Inputs!$B$29,IF(Skills!C29=3,120+Inputs!$B$27+Inputs!$B$29,MAX(0,(Inputs!$B$3-100)*3)+Inputs!$B$28+Inputs!$B$29)))</f>
        <v/>
      </c>
      <c r="E2768">
        <f>INDEX(FactorTable!$B$2:$Y$301, MATCH(ROUND(MIN(300,MAX(1,D2768)),0), FactorTable!$A$2:$A$301,0), Skills!M29+1)</f>
        <v/>
      </c>
      <c r="F2768">
        <f>IF(Skills!N29=TRUE,(Skills!L29/10)*(E2768/1000),Skills!L29/10)+Skills!O29</f>
        <v/>
      </c>
      <c r="G2768">
        <f>Skills!G29*IF(Skills!H29&gt;0,Skills!I29/Skills!H29,1)</f>
        <v/>
      </c>
      <c r="H2768">
        <f>1-(1-Skills!J29/100)^Skills!K29</f>
        <v/>
      </c>
      <c r="I2768" t="inlineStr">
        <is>
          <t>1</t>
        </is>
      </c>
      <c r="J2768" t="inlineStr"/>
      <c r="K2768" t="inlineStr"/>
      <c r="L2768" t="inlineStr"/>
      <c r="M2768" t="inlineStr"/>
      <c r="N2768" t="inlineStr"/>
      <c r="O2768">
        <f>(1-Summary!$B$11)*T2768+Summary!$B$11*V2768</f>
        <v/>
      </c>
      <c r="P2768">
        <f>IF(B2782=0,0,O2768/B2782)</f>
        <v/>
      </c>
      <c r="Q2768" t="n">
        <v>0</v>
      </c>
      <c r="R2768" t="n">
        <v>0</v>
      </c>
      <c r="S2768">
        <f>IFERROR(O2768/N2768,0)</f>
        <v/>
      </c>
      <c r="T2768" t="n">
        <v>0</v>
      </c>
      <c r="V2768" t="n">
        <v>0</v>
      </c>
    </row>
    <row r="2769">
      <c r="A2769">
        <f>Skills!A30</f>
        <v/>
      </c>
      <c r="B2769">
        <f>Skills!B30</f>
        <v/>
      </c>
      <c r="C2769">
        <f>Inputs!$B$3&gt;=45</f>
        <v/>
      </c>
      <c r="D2769">
        <f>IF(Skills!C30=1,60+Inputs!$B$25+Inputs!$B$29,IF(Skills!C30=2,90+Inputs!$B$26+Inputs!$B$29,IF(Skills!C30=3,120+Inputs!$B$27+Inputs!$B$29,MAX(0,(Inputs!$B$3-100)*3)+Inputs!$B$28+Inputs!$B$29)))</f>
        <v/>
      </c>
      <c r="E2769">
        <f>INDEX(FactorTable!$B$2:$Y$301, MATCH(ROUND(MIN(300,MAX(1,D2769)),0), FactorTable!$A$2:$A$301,0), Skills!M30+1)</f>
        <v/>
      </c>
      <c r="F2769">
        <f>IF(Skills!N30=TRUE,(Skills!L30/10)*(E2769/1000),Skills!L30/10)+Skills!O30</f>
        <v/>
      </c>
      <c r="G2769">
        <f>Skills!G30*IF(Skills!H30&gt;0,Skills!I30/Skills!H30,1)</f>
        <v/>
      </c>
      <c r="H2769">
        <f>1-(1-Skills!J30/100)^Skills!K30</f>
        <v/>
      </c>
      <c r="I2769" t="inlineStr">
        <is>
          <t>1</t>
        </is>
      </c>
      <c r="J2769" t="inlineStr"/>
      <c r="K2769" t="inlineStr"/>
      <c r="L2769" t="inlineStr"/>
      <c r="M2769" t="inlineStr"/>
      <c r="N2769" t="inlineStr"/>
      <c r="O2769">
        <f>(1-Summary!$B$11)*T2769+Summary!$B$11*V2769</f>
        <v/>
      </c>
      <c r="P2769">
        <f>IF(B2782=0,0,O2769/B2782)</f>
        <v/>
      </c>
      <c r="Q2769" t="n">
        <v>0</v>
      </c>
      <c r="R2769" t="n">
        <v>0</v>
      </c>
      <c r="S2769">
        <f>IFERROR(O2769/N2769,0)</f>
        <v/>
      </c>
      <c r="T2769" t="n">
        <v>0</v>
      </c>
      <c r="V2769" t="n">
        <v>0</v>
      </c>
    </row>
    <row r="2771">
      <c r="A2771" t="inlineStr">
        <is>
          <t>Attack% Bucket Multiplier</t>
        </is>
      </c>
      <c r="B2771">
        <f>(1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2">
      <c r="A2772" t="inlineStr">
        <is>
          <t>Global Crit Rate Bonus %</t>
        </is>
      </c>
      <c r="B2772">
        <f>(C2755=TRUE)*20*IF(AND(Inputs!$B$38&lt;&gt;"pvp",Inputs!$B$43&gt;0),(((R2755-1)*(Skills!T16*(1+Inputs!$B$34/100))+MIN((Skills!T16*(1+Inputs!$B$34/100)),MAX(0,Inputs!$B$43-((R2755-1)*Skills!D16))))/Inputs!$B$43),IF(Inputs!$B$38="pvp",MIN((Skills!T16*(1+Inputs!$B$34/100)),15)/15,(Skills!T16*(1+Inputs!$B$34/100))/Skills!D16))</f>
        <v/>
      </c>
    </row>
    <row r="2773">
      <c r="A2773" t="inlineStr">
        <is>
          <t>Attack Speed Buff Bonus %</t>
        </is>
      </c>
      <c r="B2773">
        <f>((C2758=TRUE)*F2758*IF(AND(Inputs!$B$38&lt;&gt;"pvp",Inputs!$B$43&gt;0),(((R2758-1)*(Skills!T19*(1+Inputs!$B$34/100))+MIN((Skills!T19*(1+Inputs!$B$34/100)),MAX(0,Inputs!$B$43-((R2758-1)*Skills!D19))))/Inputs!$B$43),IF(Inputs!$B$38="pvp",MIN((Skills!T19*(1+Inputs!$B$34/100)),15)/15,(Skills!T19*(1+Inputs!$B$34/100))/Skills!D19)))</f>
        <v/>
      </c>
    </row>
    <row r="2774">
      <c r="A2774" t="inlineStr">
        <is>
          <t>Actions Per Second</t>
        </is>
      </c>
      <c r="B2774">
        <f>1+MIN(150,150*(1-(1-(Inputs!$B$11+((C2760=TRUE)*(F2760-Calc!F21))+((C2761=TRUE)*(F2761-Calc!F22)))/150)*(1-B2773/150)))/100</f>
        <v/>
      </c>
    </row>
    <row r="2775">
      <c r="A2775" t="inlineStr">
        <is>
          <t>Skill + Buff Cast Rate</t>
        </is>
      </c>
      <c r="B2775">
        <f>IF(AND(Inputs!$B$38&lt;&gt;"pvp",Inputs!$B$43&gt;0),SUMPRODUCT((Skills!E2:E30=TRUE)*(C2741:C2769=TRUE)*R2741:R2769*Skills!F2:F30)/Inputs!$B$43,SUMPRODUCT((Skills!E2:E30=TRUE)*(C2741:C2769=TRUE)*Q2741:Q2769*Skills!F2:F30))</f>
        <v/>
      </c>
    </row>
    <row r="2776">
      <c r="A2776" t="inlineStr">
        <is>
          <t>Arrow Stream Casts Per Second</t>
        </is>
      </c>
      <c r="B2776">
        <f>MAX(0,B2774-B2775)</f>
        <v/>
      </c>
    </row>
    <row r="2777">
      <c r="A2777" t="inlineStr">
        <is>
          <t>Global Critical Damage Bonus % (Sharp Eyes + Concentration)</t>
        </is>
      </c>
      <c r="B2777">
        <f>(C2755=TRUE)*F2755*IF(AND(Inputs!$B$38&lt;&gt;"pvp",Inputs!$B$43&gt;0),(((R2755-1)*(Skills!T16*(1+Inputs!$B$34/100))+MIN((Skills!T16*(1+Inputs!$B$34/100)),MAX(0,Inputs!$B$43-((R2755-1)*Skills!D16))))/Inputs!$B$43),IF(Inputs!$B$38="pvp",MIN((Skills!T16*(1+Inputs!$B$34/100)),15)/15,(Skills!T16*(1+Inputs!$B$34/100))/Skills!D16))+(C2756=TRUE)*30</f>
        <v/>
      </c>
    </row>
    <row r="2778">
      <c r="A2778" t="inlineStr">
        <is>
          <t>Global Final Damage Bonus % (Mortal Blow)</t>
        </is>
      </c>
      <c r="B2778">
        <f>(C2757=TRUE)*F2757</f>
        <v/>
      </c>
    </row>
    <row r="2779">
      <c r="A2779" t="inlineStr">
        <is>
          <t>Buff-Casting Startup Delay (s, fixed-duration only)</t>
        </is>
      </c>
      <c r="B2779">
        <f>IF(AND(Inputs!$B$38&lt;&gt;"pvp",Inputs!$B$43&gt;0),SUMPRODUCT((Skills!T2:T30&gt;0)*(Skills!E2:E30=TRUE)*(C2741:C2769=TRUE))/B2774,0)</f>
        <v/>
      </c>
    </row>
    <row r="2780">
      <c r="A2780" t="inlineStr">
        <is>
          <t>Boss-Only Total DPS (this block's swept value)</t>
        </is>
      </c>
      <c r="B2780">
        <f>SUM(T2741:T2769)</f>
        <v/>
      </c>
    </row>
    <row r="2781">
      <c r="A2781" t="inlineStr">
        <is>
          <t>Normal-Only Total DPS (this block's swept value)</t>
        </is>
      </c>
      <c r="B2781">
        <f>SUM(V2741:V2769)</f>
        <v/>
      </c>
    </row>
    <row r="2782">
      <c r="A2782" s="6" t="inlineStr">
        <is>
          <t>TOTAL DPS</t>
        </is>
      </c>
      <c r="B2782" s="6">
        <f>SUM(O2741:O2769)</f>
        <v/>
      </c>
    </row>
    <row r="2785">
      <c r="A2785" s="6" t="inlineStr">
        <is>
          <t>Stat: Reindeer's Spear (Equip)</t>
        </is>
      </c>
    </row>
    <row r="2786">
      <c r="A2786" s="5" t="inlineStr">
        <is>
          <t>Key</t>
        </is>
      </c>
      <c r="B2786" s="5" t="inlineStr">
        <is>
          <t>Name</t>
        </is>
      </c>
      <c r="C2786" s="5" t="inlineStr">
        <is>
          <t>Unlocked</t>
        </is>
      </c>
      <c r="D2786" s="5" t="inlineStr">
        <is>
          <t>InputLevel</t>
        </is>
      </c>
      <c r="E2786" s="5" t="inlineStr">
        <is>
          <t>Factor</t>
        </is>
      </c>
      <c r="F2786" s="5" t="inlineStr">
        <is>
          <t>CoefficientPercent</t>
        </is>
      </c>
      <c r="G2786" s="5" t="inlineStr">
        <is>
          <t>EffectiveHits</t>
        </is>
      </c>
      <c r="H2786" s="5" t="inlineStr">
        <is>
          <t>ProcProbability</t>
        </is>
      </c>
      <c r="I2786" s="5" t="inlineStr">
        <is>
          <t>MapleHeroMultiplier</t>
        </is>
      </c>
      <c r="J2786" s="5" t="inlineStr">
        <is>
          <t>BaseDamage</t>
        </is>
      </c>
      <c r="K2786" s="5" t="inlineStr">
        <is>
          <t>BaseHitDamage</t>
        </is>
      </c>
      <c r="L2786" s="5" t="inlineStr">
        <is>
          <t>NonCritAvg</t>
        </is>
      </c>
      <c r="M2786" s="5" t="inlineStr">
        <is>
          <t>CritAvg</t>
        </is>
      </c>
      <c r="N2786" s="5" t="inlineStr">
        <is>
          <t>ExpectedDamage(perHit)</t>
        </is>
      </c>
      <c r="O2786" s="5" t="inlineStr">
        <is>
          <t>DPS</t>
        </is>
      </c>
      <c r="P2786" s="5" t="inlineStr">
        <is>
          <t>% of Total</t>
        </is>
      </c>
      <c r="Q2786" s="5" t="inlineStr">
        <is>
          <t>InvCooldown</t>
        </is>
      </c>
      <c r="R2786" s="5" t="inlineStr">
        <is>
          <t>CastsInFight</t>
        </is>
      </c>
      <c r="S2786" s="5" t="inlineStr">
        <is>
          <t>HitRate(perSec)</t>
        </is>
      </c>
      <c r="U2786" t="inlineStr">
        <is>
          <t>helpers</t>
        </is>
      </c>
    </row>
    <row r="2787">
      <c r="A2787">
        <f>Skills!A2</f>
        <v/>
      </c>
      <c r="B2787">
        <f>Skills!B2</f>
        <v/>
      </c>
      <c r="C2787">
        <f>Inputs!$B$3&gt;=100</f>
        <v/>
      </c>
      <c r="D2787" t="inlineStr"/>
      <c r="E2787" t="inlineStr"/>
      <c r="F2787">
        <f>U2789+Skills!O2</f>
        <v/>
      </c>
      <c r="G2787">
        <f>Skills!G2*IF(Skills!H2&gt;0,Skills!I2/Skills!H2,1)</f>
        <v/>
      </c>
      <c r="H2787">
        <f>1-(1-Skills!J2/100)^Skills!K2</f>
        <v/>
      </c>
      <c r="I2787" t="inlineStr">
        <is>
          <t>1</t>
        </is>
      </c>
      <c r="J2787">
        <f>((Inputs!$B$6*(1+Inputs!$B$7/100))+(((Inputs!$B$12*(1+Inputs!$B$13/100))-(Inputs!$B$12*(1+Inputs!$B$13/100)))+0.25*(Inputs!$B$14-Inputs!$B$14))*(1+Inputs!$B$7/100))*(F2787/100)</f>
        <v/>
      </c>
      <c r="K2787">
        <f>J2787*(1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2809=TRUE)*(F2809-Calc!F24)),(Inputs!$B$23+((C2814=TRUE)*(F2814-Calc!F29))+(IF(ArtifactsInput!$M$15,CHOOSE(ArtifactsInput!$N$15+1,25,30,35,40,45,50)/100*(Inputs!$B$11-Inputs!$B$11),0))))/100+(Inputs!$B$23+((C2814=TRUE)*(F2814-Calc!F29))+(IF(ArtifactsInput!$M$15,CHOOSE(ArtifactsInput!$N$15+1,25,30,35,40,45,50)/100*(Inputs!$B$11-Inputs!$B$11),0)))/100)/2</f>
        <v/>
      </c>
      <c r="M2787">
        <f>L2787*(1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IF(B2828=0,0,O2787/B2828)</f>
        <v/>
      </c>
      <c r="Q2787" t="n">
        <v>0</v>
      </c>
      <c r="R2787" t="n">
        <v>0</v>
      </c>
      <c r="S2787">
        <f>IFERROR(O2787/N2787,0)</f>
        <v/>
      </c>
      <c r="T2787">
        <f>IF(C2787,(Skills!G2*N2787*B2822)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2787*(1-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MAX(0,(Inputs!$B$3-100)*3)+Inputs!$B$28+Inputs!$B$29</f>
        <v/>
      </c>
      <c r="V2787">
        <f>IF(C2787,(Skills!G2*N2787*B2822)*IF(Inputs!$B$38="pvp",1,(1+(Inputs!$B$21+Skills!Q2+(IF(ArtifactsInput!$M$33,CHOOSE(ArtifactsInput!$N$33+1,30,36,42,48,54,60),0))+(IF(AND(ArtifactsInput!$M$35,Inputs!$B$4&lt;&gt;"Chapter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Skills!A3</f>
        <v/>
      </c>
      <c r="B2788">
        <f>Skills!B3</f>
        <v/>
      </c>
      <c r="C2788">
        <f>Inputs!$B$3&gt;=50</f>
        <v/>
      </c>
      <c r="D2788">
        <f>IF(Skills!C3=1,60+Inputs!$B$25+Inputs!$B$29,IF(Skills!C3=2,90+Inputs!$B$26+Inputs!$B$29,IF(Skills!C3=3,120+Inputs!$B$27+Inputs!$B$29,MAX(0,(Inputs!$B$3-100)*3)+Inputs!$B$28+Inputs!$B$29)))</f>
        <v/>
      </c>
      <c r="E2788">
        <f>INDEX(FactorTable!$B$2:$Y$301, MATCH(ROUND(MIN(300,MAX(1,D2788)),0), FactorTable!$A$2:$A$301,0), Skills!M3+1)</f>
        <v/>
      </c>
      <c r="F2788">
        <f>IF(Skills!N3=TRUE,(Skills!L3/10)*(E2788/1000),Skills!L3/10)+Skills!O3</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U2788">
        <f>INDEX(FactorTable!$B$2:$Y$301, MATCH(ROUND(MIN(300,MAX(1,U2787)),0), FactorTable!$A$2:$A$301,0), 22)</f>
        <v/>
      </c>
      <c r="V2788" t="inlineStr"/>
    </row>
    <row r="2789">
      <c r="A2789">
        <f>Skills!A4</f>
        <v/>
      </c>
      <c r="B2789">
        <f>Skills!B4</f>
        <v/>
      </c>
      <c r="C2789">
        <f>Inputs!$B$3&gt;=105</f>
        <v/>
      </c>
      <c r="D2789">
        <f>IF(Skills!C4=1,60+Inputs!$B$25+Inputs!$B$29,IF(Skills!C4=2,90+Inputs!$B$26+Inputs!$B$29,IF(Skills!C4=3,120+Inputs!$B$27+Inputs!$B$29,MAX(0,(Inputs!$B$3-100)*3)+Inputs!$B$28+Inputs!$B$29)))</f>
        <v/>
      </c>
      <c r="E2789">
        <f>INDEX(FactorTable!$B$2:$Y$301, MATCH(ROUND(MIN(300,MAX(1,D2789)),0), FactorTable!$A$2:$A$301,0), Skills!M4+1)</f>
        <v/>
      </c>
      <c r="F2789">
        <f>IF(Skills!N4=TRUE,(Skills!L4/10)*(E2789/1000),Skills!L4/10)+Skills!O4</f>
        <v/>
      </c>
      <c r="G2789" t="inlineStr"/>
      <c r="H2789" t="inlineStr"/>
      <c r="I2789" t="inlineStr">
        <is>
          <t>1</t>
        </is>
      </c>
      <c r="J2789" t="inlineStr"/>
      <c r="K2789" t="inlineStr"/>
      <c r="L2789" t="inlineStr"/>
      <c r="M2789" t="inlineStr"/>
      <c r="N2789" t="inlineStr"/>
      <c r="O2789" t="inlineStr"/>
      <c r="P2789" t="inlineStr"/>
      <c r="Q2789" t="inlineStr"/>
      <c r="R2789" t="inlineStr"/>
      <c r="S2789" t="inlineStr"/>
      <c r="T2789" t="inlineStr"/>
      <c r="U2789">
        <f>290*U2788/1000</f>
        <v/>
      </c>
      <c r="V2789" t="inlineStr"/>
    </row>
    <row r="2790">
      <c r="A2790">
        <f>Skills!A5</f>
        <v/>
      </c>
      <c r="B2790">
        <f>Skills!B5</f>
        <v/>
      </c>
      <c r="C2790">
        <f>Inputs!$B$3&gt;=35</f>
        <v/>
      </c>
      <c r="D2790">
        <f>IF(Skills!C5=1,60+Inputs!$B$25+Inputs!$B$29,IF(Skills!C5=2,90+Inputs!$B$26+Inputs!$B$29,IF(Skills!C5=3,120+Inputs!$B$27+Inputs!$B$29,MAX(0,(Inputs!$B$3-100)*3)+Inputs!$B$28+Inputs!$B$29)))</f>
        <v/>
      </c>
      <c r="E2790">
        <f>INDEX(FactorTable!$B$2:$Y$301, MATCH(ROUND(MIN(300,MAX(1,D2790)),0), FactorTable!$A$2:$A$301,0), Skills!M5+1)</f>
        <v/>
      </c>
      <c r="F2790">
        <f>IF(Skills!N5=TRUE,(Skills!L5/10)*(E2790/1000),Skills!L5/10)+Skills!O5</f>
        <v/>
      </c>
      <c r="G2790">
        <f>Skills!G5*IF(Skills!H5&gt;0,Skills!I5/Skills!H5,1)</f>
        <v/>
      </c>
      <c r="H2790">
        <f>1-(1-Skills!J5/100)^Skills!K5</f>
        <v/>
      </c>
      <c r="I2790" t="inlineStr">
        <is>
          <t>1</t>
        </is>
      </c>
      <c r="J2790">
        <f>((Inputs!$B$6*(1+Inputs!$B$7/100))+(((Inputs!$B$12*(1+Inputs!$B$13/100))-(Inputs!$B$12*(1+Inputs!$B$13/100)))+0.25*(Inputs!$B$14-Inputs!$B$14))*(1+Inputs!$B$7/100))*(F2790/100)</f>
        <v/>
      </c>
      <c r="K2790">
        <f>J2790*(1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2795=TRUE,F2795,0)/100)*(1+(IF(Skills!A5="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2809=TRUE)*(F2809-Calc!F24)),(Inputs!$B$23+((C2814=TRUE)*(F2814-Calc!F29))+(IF(ArtifactsInput!$M$15,CHOOSE(ArtifactsInput!$N$15+1,25,30,35,40,45,50)/100*(Inputs!$B$11-Inputs!$B$11),0))))/100+(Inputs!$B$23+((C2814=TRUE)*(F2814-Calc!F29))+(IF(ArtifactsInput!$M$15,CHOOSE(ArtifactsInput!$N$15+1,25,30,35,40,45,50)/100*(Inputs!$B$11-Inputs!$B$11),0)))/100)/2</f>
        <v/>
      </c>
      <c r="M2790">
        <f>L2790*(1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IF(B2828=0,0,O2790/B2828)</f>
        <v/>
      </c>
      <c r="Q2790">
        <f>IFERROR(1/(IF(Inputs!$B$38="pvp",15,MAX(0.1,Skills!D5-IF(Skills!E5=TRUE,Inputs!$B$32,0)))*(1-IF(AND(ArtifactsInput!$M$27,Inputs!$B$4="Chapter Hunt"),CHOOSE(ArtifactsInput!$N$27+1,20,24,28,32,36,40),0)/100)),0)</f>
        <v/>
      </c>
      <c r="R2790">
        <f>IF(AND(Inputs!$B$38&lt;&gt;"pvp",Inputs!$B$43&gt;0),IF(MAX(0,Inputs!$B$43-B2825)&lt;=0,0,(INT(MAX(0,Inputs!$B$43-B2825)/(IF(Inputs!$B$38="pvp",15,MAX(0.1,Skills!D5-IF(Skills!E5=TRUE,Inputs!$B$32,0)))*(1-IF(AND(ArtifactsInput!$M$27,Inputs!$B$4="Chapter Hunt"),CHOOSE(ArtifactsInput!$N$27+1,20,24,28,32,36,40),0)/100)))+1)),0)</f>
        <v/>
      </c>
      <c r="S2790">
        <f>IFERROR(O2790/N2790,0)</f>
        <v/>
      </c>
      <c r="T2790">
        <f>IF(C2790,(H2790*N2790*IF(AND(Inputs!$B$38&lt;&gt;"pvp",Inputs!$B$43&gt;0),((Skills!G5*((R2790-1)*IF(Skills!H5&gt;0,Skills!I5/Skills!H5,1)+IF(Skills!H5&gt;0,MIN(Skills!I5,MAX(0,MAX(0,Inputs!$B$43-B2825)-((R2790-1)*(IF(Inputs!$B$38="pvp",15,MAX(0.1,Skills!D5-IF(Skills!E5=TRUE,Inputs!$B$32,0)))*(1-IF(AND(ArtifactsInput!$M$27,Inputs!$B$4="Chapter Hunt"),CHOOSE(ArtifactsInput!$N$27+1,20,24,28,32,36,40),0)/100)))))/Skills!H5,1)))/Inputs!$B$43),G2790*Q2790)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2790*(1-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5*((R2790-1)*IF(Skills!H5&gt;0,Skills!I5/Skills!H5,1)+IF(Skills!H5&gt;0,MIN(Skills!I5,MAX(0,MAX(0,Inputs!$B$43-B2825)-((R2790-1)*(IF(Inputs!$B$38="pvp",15,MAX(0.1,Skills!D5-IF(Skills!E5=TRUE,Inputs!$B$32,0)))*(1-IF(AND(ArtifactsInput!$M$27,Inputs!$B$4="Chapter Hunt"),CHOOSE(ArtifactsInput!$N$27+1,20,24,28,32,36,40),0)/100)))))/Skills!H5,1)))/Inputs!$B$43),G2790*Q2790))*IF(Inputs!$B$38="pvp",1,(1+(Inputs!$B$21+Skills!Q5+(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Skills!A6</f>
        <v/>
      </c>
      <c r="B2791">
        <f>Skills!B6</f>
        <v/>
      </c>
      <c r="C2791">
        <f>Inputs!$B$3&gt;=40</f>
        <v/>
      </c>
      <c r="D2791">
        <f>IF(Skills!C6=1,60+Inputs!$B$25+Inputs!$B$29,IF(Skills!C6=2,90+Inputs!$B$26+Inputs!$B$29,IF(Skills!C6=3,120+Inputs!$B$27+Inputs!$B$29,MAX(0,(Inputs!$B$3-100)*3)+Inputs!$B$28+Inputs!$B$29)))</f>
        <v/>
      </c>
      <c r="E2791">
        <f>INDEX(FactorTable!$B$2:$Y$301, MATCH(ROUND(MIN(300,MAX(1,D2791)),0), FactorTable!$A$2:$A$301,0), Skills!M6+1)</f>
        <v/>
      </c>
      <c r="F2791">
        <f>IF(Skills!N6=TRUE,(Skills!L6/10)*(E2791/1000),Skills!L6/10)+Skills!O6</f>
        <v/>
      </c>
      <c r="G2791">
        <f>Skills!G6*IF(Skills!H6&gt;0,Skills!I6/Skills!H6,1)</f>
        <v/>
      </c>
      <c r="H2791">
        <f>1-(1-Skills!J6/100)^Skills!K6</f>
        <v/>
      </c>
      <c r="I2791" t="inlineStr">
        <is>
          <t>1</t>
        </is>
      </c>
      <c r="J2791">
        <f>((Inputs!$B$6*(1+Inputs!$B$7/100))+(((Inputs!$B$12*(1+Inputs!$B$13/100))-(Inputs!$B$12*(1+Inputs!$B$13/100)))+0.25*(Inputs!$B$14-Inputs!$B$14))*(1+Inputs!$B$7/100))*(F2791/100)</f>
        <v/>
      </c>
      <c r="K2791">
        <f>J2791*(1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2792=TRUE,F2792,0)/100)*(1+(IF(Skills!A6="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2809=TRUE)*(F2809-Calc!F24)),(Inputs!$B$23+((C2814=TRUE)*(F2814-Calc!F29))+(IF(ArtifactsInput!$M$15,CHOOSE(ArtifactsInput!$N$15+1,25,30,35,40,45,50)/100*(Inputs!$B$11-Inputs!$B$11),0))))/100+(Inputs!$B$23+((C2814=TRUE)*(F2814-Calc!F29))+(IF(ArtifactsInput!$M$15,CHOOSE(ArtifactsInput!$N$15+1,25,30,35,40,45,50)/100*(Inputs!$B$11-Inputs!$B$11),0)))/100)/2</f>
        <v/>
      </c>
      <c r="M2791">
        <f>L2791*(1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IF(B2828=0,0,O2791/B2828)</f>
        <v/>
      </c>
      <c r="Q2791">
        <f>IFERROR(1/(IF(Inputs!$B$38="pvp",15,MAX(0.1,Skills!D6-IF(Skills!E6=TRUE,Inputs!$B$32,0)))*(1-IF(AND(ArtifactsInput!$M$27,Inputs!$B$4="Chapter Hunt"),CHOOSE(ArtifactsInput!$N$27+1,20,24,28,32,36,40),0)/100)),0)</f>
        <v/>
      </c>
      <c r="R2791">
        <f>IF(AND(Inputs!$B$38&lt;&gt;"pvp",Inputs!$B$43&gt;0),IF(MAX(0,Inputs!$B$43-B2825)&lt;=0,0,(INT(MAX(0,Inputs!$B$43-B2825)/(IF(Inputs!$B$38="pvp",15,MAX(0.1,Skills!D6-IF(Skills!E6=TRUE,Inputs!$B$32,0)))*(1-IF(AND(ArtifactsInput!$M$27,Inputs!$B$4="Chapter Hunt"),CHOOSE(ArtifactsInput!$N$27+1,20,24,28,32,36,40),0)/100)))+1)),0)</f>
        <v/>
      </c>
      <c r="S2791">
        <f>IFERROR(O2791/N2791,0)</f>
        <v/>
      </c>
      <c r="T2791">
        <f>IF(C2791,(H2791*N2791*IF(AND(Inputs!$B$38&lt;&gt;"pvp",Inputs!$B$43&gt;0),((Skills!G6*((R2791-1)*IF(Skills!H6&gt;0,Skills!I6/Skills!H6,1)+IF(Skills!H6&gt;0,MIN(Skills!I6,MAX(0,MAX(0,Inputs!$B$43-B2825)-((R2791-1)*(IF(Inputs!$B$38="pvp",15,MAX(0.1,Skills!D6-IF(Skills!E6=TRUE,Inputs!$B$32,0)))*(1-IF(AND(ArtifactsInput!$M$27,Inputs!$B$4="Chapter Hunt"),CHOOSE(ArtifactsInput!$N$27+1,20,24,28,32,36,40),0)/100)))))/Skills!H6,1)))/Inputs!$B$43),G2791*Q2791)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2791*(1-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6*((R2791-1)*IF(Skills!H6&gt;0,Skills!I6/Skills!H6,1)+IF(Skills!H6&gt;0,MIN(Skills!I6,MAX(0,MAX(0,Inputs!$B$43-B2825)-((R2791-1)*(IF(Inputs!$B$38="pvp",15,MAX(0.1,Skills!D6-IF(Skills!E6=TRUE,Inputs!$B$32,0)))*(1-IF(AND(ArtifactsInput!$M$27,Inputs!$B$4="Chapter Hunt"),CHOOSE(ArtifactsInput!$N$27+1,20,24,28,32,36,40),0)/100)))))/Skills!H6,1)))/Inputs!$B$43),G2791*Q2791))*IF(Inputs!$B$38="pvp",1,(1+(Inputs!$B$21+Skills!Q6+(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Skills!A7</f>
        <v/>
      </c>
      <c r="B2792">
        <f>Skills!B7</f>
        <v/>
      </c>
      <c r="C2792">
        <f>Inputs!$B$3&gt;=107</f>
        <v/>
      </c>
      <c r="D2792">
        <f>IF(Skills!C7=1,60+Inputs!$B$25+Inputs!$B$29,IF(Skills!C7=2,90+Inputs!$B$26+Inputs!$B$29,IF(Skills!C7=3,120+Inputs!$B$27+Inputs!$B$29,MAX(0,(Inputs!$B$3-100)*3)+Inputs!$B$28+Inputs!$B$29)))</f>
        <v/>
      </c>
      <c r="E2792">
        <f>INDEX(FactorTable!$B$2:$Y$301, MATCH(ROUND(MIN(300,MAX(1,D2792)),0), FactorTable!$A$2:$A$301,0), Skills!M7+1)</f>
        <v/>
      </c>
      <c r="F2792">
        <f>IF(Skills!N7=TRUE,(Skills!L7/10)*(E2792/1000),Skills!L7/10)+Skills!O7</f>
        <v/>
      </c>
      <c r="G2792" t="inlineStr"/>
      <c r="H2792" t="inlineStr"/>
      <c r="I2792" t="inlineStr">
        <is>
          <t>1</t>
        </is>
      </c>
      <c r="J2792" t="inlineStr"/>
      <c r="K2792" t="inlineStr"/>
      <c r="L2792" t="inlineStr"/>
      <c r="M2792" t="inlineStr"/>
      <c r="N2792" t="inlineStr"/>
      <c r="O2792" t="inlineStr"/>
      <c r="P2792" t="inlineStr"/>
      <c r="Q2792" t="inlineStr"/>
      <c r="R2792" t="inlineStr"/>
      <c r="S2792" t="inlineStr"/>
      <c r="T2792" t="inlineStr"/>
      <c r="V2792" t="inlineStr"/>
    </row>
    <row r="2793">
      <c r="A2793">
        <f>Skills!A8</f>
        <v/>
      </c>
      <c r="B2793">
        <f>Skills!B8</f>
        <v/>
      </c>
      <c r="C2793">
        <f>Inputs!$B$3&gt;=69</f>
        <v/>
      </c>
      <c r="D2793">
        <f>IF(Skills!C8=1,60+Inputs!$B$25+Inputs!$B$29,IF(Skills!C8=2,90+Inputs!$B$26+Inputs!$B$29,IF(Skills!C8=3,120+Inputs!$B$27+Inputs!$B$29,MAX(0,(Inputs!$B$3-100)*3)+Inputs!$B$28+Inputs!$B$29)))</f>
        <v/>
      </c>
      <c r="E2793">
        <f>INDEX(FactorTable!$B$2:$Y$301, MATCH(ROUND(MIN(300,MAX(1,D2793)),0), FactorTable!$A$2:$A$301,0), Skills!M8+1)</f>
        <v/>
      </c>
      <c r="F2793">
        <f>IF(Skills!N8=TRUE,(Skills!L8/10)*(E2793/1000),Skills!L8/10)+Skills!O8</f>
        <v/>
      </c>
      <c r="G2793">
        <f>Skills!G8*IF(Skills!H8&gt;0,Skills!I8/Skills!H8,1)</f>
        <v/>
      </c>
      <c r="H2793">
        <f>1-(1-Skills!J8/100)^Skills!K8</f>
        <v/>
      </c>
      <c r="I2793" t="inlineStr">
        <is>
          <t>1</t>
        </is>
      </c>
      <c r="J2793">
        <f>((Inputs!$B$6*(1+Inputs!$B$7/100))+(((Inputs!$B$12*(1+Inputs!$B$13/100))-(Inputs!$B$12*(1+Inputs!$B$13/100)))+0.25*(Inputs!$B$14-Inputs!$B$14))*(1+Inputs!$B$7/100))*(F2793/100)</f>
        <v/>
      </c>
      <c r="K2793">
        <f>J2793*(1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2795=TRUE,F2795,0)/100)*(1+(IF(Skills!A8="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2809=TRUE)*(F2809-Calc!F24)),(Inputs!$B$23+((C2814=TRUE)*(F2814-Calc!F29))+(IF(ArtifactsInput!$M$15,CHOOSE(ArtifactsInput!$N$15+1,25,30,35,40,45,50)/100*(Inputs!$B$11-Inputs!$B$11),0))))/100+(Inputs!$B$23+((C2814=TRUE)*(F2814-Calc!F29))+(IF(ArtifactsInput!$M$15,CHOOSE(ArtifactsInput!$N$15+1,25,30,35,40,45,50)/100*(Inputs!$B$11-Inputs!$B$11),0)))/100)/2</f>
        <v/>
      </c>
      <c r="M2793">
        <f>L2793*(1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IF(B2828=0,0,O2793/B2828)</f>
        <v/>
      </c>
      <c r="Q2793">
        <f>IFERROR(1/(IF(Inputs!$B$38="pvp",15,MAX(0.1,Skills!D8-IF(Skills!E8=TRUE,Inputs!$B$32,0)))*(1-IF(AND(ArtifactsInput!$M$27,Inputs!$B$4="Chapter Hunt"),CHOOSE(ArtifactsInput!$N$27+1,20,24,28,32,36,40),0)/100)),0)</f>
        <v/>
      </c>
      <c r="R2793">
        <f>IF(AND(Inputs!$B$38&lt;&gt;"pvp",Inputs!$B$43&gt;0),IF(MAX(0,Inputs!$B$43-B2825)&lt;=0,0,(INT(MAX(0,Inputs!$B$43-B2825)/(IF(Inputs!$B$38="pvp",15,MAX(0.1,Skills!D8-IF(Skills!E8=TRUE,Inputs!$B$32,0)))*(1-IF(AND(ArtifactsInput!$M$27,Inputs!$B$4="Chapter Hunt"),CHOOSE(ArtifactsInput!$N$27+1,20,24,28,32,36,40),0)/100)))+1)),0)</f>
        <v/>
      </c>
      <c r="S2793">
        <f>IFERROR(O2793/N2793,0)</f>
        <v/>
      </c>
      <c r="T2793">
        <f>IF(C2793,(H2793*N2793*IF(AND(Inputs!$B$38&lt;&gt;"pvp",Inputs!$B$43&gt;0),((Skills!G8*((R2793-1)*IF(Skills!H8&gt;0,Skills!I8/Skills!H8,1)+IF(Skills!H8&gt;0,MIN(Skills!I8,MAX(0,MAX(0,Inputs!$B$43-B2825)-((R2793-1)*(IF(Inputs!$B$38="pvp",15,MAX(0.1,Skills!D8-IF(Skills!E8=TRUE,Inputs!$B$32,0)))*(1-IF(AND(ArtifactsInput!$M$27,Inputs!$B$4="Chapter Hunt"),CHOOSE(ArtifactsInput!$N$27+1,20,24,28,32,36,40),0)/100)))))/Skills!H8,1)))/Inputs!$B$43),G2793*Q2793)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2793*(1-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8*((R2793-1)*IF(Skills!H8&gt;0,Skills!I8/Skills!H8,1)+IF(Skills!H8&gt;0,MIN(Skills!I8,MAX(0,MAX(0,Inputs!$B$43-B2825)-((R2793-1)*(IF(Inputs!$B$38="pvp",15,MAX(0.1,Skills!D8-IF(Skills!E8=TRUE,Inputs!$B$32,0)))*(1-IF(AND(ArtifactsInput!$M$27,Inputs!$B$4="Chapter Hunt"),CHOOSE(ArtifactsInput!$N$27+1,20,24,28,32,36,40),0)/100)))))/Skills!H8,1)))/Inputs!$B$43),G2793*Q2793))*IF(Inputs!$B$38="pvp",1,(1+(Inputs!$B$21+Skills!Q8+(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Skills!A9</f>
        <v/>
      </c>
      <c r="B2794">
        <f>Skills!B9</f>
        <v/>
      </c>
      <c r="C2794">
        <f>Inputs!$B$3&gt;=63</f>
        <v/>
      </c>
      <c r="D2794">
        <f>IF(Skills!C9=1,60+Inputs!$B$25+Inputs!$B$29,IF(Skills!C9=2,90+Inputs!$B$26+Inputs!$B$29,IF(Skills!C9=3,120+Inputs!$B$27+Inputs!$B$29,MAX(0,(Inputs!$B$3-100)*3)+Inputs!$B$28+Inputs!$B$29)))</f>
        <v/>
      </c>
      <c r="E2794">
        <f>INDEX(FactorTable!$B$2:$Y$301, MATCH(ROUND(MIN(300,MAX(1,D2794)),0), FactorTable!$A$2:$A$301,0), Skills!M9+1)</f>
        <v/>
      </c>
      <c r="F2794">
        <f>IF(Skills!N9=TRUE,(Skills!L9/10)*(E2794/1000),Skills!L9/10)+Skills!O9</f>
        <v/>
      </c>
      <c r="G2794">
        <f>Skills!G9*IF(Skills!H9&gt;0,Skills!I9/Skills!H9,1)</f>
        <v/>
      </c>
      <c r="H2794">
        <f>1-(1-Skills!J9/100)^Skills!K9</f>
        <v/>
      </c>
      <c r="I2794" t="inlineStr">
        <is>
          <t>1</t>
        </is>
      </c>
      <c r="J2794">
        <f>((Inputs!$B$6*(1+Inputs!$B$7/100))+(((Inputs!$B$12*(1+Inputs!$B$13/100))-(Inputs!$B$12*(1+Inputs!$B$13/100)))+0.25*(Inputs!$B$14-Inputs!$B$14))*(1+Inputs!$B$7/100))*(F2794/100)</f>
        <v/>
      </c>
      <c r="K2794">
        <f>J2794*(1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2795=TRUE,F2795,0)/100)*(1+(IF(Skills!A9="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2809=TRUE)*(F2809-Calc!F24)),(Inputs!$B$23+((C2814=TRUE)*(F2814-Calc!F29))+(IF(ArtifactsInput!$M$15,CHOOSE(ArtifactsInput!$N$15+1,25,30,35,40,45,50)/100*(Inputs!$B$11-Inputs!$B$11),0))))/100+(Inputs!$B$23+((C2814=TRUE)*(F2814-Calc!F29))+(IF(ArtifactsInput!$M$15,CHOOSE(ArtifactsInput!$N$15+1,25,30,35,40,45,50)/100*(Inputs!$B$11-Inputs!$B$11),0)))/100)/2</f>
        <v/>
      </c>
      <c r="M2794">
        <f>L2794*(1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IF(B2828=0,0,O2794/B2828)</f>
        <v/>
      </c>
      <c r="Q2794">
        <f>IFERROR(1/(IF(Inputs!$B$38="pvp",15,MAX(0.1,Skills!D9-IF(Skills!E9=TRUE,Inputs!$B$32,0)))*(1-IF(AND(ArtifactsInput!$M$27,Inputs!$B$4="Chapter Hunt"),CHOOSE(ArtifactsInput!$N$27+1,20,24,28,32,36,40),0)/100)),0)</f>
        <v/>
      </c>
      <c r="R2794">
        <f>IF(AND(Inputs!$B$38&lt;&gt;"pvp",Inputs!$B$43&gt;0),IF(MAX(0,Inputs!$B$43-B2825)&lt;=0,0,(INT(MAX(0,Inputs!$B$43-B2825)/(IF(Inputs!$B$38="pvp",15,MAX(0.1,Skills!D9-IF(Skills!E9=TRUE,Inputs!$B$32,0)))*(1-IF(AND(ArtifactsInput!$M$27,Inputs!$B$4="Chapter Hunt"),CHOOSE(ArtifactsInput!$N$27+1,20,24,28,32,36,40),0)/100)))+1)),0)</f>
        <v/>
      </c>
      <c r="S2794">
        <f>IFERROR(O2794/N2794,0)</f>
        <v/>
      </c>
      <c r="T2794">
        <f>IF(C2794,(H2794*N2794*IF(AND(Inputs!$B$38&lt;&gt;"pvp",Inputs!$B$43&gt;0),((Skills!G9*((R2794-1)*IF(Skills!H9&gt;0,Skills!I9/Skills!H9,1)+IF(Skills!H9&gt;0,MIN(Skills!I9,MAX(0,MAX(0,Inputs!$B$43-B2825)-((R2794-1)*(IF(Inputs!$B$38="pvp",15,MAX(0.1,Skills!D9-IF(Skills!E9=TRUE,Inputs!$B$32,0)))*(1-IF(AND(ArtifactsInput!$M$27,Inputs!$B$4="Chapter Hunt"),CHOOSE(ArtifactsInput!$N$27+1,20,24,28,32,36,40),0)/100)))))/Skills!H9,1)))/Inputs!$B$43),G2794*Q2794)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2794*(1-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9*((R2794-1)*IF(Skills!H9&gt;0,Skills!I9/Skills!H9,1)+IF(Skills!H9&gt;0,MIN(Skills!I9,MAX(0,MAX(0,Inputs!$B$43-B2825)-((R2794-1)*(IF(Inputs!$B$38="pvp",15,MAX(0.1,Skills!D9-IF(Skills!E9=TRUE,Inputs!$B$32,0)))*(1-IF(AND(ArtifactsInput!$M$27,Inputs!$B$4="Chapter Hunt"),CHOOSE(ArtifactsInput!$N$27+1,20,24,28,32,36,40),0)/100)))))/Skills!H9,1)))/Inputs!$B$43),G2794*Q2794))*IF(Inputs!$B$38="pvp",1,(1+(Inputs!$B$21+Skills!Q9+(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Skills!A10</f>
        <v/>
      </c>
      <c r="B2795">
        <f>Skills!B10</f>
        <v/>
      </c>
      <c r="C2795">
        <f>Inputs!$B$3&gt;=100</f>
        <v/>
      </c>
      <c r="D2795">
        <f>IF(Skills!C10=1,60+Inputs!$B$25+Inputs!$B$29,IF(Skills!C10=2,90+Inputs!$B$26+Inputs!$B$29,IF(Skills!C10=3,120+Inputs!$B$27+Inputs!$B$29,MAX(0,(Inputs!$B$3-100)*3)+Inputs!$B$28+Inputs!$B$29)))</f>
        <v/>
      </c>
      <c r="E2795">
        <f>INDEX(FactorTable!$B$2:$Y$301, MATCH(ROUND(MIN(300,MAX(1,D2795)),0), FactorTable!$A$2:$A$301,0), Skills!M10+1)</f>
        <v/>
      </c>
      <c r="F2795">
        <f>IF(Skills!N10=TRUE,(Skills!L10/10)*(E2795/1000),Skills!L10/10)+Skills!O10</f>
        <v/>
      </c>
      <c r="G2795" t="inlineStr"/>
      <c r="H2795" t="inlineStr"/>
      <c r="I2795" t="inlineStr">
        <is>
          <t>1</t>
        </is>
      </c>
      <c r="J2795" t="inlineStr"/>
      <c r="K2795" t="inlineStr"/>
      <c r="L2795" t="inlineStr"/>
      <c r="M2795" t="inlineStr"/>
      <c r="N2795" t="inlineStr"/>
      <c r="O2795" t="inlineStr"/>
      <c r="P2795" t="inlineStr"/>
      <c r="Q2795" t="inlineStr"/>
      <c r="R2795" t="inlineStr"/>
      <c r="S2795" t="inlineStr"/>
      <c r="T2795" t="inlineStr"/>
      <c r="V2795" t="inlineStr"/>
    </row>
    <row r="2796">
      <c r="A2796">
        <f>Skills!A11</f>
        <v/>
      </c>
      <c r="B2796">
        <f>Skills!B11</f>
        <v/>
      </c>
      <c r="C2796">
        <f>Inputs!$B$3&gt;=60</f>
        <v/>
      </c>
      <c r="D2796">
        <f>IF(Skills!C11=1,60+Inputs!$B$25+Inputs!$B$29,IF(Skills!C11=2,90+Inputs!$B$26+Inputs!$B$29,IF(Skills!C11=3,120+Inputs!$B$27+Inputs!$B$29,MAX(0,(Inputs!$B$3-100)*3)+Inputs!$B$28+Inputs!$B$29)))</f>
        <v/>
      </c>
      <c r="E2796">
        <f>INDEX(FactorTable!$B$2:$Y$301, MATCH(ROUND(MIN(300,MAX(1,D2796)),0), FactorTable!$A$2:$A$301,0), Skills!M11+1)</f>
        <v/>
      </c>
      <c r="F2796">
        <f>IF(Skills!N11=TRUE,(Skills!L11/10)*(E2796/1000),Skills!L11/10)+Skills!O11</f>
        <v/>
      </c>
      <c r="G2796">
        <f>Skills!G11*IF(Skills!H11&gt;0,Skills!I11/Skills!H11,1)</f>
        <v/>
      </c>
      <c r="H2796">
        <f>1-(1-Skills!J11/100)^Skills!K11</f>
        <v/>
      </c>
      <c r="I2796" t="inlineStr">
        <is>
          <t>1</t>
        </is>
      </c>
      <c r="J2796">
        <f>((Inputs!$B$6*(1+Inputs!$B$7/100))+(((Inputs!$B$12*(1+Inputs!$B$13/100))-(Inputs!$B$12*(1+Inputs!$B$13/100)))+0.25*(Inputs!$B$14-Inputs!$B$14))*(1+Inputs!$B$7/100))*(F2796/100)</f>
        <v/>
      </c>
      <c r="K2796">
        <f>J2796*(1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2797=TRUE,F2797,0)/100)*(1+(IF(Skills!A11="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2809=TRUE)*(F2809-Calc!F24)),(Inputs!$B$23+((C2814=TRUE)*(F2814-Calc!F29))+(IF(ArtifactsInput!$M$15,CHOOSE(ArtifactsInput!$N$15+1,25,30,35,40,45,50)/100*(Inputs!$B$11-Inputs!$B$11),0))))/100+(Inputs!$B$23+((C2814=TRUE)*(F2814-Calc!F29))+(IF(ArtifactsInput!$M$15,CHOOSE(ArtifactsInput!$N$15+1,25,30,35,40,45,50)/100*(Inputs!$B$11-Inputs!$B$11),0)))/100)/2</f>
        <v/>
      </c>
      <c r="M2796">
        <f>L2796*(1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IF(B2828=0,0,O2796/B2828)</f>
        <v/>
      </c>
      <c r="Q2796">
        <f>IFERROR(1/(IF(Inputs!$B$38="pvp",15,MAX(0.1,Skills!D11-IF(Skills!E11=TRUE,Inputs!$B$32,0)))*(1-IF(AND(ArtifactsInput!$M$27,Inputs!$B$4="Chapter Hunt"),CHOOSE(ArtifactsInput!$N$27+1,20,24,28,32,36,40),0)/100)),0)</f>
        <v/>
      </c>
      <c r="R2796">
        <f>IF(AND(Inputs!$B$38&lt;&gt;"pvp",Inputs!$B$43&gt;0),IF(MAX(0,Inputs!$B$43-B2825)&lt;=0,0,(INT(MAX(0,Inputs!$B$43-B2825)/(IF(Inputs!$B$38="pvp",15,MAX(0.1,Skills!D11-IF(Skills!E11=TRUE,Inputs!$B$32,0)))*(1-IF(AND(ArtifactsInput!$M$27,Inputs!$B$4="Chapter Hunt"),CHOOSE(ArtifactsInput!$N$27+1,20,24,28,32,36,40),0)/100)))+1)),0)</f>
        <v/>
      </c>
      <c r="S2796">
        <f>IFERROR(O2796/N2796,0)</f>
        <v/>
      </c>
      <c r="T2796">
        <f>IF(C2796,(H2796*N2796*IF(AND(Inputs!$B$38&lt;&gt;"pvp",Inputs!$B$43&gt;0),((Skills!G11*((R2796-1)*IF(Skills!H11&gt;0,Skills!I11/Skills!H11,1)+IF(Skills!H11&gt;0,MIN(Skills!I11,MAX(0,MAX(0,Inputs!$B$43-B2825)-((R2796-1)*(IF(Inputs!$B$38="pvp",15,MAX(0.1,Skills!D11-IF(Skills!E11=TRUE,Inputs!$B$32,0)))*(1-IF(AND(ArtifactsInput!$M$27,Inputs!$B$4="Chapter Hunt"),CHOOSE(ArtifactsInput!$N$27+1,20,24,28,32,36,40),0)/100)))))/Skills!H11,1)))/Inputs!$B$43),G2796*Q2796)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2796*(1-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6">
        <f>IF(C2796,(H2796*N2796*IF(AND(Inputs!$B$38&lt;&gt;"pvp",Inputs!$B$43&gt;0),((Skills!G11*((R2796-1)*IF(Skills!H11&gt;0,Skills!I11/Skills!H11,1)+IF(Skills!H11&gt;0,MIN(Skills!I11,MAX(0,MAX(0,Inputs!$B$43-B2825)-((R2796-1)*(IF(Inputs!$B$38="pvp",15,MAX(0.1,Skills!D11-IF(Skills!E11=TRUE,Inputs!$B$32,0)))*(1-IF(AND(ArtifactsInput!$M$27,Inputs!$B$4="Chapter Hunt"),CHOOSE(ArtifactsInput!$N$27+1,20,24,28,32,36,40),0)/100)))))/Skills!H11,1)))/Inputs!$B$43),G2796*Q2796))*IF(Inputs!$B$38="pvp",1,(1+(Inputs!$B$21+Skills!Q11+(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Skills!A12</f>
        <v/>
      </c>
      <c r="B2797">
        <f>Skills!B12</f>
        <v/>
      </c>
      <c r="C2797">
        <f>Inputs!$B$3&gt;=110</f>
        <v/>
      </c>
      <c r="D2797">
        <f>IF(Skills!C12=1,60+Inputs!$B$25+Inputs!$B$29,IF(Skills!C12=2,90+Inputs!$B$26+Inputs!$B$29,IF(Skills!C12=3,120+Inputs!$B$27+Inputs!$B$29,MAX(0,(Inputs!$B$3-100)*3)+Inputs!$B$28+Inputs!$B$29)))</f>
        <v/>
      </c>
      <c r="E2797">
        <f>INDEX(FactorTable!$B$2:$Y$301, MATCH(ROUND(MIN(300,MAX(1,D2797)),0), FactorTable!$A$2:$A$301,0), Skills!M12+1)</f>
        <v/>
      </c>
      <c r="F2797">
        <f>IF(Skills!N12=TRUE,(Skills!L12/10)*(E2797/1000),Skills!L12/10)+Skills!O12</f>
        <v/>
      </c>
      <c r="G2797" t="inlineStr"/>
      <c r="H2797" t="inlineStr"/>
      <c r="I2797" t="inlineStr">
        <is>
          <t>1</t>
        </is>
      </c>
      <c r="J2797" t="inlineStr"/>
      <c r="K2797" t="inlineStr"/>
      <c r="L2797" t="inlineStr"/>
      <c r="M2797" t="inlineStr"/>
      <c r="N2797" t="inlineStr"/>
      <c r="O2797" t="inlineStr"/>
      <c r="P2797" t="inlineStr"/>
      <c r="Q2797" t="inlineStr"/>
      <c r="R2797" t="inlineStr"/>
      <c r="S2797" t="inlineStr"/>
      <c r="T2797" t="inlineStr"/>
      <c r="V2797" t="inlineStr"/>
    </row>
    <row r="2798">
      <c r="A2798">
        <f>Skills!A13</f>
        <v/>
      </c>
      <c r="B2798">
        <f>Skills!B13</f>
        <v/>
      </c>
      <c r="C2798">
        <f>Inputs!$B$3&gt;=74</f>
        <v/>
      </c>
      <c r="D2798">
        <f>IF(Skills!C13=1,60+Inputs!$B$25+Inputs!$B$29,IF(Skills!C13=2,90+Inputs!$B$26+Inputs!$B$29,IF(Skills!C13=3,120+Inputs!$B$27+Inputs!$B$29,MAX(0,(Inputs!$B$3-100)*3)+Inputs!$B$28+Inputs!$B$29)))</f>
        <v/>
      </c>
      <c r="E2798">
        <f>INDEX(FactorTable!$B$2:$Y$301, MATCH(ROUND(MIN(300,MAX(1,D2798)),0), FactorTable!$A$2:$A$301,0), Skills!M13+1)</f>
        <v/>
      </c>
      <c r="F2798">
        <f>IF(Skills!N13=TRUE,(Skills!L13/10)*(E2798/1000),Skills!L13/10)+Skills!O13</f>
        <v/>
      </c>
      <c r="G2798">
        <f>Skills!G13*IF(Skills!H13&gt;0,Skills!I13/Skills!H13,1)</f>
        <v/>
      </c>
      <c r="H2798">
        <f>1-(1-Skills!J13/100)^Skills!K13</f>
        <v/>
      </c>
      <c r="I2798" t="inlineStr">
        <is>
          <t>1</t>
        </is>
      </c>
      <c r="J2798" t="inlineStr"/>
      <c r="K2798" t="inlineStr"/>
      <c r="L2798" t="inlineStr"/>
      <c r="M2798" t="inlineStr"/>
      <c r="N2798" t="inlineStr"/>
      <c r="O2798">
        <f>(1-Summary!$B$11)*T2798+Summary!$B$11*V2798</f>
        <v/>
      </c>
      <c r="P2798">
        <f>IF(B2828=0,0,O2798/B2828)</f>
        <v/>
      </c>
      <c r="Q2798" t="n">
        <v>0</v>
      </c>
      <c r="R2798" t="n">
        <v>0</v>
      </c>
      <c r="S2798">
        <f>IFERROR(O2798/N2798,0)</f>
        <v/>
      </c>
      <c r="T2798" t="n">
        <v>0</v>
      </c>
      <c r="V2798" t="n">
        <v>0</v>
      </c>
    </row>
    <row r="2799">
      <c r="A2799">
        <f>Skills!A14</f>
        <v/>
      </c>
      <c r="B2799">
        <f>Skills!B14</f>
        <v/>
      </c>
      <c r="C2799">
        <f>Inputs!$B$3&gt;=74</f>
        <v/>
      </c>
      <c r="D2799">
        <f>IF(Skills!C14=1,60+Inputs!$B$25+Inputs!$B$29,IF(Skills!C14=2,90+Inputs!$B$26+Inputs!$B$29,IF(Skills!C14=3,120+Inputs!$B$27+Inputs!$B$29,MAX(0,(Inputs!$B$3-100)*3)+Inputs!$B$28+Inputs!$B$29)))</f>
        <v/>
      </c>
      <c r="E2799">
        <f>INDEX(FactorTable!$B$2:$Y$301, MATCH(ROUND(MIN(300,MAX(1,D2799)),0), FactorTable!$A$2:$A$301,0), Skills!M14+1)</f>
        <v/>
      </c>
      <c r="F2799">
        <f>IF(Skills!N14=TRUE,(Skills!L14/10)*(E2799/1000),Skills!L14/10)+Skills!O14</f>
        <v/>
      </c>
      <c r="G2799">
        <f>Skills!G14*IF(Skills!H14&gt;0,Skills!I14/Skills!H14,1)</f>
        <v/>
      </c>
      <c r="H2799">
        <f>1-(1-Skills!J14/100)^Skills!K14</f>
        <v/>
      </c>
      <c r="I2799" t="inlineStr">
        <is>
          <t>1</t>
        </is>
      </c>
      <c r="J2799" t="inlineStr"/>
      <c r="K2799" t="inlineStr"/>
      <c r="L2799" t="inlineStr"/>
      <c r="M2799" t="inlineStr"/>
      <c r="N2799" t="inlineStr"/>
      <c r="O2799">
        <f>(1-Summary!$B$11)*T2799+Summary!$B$11*V2799</f>
        <v/>
      </c>
      <c r="P2799">
        <f>IF(B2828=0,0,O2799/B2828)</f>
        <v/>
      </c>
      <c r="Q2799" t="n">
        <v>0</v>
      </c>
      <c r="R2799" t="n">
        <v>0</v>
      </c>
      <c r="S2799">
        <f>IFERROR(O2799/N2799,0)</f>
        <v/>
      </c>
      <c r="T2799" t="n">
        <v>0</v>
      </c>
      <c r="V2799" t="n">
        <v>0</v>
      </c>
    </row>
    <row r="2800">
      <c r="A2800">
        <f>Skills!A15</f>
        <v/>
      </c>
      <c r="B2800">
        <f>Skills!B15</f>
        <v/>
      </c>
      <c r="C2800">
        <f>Inputs!$B$3&gt;=117</f>
        <v/>
      </c>
      <c r="D2800">
        <f>IF(Skills!C15=1,60+Inputs!$B$25+Inputs!$B$29,IF(Skills!C15=2,90+Inputs!$B$26+Inputs!$B$29,IF(Skills!C15=3,120+Inputs!$B$27+Inputs!$B$29,MAX(0,(Inputs!$B$3-100)*3)+Inputs!$B$28+Inputs!$B$29)))</f>
        <v/>
      </c>
      <c r="E2800">
        <f>INDEX(FactorTable!$B$2:$Y$301, MATCH(ROUND(MIN(300,MAX(1,D2800)),0), FactorTable!$A$2:$A$301,0), Skills!M15+1)</f>
        <v/>
      </c>
      <c r="F2800">
        <f>IF(Skills!N15=TRUE,(Skills!L15/10)*(E2800/1000),Skills!L15/10)+Skills!O15</f>
        <v/>
      </c>
      <c r="G2800">
        <f>Skills!G15*IF(Skills!H15&gt;0,Skills!I15/Skills!H15,1)</f>
        <v/>
      </c>
      <c r="H2800">
        <f>1-(1-Skills!J15/100)^Skills!K15</f>
        <v/>
      </c>
      <c r="I2800" t="inlineStr">
        <is>
          <t>1</t>
        </is>
      </c>
      <c r="J2800" t="inlineStr"/>
      <c r="K2800" t="inlineStr"/>
      <c r="L2800" t="inlineStr"/>
      <c r="M2800" t="inlineStr"/>
      <c r="N2800" t="inlineStr"/>
      <c r="O2800">
        <f>(1-Summary!$B$11)*T2800+Summary!$B$11*V2800</f>
        <v/>
      </c>
      <c r="P2800">
        <f>IF(B2828=0,0,O2800/B2828)</f>
        <v/>
      </c>
      <c r="Q2800">
        <f>IFERROR(1/(IF(Inputs!$B$38="pvp",15,MAX(0.1,Skills!D15-IF(Skills!E15=TRUE,Inputs!$B$32,0)))*(1-IF(AND(ArtifactsInput!$M$27,Inputs!$B$4="Chapter Hunt"),CHOOSE(ArtifactsInput!$N$27+1,20,24,28,32,36,40),0)/100)),0)</f>
        <v/>
      </c>
      <c r="R2800">
        <f>IF(AND(Inputs!$B$38&lt;&gt;"pvp",Inputs!$B$43&gt;0),IF(Inputs!$B$43&lt;=0,0,(INT(Inputs!$B$43/(IF(Inputs!$B$38="pvp",15,MAX(0.1,Skills!D15-IF(Skills!E15=TRUE,Inputs!$B$32,0)))*(1-IF(AND(ArtifactsInput!$M$27,Inputs!$B$4="Chapter Hunt"),CHOOSE(ArtifactsInput!$N$27+1,20,24,28,32,36,40),0)/100)))+1)),0)</f>
        <v/>
      </c>
      <c r="S2800">
        <f>IFERROR(O2800/N2800,0)</f>
        <v/>
      </c>
      <c r="T2800" t="n">
        <v>0</v>
      </c>
      <c r="V2800" t="n">
        <v>0</v>
      </c>
    </row>
    <row r="2801">
      <c r="A2801">
        <f>Skills!A16</f>
        <v/>
      </c>
      <c r="B2801">
        <f>Skills!B16</f>
        <v/>
      </c>
      <c r="C2801">
        <f>Inputs!$B$3&gt;=115</f>
        <v/>
      </c>
      <c r="D2801">
        <f>IF(Skills!C16=1,60+Inputs!$B$25+Inputs!$B$29,IF(Skills!C16=2,90+Inputs!$B$26+Inputs!$B$29,IF(Skills!C16=3,120+Inputs!$B$27+Inputs!$B$29,MAX(0,(Inputs!$B$3-100)*3)+Inputs!$B$28+Inputs!$B$29)))</f>
        <v/>
      </c>
      <c r="E2801">
        <f>INDEX(FactorTable!$B$2:$Y$301, MATCH(ROUND(MIN(300,MAX(1,D2801)),0), FactorTable!$A$2:$A$301,0), Skills!M16+1)</f>
        <v/>
      </c>
      <c r="F2801">
        <f>IF(Skills!N16=TRUE,(Skills!L16/10)*(E2801/1000),Skills!L16/10)+Skills!O16</f>
        <v/>
      </c>
      <c r="G2801">
        <f>Skills!G16*IF(Skills!H16&gt;0,Skills!I16/Skills!H16,1)</f>
        <v/>
      </c>
      <c r="H2801">
        <f>1-(1-Skills!J16/100)^Skills!K16</f>
        <v/>
      </c>
      <c r="I2801" t="inlineStr">
        <is>
          <t>1</t>
        </is>
      </c>
      <c r="J2801" t="inlineStr"/>
      <c r="K2801" t="inlineStr"/>
      <c r="L2801" t="inlineStr"/>
      <c r="M2801" t="inlineStr"/>
      <c r="N2801" t="inlineStr"/>
      <c r="O2801">
        <f>(1-Summary!$B$11)*T2801+Summary!$B$11*V2801</f>
        <v/>
      </c>
      <c r="P2801">
        <f>IF(B2828=0,0,O2801/B2828)</f>
        <v/>
      </c>
      <c r="Q2801">
        <f>IFERROR(1/(IF(Inputs!$B$38="pvp",15,MAX(0.1,Skills!D16-IF(Skills!E16=TRUE,Inputs!$B$32,0)))*(1-IF(AND(ArtifactsInput!$M$27,Inputs!$B$4="Chapter Hunt"),CHOOSE(ArtifactsInput!$N$27+1,20,24,28,32,36,40),0)/100)),0)</f>
        <v/>
      </c>
      <c r="R2801">
        <f>IF(AND(Inputs!$B$38&lt;&gt;"pvp",Inputs!$B$43&gt;0),IF(Inputs!$B$43&lt;=0,0,(INT(Inputs!$B$43/(IF(Inputs!$B$38="pvp",15,MAX(0.1,Skills!D16-IF(Skills!E16=TRUE,Inputs!$B$32,0)))*(1-IF(AND(ArtifactsInput!$M$27,Inputs!$B$4="Chapter Hunt"),CHOOSE(ArtifactsInput!$N$27+1,20,24,28,32,36,40),0)/100)))+1)),0)</f>
        <v/>
      </c>
      <c r="S2801">
        <f>IFERROR(O2801/N2801,0)</f>
        <v/>
      </c>
      <c r="T2801" t="n">
        <v>0</v>
      </c>
      <c r="V2801" t="n">
        <v>0</v>
      </c>
    </row>
    <row r="2802">
      <c r="A2802">
        <f>Skills!A17</f>
        <v/>
      </c>
      <c r="B2802">
        <f>Skills!B17</f>
        <v/>
      </c>
      <c r="C2802">
        <f>Inputs!$B$3&gt;=66</f>
        <v/>
      </c>
      <c r="D2802">
        <f>IF(Skills!C17=1,60+Inputs!$B$25+Inputs!$B$29,IF(Skills!C17=2,90+Inputs!$B$26+Inputs!$B$29,IF(Skills!C17=3,120+Inputs!$B$27+Inputs!$B$29,MAX(0,(Inputs!$B$3-100)*3)+Inputs!$B$28+Inputs!$B$29)))</f>
        <v/>
      </c>
      <c r="E2802">
        <f>INDEX(FactorTable!$B$2:$Y$301, MATCH(ROUND(MIN(300,MAX(1,D2802)),0), FactorTable!$A$2:$A$301,0), Skills!M17+1)</f>
        <v/>
      </c>
      <c r="F2802">
        <f>IF(Skills!N17=TRUE,(Skills!L17/10)*(E2802/1000),Skills!L17/10)+Skills!O17</f>
        <v/>
      </c>
      <c r="G2802">
        <f>Skills!G17*IF(Skills!H17&gt;0,Skills!I17/Skills!H17,1)</f>
        <v/>
      </c>
      <c r="H2802">
        <f>1-(1-Skills!J17/100)^Skills!K17</f>
        <v/>
      </c>
      <c r="I2802" t="inlineStr">
        <is>
          <t>1</t>
        </is>
      </c>
      <c r="J2802" t="inlineStr"/>
      <c r="K2802" t="inlineStr"/>
      <c r="L2802" t="inlineStr"/>
      <c r="M2802" t="inlineStr"/>
      <c r="N2802" t="inlineStr"/>
      <c r="O2802">
        <f>(1-Summary!$B$11)*T2802+Summary!$B$11*V2802</f>
        <v/>
      </c>
      <c r="P2802">
        <f>IF(B2828=0,0,O2802/B2828)</f>
        <v/>
      </c>
      <c r="Q2802" t="n">
        <v>0</v>
      </c>
      <c r="R2802" t="n">
        <v>0</v>
      </c>
      <c r="S2802">
        <f>IFERROR(O2802/N2802,0)</f>
        <v/>
      </c>
      <c r="T2802" t="n">
        <v>0</v>
      </c>
      <c r="V2802" t="n">
        <v>0</v>
      </c>
    </row>
    <row r="2803">
      <c r="A2803">
        <f>Skills!A18</f>
        <v/>
      </c>
      <c r="B2803">
        <f>Skills!B18</f>
        <v/>
      </c>
      <c r="C2803">
        <f>Inputs!$B$3&gt;=72</f>
        <v/>
      </c>
      <c r="D2803">
        <f>IF(Skills!C18=1,60+Inputs!$B$25+Inputs!$B$29,IF(Skills!C18=2,90+Inputs!$B$26+Inputs!$B$29,IF(Skills!C18=3,120+Inputs!$B$27+Inputs!$B$29,MAX(0,(Inputs!$B$3-100)*3)+Inputs!$B$28+Inputs!$B$29)))</f>
        <v/>
      </c>
      <c r="E2803">
        <f>INDEX(FactorTable!$B$2:$Y$301, MATCH(ROUND(MIN(300,MAX(1,D2803)),0), FactorTable!$A$2:$A$301,0), Skills!M18+1)</f>
        <v/>
      </c>
      <c r="F2803">
        <f>IF(Skills!N18=TRUE,(Skills!L18/10)*(E2803/1000),Skills!L18/10)+Skills!O18</f>
        <v/>
      </c>
      <c r="G2803">
        <f>Skills!G18*IF(Skills!H18&gt;0,Skills!I18/Skills!H18,1)</f>
        <v/>
      </c>
      <c r="H2803">
        <f>1-(1-Skills!J18/100)^Skills!K18</f>
        <v/>
      </c>
      <c r="I2803" t="inlineStr">
        <is>
          <t>1</t>
        </is>
      </c>
      <c r="J2803" t="inlineStr"/>
      <c r="K2803" t="inlineStr"/>
      <c r="L2803" t="inlineStr"/>
      <c r="M2803" t="inlineStr"/>
      <c r="N2803" t="inlineStr"/>
      <c r="O2803">
        <f>(1-Summary!$B$11)*T2803+Summary!$B$11*V2803</f>
        <v/>
      </c>
      <c r="P2803">
        <f>IF(B2828=0,0,O2803/B2828)</f>
        <v/>
      </c>
      <c r="Q2803" t="n">
        <v>0</v>
      </c>
      <c r="R2803" t="n">
        <v>0</v>
      </c>
      <c r="S2803">
        <f>IFERROR(O2803/N2803,0)</f>
        <v/>
      </c>
      <c r="T2803" t="n">
        <v>0</v>
      </c>
      <c r="V2803" t="n">
        <v>0</v>
      </c>
    </row>
    <row r="2804">
      <c r="A2804">
        <f>Skills!A19</f>
        <v/>
      </c>
      <c r="B2804">
        <f>Skills!B19</f>
        <v/>
      </c>
      <c r="C2804">
        <f>TRUE</f>
        <v/>
      </c>
      <c r="D2804">
        <f>IF(Skills!C19=1,60+Inputs!$B$25+Inputs!$B$29,IF(Skills!C19=2,90+Inputs!$B$26+Inputs!$B$29,IF(Skills!C19=3,120+Inputs!$B$27+Inputs!$B$29,MAX(0,(Inputs!$B$3-100)*3)+Inputs!$B$28+Inputs!$B$29)))</f>
        <v/>
      </c>
      <c r="E2804">
        <f>INDEX(FactorTable!$B$2:$Y$301, MATCH(ROUND(MIN(300,MAX(1,D2804)),0), FactorTable!$A$2:$A$301,0), Skills!M19+1)</f>
        <v/>
      </c>
      <c r="F2804">
        <f>IF(Skills!N19=TRUE,(Skills!L19/10)*(E2804/1000),Skills!L19/10)+Skills!O19</f>
        <v/>
      </c>
      <c r="G2804">
        <f>Skills!G19*IF(Skills!H19&gt;0,Skills!I19/Skills!H19,1)</f>
        <v/>
      </c>
      <c r="H2804">
        <f>1-(1-Skills!J19/100)^Skills!K19</f>
        <v/>
      </c>
      <c r="I2804" t="inlineStr">
        <is>
          <t>1</t>
        </is>
      </c>
      <c r="J2804" t="inlineStr"/>
      <c r="K2804" t="inlineStr"/>
      <c r="L2804" t="inlineStr"/>
      <c r="M2804" t="inlineStr"/>
      <c r="N2804" t="inlineStr"/>
      <c r="O2804">
        <f>(1-Summary!$B$11)*T2804+Summary!$B$11*V2804</f>
        <v/>
      </c>
      <c r="P2804">
        <f>IF(B2828=0,0,O2804/B2828)</f>
        <v/>
      </c>
      <c r="Q2804">
        <f>IFERROR(1/(IF(Inputs!$B$38="pvp",15,MAX(0.1,Skills!D19-IF(Skills!E19=TRUE,Inputs!$B$32,0)))*(1-IF(AND(ArtifactsInput!$M$27,Inputs!$B$4="Chapter Hunt"),CHOOSE(ArtifactsInput!$N$27+1,20,24,28,32,36,40),0)/100)),0)</f>
        <v/>
      </c>
      <c r="R2804">
        <f>IF(AND(Inputs!$B$38&lt;&gt;"pvp",Inputs!$B$43&gt;0),IF(Inputs!$B$43&lt;=0,0,(INT(Inputs!$B$43/(IF(Inputs!$B$38="pvp",15,MAX(0.1,Skills!D19-IF(Skills!E19=TRUE,Inputs!$B$32,0)))*(1-IF(AND(ArtifactsInput!$M$27,Inputs!$B$4="Chapter Hunt"),CHOOSE(ArtifactsInput!$N$27+1,20,24,28,32,36,40),0)/100)))+1)),0)</f>
        <v/>
      </c>
      <c r="S2804">
        <f>IFERROR(O2804/N2804,0)</f>
        <v/>
      </c>
      <c r="T2804" t="n">
        <v>0</v>
      </c>
      <c r="V2804" t="n">
        <v>0</v>
      </c>
    </row>
    <row r="2805">
      <c r="A2805">
        <f>Skills!A20</f>
        <v/>
      </c>
      <c r="B2805">
        <f>Skills!B20</f>
        <v/>
      </c>
      <c r="C2805">
        <f>Inputs!$B$3&gt;=15</f>
        <v/>
      </c>
      <c r="D2805">
        <f>IF(Skills!C20=1,60+Inputs!$B$25+Inputs!$B$29,IF(Skills!C20=2,90+Inputs!$B$26+Inputs!$B$29,IF(Skills!C20=3,120+Inputs!$B$27+Inputs!$B$29,MAX(0,(Inputs!$B$3-100)*3)+Inputs!$B$28+Inputs!$B$29)))</f>
        <v/>
      </c>
      <c r="E2805">
        <f>INDEX(FactorTable!$B$2:$Y$301, MATCH(ROUND(MIN(300,MAX(1,D2805)),0), FactorTable!$A$2:$A$301,0), Skills!M20+1)</f>
        <v/>
      </c>
      <c r="F2805">
        <f>IF(Skills!N20=TRUE,(Skills!L20/10)*(E2805/1000),Skills!L20/10)+Skills!O20</f>
        <v/>
      </c>
      <c r="G2805">
        <f>Skills!G20*IF(Skills!H20&gt;0,Skills!I20/Skills!H20,1)</f>
        <v/>
      </c>
      <c r="H2805">
        <f>1-(1-Skills!J20/100)^Skills!K20</f>
        <v/>
      </c>
      <c r="I2805" t="inlineStr">
        <is>
          <t>1</t>
        </is>
      </c>
      <c r="J2805" t="inlineStr"/>
      <c r="K2805" t="inlineStr"/>
      <c r="L2805" t="inlineStr"/>
      <c r="M2805" t="inlineStr"/>
      <c r="N2805" t="inlineStr"/>
      <c r="O2805">
        <f>(1-Summary!$B$11)*T2805+Summary!$B$11*V2805</f>
        <v/>
      </c>
      <c r="P2805">
        <f>IF(B2828=0,0,O2805/B2828)</f>
        <v/>
      </c>
      <c r="Q2805" t="n">
        <v>0</v>
      </c>
      <c r="R2805" t="n">
        <v>0</v>
      </c>
      <c r="S2805">
        <f>IFERROR(O2805/N2805,0)</f>
        <v/>
      </c>
      <c r="T2805" t="n">
        <v>0</v>
      </c>
      <c r="V2805" t="n">
        <v>0</v>
      </c>
    </row>
    <row r="2806">
      <c r="A2806">
        <f>Skills!A21</f>
        <v/>
      </c>
      <c r="B2806">
        <f>Skills!B21</f>
        <v/>
      </c>
      <c r="C2806">
        <f>Inputs!$B$3&gt;=10</f>
        <v/>
      </c>
      <c r="D2806">
        <f>IF(Skills!C21=1,60+Inputs!$B$25+Inputs!$B$29,IF(Skills!C21=2,90+Inputs!$B$26+Inputs!$B$29,IF(Skills!C21=3,120+Inputs!$B$27+Inputs!$B$29,MAX(0,(Inputs!$B$3-100)*3)+Inputs!$B$28+Inputs!$B$29)))</f>
        <v/>
      </c>
      <c r="E2806">
        <f>INDEX(FactorTable!$B$2:$Y$301, MATCH(ROUND(MIN(300,MAX(1,D2806)),0), FactorTable!$A$2:$A$301,0), Skills!M21+1)</f>
        <v/>
      </c>
      <c r="F2806">
        <f>IF(Skills!N21=TRUE,(Skills!L21/10)*(E2806/1000),Skills!L21/10)+Skills!O21</f>
        <v/>
      </c>
      <c r="G2806">
        <f>Skills!G21*IF(Skills!H21&gt;0,Skills!I21/Skills!H21,1)</f>
        <v/>
      </c>
      <c r="H2806">
        <f>1-(1-Skills!J21/100)^Skills!K21</f>
        <v/>
      </c>
      <c r="I2806" t="inlineStr">
        <is>
          <t>1</t>
        </is>
      </c>
      <c r="J2806" t="inlineStr"/>
      <c r="K2806" t="inlineStr"/>
      <c r="L2806" t="inlineStr"/>
      <c r="M2806" t="inlineStr"/>
      <c r="N2806" t="inlineStr"/>
      <c r="O2806">
        <f>(1-Summary!$B$11)*T2806+Summary!$B$11*V2806</f>
        <v/>
      </c>
      <c r="P2806">
        <f>IF(B2828=0,0,O2806/B2828)</f>
        <v/>
      </c>
      <c r="Q2806" t="n">
        <v>0</v>
      </c>
      <c r="R2806" t="n">
        <v>0</v>
      </c>
      <c r="S2806">
        <f>IFERROR(O2806/N2806,0)</f>
        <v/>
      </c>
      <c r="T2806" t="n">
        <v>0</v>
      </c>
      <c r="V2806" t="n">
        <v>0</v>
      </c>
    </row>
    <row r="2807">
      <c r="A2807">
        <f>Skills!A22</f>
        <v/>
      </c>
      <c r="B2807">
        <f>Skills!B22</f>
        <v/>
      </c>
      <c r="C2807">
        <f>Inputs!$B$3&gt;=33</f>
        <v/>
      </c>
      <c r="D2807">
        <f>IF(Skills!C22=1,60+Inputs!$B$25+Inputs!$B$29,IF(Skills!C22=2,90+Inputs!$B$26+Inputs!$B$29,IF(Skills!C22=3,120+Inputs!$B$27+Inputs!$B$29,MAX(0,(Inputs!$B$3-100)*3)+Inputs!$B$28+Inputs!$B$29)))</f>
        <v/>
      </c>
      <c r="E2807">
        <f>INDEX(FactorTable!$B$2:$Y$301, MATCH(ROUND(MIN(300,MAX(1,D2807)),0), FactorTable!$A$2:$A$301,0), Skills!M22+1)</f>
        <v/>
      </c>
      <c r="F2807">
        <f>IF(Skills!N22=TRUE,(Skills!L22/10)*(E2807/1000),Skills!L22/10)+Skills!O22</f>
        <v/>
      </c>
      <c r="G2807">
        <f>Skills!G22*IF(Skills!H22&gt;0,Skills!I22/Skills!H22,1)</f>
        <v/>
      </c>
      <c r="H2807">
        <f>1-(1-Skills!J22/100)^Skills!K22</f>
        <v/>
      </c>
      <c r="I2807" t="inlineStr">
        <is>
          <t>1</t>
        </is>
      </c>
      <c r="J2807" t="inlineStr"/>
      <c r="K2807" t="inlineStr"/>
      <c r="L2807" t="inlineStr"/>
      <c r="M2807" t="inlineStr"/>
      <c r="N2807" t="inlineStr"/>
      <c r="O2807">
        <f>(1-Summary!$B$11)*T2807+Summary!$B$11*V2807</f>
        <v/>
      </c>
      <c r="P2807">
        <f>IF(B2828=0,0,O2807/B2828)</f>
        <v/>
      </c>
      <c r="Q2807" t="n">
        <v>0</v>
      </c>
      <c r="R2807" t="n">
        <v>0</v>
      </c>
      <c r="S2807">
        <f>IFERROR(O2807/N2807,0)</f>
        <v/>
      </c>
      <c r="T2807" t="n">
        <v>0</v>
      </c>
      <c r="V2807" t="n">
        <v>0</v>
      </c>
    </row>
    <row r="2808">
      <c r="A2808">
        <f>Skills!A23</f>
        <v/>
      </c>
      <c r="B2808">
        <f>Skills!B23</f>
        <v/>
      </c>
      <c r="C2808">
        <f>Inputs!$B$3&gt;=38</f>
        <v/>
      </c>
      <c r="D2808">
        <f>IF(Skills!C23=1,60+Inputs!$B$25+Inputs!$B$29,IF(Skills!C23=2,90+Inputs!$B$26+Inputs!$B$29,IF(Skills!C23=3,120+Inputs!$B$27+Inputs!$B$29,MAX(0,(Inputs!$B$3-100)*3)+Inputs!$B$28+Inputs!$B$29)))</f>
        <v/>
      </c>
      <c r="E2808">
        <f>INDEX(FactorTable!$B$2:$Y$301, MATCH(ROUND(MIN(300,MAX(1,D2808)),0), FactorTable!$A$2:$A$301,0), Skills!M23+1)</f>
        <v/>
      </c>
      <c r="F2808">
        <f>IF(Skills!N23=TRUE,(Skills!L23/10)*(E2808/1000),Skills!L23/10)+Skills!O23</f>
        <v/>
      </c>
      <c r="G2808">
        <f>Skills!G23*IF(Skills!H23&gt;0,Skills!I23/Skills!H23,1)</f>
        <v/>
      </c>
      <c r="H2808">
        <f>1-(1-Skills!J23/100)^Skills!K23</f>
        <v/>
      </c>
      <c r="I2808" t="inlineStr">
        <is>
          <t>1</t>
        </is>
      </c>
      <c r="J2808" t="inlineStr"/>
      <c r="K2808" t="inlineStr"/>
      <c r="L2808" t="inlineStr"/>
      <c r="M2808" t="inlineStr"/>
      <c r="N2808" t="inlineStr"/>
      <c r="O2808">
        <f>(1-Summary!$B$11)*T2808+Summary!$B$11*V2808</f>
        <v/>
      </c>
      <c r="P2808">
        <f>IF(B2828=0,0,O2808/B2828)</f>
        <v/>
      </c>
      <c r="Q2808" t="n">
        <v>0</v>
      </c>
      <c r="R2808" t="n">
        <v>0</v>
      </c>
      <c r="S2808">
        <f>IFERROR(O2808/N2808,0)</f>
        <v/>
      </c>
      <c r="T2808" t="n">
        <v>0</v>
      </c>
      <c r="V2808" t="n">
        <v>0</v>
      </c>
    </row>
    <row r="2809">
      <c r="A2809">
        <f>Skills!A24</f>
        <v/>
      </c>
      <c r="B2809">
        <f>Skills!B24</f>
        <v/>
      </c>
      <c r="C2809">
        <f>Inputs!$B$3&gt;=43</f>
        <v/>
      </c>
      <c r="D2809">
        <f>IF(Skills!C24=1,60+Inputs!$B$25+Inputs!$B$29,IF(Skills!C24=2,90+Inputs!$B$26+Inputs!$B$29,IF(Skills!C24=3,120+Inputs!$B$27+Inputs!$B$29,MAX(0,(Inputs!$B$3-100)*3)+Inputs!$B$28+Inputs!$B$29)))</f>
        <v/>
      </c>
      <c r="E2809">
        <f>INDEX(FactorTable!$B$2:$Y$301, MATCH(ROUND(MIN(300,MAX(1,D2809)),0), FactorTable!$A$2:$A$301,0), Skills!M24+1)</f>
        <v/>
      </c>
      <c r="F2809">
        <f>IF(Skills!N24=TRUE,(Skills!L24/10)*(E2809/1000),Skills!L24/10)+Skills!O24</f>
        <v/>
      </c>
      <c r="G2809">
        <f>Skills!G24*IF(Skills!H24&gt;0,Skills!I24/Skills!H24,1)</f>
        <v/>
      </c>
      <c r="H2809">
        <f>1-(1-Skills!J24/100)^Skills!K24</f>
        <v/>
      </c>
      <c r="I2809" t="inlineStr">
        <is>
          <t>1</t>
        </is>
      </c>
      <c r="J2809" t="inlineStr"/>
      <c r="K2809" t="inlineStr"/>
      <c r="L2809" t="inlineStr"/>
      <c r="M2809" t="inlineStr"/>
      <c r="N2809" t="inlineStr"/>
      <c r="O2809">
        <f>(1-Summary!$B$11)*T2809+Summary!$B$11*V2809</f>
        <v/>
      </c>
      <c r="P2809">
        <f>IF(B2828=0,0,O2809/B2828)</f>
        <v/>
      </c>
      <c r="Q2809" t="n">
        <v>0</v>
      </c>
      <c r="R2809" t="n">
        <v>0</v>
      </c>
      <c r="S2809">
        <f>IFERROR(O2809/N2809,0)</f>
        <v/>
      </c>
      <c r="T2809" t="n">
        <v>0</v>
      </c>
      <c r="V2809" t="n">
        <v>0</v>
      </c>
    </row>
    <row r="2810">
      <c r="A2810">
        <f>Skills!A25</f>
        <v/>
      </c>
      <c r="B2810">
        <f>Skills!B25</f>
        <v/>
      </c>
      <c r="C2810">
        <f>Inputs!$B$3&gt;=75</f>
        <v/>
      </c>
      <c r="D2810">
        <f>IF(Skills!C25=1,60+Inputs!$B$25+Inputs!$B$29,IF(Skills!C25=2,90+Inputs!$B$26+Inputs!$B$29,IF(Skills!C25=3,120+Inputs!$B$27+Inputs!$B$29,MAX(0,(Inputs!$B$3-100)*3)+Inputs!$B$28+Inputs!$B$29)))</f>
        <v/>
      </c>
      <c r="E2810">
        <f>INDEX(FactorTable!$B$2:$Y$301, MATCH(ROUND(MIN(300,MAX(1,D2810)),0), FactorTable!$A$2:$A$301,0), Skills!M25+1)</f>
        <v/>
      </c>
      <c r="F2810">
        <f>IF(Skills!N25=TRUE,(Skills!L25/10)*(E2810/1000),Skills!L25/10)+Skills!O25</f>
        <v/>
      </c>
      <c r="G2810">
        <f>Skills!G25*IF(Skills!H25&gt;0,Skills!I25/Skills!H25,1)</f>
        <v/>
      </c>
      <c r="H2810">
        <f>1-(1-Skills!J25/100)^Skills!K25</f>
        <v/>
      </c>
      <c r="I2810" t="inlineStr">
        <is>
          <t>1</t>
        </is>
      </c>
      <c r="J2810" t="inlineStr"/>
      <c r="K2810" t="inlineStr"/>
      <c r="L2810" t="inlineStr"/>
      <c r="M2810" t="inlineStr"/>
      <c r="N2810" t="inlineStr"/>
      <c r="O2810">
        <f>(1-Summary!$B$11)*T2810+Summary!$B$11*V2810</f>
        <v/>
      </c>
      <c r="P2810">
        <f>IF(B2828=0,0,O2810/B2828)</f>
        <v/>
      </c>
      <c r="Q2810" t="n">
        <v>0</v>
      </c>
      <c r="R2810" t="n">
        <v>0</v>
      </c>
      <c r="S2810">
        <f>IFERROR(O2810/N2810,0)</f>
        <v/>
      </c>
      <c r="T2810" t="n">
        <v>0</v>
      </c>
      <c r="V2810" t="n">
        <v>0</v>
      </c>
    </row>
    <row r="2811">
      <c r="A2811">
        <f>Skills!A26</f>
        <v/>
      </c>
      <c r="B2811">
        <f>Skills!B26</f>
        <v/>
      </c>
      <c r="C2811">
        <f>Inputs!$B$3&gt;=125</f>
        <v/>
      </c>
      <c r="D2811">
        <f>IF(Skills!C26=1,60+Inputs!$B$25+Inputs!$B$29,IF(Skills!C26=2,90+Inputs!$B$26+Inputs!$B$29,IF(Skills!C26=3,120+Inputs!$B$27+Inputs!$B$29,MAX(0,(Inputs!$B$3-100)*3)+Inputs!$B$28+Inputs!$B$29)))</f>
        <v/>
      </c>
      <c r="E2811">
        <f>INDEX(FactorTable!$B$2:$Y$301, MATCH(ROUND(MIN(300,MAX(1,D2811)),0), FactorTable!$A$2:$A$301,0), Skills!M26+1)</f>
        <v/>
      </c>
      <c r="F2811">
        <f>IF(Skills!N26=TRUE,(Skills!L26/10)*(E2811/1000),Skills!L26/10)+Skills!O26</f>
        <v/>
      </c>
      <c r="G2811">
        <f>Skills!G26*IF(Skills!H26&gt;0,Skills!I26/Skills!H26,1)</f>
        <v/>
      </c>
      <c r="H2811">
        <f>1-(1-Skills!J26/100)^Skills!K26</f>
        <v/>
      </c>
      <c r="I2811" t="inlineStr">
        <is>
          <t>1</t>
        </is>
      </c>
      <c r="J2811" t="inlineStr"/>
      <c r="K2811" t="inlineStr"/>
      <c r="L2811" t="inlineStr"/>
      <c r="M2811" t="inlineStr"/>
      <c r="N2811" t="inlineStr"/>
      <c r="O2811">
        <f>(1-Summary!$B$11)*T2811+Summary!$B$11*V2811</f>
        <v/>
      </c>
      <c r="P2811">
        <f>IF(B2828=0,0,O2811/B2828)</f>
        <v/>
      </c>
      <c r="Q2811" t="n">
        <v>0</v>
      </c>
      <c r="R2811" t="n">
        <v>0</v>
      </c>
      <c r="S2811">
        <f>IFERROR(O2811/N2811,0)</f>
        <v/>
      </c>
      <c r="T2811" t="n">
        <v>0</v>
      </c>
      <c r="V2811" t="n">
        <v>0</v>
      </c>
    </row>
    <row r="2812">
      <c r="A2812">
        <f>Skills!A27</f>
        <v/>
      </c>
      <c r="B2812">
        <f>Skills!B27</f>
        <v/>
      </c>
      <c r="C2812">
        <f>Inputs!$B$3&gt;=125</f>
        <v/>
      </c>
      <c r="D2812">
        <f>IF(Skills!C27=1,60+Inputs!$B$25+Inputs!$B$29,IF(Skills!C27=2,90+Inputs!$B$26+Inputs!$B$29,IF(Skills!C27=3,120+Inputs!$B$27+Inputs!$B$29,MAX(0,(Inputs!$B$3-100)*3)+Inputs!$B$28+Inputs!$B$29)))</f>
        <v/>
      </c>
      <c r="E2812">
        <f>INDEX(FactorTable!$B$2:$Y$301, MATCH(ROUND(MIN(300,MAX(1,D2812)),0), FactorTable!$A$2:$A$301,0), Skills!M27+1)</f>
        <v/>
      </c>
      <c r="F2812">
        <f>IF(Skills!N27=TRUE,(Skills!L27/10)*(E2812/1000),Skills!L27/10)+Skills!O27</f>
        <v/>
      </c>
      <c r="G2812">
        <f>Skills!G27*IF(Skills!H27&gt;0,Skills!I27/Skills!H27,1)</f>
        <v/>
      </c>
      <c r="H2812">
        <f>1-(1-Skills!J27/100)^Skills!K27</f>
        <v/>
      </c>
      <c r="I2812" t="inlineStr">
        <is>
          <t>1</t>
        </is>
      </c>
      <c r="J2812" t="inlineStr"/>
      <c r="K2812" t="inlineStr"/>
      <c r="L2812" t="inlineStr"/>
      <c r="M2812" t="inlineStr"/>
      <c r="N2812" t="inlineStr"/>
      <c r="O2812">
        <f>(1-Summary!$B$11)*T2812+Summary!$B$11*V2812</f>
        <v/>
      </c>
      <c r="P2812">
        <f>IF(B2828=0,0,O2812/B2828)</f>
        <v/>
      </c>
      <c r="Q2812" t="n">
        <v>0</v>
      </c>
      <c r="R2812" t="n">
        <v>0</v>
      </c>
      <c r="S2812">
        <f>IFERROR(O2812/N2812,0)</f>
        <v/>
      </c>
      <c r="T2812" t="n">
        <v>0</v>
      </c>
      <c r="V2812" t="n">
        <v>0</v>
      </c>
    </row>
    <row r="2813">
      <c r="A2813">
        <f>Skills!A28</f>
        <v/>
      </c>
      <c r="B2813">
        <f>Skills!B28</f>
        <v/>
      </c>
      <c r="C2813">
        <f>Inputs!$B$3&gt;=120</f>
        <v/>
      </c>
      <c r="D2813">
        <f>IF(Skills!C28=1,60+Inputs!$B$25+Inputs!$B$29,IF(Skills!C28=2,90+Inputs!$B$26+Inputs!$B$29,IF(Skills!C28=3,120+Inputs!$B$27+Inputs!$B$29,MAX(0,(Inputs!$B$3-100)*3)+Inputs!$B$28+Inputs!$B$29)))</f>
        <v/>
      </c>
      <c r="E2813">
        <f>INDEX(FactorTable!$B$2:$Y$301, MATCH(ROUND(MIN(300,MAX(1,D2813)),0), FactorTable!$A$2:$A$301,0), Skills!M28+1)</f>
        <v/>
      </c>
      <c r="F2813">
        <f>IF(Skills!N28=TRUE,(Skills!L28/10)*(E2813/1000),Skills!L28/10)+Skills!O28</f>
        <v/>
      </c>
      <c r="G2813">
        <f>Skills!G28*IF(Skills!H28&gt;0,Skills!I28/Skills!H28,1)</f>
        <v/>
      </c>
      <c r="H2813">
        <f>1-(1-Skills!J28/100)^Skills!K28</f>
        <v/>
      </c>
      <c r="I2813" t="inlineStr">
        <is>
          <t>1</t>
        </is>
      </c>
      <c r="J2813" t="inlineStr"/>
      <c r="K2813" t="inlineStr"/>
      <c r="L2813" t="inlineStr"/>
      <c r="M2813" t="inlineStr"/>
      <c r="N2813" t="inlineStr"/>
      <c r="O2813">
        <f>(1-Summary!$B$11)*T2813+Summary!$B$11*V2813</f>
        <v/>
      </c>
      <c r="P2813">
        <f>IF(B2828=0,0,O2813/B2828)</f>
        <v/>
      </c>
      <c r="Q2813" t="n">
        <v>0</v>
      </c>
      <c r="R2813" t="n">
        <v>0</v>
      </c>
      <c r="S2813">
        <f>IFERROR(O2813/N2813,0)</f>
        <v/>
      </c>
      <c r="T2813" t="n">
        <v>0</v>
      </c>
      <c r="V2813" t="n">
        <v>0</v>
      </c>
    </row>
    <row r="2814">
      <c r="A2814">
        <f>Skills!A29</f>
        <v/>
      </c>
      <c r="B2814">
        <f>Skills!B29</f>
        <v/>
      </c>
      <c r="C2814">
        <f>Inputs!$B$3&gt;=120</f>
        <v/>
      </c>
      <c r="D2814">
        <f>IF(Skills!C29=1,60+Inputs!$B$25+Inputs!$B$29,IF(Skills!C29=2,90+Inputs!$B$26+Inputs!$B$29,IF(Skills!C29=3,120+Inputs!$B$27+Inputs!$B$29,MAX(0,(Inputs!$B$3-100)*3)+Inputs!$B$28+Inputs!$B$29)))</f>
        <v/>
      </c>
      <c r="E2814">
        <f>INDEX(FactorTable!$B$2:$Y$301, MATCH(ROUND(MIN(300,MAX(1,D2814)),0), FactorTable!$A$2:$A$301,0), Skills!M29+1)</f>
        <v/>
      </c>
      <c r="F2814">
        <f>IF(Skills!N29=TRUE,(Skills!L29/10)*(E2814/1000),Skills!L29/10)+Skills!O29</f>
        <v/>
      </c>
      <c r="G2814">
        <f>Skills!G29*IF(Skills!H29&gt;0,Skills!I29/Skills!H29,1)</f>
        <v/>
      </c>
      <c r="H2814">
        <f>1-(1-Skills!J29/100)^Skills!K29</f>
        <v/>
      </c>
      <c r="I2814" t="inlineStr">
        <is>
          <t>1</t>
        </is>
      </c>
      <c r="J2814" t="inlineStr"/>
      <c r="K2814" t="inlineStr"/>
      <c r="L2814" t="inlineStr"/>
      <c r="M2814" t="inlineStr"/>
      <c r="N2814" t="inlineStr"/>
      <c r="O2814">
        <f>(1-Summary!$B$11)*T2814+Summary!$B$11*V2814</f>
        <v/>
      </c>
      <c r="P2814">
        <f>IF(B2828=0,0,O2814/B2828)</f>
        <v/>
      </c>
      <c r="Q2814" t="n">
        <v>0</v>
      </c>
      <c r="R2814" t="n">
        <v>0</v>
      </c>
      <c r="S2814">
        <f>IFERROR(O2814/N2814,0)</f>
        <v/>
      </c>
      <c r="T2814" t="n">
        <v>0</v>
      </c>
      <c r="V2814" t="n">
        <v>0</v>
      </c>
    </row>
    <row r="2815">
      <c r="A2815">
        <f>Skills!A30</f>
        <v/>
      </c>
      <c r="B2815">
        <f>Skills!B30</f>
        <v/>
      </c>
      <c r="C2815">
        <f>Inputs!$B$3&gt;=45</f>
        <v/>
      </c>
      <c r="D2815">
        <f>IF(Skills!C30=1,60+Inputs!$B$25+Inputs!$B$29,IF(Skills!C30=2,90+Inputs!$B$26+Inputs!$B$29,IF(Skills!C30=3,120+Inputs!$B$27+Inputs!$B$29,MAX(0,(Inputs!$B$3-100)*3)+Inputs!$B$28+Inputs!$B$29)))</f>
        <v/>
      </c>
      <c r="E2815">
        <f>INDEX(FactorTable!$B$2:$Y$301, MATCH(ROUND(MIN(300,MAX(1,D2815)),0), FactorTable!$A$2:$A$301,0), Skills!M30+1)</f>
        <v/>
      </c>
      <c r="F2815">
        <f>IF(Skills!N30=TRUE,(Skills!L30/10)*(E2815/1000),Skills!L30/10)+Skills!O30</f>
        <v/>
      </c>
      <c r="G2815">
        <f>Skills!G30*IF(Skills!H30&gt;0,Skills!I30/Skills!H30,1)</f>
        <v/>
      </c>
      <c r="H2815">
        <f>1-(1-Skills!J30/100)^Skills!K30</f>
        <v/>
      </c>
      <c r="I2815" t="inlineStr">
        <is>
          <t>1</t>
        </is>
      </c>
      <c r="J2815" t="inlineStr"/>
      <c r="K2815" t="inlineStr"/>
      <c r="L2815" t="inlineStr"/>
      <c r="M2815" t="inlineStr"/>
      <c r="N2815" t="inlineStr"/>
      <c r="O2815">
        <f>(1-Summary!$B$11)*T2815+Summary!$B$11*V2815</f>
        <v/>
      </c>
      <c r="P2815">
        <f>IF(B2828=0,0,O2815/B2828)</f>
        <v/>
      </c>
      <c r="Q2815" t="n">
        <v>0</v>
      </c>
      <c r="R2815" t="n">
        <v>0</v>
      </c>
      <c r="S2815">
        <f>IFERROR(O2815/N2815,0)</f>
        <v/>
      </c>
      <c r="T2815" t="n">
        <v>0</v>
      </c>
      <c r="V2815" t="n">
        <v>0</v>
      </c>
    </row>
    <row r="2817">
      <c r="A2817" t="inlineStr">
        <is>
          <t>Attack% Bucket Multiplier</t>
        </is>
      </c>
      <c r="B2817">
        <f>(1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18">
      <c r="A2818" t="inlineStr">
        <is>
          <t>Global Crit Rate Bonus %</t>
        </is>
      </c>
      <c r="B2818">
        <f>(C2801=TRUE)*20*IF(AND(Inputs!$B$38&lt;&gt;"pvp",Inputs!$B$43&gt;0),(((R2801-1)*(Skills!T16*(1+Inputs!$B$34/100))+MIN((Skills!T16*(1+Inputs!$B$34/100)),MAX(0,Inputs!$B$43-((R2801-1)*Skills!D16))))/Inputs!$B$43),IF(Inputs!$B$38="pvp",MIN((Skills!T16*(1+Inputs!$B$34/100)),15)/15,(Skills!T16*(1+Inputs!$B$34/100))/Skills!D16))</f>
        <v/>
      </c>
    </row>
    <row r="2819">
      <c r="A2819" t="inlineStr">
        <is>
          <t>Attack Speed Buff Bonus %</t>
        </is>
      </c>
      <c r="B2819">
        <f>((C2804=TRUE)*F2804*IF(AND(Inputs!$B$38&lt;&gt;"pvp",Inputs!$B$43&gt;0),(((R2804-1)*(Skills!T19*(1+Inputs!$B$34/100))+MIN((Skills!T19*(1+Inputs!$B$34/100)),MAX(0,Inputs!$B$43-((R2804-1)*Skills!D19))))/Inputs!$B$43),IF(Inputs!$B$38="pvp",MIN((Skills!T19*(1+Inputs!$B$34/100)),15)/15,(Skills!T19*(1+Inputs!$B$34/100))/Skills!D19)))</f>
        <v/>
      </c>
    </row>
    <row r="2820">
      <c r="A2820" t="inlineStr">
        <is>
          <t>Actions Per Second</t>
        </is>
      </c>
      <c r="B2820">
        <f>1+MIN(150,150*(1-(1-(Inputs!$B$11+((C2806=TRUE)*(F2806-Calc!F21))+((C2807=TRUE)*(F2807-Calc!F22)))/150)*(1-B2819/150)))/100</f>
        <v/>
      </c>
    </row>
    <row r="2821">
      <c r="A2821" t="inlineStr">
        <is>
          <t>Skill + Buff Cast Rate</t>
        </is>
      </c>
      <c r="B2821">
        <f>IF(AND(Inputs!$B$38&lt;&gt;"pvp",Inputs!$B$43&gt;0),SUMPRODUCT((Skills!E2:E30=TRUE)*(C2787:C2815=TRUE)*R2787:R2815*Skills!F2:F30)/Inputs!$B$43,SUMPRODUCT((Skills!E2:E30=TRUE)*(C2787:C2815=TRUE)*Q2787:Q2815*Skills!F2:F30))</f>
        <v/>
      </c>
    </row>
    <row r="2822">
      <c r="A2822" t="inlineStr">
        <is>
          <t>Arrow Stream Casts Per Second</t>
        </is>
      </c>
      <c r="B2822">
        <f>MAX(0,B2820-B2821)</f>
        <v/>
      </c>
    </row>
    <row r="2823">
      <c r="A2823" t="inlineStr">
        <is>
          <t>Global Critical Damage Bonus % (Sharp Eyes + Concentration)</t>
        </is>
      </c>
      <c r="B2823">
        <f>(C2801=TRUE)*F2801*IF(AND(Inputs!$B$38&lt;&gt;"pvp",Inputs!$B$43&gt;0),(((R2801-1)*(Skills!T16*(1+Inputs!$B$34/100))+MIN((Skills!T16*(1+Inputs!$B$34/100)),MAX(0,Inputs!$B$43-((R2801-1)*Skills!D16))))/Inputs!$B$43),IF(Inputs!$B$38="pvp",MIN((Skills!T16*(1+Inputs!$B$34/100)),15)/15,(Skills!T16*(1+Inputs!$B$34/100))/Skills!D16))+(C2802=TRUE)*30</f>
        <v/>
      </c>
    </row>
    <row r="2824">
      <c r="A2824" t="inlineStr">
        <is>
          <t>Global Final Damage Bonus % (Mortal Blow)</t>
        </is>
      </c>
      <c r="B2824">
        <f>(C2803=TRUE)*F2803</f>
        <v/>
      </c>
    </row>
    <row r="2825">
      <c r="A2825" t="inlineStr">
        <is>
          <t>Buff-Casting Startup Delay (s, fixed-duration only)</t>
        </is>
      </c>
      <c r="B2825">
        <f>IF(AND(Inputs!$B$38&lt;&gt;"pvp",Inputs!$B$43&gt;0),SUMPRODUCT((Skills!T2:T30&gt;0)*(Skills!E2:E30=TRUE)*(C2787:C2815=TRUE))/B2820,0)</f>
        <v/>
      </c>
    </row>
    <row r="2826">
      <c r="A2826" t="inlineStr">
        <is>
          <t>Boss-Only Total DPS (this block's swept value)</t>
        </is>
      </c>
      <c r="B2826">
        <f>SUM(T2787:T2815)</f>
        <v/>
      </c>
    </row>
    <row r="2827">
      <c r="A2827" t="inlineStr">
        <is>
          <t>Normal-Only Total DPS (this block's swept value)</t>
        </is>
      </c>
      <c r="B2827">
        <f>SUM(V2787:V2815)</f>
        <v/>
      </c>
    </row>
    <row r="2828">
      <c r="A2828" s="6" t="inlineStr">
        <is>
          <t>TOTAL DPS</t>
        </is>
      </c>
      <c r="B2828" s="6">
        <f>SUM(O2787:O2815)</f>
        <v/>
      </c>
    </row>
    <row r="2831">
      <c r="A2831" s="6" t="inlineStr">
        <is>
          <t>Stat: Secret Map (Equip)</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Q2832" s="5" t="inlineStr">
        <is>
          <t>InvCooldown</t>
        </is>
      </c>
      <c r="R2832" s="5" t="inlineStr">
        <is>
          <t>CastsInFight</t>
        </is>
      </c>
      <c r="S2832" s="5" t="inlineStr">
        <is>
          <t>HitRate(perSec)</t>
        </is>
      </c>
      <c r="U2832" t="inlineStr">
        <is>
          <t>helpers</t>
        </is>
      </c>
    </row>
    <row r="2833">
      <c r="A2833">
        <f>Skills!A2</f>
        <v/>
      </c>
      <c r="B2833">
        <f>Skills!B2</f>
        <v/>
      </c>
      <c r="C2833">
        <f>Inputs!$B$3&gt;=100</f>
        <v/>
      </c>
      <c r="D2833" t="inlineStr"/>
      <c r="E2833" t="inlineStr"/>
      <c r="F2833">
        <f>U2835+Skills!O2</f>
        <v/>
      </c>
      <c r="G2833">
        <f>Skills!G2*IF(Skills!H2&gt;0,Skills!I2/Skills!H2,1)</f>
        <v/>
      </c>
      <c r="H2833">
        <f>1-(1-Skills!J2/100)^Skills!K2</f>
        <v/>
      </c>
      <c r="I2833" t="inlineStr">
        <is>
          <t>1</t>
        </is>
      </c>
      <c r="J2833">
        <f>((Inputs!$B$6*(1+Inputs!$B$7/100))+(((Inputs!$B$12*(1+Inputs!$B$13/100))-(Inputs!$B$12*(1+Inputs!$B$13/100)))+0.25*(Inputs!$B$14-Inputs!$B$14))*(1+Inputs!$B$7/100))*(F2833/100)</f>
        <v/>
      </c>
      <c r="K2833">
        <f>J2833*(1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C2855=TRUE)*(F2855-Calc!F24)),(Inputs!$B$23+((C2860=TRUE)*(F2860-Calc!F29))+(IF(ArtifactsInput!$M$15,CHOOSE(ArtifactsInput!$N$15+1,25,30,35,40,45,50)/100*(Inputs!$B$11-Inputs!$B$11),0))))/100+(Inputs!$B$23+((C2860=TRUE)*(F2860-Calc!F29))+(IF(ArtifactsInput!$M$15,CHOOSE(ArtifactsInput!$N$15+1,25,30,35,40,45,50)/100*(Inputs!$B$11-Inputs!$B$11),0)))/100)/2</f>
        <v/>
      </c>
      <c r="M2833">
        <f>L2833*(1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(1-Summary!$B$11)*T2833+Summary!$B$11*V2833</f>
        <v/>
      </c>
      <c r="P2833">
        <f>IF(B2874=0,0,O2833/B2874)</f>
        <v/>
      </c>
      <c r="Q2833" t="n">
        <v>0</v>
      </c>
      <c r="R2833" t="n">
        <v>0</v>
      </c>
      <c r="S2833">
        <f>IFERROR(O2833/N2833,0)</f>
        <v/>
      </c>
      <c r="T2833">
        <f>IF(C2833,(Skills!G2*N2833*B2868)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2833*(1-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3">
        <f>MAX(0,(Inputs!$B$3-100)*3)+Inputs!$B$28+Inputs!$B$29</f>
        <v/>
      </c>
      <c r="V2833">
        <f>IF(C2833,(Skills!G2*N2833*B2868)*IF(Inputs!$B$38="pvp",1,(1+(Inputs!$B$21+Skills!Q2+(IF(ArtifactsInput!$M$33,CHOOSE(ArtifactsInput!$N$33+1,30,36,42,48,54,60),0))+(IF(AND(ArtifactsInput!$M$35,Inputs!$B$4&lt;&gt;"Chapter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4">
      <c r="A2834">
        <f>Skills!A3</f>
        <v/>
      </c>
      <c r="B2834">
        <f>Skills!B3</f>
        <v/>
      </c>
      <c r="C2834">
        <f>Inputs!$B$3&gt;=50</f>
        <v/>
      </c>
      <c r="D2834">
        <f>IF(Skills!C3=1,60+Inputs!$B$25+Inputs!$B$29,IF(Skills!C3=2,90+Inputs!$B$26+Inputs!$B$29,IF(Skills!C3=3,120+Inputs!$B$27+Inputs!$B$29,MAX(0,(Inputs!$B$3-100)*3)+Inputs!$B$28+Inputs!$B$29)))</f>
        <v/>
      </c>
      <c r="E2834">
        <f>INDEX(FactorTable!$B$2:$Y$301, MATCH(ROUND(MIN(300,MAX(1,D2834)),0), FactorTable!$A$2:$A$301,0), Skills!M3+1)</f>
        <v/>
      </c>
      <c r="F2834">
        <f>IF(Skills!N3=TRUE,(Skills!L3/10)*(E2834/1000),Skills!L3/10)+Skills!O3</f>
        <v/>
      </c>
      <c r="G2834" t="inlineStr"/>
      <c r="H2834" t="inlineStr"/>
      <c r="I2834" t="inlineStr">
        <is>
          <t>1</t>
        </is>
      </c>
      <c r="J2834" t="inlineStr"/>
      <c r="K2834" t="inlineStr"/>
      <c r="L2834" t="inlineStr"/>
      <c r="M2834" t="inlineStr"/>
      <c r="N2834" t="inlineStr"/>
      <c r="O2834" t="inlineStr"/>
      <c r="P2834" t="inlineStr"/>
      <c r="Q2834" t="inlineStr"/>
      <c r="R2834" t="inlineStr"/>
      <c r="S2834" t="inlineStr"/>
      <c r="T2834" t="inlineStr"/>
      <c r="U2834">
        <f>INDEX(FactorTable!$B$2:$Y$301, MATCH(ROUND(MIN(300,MAX(1,U2833)),0), FactorTable!$A$2:$A$301,0), 22)</f>
        <v/>
      </c>
      <c r="V2834" t="inlineStr"/>
    </row>
    <row r="2835">
      <c r="A2835">
        <f>Skills!A4</f>
        <v/>
      </c>
      <c r="B2835">
        <f>Skills!B4</f>
        <v/>
      </c>
      <c r="C2835">
        <f>Inputs!$B$3&gt;=105</f>
        <v/>
      </c>
      <c r="D2835">
        <f>IF(Skills!C4=1,60+Inputs!$B$25+Inputs!$B$29,IF(Skills!C4=2,90+Inputs!$B$26+Inputs!$B$29,IF(Skills!C4=3,120+Inputs!$B$27+Inputs!$B$29,MAX(0,(Inputs!$B$3-100)*3)+Inputs!$B$28+Inputs!$B$29)))</f>
        <v/>
      </c>
      <c r="E2835">
        <f>INDEX(FactorTable!$B$2:$Y$301, MATCH(ROUND(MIN(300,MAX(1,D2835)),0), FactorTable!$A$2:$A$301,0), Skills!M4+1)</f>
        <v/>
      </c>
      <c r="F2835">
        <f>IF(Skills!N4=TRUE,(Skills!L4/10)*(E2835/1000),Skills!L4/10)+Skills!O4</f>
        <v/>
      </c>
      <c r="G2835" t="inlineStr"/>
      <c r="H2835" t="inlineStr"/>
      <c r="I2835" t="inlineStr">
        <is>
          <t>1</t>
        </is>
      </c>
      <c r="J2835" t="inlineStr"/>
      <c r="K2835" t="inlineStr"/>
      <c r="L2835" t="inlineStr"/>
      <c r="M2835" t="inlineStr"/>
      <c r="N2835" t="inlineStr"/>
      <c r="O2835" t="inlineStr"/>
      <c r="P2835" t="inlineStr"/>
      <c r="Q2835" t="inlineStr"/>
      <c r="R2835" t="inlineStr"/>
      <c r="S2835" t="inlineStr"/>
      <c r="T2835" t="inlineStr"/>
      <c r="U2835">
        <f>290*U2834/1000</f>
        <v/>
      </c>
      <c r="V2835" t="inlineStr"/>
    </row>
    <row r="2836">
      <c r="A2836">
        <f>Skills!A5</f>
        <v/>
      </c>
      <c r="B2836">
        <f>Skills!B5</f>
        <v/>
      </c>
      <c r="C2836">
        <f>Inputs!$B$3&gt;=35</f>
        <v/>
      </c>
      <c r="D2836">
        <f>IF(Skills!C5=1,60+Inputs!$B$25+Inputs!$B$29,IF(Skills!C5=2,90+Inputs!$B$26+Inputs!$B$29,IF(Skills!C5=3,120+Inputs!$B$27+Inputs!$B$29,MAX(0,(Inputs!$B$3-100)*3)+Inputs!$B$28+Inputs!$B$29)))</f>
        <v/>
      </c>
      <c r="E2836">
        <f>INDEX(FactorTable!$B$2:$Y$301, MATCH(ROUND(MIN(300,MAX(1,D2836)),0), FactorTable!$A$2:$A$301,0), Skills!M5+1)</f>
        <v/>
      </c>
      <c r="F2836">
        <f>IF(Skills!N5=TRUE,(Skills!L5/10)*(E2836/1000),Skills!L5/10)+Skills!O5</f>
        <v/>
      </c>
      <c r="G2836">
        <f>Skills!G5*IF(Skills!H5&gt;0,Skills!I5/Skills!H5,1)</f>
        <v/>
      </c>
      <c r="H2836">
        <f>1-(1-Skills!J5/100)^Skills!K5</f>
        <v/>
      </c>
      <c r="I2836" t="inlineStr">
        <is>
          <t>1</t>
        </is>
      </c>
      <c r="J2836">
        <f>((Inputs!$B$6*(1+Inputs!$B$7/100))+(((Inputs!$B$12*(1+Inputs!$B$13/100))-(Inputs!$B$12*(1+Inputs!$B$13/100)))+0.25*(Inputs!$B$14-Inputs!$B$14))*(1+Inputs!$B$7/100))*(F2836/100)</f>
        <v/>
      </c>
      <c r="K2836">
        <f>J2836*(1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2841=TRUE,F2841,0)/100)*(1+(IF(Skills!A5="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C2855=TRUE)*(F2855-Calc!F24)),(Inputs!$B$23+((C2860=TRUE)*(F2860-Calc!F29))+(IF(ArtifactsInput!$M$15,CHOOSE(ArtifactsInput!$N$15+1,25,30,35,40,45,50)/100*(Inputs!$B$11-Inputs!$B$11),0))))/100+(Inputs!$B$23+((C2860=TRUE)*(F2860-Calc!F29))+(IF(ArtifactsInput!$M$15,CHOOSE(ArtifactsInput!$N$15+1,25,30,35,40,45,50)/100*(Inputs!$B$11-Inputs!$B$11),0)))/100)/2</f>
        <v/>
      </c>
      <c r="M2836">
        <f>L2836*(1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(1-Summary!$B$11)*T2836+Summary!$B$11*V2836</f>
        <v/>
      </c>
      <c r="P2836">
        <f>IF(B2874=0,0,O2836/B2874)</f>
        <v/>
      </c>
      <c r="Q2836">
        <f>IFERROR(1/(IF(Inputs!$B$38="pvp",15,MAX(0.1,Skills!D5-IF(Skills!E5=TRUE,Inputs!$B$32,0)))*(1-IF(AND(ArtifactsInput!$M$27,Inputs!$B$4="Chapter Hunt"),CHOOSE(ArtifactsInput!$N$27+1,20,24,28,32,36,40),0)/100)),0)</f>
        <v/>
      </c>
      <c r="R2836">
        <f>IF(AND(Inputs!$B$38&lt;&gt;"pvp",Inputs!$B$43&gt;0),IF(MAX(0,Inputs!$B$43-B2871)&lt;=0,0,(INT(MAX(0,Inputs!$B$43-B2871)/(IF(Inputs!$B$38="pvp",15,MAX(0.1,Skills!D5-IF(Skills!E5=TRUE,Inputs!$B$32,0)))*(1-IF(AND(ArtifactsInput!$M$27,Inputs!$B$4="Chapter Hunt"),CHOOSE(ArtifactsInput!$N$27+1,20,24,28,32,36,40),0)/100)))+1)),0)</f>
        <v/>
      </c>
      <c r="S2836">
        <f>IFERROR(O2836/N2836,0)</f>
        <v/>
      </c>
      <c r="T2836">
        <f>IF(C2836,(H2836*N2836*IF(AND(Inputs!$B$38&lt;&gt;"pvp",Inputs!$B$43&gt;0),((Skills!G5*((R2836-1)*IF(Skills!H5&gt;0,Skills!I5/Skills!H5,1)+IF(Skills!H5&gt;0,MIN(Skills!I5,MAX(0,MAX(0,Inputs!$B$43-B2871)-((R2836-1)*(IF(Inputs!$B$38="pvp",15,MAX(0.1,Skills!D5-IF(Skills!E5=TRUE,Inputs!$B$32,0)))*(1-IF(AND(ArtifactsInput!$M$27,Inputs!$B$4="Chapter Hunt"),CHOOSE(ArtifactsInput!$N$27+1,20,24,28,32,36,40),0)/100)))))/Skills!H5,1)))/Inputs!$B$43),G2836*Q2836)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2836*(1-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6">
        <f>IF(C2836,(H2836*N2836*IF(AND(Inputs!$B$38&lt;&gt;"pvp",Inputs!$B$43&gt;0),((Skills!G5*((R2836-1)*IF(Skills!H5&gt;0,Skills!I5/Skills!H5,1)+IF(Skills!H5&gt;0,MIN(Skills!I5,MAX(0,MAX(0,Inputs!$B$43-B2871)-((R2836-1)*(IF(Inputs!$B$38="pvp",15,MAX(0.1,Skills!D5-IF(Skills!E5=TRUE,Inputs!$B$32,0)))*(1-IF(AND(ArtifactsInput!$M$27,Inputs!$B$4="Chapter Hunt"),CHOOSE(ArtifactsInput!$N$27+1,20,24,28,32,36,40),0)/100)))))/Skills!H5,1)))/Inputs!$B$43),G2836*Q2836))*IF(Inputs!$B$38="pvp",1,(1+(Inputs!$B$21+Skills!Q5+(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Inputs!$B$3&gt;=40</f>
        <v/>
      </c>
      <c r="D2837">
        <f>IF(Skills!C6=1,60+Inputs!$B$25+Inputs!$B$29,IF(Skills!C6=2,90+Inputs!$B$26+Inputs!$B$29,IF(Skills!C6=3,120+Inputs!$B$27+Inputs!$B$29,MAX(0,(Inputs!$B$3-100)*3)+Inputs!$B$28+Inputs!$B$29)))</f>
        <v/>
      </c>
      <c r="E2837">
        <f>INDEX(FactorTable!$B$2:$Y$301, MATCH(ROUND(MIN(300,MAX(1,D2837)),0), FactorTable!$A$2:$A$301,0), Skills!M6+1)</f>
        <v/>
      </c>
      <c r="F2837">
        <f>IF(Skills!N6=TRUE,(Skills!L6/10)*(E2837/1000),Skills!L6/10)+Skills!O6</f>
        <v/>
      </c>
      <c r="G2837">
        <f>Skills!G6*IF(Skills!H6&gt;0,Skills!I6/Skills!H6,1)</f>
        <v/>
      </c>
      <c r="H2837">
        <f>1-(1-Skills!J6/100)^Skills!K6</f>
        <v/>
      </c>
      <c r="I2837" t="inlineStr">
        <is>
          <t>1</t>
        </is>
      </c>
      <c r="J2837">
        <f>((Inputs!$B$6*(1+Inputs!$B$7/100))+(((Inputs!$B$12*(1+Inputs!$B$13/100))-(Inputs!$B$12*(1+Inputs!$B$13/100)))+0.25*(Inputs!$B$14-Inputs!$B$14))*(1+Inputs!$B$7/100))*(F2837/100)</f>
        <v/>
      </c>
      <c r="K2837">
        <f>J2837*(1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2838=TRUE,F2838,0)/100)*(1+(IF(Skills!A6="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C2855=TRUE)*(F2855-Calc!F24)),(Inputs!$B$23+((C2860=TRUE)*(F2860-Calc!F29))+(IF(ArtifactsInput!$M$15,CHOOSE(ArtifactsInput!$N$15+1,25,30,35,40,45,50)/100*(Inputs!$B$11-Inputs!$B$11),0))))/100+(Inputs!$B$23+((C2860=TRUE)*(F2860-Calc!F29))+(IF(ArtifactsInput!$M$15,CHOOSE(ArtifactsInput!$N$15+1,25,30,35,40,45,50)/100*(Inputs!$B$11-Inputs!$B$11),0)))/100)/2</f>
        <v/>
      </c>
      <c r="M2837">
        <f>L2837*(1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(1-Summary!$B$11)*T2837+Summary!$B$11*V2837</f>
        <v/>
      </c>
      <c r="P2837">
        <f>IF(B2874=0,0,O2837/B2874)</f>
        <v/>
      </c>
      <c r="Q2837">
        <f>IFERROR(1/(IF(Inputs!$B$38="pvp",15,MAX(0.1,Skills!D6-IF(Skills!E6=TRUE,Inputs!$B$32,0)))*(1-IF(AND(ArtifactsInput!$M$27,Inputs!$B$4="Chapter Hunt"),CHOOSE(ArtifactsInput!$N$27+1,20,24,28,32,36,40),0)/100)),0)</f>
        <v/>
      </c>
      <c r="R2837">
        <f>IF(AND(Inputs!$B$38&lt;&gt;"pvp",Inputs!$B$43&gt;0),IF(MAX(0,Inputs!$B$43-B2871)&lt;=0,0,(INT(MAX(0,Inputs!$B$43-B2871)/(IF(Inputs!$B$38="pvp",15,MAX(0.1,Skills!D6-IF(Skills!E6=TRUE,Inputs!$B$32,0)))*(1-IF(AND(ArtifactsInput!$M$27,Inputs!$B$4="Chapter Hunt"),CHOOSE(ArtifactsInput!$N$27+1,20,24,28,32,36,40),0)/100)))+1)),0)</f>
        <v/>
      </c>
      <c r="S2837">
        <f>IFERROR(O2837/N2837,0)</f>
        <v/>
      </c>
      <c r="T2837">
        <f>IF(C2837,(H2837*N2837*IF(AND(Inputs!$B$38&lt;&gt;"pvp",Inputs!$B$43&gt;0),((Skills!G6*((R2837-1)*IF(Skills!H6&gt;0,Skills!I6/Skills!H6,1)+IF(Skills!H6&gt;0,MIN(Skills!I6,MAX(0,MAX(0,Inputs!$B$43-B2871)-((R2837-1)*(IF(Inputs!$B$38="pvp",15,MAX(0.1,Skills!D6-IF(Skills!E6=TRUE,Inputs!$B$32,0)))*(1-IF(AND(ArtifactsInput!$M$27,Inputs!$B$4="Chapter Hunt"),CHOOSE(ArtifactsInput!$N$27+1,20,24,28,32,36,40),0)/100)))))/Skills!H6,1)))/Inputs!$B$43),G2837*Q2837)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2837*(1-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7">
        <f>IF(C2837,(H2837*N2837*IF(AND(Inputs!$B$38&lt;&gt;"pvp",Inputs!$B$43&gt;0),((Skills!G6*((R2837-1)*IF(Skills!H6&gt;0,Skills!I6/Skills!H6,1)+IF(Skills!H6&gt;0,MIN(Skills!I6,MAX(0,MAX(0,Inputs!$B$43-B2871)-((R2837-1)*(IF(Inputs!$B$38="pvp",15,MAX(0.1,Skills!D6-IF(Skills!E6=TRUE,Inputs!$B$32,0)))*(1-IF(AND(ArtifactsInput!$M$27,Inputs!$B$4="Chapter Hunt"),CHOOSE(ArtifactsInput!$N$27+1,20,24,28,32,36,40),0)/100)))))/Skills!H6,1)))/Inputs!$B$43),G2837*Q2837))*IF(Inputs!$B$38="pvp",1,(1+(Inputs!$B$21+Skills!Q6+(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Inputs!$B$3&gt;=107</f>
        <v/>
      </c>
      <c r="D2838">
        <f>IF(Skills!C7=1,60+Inputs!$B$25+Inputs!$B$29,IF(Skills!C7=2,90+Inputs!$B$26+Inputs!$B$29,IF(Skills!C7=3,120+Inputs!$B$27+Inputs!$B$29,MAX(0,(Inputs!$B$3-100)*3)+Inputs!$B$28+Inputs!$B$29)))</f>
        <v/>
      </c>
      <c r="E2838">
        <f>INDEX(FactorTable!$B$2:$Y$301, MATCH(ROUND(MIN(300,MAX(1,D2838)),0), FactorTable!$A$2:$A$301,0), Skills!M7+1)</f>
        <v/>
      </c>
      <c r="F2838">
        <f>IF(Skills!N7=TRUE,(Skills!L7/10)*(E2838/1000),Skills!L7/10)+Skills!O7</f>
        <v/>
      </c>
      <c r="G2838" t="inlineStr"/>
      <c r="H2838" t="inlineStr"/>
      <c r="I2838" t="inlineStr">
        <is>
          <t>1</t>
        </is>
      </c>
      <c r="J2838" t="inlineStr"/>
      <c r="K2838" t="inlineStr"/>
      <c r="L2838" t="inlineStr"/>
      <c r="M2838" t="inlineStr"/>
      <c r="N2838" t="inlineStr"/>
      <c r="O2838" t="inlineStr"/>
      <c r="P2838" t="inlineStr"/>
      <c r="Q2838" t="inlineStr"/>
      <c r="R2838" t="inlineStr"/>
      <c r="S2838" t="inlineStr"/>
      <c r="T2838" t="inlineStr"/>
      <c r="V2838" t="inlineStr"/>
    </row>
    <row r="2839">
      <c r="A2839">
        <f>Skills!A8</f>
        <v/>
      </c>
      <c r="B2839">
        <f>Skills!B8</f>
        <v/>
      </c>
      <c r="C2839">
        <f>Inputs!$B$3&gt;=69</f>
        <v/>
      </c>
      <c r="D2839">
        <f>IF(Skills!C8=1,60+Inputs!$B$25+Inputs!$B$29,IF(Skills!C8=2,90+Inputs!$B$26+Inputs!$B$29,IF(Skills!C8=3,120+Inputs!$B$27+Inputs!$B$29,MAX(0,(Inputs!$B$3-100)*3)+Inputs!$B$28+Inputs!$B$29)))</f>
        <v/>
      </c>
      <c r="E2839">
        <f>INDEX(FactorTable!$B$2:$Y$301, MATCH(ROUND(MIN(300,MAX(1,D2839)),0), FactorTable!$A$2:$A$301,0), Skills!M8+1)</f>
        <v/>
      </c>
      <c r="F2839">
        <f>IF(Skills!N8=TRUE,(Skills!L8/10)*(E2839/1000),Skills!L8/10)+Skills!O8</f>
        <v/>
      </c>
      <c r="G2839">
        <f>Skills!G8*IF(Skills!H8&gt;0,Skills!I8/Skills!H8,1)</f>
        <v/>
      </c>
      <c r="H2839">
        <f>1-(1-Skills!J8/100)^Skills!K8</f>
        <v/>
      </c>
      <c r="I2839" t="inlineStr">
        <is>
          <t>1</t>
        </is>
      </c>
      <c r="J2839">
        <f>((Inputs!$B$6*(1+Inputs!$B$7/100))+(((Inputs!$B$12*(1+Inputs!$B$13/100))-(Inputs!$B$12*(1+Inputs!$B$13/100)))+0.25*(Inputs!$B$14-Inputs!$B$14))*(1+Inputs!$B$7/100))*(F2839/100)</f>
        <v/>
      </c>
      <c r="K2839">
        <f>J2839*(1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2841=TRUE,F2841,0)/100)*(1+(IF(Skills!A8="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2855=TRUE)*(F2855-Calc!F24)),(Inputs!$B$23+((C2860=TRUE)*(F2860-Calc!F29))+(IF(ArtifactsInput!$M$15,CHOOSE(ArtifactsInput!$N$15+1,25,30,35,40,45,50)/100*(Inputs!$B$11-Inputs!$B$11),0))))/100+(Inputs!$B$23+((C2860=TRUE)*(F2860-Calc!F29))+(IF(ArtifactsInput!$M$15,CHOOSE(ArtifactsInput!$N$15+1,25,30,35,40,45,50)/100*(Inputs!$B$11-Inputs!$B$11),0)))/100)/2</f>
        <v/>
      </c>
      <c r="M2839">
        <f>L2839*(1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IF(B2874=0,0,O2839/B2874)</f>
        <v/>
      </c>
      <c r="Q2839">
        <f>IFERROR(1/(IF(Inputs!$B$38="pvp",15,MAX(0.1,Skills!D8-IF(Skills!E8=TRUE,Inputs!$B$32,0)))*(1-IF(AND(ArtifactsInput!$M$27,Inputs!$B$4="Chapter Hunt"),CHOOSE(ArtifactsInput!$N$27+1,20,24,28,32,36,40),0)/100)),0)</f>
        <v/>
      </c>
      <c r="R2839">
        <f>IF(AND(Inputs!$B$38&lt;&gt;"pvp",Inputs!$B$43&gt;0),IF(MAX(0,Inputs!$B$43-B2871)&lt;=0,0,(INT(MAX(0,Inputs!$B$43-B2871)/(IF(Inputs!$B$38="pvp",15,MAX(0.1,Skills!D8-IF(Skills!E8=TRUE,Inputs!$B$32,0)))*(1-IF(AND(ArtifactsInput!$M$27,Inputs!$B$4="Chapter Hunt"),CHOOSE(ArtifactsInput!$N$27+1,20,24,28,32,36,40),0)/100)))+1)),0)</f>
        <v/>
      </c>
      <c r="S2839">
        <f>IFERROR(O2839/N2839,0)</f>
        <v/>
      </c>
      <c r="T2839">
        <f>IF(C2839,(H2839*N2839*IF(AND(Inputs!$B$38&lt;&gt;"pvp",Inputs!$B$43&gt;0),((Skills!G8*((R2839-1)*IF(Skills!H8&gt;0,Skills!I8/Skills!H8,1)+IF(Skills!H8&gt;0,MIN(Skills!I8,MAX(0,MAX(0,Inputs!$B$43-B2871)-((R2839-1)*(IF(Inputs!$B$38="pvp",15,MAX(0.1,Skills!D8-IF(Skills!E8=TRUE,Inputs!$B$32,0)))*(1-IF(AND(ArtifactsInput!$M$27,Inputs!$B$4="Chapter Hunt"),CHOOSE(ArtifactsInput!$N$27+1,20,24,28,32,36,40),0)/100)))))/Skills!H8,1)))/Inputs!$B$43),G2839*Q2839)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2839*(1-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9">
        <f>IF(C2839,(H2839*N2839*IF(AND(Inputs!$B$38&lt;&gt;"pvp",Inputs!$B$43&gt;0),((Skills!G8*((R2839-1)*IF(Skills!H8&gt;0,Skills!I8/Skills!H8,1)+IF(Skills!H8&gt;0,MIN(Skills!I8,MAX(0,MAX(0,Inputs!$B$43-B2871)-((R2839-1)*(IF(Inputs!$B$38="pvp",15,MAX(0.1,Skills!D8-IF(Skills!E8=TRUE,Inputs!$B$32,0)))*(1-IF(AND(ArtifactsInput!$M$27,Inputs!$B$4="Chapter Hunt"),CHOOSE(ArtifactsInput!$N$27+1,20,24,28,32,36,40),0)/100)))))/Skills!H8,1)))/Inputs!$B$43),G2839*Q2839))*IF(Inputs!$B$38="pvp",1,(1+(Inputs!$B$21+Skills!Q8+(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Inputs!$B$3&gt;=63</f>
        <v/>
      </c>
      <c r="D2840">
        <f>IF(Skills!C9=1,60+Inputs!$B$25+Inputs!$B$29,IF(Skills!C9=2,90+Inputs!$B$26+Inputs!$B$29,IF(Skills!C9=3,120+Inputs!$B$27+Inputs!$B$29,MAX(0,(Inputs!$B$3-100)*3)+Inputs!$B$28+Inputs!$B$29)))</f>
        <v/>
      </c>
      <c r="E2840">
        <f>INDEX(FactorTable!$B$2:$Y$301, MATCH(ROUND(MIN(300,MAX(1,D2840)),0), FactorTable!$A$2:$A$301,0), Skills!M9+1)</f>
        <v/>
      </c>
      <c r="F2840">
        <f>IF(Skills!N9=TRUE,(Skills!L9/10)*(E2840/1000),Skills!L9/10)+Skills!O9</f>
        <v/>
      </c>
      <c r="G2840">
        <f>Skills!G9*IF(Skills!H9&gt;0,Skills!I9/Skills!H9,1)</f>
        <v/>
      </c>
      <c r="H2840">
        <f>1-(1-Skills!J9/100)^Skills!K9</f>
        <v/>
      </c>
      <c r="I2840" t="inlineStr">
        <is>
          <t>1</t>
        </is>
      </c>
      <c r="J2840">
        <f>((Inputs!$B$6*(1+Inputs!$B$7/100))+(((Inputs!$B$12*(1+Inputs!$B$13/100))-(Inputs!$B$12*(1+Inputs!$B$13/100)))+0.25*(Inputs!$B$14-Inputs!$B$14))*(1+Inputs!$B$7/100))*(F2840/100)</f>
        <v/>
      </c>
      <c r="K2840">
        <f>J2840*(1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2841=TRUE,F2841,0)/100)*(1+(IF(Skills!A9="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2855=TRUE)*(F2855-Calc!F24)),(Inputs!$B$23+((C2860=TRUE)*(F2860-Calc!F29))+(IF(ArtifactsInput!$M$15,CHOOSE(ArtifactsInput!$N$15+1,25,30,35,40,45,50)/100*(Inputs!$B$11-Inputs!$B$11),0))))/100+(Inputs!$B$23+((C2860=TRUE)*(F2860-Calc!F29))+(IF(ArtifactsInput!$M$15,CHOOSE(ArtifactsInput!$N$15+1,25,30,35,40,45,50)/100*(Inputs!$B$11-Inputs!$B$11),0)))/100)/2</f>
        <v/>
      </c>
      <c r="M2840">
        <f>L2840*(1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IF(B2874=0,0,O2840/B2874)</f>
        <v/>
      </c>
      <c r="Q2840">
        <f>IFERROR(1/(IF(Inputs!$B$38="pvp",15,MAX(0.1,Skills!D9-IF(Skills!E9=TRUE,Inputs!$B$32,0)))*(1-IF(AND(ArtifactsInput!$M$27,Inputs!$B$4="Chapter Hunt"),CHOOSE(ArtifactsInput!$N$27+1,20,24,28,32,36,40),0)/100)),0)</f>
        <v/>
      </c>
      <c r="R2840">
        <f>IF(AND(Inputs!$B$38&lt;&gt;"pvp",Inputs!$B$43&gt;0),IF(MAX(0,Inputs!$B$43-B2871)&lt;=0,0,(INT(MAX(0,Inputs!$B$43-B2871)/(IF(Inputs!$B$38="pvp",15,MAX(0.1,Skills!D9-IF(Skills!E9=TRUE,Inputs!$B$32,0)))*(1-IF(AND(ArtifactsInput!$M$27,Inputs!$B$4="Chapter Hunt"),CHOOSE(ArtifactsInput!$N$27+1,20,24,28,32,36,40),0)/100)))+1)),0)</f>
        <v/>
      </c>
      <c r="S2840">
        <f>IFERROR(O2840/N2840,0)</f>
        <v/>
      </c>
      <c r="T2840">
        <f>IF(C2840,(H2840*N2840*IF(AND(Inputs!$B$38&lt;&gt;"pvp",Inputs!$B$43&gt;0),((Skills!G9*((R2840-1)*IF(Skills!H9&gt;0,Skills!I9/Skills!H9,1)+IF(Skills!H9&gt;0,MIN(Skills!I9,MAX(0,MAX(0,Inputs!$B$43-B2871)-((R2840-1)*(IF(Inputs!$B$38="pvp",15,MAX(0.1,Skills!D9-IF(Skills!E9=TRUE,Inputs!$B$32,0)))*(1-IF(AND(ArtifactsInput!$M$27,Inputs!$B$4="Chapter Hunt"),CHOOSE(ArtifactsInput!$N$27+1,20,24,28,32,36,40),0)/100)))))/Skills!H9,1)))/Inputs!$B$43),G2840*Q2840)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2840*(1-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0">
        <f>IF(C2840,(H2840*N2840*IF(AND(Inputs!$B$38&lt;&gt;"pvp",Inputs!$B$43&gt;0),((Skills!G9*((R2840-1)*IF(Skills!H9&gt;0,Skills!I9/Skills!H9,1)+IF(Skills!H9&gt;0,MIN(Skills!I9,MAX(0,MAX(0,Inputs!$B$43-B2871)-((R2840-1)*(IF(Inputs!$B$38="pvp",15,MAX(0.1,Skills!D9-IF(Skills!E9=TRUE,Inputs!$B$32,0)))*(1-IF(AND(ArtifactsInput!$M$27,Inputs!$B$4="Chapter Hunt"),CHOOSE(ArtifactsInput!$N$27+1,20,24,28,32,36,40),0)/100)))))/Skills!H9,1)))/Inputs!$B$43),G2840*Q2840))*IF(Inputs!$B$38="pvp",1,(1+(Inputs!$B$21+Skills!Q9+(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Inputs!$B$3&gt;=100</f>
        <v/>
      </c>
      <c r="D2841">
        <f>IF(Skills!C10=1,60+Inputs!$B$25+Inputs!$B$29,IF(Skills!C10=2,90+Inputs!$B$26+Inputs!$B$29,IF(Skills!C10=3,120+Inputs!$B$27+Inputs!$B$29,MAX(0,(Inputs!$B$3-100)*3)+Inputs!$B$28+Inputs!$B$29)))</f>
        <v/>
      </c>
      <c r="E2841">
        <f>INDEX(FactorTable!$B$2:$Y$301, MATCH(ROUND(MIN(300,MAX(1,D2841)),0), FactorTable!$A$2:$A$301,0), Skills!M10+1)</f>
        <v/>
      </c>
      <c r="F2841">
        <f>IF(Skills!N10=TRUE,(Skills!L10/10)*(E2841/1000),Skills!L10/10)+Skills!O10</f>
        <v/>
      </c>
      <c r="G2841" t="inlineStr"/>
      <c r="H2841" t="inlineStr"/>
      <c r="I2841" t="inlineStr">
        <is>
          <t>1</t>
        </is>
      </c>
      <c r="J2841" t="inlineStr"/>
      <c r="K2841" t="inlineStr"/>
      <c r="L2841" t="inlineStr"/>
      <c r="M2841" t="inlineStr"/>
      <c r="N2841" t="inlineStr"/>
      <c r="O2841" t="inlineStr"/>
      <c r="P2841" t="inlineStr"/>
      <c r="Q2841" t="inlineStr"/>
      <c r="R2841" t="inlineStr"/>
      <c r="S2841" t="inlineStr"/>
      <c r="T2841" t="inlineStr"/>
      <c r="V2841" t="inlineStr"/>
    </row>
    <row r="2842">
      <c r="A2842">
        <f>Skills!A11</f>
        <v/>
      </c>
      <c r="B2842">
        <f>Skills!B11</f>
        <v/>
      </c>
      <c r="C2842">
        <f>Inputs!$B$3&gt;=60</f>
        <v/>
      </c>
      <c r="D2842">
        <f>IF(Skills!C11=1,60+Inputs!$B$25+Inputs!$B$29,IF(Skills!C11=2,90+Inputs!$B$26+Inputs!$B$29,IF(Skills!C11=3,120+Inputs!$B$27+Inputs!$B$29,MAX(0,(Inputs!$B$3-100)*3)+Inputs!$B$28+Inputs!$B$29)))</f>
        <v/>
      </c>
      <c r="E2842">
        <f>INDEX(FactorTable!$B$2:$Y$301, MATCH(ROUND(MIN(300,MAX(1,D2842)),0), FactorTable!$A$2:$A$301,0), Skills!M11+1)</f>
        <v/>
      </c>
      <c r="F2842">
        <f>IF(Skills!N11=TRUE,(Skills!L11/10)*(E2842/1000),Skills!L11/10)+Skills!O11</f>
        <v/>
      </c>
      <c r="G2842">
        <f>Skills!G11*IF(Skills!H11&gt;0,Skills!I11/Skills!H11,1)</f>
        <v/>
      </c>
      <c r="H2842">
        <f>1-(1-Skills!J11/100)^Skills!K11</f>
        <v/>
      </c>
      <c r="I2842" t="inlineStr">
        <is>
          <t>1</t>
        </is>
      </c>
      <c r="J2842">
        <f>((Inputs!$B$6*(1+Inputs!$B$7/100))+(((Inputs!$B$12*(1+Inputs!$B$13/100))-(Inputs!$B$12*(1+Inputs!$B$13/100)))+0.25*(Inputs!$B$14-Inputs!$B$14))*(1+Inputs!$B$7/100))*(F2842/100)</f>
        <v/>
      </c>
      <c r="K2842">
        <f>J2842*(1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2843=TRUE,F2843,0)/100)*(1+(IF(Skills!A11="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2855=TRUE)*(F2855-Calc!F24)),(Inputs!$B$23+((C2860=TRUE)*(F2860-Calc!F29))+(IF(ArtifactsInput!$M$15,CHOOSE(ArtifactsInput!$N$15+1,25,30,35,40,45,50)/100*(Inputs!$B$11-Inputs!$B$11),0))))/100+(Inputs!$B$23+((C2860=TRUE)*(F2860-Calc!F29))+(IF(ArtifactsInput!$M$15,CHOOSE(ArtifactsInput!$N$15+1,25,30,35,40,45,50)/100*(Inputs!$B$11-Inputs!$B$11),0)))/100)/2</f>
        <v/>
      </c>
      <c r="M2842">
        <f>L2842*(1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IF(B2874=0,0,O2842/B2874)</f>
        <v/>
      </c>
      <c r="Q2842">
        <f>IFERROR(1/(IF(Inputs!$B$38="pvp",15,MAX(0.1,Skills!D11-IF(Skills!E11=TRUE,Inputs!$B$32,0)))*(1-IF(AND(ArtifactsInput!$M$27,Inputs!$B$4="Chapter Hunt"),CHOOSE(ArtifactsInput!$N$27+1,20,24,28,32,36,40),0)/100)),0)</f>
        <v/>
      </c>
      <c r="R2842">
        <f>IF(AND(Inputs!$B$38&lt;&gt;"pvp",Inputs!$B$43&gt;0),IF(MAX(0,Inputs!$B$43-B2871)&lt;=0,0,(INT(MAX(0,Inputs!$B$43-B2871)/(IF(Inputs!$B$38="pvp",15,MAX(0.1,Skills!D11-IF(Skills!E11=TRUE,Inputs!$B$32,0)))*(1-IF(AND(ArtifactsInput!$M$27,Inputs!$B$4="Chapter Hunt"),CHOOSE(ArtifactsInput!$N$27+1,20,24,28,32,36,40),0)/100)))+1)),0)</f>
        <v/>
      </c>
      <c r="S2842">
        <f>IFERROR(O2842/N2842,0)</f>
        <v/>
      </c>
      <c r="T2842">
        <f>IF(C2842,(H2842*N2842*IF(AND(Inputs!$B$38&lt;&gt;"pvp",Inputs!$B$43&gt;0),((Skills!G11*((R2842-1)*IF(Skills!H11&gt;0,Skills!I11/Skills!H11,1)+IF(Skills!H11&gt;0,MIN(Skills!I11,MAX(0,MAX(0,Inputs!$B$43-B2871)-((R2842-1)*(IF(Inputs!$B$38="pvp",15,MAX(0.1,Skills!D11-IF(Skills!E11=TRUE,Inputs!$B$32,0)))*(1-IF(AND(ArtifactsInput!$M$27,Inputs!$B$4="Chapter Hunt"),CHOOSE(ArtifactsInput!$N$27+1,20,24,28,32,36,40),0)/100)))))/Skills!H11,1)))/Inputs!$B$43),G2842*Q2842)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2842*(1-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11*((R2842-1)*IF(Skills!H11&gt;0,Skills!I11/Skills!H11,1)+IF(Skills!H11&gt;0,MIN(Skills!I11,MAX(0,MAX(0,Inputs!$B$43-B2871)-((R2842-1)*(IF(Inputs!$B$38="pvp",15,MAX(0.1,Skills!D11-IF(Skills!E11=TRUE,Inputs!$B$32,0)))*(1-IF(AND(ArtifactsInput!$M$27,Inputs!$B$4="Chapter Hunt"),CHOOSE(ArtifactsInput!$N$27+1,20,24,28,32,36,40),0)/100)))))/Skills!H11,1)))/Inputs!$B$43),G2842*Q2842))*IF(Inputs!$B$38="pvp",1,(1+(Inputs!$B$21+Skills!Q11+(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Inputs!$B$3&gt;=110</f>
        <v/>
      </c>
      <c r="D2843">
        <f>IF(Skills!C12=1,60+Inputs!$B$25+Inputs!$B$29,IF(Skills!C12=2,90+Inputs!$B$26+Inputs!$B$29,IF(Skills!C12=3,120+Inputs!$B$27+Inputs!$B$29,MAX(0,(Inputs!$B$3-100)*3)+Inputs!$B$28+Inputs!$B$29)))</f>
        <v/>
      </c>
      <c r="E2843">
        <f>INDEX(FactorTable!$B$2:$Y$301, MATCH(ROUND(MIN(300,MAX(1,D2843)),0), FactorTable!$A$2:$A$301,0), Skills!M12+1)</f>
        <v/>
      </c>
      <c r="F2843">
        <f>IF(Skills!N12=TRUE,(Skills!L12/10)*(E2843/1000),Skills!L12/10)+Skills!O12</f>
        <v/>
      </c>
      <c r="G2843" t="inlineStr"/>
      <c r="H2843" t="inlineStr"/>
      <c r="I2843" t="inlineStr">
        <is>
          <t>1</t>
        </is>
      </c>
      <c r="J2843" t="inlineStr"/>
      <c r="K2843" t="inlineStr"/>
      <c r="L2843" t="inlineStr"/>
      <c r="M2843" t="inlineStr"/>
      <c r="N2843" t="inlineStr"/>
      <c r="O2843" t="inlineStr"/>
      <c r="P2843" t="inlineStr"/>
      <c r="Q2843" t="inlineStr"/>
      <c r="R2843" t="inlineStr"/>
      <c r="S2843" t="inlineStr"/>
      <c r="T2843" t="inlineStr"/>
      <c r="V2843" t="inlineStr"/>
    </row>
    <row r="2844">
      <c r="A2844">
        <f>Skills!A13</f>
        <v/>
      </c>
      <c r="B2844">
        <f>Skills!B13</f>
        <v/>
      </c>
      <c r="C2844">
        <f>Inputs!$B$3&gt;=74</f>
        <v/>
      </c>
      <c r="D2844">
        <f>IF(Skills!C13=1,60+Inputs!$B$25+Inputs!$B$29,IF(Skills!C13=2,90+Inputs!$B$26+Inputs!$B$29,IF(Skills!C13=3,120+Inputs!$B$27+Inputs!$B$29,MAX(0,(Inputs!$B$3-100)*3)+Inputs!$B$28+Inputs!$B$29)))</f>
        <v/>
      </c>
      <c r="E2844">
        <f>INDEX(FactorTable!$B$2:$Y$301, MATCH(ROUND(MIN(300,MAX(1,D2844)),0), FactorTable!$A$2:$A$301,0), Skills!M13+1)</f>
        <v/>
      </c>
      <c r="F2844">
        <f>IF(Skills!N13=TRUE,(Skills!L13/10)*(E2844/1000),Skills!L13/10)+Skills!O13</f>
        <v/>
      </c>
      <c r="G2844">
        <f>Skills!G13*IF(Skills!H13&gt;0,Skills!I13/Skills!H13,1)</f>
        <v/>
      </c>
      <c r="H2844">
        <f>1-(1-Skills!J13/100)^Skills!K13</f>
        <v/>
      </c>
      <c r="I2844" t="inlineStr">
        <is>
          <t>1</t>
        </is>
      </c>
      <c r="J2844" t="inlineStr"/>
      <c r="K2844" t="inlineStr"/>
      <c r="L2844" t="inlineStr"/>
      <c r="M2844" t="inlineStr"/>
      <c r="N2844" t="inlineStr"/>
      <c r="O2844">
        <f>(1-Summary!$B$11)*T2844+Summary!$B$11*V2844</f>
        <v/>
      </c>
      <c r="P2844">
        <f>IF(B2874=0,0,O2844/B2874)</f>
        <v/>
      </c>
      <c r="Q2844" t="n">
        <v>0</v>
      </c>
      <c r="R2844" t="n">
        <v>0</v>
      </c>
      <c r="S2844">
        <f>IFERROR(O2844/N2844,0)</f>
        <v/>
      </c>
      <c r="T2844" t="n">
        <v>0</v>
      </c>
      <c r="V2844" t="n">
        <v>0</v>
      </c>
    </row>
    <row r="2845">
      <c r="A2845">
        <f>Skills!A14</f>
        <v/>
      </c>
      <c r="B2845">
        <f>Skills!B14</f>
        <v/>
      </c>
      <c r="C2845">
        <f>Inputs!$B$3&gt;=74</f>
        <v/>
      </c>
      <c r="D2845">
        <f>IF(Skills!C14=1,60+Inputs!$B$25+Inputs!$B$29,IF(Skills!C14=2,90+Inputs!$B$26+Inputs!$B$29,IF(Skills!C14=3,120+Inputs!$B$27+Inputs!$B$29,MAX(0,(Inputs!$B$3-100)*3)+Inputs!$B$28+Inputs!$B$29)))</f>
        <v/>
      </c>
      <c r="E2845">
        <f>INDEX(FactorTable!$B$2:$Y$301, MATCH(ROUND(MIN(300,MAX(1,D2845)),0), FactorTable!$A$2:$A$301,0), Skills!M14+1)</f>
        <v/>
      </c>
      <c r="F2845">
        <f>IF(Skills!N14=TRUE,(Skills!L14/10)*(E2845/1000),Skills!L14/10)+Skills!O14</f>
        <v/>
      </c>
      <c r="G2845">
        <f>Skills!G14*IF(Skills!H14&gt;0,Skills!I14/Skills!H14,1)</f>
        <v/>
      </c>
      <c r="H2845">
        <f>1-(1-Skills!J14/100)^Skills!K14</f>
        <v/>
      </c>
      <c r="I2845" t="inlineStr">
        <is>
          <t>1</t>
        </is>
      </c>
      <c r="J2845" t="inlineStr"/>
      <c r="K2845" t="inlineStr"/>
      <c r="L2845" t="inlineStr"/>
      <c r="M2845" t="inlineStr"/>
      <c r="N2845" t="inlineStr"/>
      <c r="O2845">
        <f>(1-Summary!$B$11)*T2845+Summary!$B$11*V2845</f>
        <v/>
      </c>
      <c r="P2845">
        <f>IF(B2874=0,0,O2845/B2874)</f>
        <v/>
      </c>
      <c r="Q2845" t="n">
        <v>0</v>
      </c>
      <c r="R2845" t="n">
        <v>0</v>
      </c>
      <c r="S2845">
        <f>IFERROR(O2845/N2845,0)</f>
        <v/>
      </c>
      <c r="T2845" t="n">
        <v>0</v>
      </c>
      <c r="V2845" t="n">
        <v>0</v>
      </c>
    </row>
    <row r="2846">
      <c r="A2846">
        <f>Skills!A15</f>
        <v/>
      </c>
      <c r="B2846">
        <f>Skills!B15</f>
        <v/>
      </c>
      <c r="C2846">
        <f>Inputs!$B$3&gt;=117</f>
        <v/>
      </c>
      <c r="D2846">
        <f>IF(Skills!C15=1,60+Inputs!$B$25+Inputs!$B$29,IF(Skills!C15=2,90+Inputs!$B$26+Inputs!$B$29,IF(Skills!C15=3,120+Inputs!$B$27+Inputs!$B$29,MAX(0,(Inputs!$B$3-100)*3)+Inputs!$B$28+Inputs!$B$29)))</f>
        <v/>
      </c>
      <c r="E2846">
        <f>INDEX(FactorTable!$B$2:$Y$301, MATCH(ROUND(MIN(300,MAX(1,D2846)),0), FactorTable!$A$2:$A$301,0), Skills!M15+1)</f>
        <v/>
      </c>
      <c r="F2846">
        <f>IF(Skills!N15=TRUE,(Skills!L15/10)*(E2846/1000),Skills!L15/10)+Skills!O15</f>
        <v/>
      </c>
      <c r="G2846">
        <f>Skills!G15*IF(Skills!H15&gt;0,Skills!I15/Skills!H15,1)</f>
        <v/>
      </c>
      <c r="H2846">
        <f>1-(1-Skills!J15/100)^Skills!K15</f>
        <v/>
      </c>
      <c r="I2846" t="inlineStr">
        <is>
          <t>1</t>
        </is>
      </c>
      <c r="J2846" t="inlineStr"/>
      <c r="K2846" t="inlineStr"/>
      <c r="L2846" t="inlineStr"/>
      <c r="M2846" t="inlineStr"/>
      <c r="N2846" t="inlineStr"/>
      <c r="O2846">
        <f>(1-Summary!$B$11)*T2846+Summary!$B$11*V2846</f>
        <v/>
      </c>
      <c r="P2846">
        <f>IF(B2874=0,0,O2846/B2874)</f>
        <v/>
      </c>
      <c r="Q2846">
        <f>IFERROR(1/(IF(Inputs!$B$38="pvp",15,MAX(0.1,Skills!D15-IF(Skills!E15=TRUE,Inputs!$B$32,0)))*(1-IF(AND(ArtifactsInput!$M$27,Inputs!$B$4="Chapter Hunt"),CHOOSE(ArtifactsInput!$N$27+1,20,24,28,32,36,40),0)/100)),0)</f>
        <v/>
      </c>
      <c r="R2846">
        <f>IF(AND(Inputs!$B$38&lt;&gt;"pvp",Inputs!$B$43&gt;0),IF(Inputs!$B$43&lt;=0,0,(INT(Inputs!$B$43/(IF(Inputs!$B$38="pvp",15,MAX(0.1,Skills!D15-IF(Skills!E15=TRUE,Inputs!$B$32,0)))*(1-IF(AND(ArtifactsInput!$M$27,Inputs!$B$4="Chapter Hunt"),CHOOSE(ArtifactsInput!$N$27+1,20,24,28,32,36,40),0)/100)))+1)),0)</f>
        <v/>
      </c>
      <c r="S2846">
        <f>IFERROR(O2846/N2846,0)</f>
        <v/>
      </c>
      <c r="T2846" t="n">
        <v>0</v>
      </c>
      <c r="V2846" t="n">
        <v>0</v>
      </c>
    </row>
    <row r="2847">
      <c r="A2847">
        <f>Skills!A16</f>
        <v/>
      </c>
      <c r="B2847">
        <f>Skills!B16</f>
        <v/>
      </c>
      <c r="C2847">
        <f>Inputs!$B$3&gt;=115</f>
        <v/>
      </c>
      <c r="D2847">
        <f>IF(Skills!C16=1,60+Inputs!$B$25+Inputs!$B$29,IF(Skills!C16=2,90+Inputs!$B$26+Inputs!$B$29,IF(Skills!C16=3,120+Inputs!$B$27+Inputs!$B$29,MAX(0,(Inputs!$B$3-100)*3)+Inputs!$B$28+Inputs!$B$29)))</f>
        <v/>
      </c>
      <c r="E2847">
        <f>INDEX(FactorTable!$B$2:$Y$301, MATCH(ROUND(MIN(300,MAX(1,D2847)),0), FactorTable!$A$2:$A$301,0), Skills!M16+1)</f>
        <v/>
      </c>
      <c r="F2847">
        <f>IF(Skills!N16=TRUE,(Skills!L16/10)*(E2847/1000),Skills!L16/10)+Skills!O16</f>
        <v/>
      </c>
      <c r="G2847">
        <f>Skills!G16*IF(Skills!H16&gt;0,Skills!I16/Skills!H16,1)</f>
        <v/>
      </c>
      <c r="H2847">
        <f>1-(1-Skills!J16/100)^Skills!K16</f>
        <v/>
      </c>
      <c r="I2847" t="inlineStr">
        <is>
          <t>1</t>
        </is>
      </c>
      <c r="J2847" t="inlineStr"/>
      <c r="K2847" t="inlineStr"/>
      <c r="L2847" t="inlineStr"/>
      <c r="M2847" t="inlineStr"/>
      <c r="N2847" t="inlineStr"/>
      <c r="O2847">
        <f>(1-Summary!$B$11)*T2847+Summary!$B$11*V2847</f>
        <v/>
      </c>
      <c r="P2847">
        <f>IF(B2874=0,0,O2847/B2874)</f>
        <v/>
      </c>
      <c r="Q2847">
        <f>IFERROR(1/(IF(Inputs!$B$38="pvp",15,MAX(0.1,Skills!D16-IF(Skills!E16=TRUE,Inputs!$B$32,0)))*(1-IF(AND(ArtifactsInput!$M$27,Inputs!$B$4="Chapter Hunt"),CHOOSE(ArtifactsInput!$N$27+1,20,24,28,32,36,40),0)/100)),0)</f>
        <v/>
      </c>
      <c r="R2847">
        <f>IF(AND(Inputs!$B$38&lt;&gt;"pvp",Inputs!$B$43&gt;0),IF(Inputs!$B$43&lt;=0,0,(INT(Inputs!$B$43/(IF(Inputs!$B$38="pvp",15,MAX(0.1,Skills!D16-IF(Skills!E16=TRUE,Inputs!$B$32,0)))*(1-IF(AND(ArtifactsInput!$M$27,Inputs!$B$4="Chapter Hunt"),CHOOSE(ArtifactsInput!$N$27+1,20,24,28,32,36,40),0)/100)))+1)),0)</f>
        <v/>
      </c>
      <c r="S2847">
        <f>IFERROR(O2847/N2847,0)</f>
        <v/>
      </c>
      <c r="T2847" t="n">
        <v>0</v>
      </c>
      <c r="V2847" t="n">
        <v>0</v>
      </c>
    </row>
    <row r="2848">
      <c r="A2848">
        <f>Skills!A17</f>
        <v/>
      </c>
      <c r="B2848">
        <f>Skills!B17</f>
        <v/>
      </c>
      <c r="C2848">
        <f>Inputs!$B$3&gt;=66</f>
        <v/>
      </c>
      <c r="D2848">
        <f>IF(Skills!C17=1,60+Inputs!$B$25+Inputs!$B$29,IF(Skills!C17=2,90+Inputs!$B$26+Inputs!$B$29,IF(Skills!C17=3,120+Inputs!$B$27+Inputs!$B$29,MAX(0,(Inputs!$B$3-100)*3)+Inputs!$B$28+Inputs!$B$29)))</f>
        <v/>
      </c>
      <c r="E2848">
        <f>INDEX(FactorTable!$B$2:$Y$301, MATCH(ROUND(MIN(300,MAX(1,D2848)),0), FactorTable!$A$2:$A$301,0), Skills!M17+1)</f>
        <v/>
      </c>
      <c r="F2848">
        <f>IF(Skills!N17=TRUE,(Skills!L17/10)*(E2848/1000),Skills!L17/10)+Skills!O17</f>
        <v/>
      </c>
      <c r="G2848">
        <f>Skills!G17*IF(Skills!H17&gt;0,Skills!I17/Skills!H17,1)</f>
        <v/>
      </c>
      <c r="H2848">
        <f>1-(1-Skills!J17/100)^Skills!K17</f>
        <v/>
      </c>
      <c r="I2848" t="inlineStr">
        <is>
          <t>1</t>
        </is>
      </c>
      <c r="J2848" t="inlineStr"/>
      <c r="K2848" t="inlineStr"/>
      <c r="L2848" t="inlineStr"/>
      <c r="M2848" t="inlineStr"/>
      <c r="N2848" t="inlineStr"/>
      <c r="O2848">
        <f>(1-Summary!$B$11)*T2848+Summary!$B$11*V2848</f>
        <v/>
      </c>
      <c r="P2848">
        <f>IF(B2874=0,0,O2848/B2874)</f>
        <v/>
      </c>
      <c r="Q2848" t="n">
        <v>0</v>
      </c>
      <c r="R2848" t="n">
        <v>0</v>
      </c>
      <c r="S2848">
        <f>IFERROR(O2848/N2848,0)</f>
        <v/>
      </c>
      <c r="T2848" t="n">
        <v>0</v>
      </c>
      <c r="V2848" t="n">
        <v>0</v>
      </c>
    </row>
    <row r="2849">
      <c r="A2849">
        <f>Skills!A18</f>
        <v/>
      </c>
      <c r="B2849">
        <f>Skills!B18</f>
        <v/>
      </c>
      <c r="C2849">
        <f>Inputs!$B$3&gt;=72</f>
        <v/>
      </c>
      <c r="D2849">
        <f>IF(Skills!C18=1,60+Inputs!$B$25+Inputs!$B$29,IF(Skills!C18=2,90+Inputs!$B$26+Inputs!$B$29,IF(Skills!C18=3,120+Inputs!$B$27+Inputs!$B$29,MAX(0,(Inputs!$B$3-100)*3)+Inputs!$B$28+Inputs!$B$29)))</f>
        <v/>
      </c>
      <c r="E2849">
        <f>INDEX(FactorTable!$B$2:$Y$301, MATCH(ROUND(MIN(300,MAX(1,D2849)),0), FactorTable!$A$2:$A$301,0), Skills!M18+1)</f>
        <v/>
      </c>
      <c r="F2849">
        <f>IF(Skills!N18=TRUE,(Skills!L18/10)*(E2849/1000),Skills!L18/10)+Skills!O18</f>
        <v/>
      </c>
      <c r="G2849">
        <f>Skills!G18*IF(Skills!H18&gt;0,Skills!I18/Skills!H18,1)</f>
        <v/>
      </c>
      <c r="H2849">
        <f>1-(1-Skills!J18/100)^Skills!K18</f>
        <v/>
      </c>
      <c r="I2849" t="inlineStr">
        <is>
          <t>1</t>
        </is>
      </c>
      <c r="J2849" t="inlineStr"/>
      <c r="K2849" t="inlineStr"/>
      <c r="L2849" t="inlineStr"/>
      <c r="M2849" t="inlineStr"/>
      <c r="N2849" t="inlineStr"/>
      <c r="O2849">
        <f>(1-Summary!$B$11)*T2849+Summary!$B$11*V2849</f>
        <v/>
      </c>
      <c r="P2849">
        <f>IF(B2874=0,0,O2849/B2874)</f>
        <v/>
      </c>
      <c r="Q2849" t="n">
        <v>0</v>
      </c>
      <c r="R2849" t="n">
        <v>0</v>
      </c>
      <c r="S2849">
        <f>IFERROR(O2849/N2849,0)</f>
        <v/>
      </c>
      <c r="T2849" t="n">
        <v>0</v>
      </c>
      <c r="V2849" t="n">
        <v>0</v>
      </c>
    </row>
    <row r="2850">
      <c r="A2850">
        <f>Skills!A19</f>
        <v/>
      </c>
      <c r="B2850">
        <f>Skills!B19</f>
        <v/>
      </c>
      <c r="C2850">
        <f>TRUE</f>
        <v/>
      </c>
      <c r="D2850">
        <f>IF(Skills!C19=1,60+Inputs!$B$25+Inputs!$B$29,IF(Skills!C19=2,90+Inputs!$B$26+Inputs!$B$29,IF(Skills!C19=3,120+Inputs!$B$27+Inputs!$B$29,MAX(0,(Inputs!$B$3-100)*3)+Inputs!$B$28+Inputs!$B$29)))</f>
        <v/>
      </c>
      <c r="E2850">
        <f>INDEX(FactorTable!$B$2:$Y$301, MATCH(ROUND(MIN(300,MAX(1,D2850)),0), FactorTable!$A$2:$A$301,0), Skills!M19+1)</f>
        <v/>
      </c>
      <c r="F2850">
        <f>IF(Skills!N19=TRUE,(Skills!L19/10)*(E2850/1000),Skills!L19/10)+Skills!O19</f>
        <v/>
      </c>
      <c r="G2850">
        <f>Skills!G19*IF(Skills!H19&gt;0,Skills!I19/Skills!H19,1)</f>
        <v/>
      </c>
      <c r="H2850">
        <f>1-(1-Skills!J19/100)^Skills!K19</f>
        <v/>
      </c>
      <c r="I2850" t="inlineStr">
        <is>
          <t>1</t>
        </is>
      </c>
      <c r="J2850" t="inlineStr"/>
      <c r="K2850" t="inlineStr"/>
      <c r="L2850" t="inlineStr"/>
      <c r="M2850" t="inlineStr"/>
      <c r="N2850" t="inlineStr"/>
      <c r="O2850">
        <f>(1-Summary!$B$11)*T2850+Summary!$B$11*V2850</f>
        <v/>
      </c>
      <c r="P2850">
        <f>IF(B2874=0,0,O2850/B2874)</f>
        <v/>
      </c>
      <c r="Q2850">
        <f>IFERROR(1/(IF(Inputs!$B$38="pvp",15,MAX(0.1,Skills!D19-IF(Skills!E19=TRUE,Inputs!$B$32,0)))*(1-IF(AND(ArtifactsInput!$M$27,Inputs!$B$4="Chapter Hunt"),CHOOSE(ArtifactsInput!$N$27+1,20,24,28,32,36,40),0)/100)),0)</f>
        <v/>
      </c>
      <c r="R2850">
        <f>IF(AND(Inputs!$B$38&lt;&gt;"pvp",Inputs!$B$43&gt;0),IF(Inputs!$B$43&lt;=0,0,(INT(Inputs!$B$43/(IF(Inputs!$B$38="pvp",15,MAX(0.1,Skills!D19-IF(Skills!E19=TRUE,Inputs!$B$32,0)))*(1-IF(AND(ArtifactsInput!$M$27,Inputs!$B$4="Chapter Hunt"),CHOOSE(ArtifactsInput!$N$27+1,20,24,28,32,36,40),0)/100)))+1)),0)</f>
        <v/>
      </c>
      <c r="S2850">
        <f>IFERROR(O2850/N2850,0)</f>
        <v/>
      </c>
      <c r="T2850" t="n">
        <v>0</v>
      </c>
      <c r="V2850" t="n">
        <v>0</v>
      </c>
    </row>
    <row r="2851">
      <c r="A2851">
        <f>Skills!A20</f>
        <v/>
      </c>
      <c r="B2851">
        <f>Skills!B20</f>
        <v/>
      </c>
      <c r="C2851">
        <f>Inputs!$B$3&gt;=15</f>
        <v/>
      </c>
      <c r="D2851">
        <f>IF(Skills!C20=1,60+Inputs!$B$25+Inputs!$B$29,IF(Skills!C20=2,90+Inputs!$B$26+Inputs!$B$29,IF(Skills!C20=3,120+Inputs!$B$27+Inputs!$B$29,MAX(0,(Inputs!$B$3-100)*3)+Inputs!$B$28+Inputs!$B$29)))</f>
        <v/>
      </c>
      <c r="E2851">
        <f>INDEX(FactorTable!$B$2:$Y$301, MATCH(ROUND(MIN(300,MAX(1,D2851)),0), FactorTable!$A$2:$A$301,0), Skills!M20+1)</f>
        <v/>
      </c>
      <c r="F2851">
        <f>IF(Skills!N20=TRUE,(Skills!L20/10)*(E2851/1000),Skills!L20/10)+Skills!O20</f>
        <v/>
      </c>
      <c r="G2851">
        <f>Skills!G20*IF(Skills!H20&gt;0,Skills!I20/Skills!H20,1)</f>
        <v/>
      </c>
      <c r="H2851">
        <f>1-(1-Skills!J20/100)^Skills!K20</f>
        <v/>
      </c>
      <c r="I2851" t="inlineStr">
        <is>
          <t>1</t>
        </is>
      </c>
      <c r="J2851" t="inlineStr"/>
      <c r="K2851" t="inlineStr"/>
      <c r="L2851" t="inlineStr"/>
      <c r="M2851" t="inlineStr"/>
      <c r="N2851" t="inlineStr"/>
      <c r="O2851">
        <f>(1-Summary!$B$11)*T2851+Summary!$B$11*V2851</f>
        <v/>
      </c>
      <c r="P2851">
        <f>IF(B2874=0,0,O2851/B2874)</f>
        <v/>
      </c>
      <c r="Q2851" t="n">
        <v>0</v>
      </c>
      <c r="R2851" t="n">
        <v>0</v>
      </c>
      <c r="S2851">
        <f>IFERROR(O2851/N2851,0)</f>
        <v/>
      </c>
      <c r="T2851" t="n">
        <v>0</v>
      </c>
      <c r="V2851" t="n">
        <v>0</v>
      </c>
    </row>
    <row r="2852">
      <c r="A2852">
        <f>Skills!A21</f>
        <v/>
      </c>
      <c r="B2852">
        <f>Skills!B21</f>
        <v/>
      </c>
      <c r="C2852">
        <f>Inputs!$B$3&gt;=10</f>
        <v/>
      </c>
      <c r="D2852">
        <f>IF(Skills!C21=1,60+Inputs!$B$25+Inputs!$B$29,IF(Skills!C21=2,90+Inputs!$B$26+Inputs!$B$29,IF(Skills!C21=3,120+Inputs!$B$27+Inputs!$B$29,MAX(0,(Inputs!$B$3-100)*3)+Inputs!$B$28+Inputs!$B$29)))</f>
        <v/>
      </c>
      <c r="E2852">
        <f>INDEX(FactorTable!$B$2:$Y$301, MATCH(ROUND(MIN(300,MAX(1,D2852)),0), FactorTable!$A$2:$A$301,0), Skills!M21+1)</f>
        <v/>
      </c>
      <c r="F2852">
        <f>IF(Skills!N21=TRUE,(Skills!L21/10)*(E2852/1000),Skills!L21/10)+Skills!O21</f>
        <v/>
      </c>
      <c r="G2852">
        <f>Skills!G21*IF(Skills!H21&gt;0,Skills!I21/Skills!H21,1)</f>
        <v/>
      </c>
      <c r="H2852">
        <f>1-(1-Skills!J21/100)^Skills!K21</f>
        <v/>
      </c>
      <c r="I2852" t="inlineStr">
        <is>
          <t>1</t>
        </is>
      </c>
      <c r="J2852" t="inlineStr"/>
      <c r="K2852" t="inlineStr"/>
      <c r="L2852" t="inlineStr"/>
      <c r="M2852" t="inlineStr"/>
      <c r="N2852" t="inlineStr"/>
      <c r="O2852">
        <f>(1-Summary!$B$11)*T2852+Summary!$B$11*V2852</f>
        <v/>
      </c>
      <c r="P2852">
        <f>IF(B2874=0,0,O2852/B2874)</f>
        <v/>
      </c>
      <c r="Q2852" t="n">
        <v>0</v>
      </c>
      <c r="R2852" t="n">
        <v>0</v>
      </c>
      <c r="S2852">
        <f>IFERROR(O2852/N2852,0)</f>
        <v/>
      </c>
      <c r="T2852" t="n">
        <v>0</v>
      </c>
      <c r="V2852" t="n">
        <v>0</v>
      </c>
    </row>
    <row r="2853">
      <c r="A2853">
        <f>Skills!A22</f>
        <v/>
      </c>
      <c r="B2853">
        <f>Skills!B22</f>
        <v/>
      </c>
      <c r="C2853">
        <f>Inputs!$B$3&gt;=33</f>
        <v/>
      </c>
      <c r="D2853">
        <f>IF(Skills!C22=1,60+Inputs!$B$25+Inputs!$B$29,IF(Skills!C22=2,90+Inputs!$B$26+Inputs!$B$29,IF(Skills!C22=3,120+Inputs!$B$27+Inputs!$B$29,MAX(0,(Inputs!$B$3-100)*3)+Inputs!$B$28+Inputs!$B$29)))</f>
        <v/>
      </c>
      <c r="E2853">
        <f>INDEX(FactorTable!$B$2:$Y$301, MATCH(ROUND(MIN(300,MAX(1,D2853)),0), FactorTable!$A$2:$A$301,0), Skills!M22+1)</f>
        <v/>
      </c>
      <c r="F2853">
        <f>IF(Skills!N22=TRUE,(Skills!L22/10)*(E2853/1000),Skills!L22/10)+Skills!O22</f>
        <v/>
      </c>
      <c r="G2853">
        <f>Skills!G22*IF(Skills!H22&gt;0,Skills!I22/Skills!H22,1)</f>
        <v/>
      </c>
      <c r="H2853">
        <f>1-(1-Skills!J22/100)^Skills!K22</f>
        <v/>
      </c>
      <c r="I2853" t="inlineStr">
        <is>
          <t>1</t>
        </is>
      </c>
      <c r="J2853" t="inlineStr"/>
      <c r="K2853" t="inlineStr"/>
      <c r="L2853" t="inlineStr"/>
      <c r="M2853" t="inlineStr"/>
      <c r="N2853" t="inlineStr"/>
      <c r="O2853">
        <f>(1-Summary!$B$11)*T2853+Summary!$B$11*V2853</f>
        <v/>
      </c>
      <c r="P2853">
        <f>IF(B2874=0,0,O2853/B2874)</f>
        <v/>
      </c>
      <c r="Q2853" t="n">
        <v>0</v>
      </c>
      <c r="R2853" t="n">
        <v>0</v>
      </c>
      <c r="S2853">
        <f>IFERROR(O2853/N2853,0)</f>
        <v/>
      </c>
      <c r="T2853" t="n">
        <v>0</v>
      </c>
      <c r="V2853" t="n">
        <v>0</v>
      </c>
    </row>
    <row r="2854">
      <c r="A2854">
        <f>Skills!A23</f>
        <v/>
      </c>
      <c r="B2854">
        <f>Skills!B23</f>
        <v/>
      </c>
      <c r="C2854">
        <f>Inputs!$B$3&gt;=38</f>
        <v/>
      </c>
      <c r="D2854">
        <f>IF(Skills!C23=1,60+Inputs!$B$25+Inputs!$B$29,IF(Skills!C23=2,90+Inputs!$B$26+Inputs!$B$29,IF(Skills!C23=3,120+Inputs!$B$27+Inputs!$B$29,MAX(0,(Inputs!$B$3-100)*3)+Inputs!$B$28+Inputs!$B$29)))</f>
        <v/>
      </c>
      <c r="E2854">
        <f>INDEX(FactorTable!$B$2:$Y$301, MATCH(ROUND(MIN(300,MAX(1,D2854)),0), FactorTable!$A$2:$A$301,0), Skills!M23+1)</f>
        <v/>
      </c>
      <c r="F2854">
        <f>IF(Skills!N23=TRUE,(Skills!L23/10)*(E2854/1000),Skills!L23/10)+Skills!O23</f>
        <v/>
      </c>
      <c r="G2854">
        <f>Skills!G23*IF(Skills!H23&gt;0,Skills!I23/Skills!H23,1)</f>
        <v/>
      </c>
      <c r="H2854">
        <f>1-(1-Skills!J23/100)^Skills!K23</f>
        <v/>
      </c>
      <c r="I2854" t="inlineStr">
        <is>
          <t>1</t>
        </is>
      </c>
      <c r="J2854" t="inlineStr"/>
      <c r="K2854" t="inlineStr"/>
      <c r="L2854" t="inlineStr"/>
      <c r="M2854" t="inlineStr"/>
      <c r="N2854" t="inlineStr"/>
      <c r="O2854">
        <f>(1-Summary!$B$11)*T2854+Summary!$B$11*V2854</f>
        <v/>
      </c>
      <c r="P2854">
        <f>IF(B2874=0,0,O2854/B2874)</f>
        <v/>
      </c>
      <c r="Q2854" t="n">
        <v>0</v>
      </c>
      <c r="R2854" t="n">
        <v>0</v>
      </c>
      <c r="S2854">
        <f>IFERROR(O2854/N2854,0)</f>
        <v/>
      </c>
      <c r="T2854" t="n">
        <v>0</v>
      </c>
      <c r="V2854" t="n">
        <v>0</v>
      </c>
    </row>
    <row r="2855">
      <c r="A2855">
        <f>Skills!A24</f>
        <v/>
      </c>
      <c r="B2855">
        <f>Skills!B24</f>
        <v/>
      </c>
      <c r="C2855">
        <f>Inputs!$B$3&gt;=43</f>
        <v/>
      </c>
      <c r="D2855">
        <f>IF(Skills!C24=1,60+Inputs!$B$25+Inputs!$B$29,IF(Skills!C24=2,90+Inputs!$B$26+Inputs!$B$29,IF(Skills!C24=3,120+Inputs!$B$27+Inputs!$B$29,MAX(0,(Inputs!$B$3-100)*3)+Inputs!$B$28+Inputs!$B$29)))</f>
        <v/>
      </c>
      <c r="E2855">
        <f>INDEX(FactorTable!$B$2:$Y$301, MATCH(ROUND(MIN(300,MAX(1,D2855)),0), FactorTable!$A$2:$A$301,0), Skills!M24+1)</f>
        <v/>
      </c>
      <c r="F2855">
        <f>IF(Skills!N24=TRUE,(Skills!L24/10)*(E2855/1000),Skills!L24/10)+Skills!O24</f>
        <v/>
      </c>
      <c r="G2855">
        <f>Skills!G24*IF(Skills!H24&gt;0,Skills!I24/Skills!H24,1)</f>
        <v/>
      </c>
      <c r="H2855">
        <f>1-(1-Skills!J24/100)^Skills!K24</f>
        <v/>
      </c>
      <c r="I2855" t="inlineStr">
        <is>
          <t>1</t>
        </is>
      </c>
      <c r="J2855" t="inlineStr"/>
      <c r="K2855" t="inlineStr"/>
      <c r="L2855" t="inlineStr"/>
      <c r="M2855" t="inlineStr"/>
      <c r="N2855" t="inlineStr"/>
      <c r="O2855">
        <f>(1-Summary!$B$11)*T2855+Summary!$B$11*V2855</f>
        <v/>
      </c>
      <c r="P2855">
        <f>IF(B2874=0,0,O2855/B2874)</f>
        <v/>
      </c>
      <c r="Q2855" t="n">
        <v>0</v>
      </c>
      <c r="R2855" t="n">
        <v>0</v>
      </c>
      <c r="S2855">
        <f>IFERROR(O2855/N2855,0)</f>
        <v/>
      </c>
      <c r="T2855" t="n">
        <v>0</v>
      </c>
      <c r="V2855" t="n">
        <v>0</v>
      </c>
    </row>
    <row r="2856">
      <c r="A2856">
        <f>Skills!A25</f>
        <v/>
      </c>
      <c r="B2856">
        <f>Skills!B25</f>
        <v/>
      </c>
      <c r="C2856">
        <f>Inputs!$B$3&gt;=75</f>
        <v/>
      </c>
      <c r="D2856">
        <f>IF(Skills!C25=1,60+Inputs!$B$25+Inputs!$B$29,IF(Skills!C25=2,90+Inputs!$B$26+Inputs!$B$29,IF(Skills!C25=3,120+Inputs!$B$27+Inputs!$B$29,MAX(0,(Inputs!$B$3-100)*3)+Inputs!$B$28+Inputs!$B$29)))</f>
        <v/>
      </c>
      <c r="E2856">
        <f>INDEX(FactorTable!$B$2:$Y$301, MATCH(ROUND(MIN(300,MAX(1,D2856)),0), FactorTable!$A$2:$A$301,0), Skills!M25+1)</f>
        <v/>
      </c>
      <c r="F2856">
        <f>IF(Skills!N25=TRUE,(Skills!L25/10)*(E2856/1000),Skills!L25/10)+Skills!O25</f>
        <v/>
      </c>
      <c r="G2856">
        <f>Skills!G25*IF(Skills!H25&gt;0,Skills!I25/Skills!H25,1)</f>
        <v/>
      </c>
      <c r="H2856">
        <f>1-(1-Skills!J25/100)^Skills!K25</f>
        <v/>
      </c>
      <c r="I2856" t="inlineStr">
        <is>
          <t>1</t>
        </is>
      </c>
      <c r="J2856" t="inlineStr"/>
      <c r="K2856" t="inlineStr"/>
      <c r="L2856" t="inlineStr"/>
      <c r="M2856" t="inlineStr"/>
      <c r="N2856" t="inlineStr"/>
      <c r="O2856">
        <f>(1-Summary!$B$11)*T2856+Summary!$B$11*V2856</f>
        <v/>
      </c>
      <c r="P2856">
        <f>IF(B2874=0,0,O2856/B2874)</f>
        <v/>
      </c>
      <c r="Q2856" t="n">
        <v>0</v>
      </c>
      <c r="R2856" t="n">
        <v>0</v>
      </c>
      <c r="S2856">
        <f>IFERROR(O2856/N2856,0)</f>
        <v/>
      </c>
      <c r="T2856" t="n">
        <v>0</v>
      </c>
      <c r="V2856" t="n">
        <v>0</v>
      </c>
    </row>
    <row r="2857">
      <c r="A2857">
        <f>Skills!A26</f>
        <v/>
      </c>
      <c r="B2857">
        <f>Skills!B26</f>
        <v/>
      </c>
      <c r="C2857">
        <f>Inputs!$B$3&gt;=125</f>
        <v/>
      </c>
      <c r="D2857">
        <f>IF(Skills!C26=1,60+Inputs!$B$25+Inputs!$B$29,IF(Skills!C26=2,90+Inputs!$B$26+Inputs!$B$29,IF(Skills!C26=3,120+Inputs!$B$27+Inputs!$B$29,MAX(0,(Inputs!$B$3-100)*3)+Inputs!$B$28+Inputs!$B$29)))</f>
        <v/>
      </c>
      <c r="E2857">
        <f>INDEX(FactorTable!$B$2:$Y$301, MATCH(ROUND(MIN(300,MAX(1,D2857)),0), FactorTable!$A$2:$A$301,0), Skills!M26+1)</f>
        <v/>
      </c>
      <c r="F2857">
        <f>IF(Skills!N26=TRUE,(Skills!L26/10)*(E2857/1000),Skills!L26/10)+Skills!O26</f>
        <v/>
      </c>
      <c r="G2857">
        <f>Skills!G26*IF(Skills!H26&gt;0,Skills!I26/Skills!H26,1)</f>
        <v/>
      </c>
      <c r="H2857">
        <f>1-(1-Skills!J26/100)^Skills!K26</f>
        <v/>
      </c>
      <c r="I2857" t="inlineStr">
        <is>
          <t>1</t>
        </is>
      </c>
      <c r="J2857" t="inlineStr"/>
      <c r="K2857" t="inlineStr"/>
      <c r="L2857" t="inlineStr"/>
      <c r="M2857" t="inlineStr"/>
      <c r="N2857" t="inlineStr"/>
      <c r="O2857">
        <f>(1-Summary!$B$11)*T2857+Summary!$B$11*V2857</f>
        <v/>
      </c>
      <c r="P2857">
        <f>IF(B2874=0,0,O2857/B2874)</f>
        <v/>
      </c>
      <c r="Q2857" t="n">
        <v>0</v>
      </c>
      <c r="R2857" t="n">
        <v>0</v>
      </c>
      <c r="S2857">
        <f>IFERROR(O2857/N2857,0)</f>
        <v/>
      </c>
      <c r="T2857" t="n">
        <v>0</v>
      </c>
      <c r="V2857" t="n">
        <v>0</v>
      </c>
    </row>
    <row r="2858">
      <c r="A2858">
        <f>Skills!A27</f>
        <v/>
      </c>
      <c r="B2858">
        <f>Skills!B27</f>
        <v/>
      </c>
      <c r="C2858">
        <f>Inputs!$B$3&gt;=125</f>
        <v/>
      </c>
      <c r="D2858">
        <f>IF(Skills!C27=1,60+Inputs!$B$25+Inputs!$B$29,IF(Skills!C27=2,90+Inputs!$B$26+Inputs!$B$29,IF(Skills!C27=3,120+Inputs!$B$27+Inputs!$B$29,MAX(0,(Inputs!$B$3-100)*3)+Inputs!$B$28+Inputs!$B$29)))</f>
        <v/>
      </c>
      <c r="E2858">
        <f>INDEX(FactorTable!$B$2:$Y$301, MATCH(ROUND(MIN(300,MAX(1,D2858)),0), FactorTable!$A$2:$A$301,0), Skills!M27+1)</f>
        <v/>
      </c>
      <c r="F2858">
        <f>IF(Skills!N27=TRUE,(Skills!L27/10)*(E2858/1000),Skills!L27/10)+Skills!O27</f>
        <v/>
      </c>
      <c r="G2858">
        <f>Skills!G27*IF(Skills!H27&gt;0,Skills!I27/Skills!H27,1)</f>
        <v/>
      </c>
      <c r="H2858">
        <f>1-(1-Skills!J27/100)^Skills!K27</f>
        <v/>
      </c>
      <c r="I2858" t="inlineStr">
        <is>
          <t>1</t>
        </is>
      </c>
      <c r="J2858" t="inlineStr"/>
      <c r="K2858" t="inlineStr"/>
      <c r="L2858" t="inlineStr"/>
      <c r="M2858" t="inlineStr"/>
      <c r="N2858" t="inlineStr"/>
      <c r="O2858">
        <f>(1-Summary!$B$11)*T2858+Summary!$B$11*V2858</f>
        <v/>
      </c>
      <c r="P2858">
        <f>IF(B2874=0,0,O2858/B2874)</f>
        <v/>
      </c>
      <c r="Q2858" t="n">
        <v>0</v>
      </c>
      <c r="R2858" t="n">
        <v>0</v>
      </c>
      <c r="S2858">
        <f>IFERROR(O2858/N2858,0)</f>
        <v/>
      </c>
      <c r="T2858" t="n">
        <v>0</v>
      </c>
      <c r="V2858" t="n">
        <v>0</v>
      </c>
    </row>
    <row r="2859">
      <c r="A2859">
        <f>Skills!A28</f>
        <v/>
      </c>
      <c r="B2859">
        <f>Skills!B28</f>
        <v/>
      </c>
      <c r="C2859">
        <f>Inputs!$B$3&gt;=120</f>
        <v/>
      </c>
      <c r="D2859">
        <f>IF(Skills!C28=1,60+Inputs!$B$25+Inputs!$B$29,IF(Skills!C28=2,90+Inputs!$B$26+Inputs!$B$29,IF(Skills!C28=3,120+Inputs!$B$27+Inputs!$B$29,MAX(0,(Inputs!$B$3-100)*3)+Inputs!$B$28+Inputs!$B$29)))</f>
        <v/>
      </c>
      <c r="E2859">
        <f>INDEX(FactorTable!$B$2:$Y$301, MATCH(ROUND(MIN(300,MAX(1,D2859)),0), FactorTable!$A$2:$A$301,0), Skills!M28+1)</f>
        <v/>
      </c>
      <c r="F2859">
        <f>IF(Skills!N28=TRUE,(Skills!L28/10)*(E2859/1000),Skills!L28/10)+Skills!O28</f>
        <v/>
      </c>
      <c r="G2859">
        <f>Skills!G28*IF(Skills!H28&gt;0,Skills!I28/Skills!H28,1)</f>
        <v/>
      </c>
      <c r="H2859">
        <f>1-(1-Skills!J28/100)^Skills!K28</f>
        <v/>
      </c>
      <c r="I2859" t="inlineStr">
        <is>
          <t>1</t>
        </is>
      </c>
      <c r="J2859" t="inlineStr"/>
      <c r="K2859" t="inlineStr"/>
      <c r="L2859" t="inlineStr"/>
      <c r="M2859" t="inlineStr"/>
      <c r="N2859" t="inlineStr"/>
      <c r="O2859">
        <f>(1-Summary!$B$11)*T2859+Summary!$B$11*V2859</f>
        <v/>
      </c>
      <c r="P2859">
        <f>IF(B2874=0,0,O2859/B2874)</f>
        <v/>
      </c>
      <c r="Q2859" t="n">
        <v>0</v>
      </c>
      <c r="R2859" t="n">
        <v>0</v>
      </c>
      <c r="S2859">
        <f>IFERROR(O2859/N2859,0)</f>
        <v/>
      </c>
      <c r="T2859" t="n">
        <v>0</v>
      </c>
      <c r="V2859" t="n">
        <v>0</v>
      </c>
    </row>
    <row r="2860">
      <c r="A2860">
        <f>Skills!A29</f>
        <v/>
      </c>
      <c r="B2860">
        <f>Skills!B29</f>
        <v/>
      </c>
      <c r="C2860">
        <f>Inputs!$B$3&gt;=120</f>
        <v/>
      </c>
      <c r="D2860">
        <f>IF(Skills!C29=1,60+Inputs!$B$25+Inputs!$B$29,IF(Skills!C29=2,90+Inputs!$B$26+Inputs!$B$29,IF(Skills!C29=3,120+Inputs!$B$27+Inputs!$B$29,MAX(0,(Inputs!$B$3-100)*3)+Inputs!$B$28+Inputs!$B$29)))</f>
        <v/>
      </c>
      <c r="E2860">
        <f>INDEX(FactorTable!$B$2:$Y$301, MATCH(ROUND(MIN(300,MAX(1,D2860)),0), FactorTable!$A$2:$A$301,0), Skills!M29+1)</f>
        <v/>
      </c>
      <c r="F2860">
        <f>IF(Skills!N29=TRUE,(Skills!L29/10)*(E2860/1000),Skills!L29/10)+Skills!O29</f>
        <v/>
      </c>
      <c r="G2860">
        <f>Skills!G29*IF(Skills!H29&gt;0,Skills!I29/Skills!H29,1)</f>
        <v/>
      </c>
      <c r="H2860">
        <f>1-(1-Skills!J29/100)^Skills!K29</f>
        <v/>
      </c>
      <c r="I2860" t="inlineStr">
        <is>
          <t>1</t>
        </is>
      </c>
      <c r="J2860" t="inlineStr"/>
      <c r="K2860" t="inlineStr"/>
      <c r="L2860" t="inlineStr"/>
      <c r="M2860" t="inlineStr"/>
      <c r="N2860" t="inlineStr"/>
      <c r="O2860">
        <f>(1-Summary!$B$11)*T2860+Summary!$B$11*V2860</f>
        <v/>
      </c>
      <c r="P2860">
        <f>IF(B2874=0,0,O2860/B2874)</f>
        <v/>
      </c>
      <c r="Q2860" t="n">
        <v>0</v>
      </c>
      <c r="R2860" t="n">
        <v>0</v>
      </c>
      <c r="S2860">
        <f>IFERROR(O2860/N2860,0)</f>
        <v/>
      </c>
      <c r="T2860" t="n">
        <v>0</v>
      </c>
      <c r="V2860" t="n">
        <v>0</v>
      </c>
    </row>
    <row r="2861">
      <c r="A2861">
        <f>Skills!A30</f>
        <v/>
      </c>
      <c r="B2861">
        <f>Skills!B30</f>
        <v/>
      </c>
      <c r="C2861">
        <f>Inputs!$B$3&gt;=45</f>
        <v/>
      </c>
      <c r="D2861">
        <f>IF(Skills!C30=1,60+Inputs!$B$25+Inputs!$B$29,IF(Skills!C30=2,90+Inputs!$B$26+Inputs!$B$29,IF(Skills!C30=3,120+Inputs!$B$27+Inputs!$B$29,MAX(0,(Inputs!$B$3-100)*3)+Inputs!$B$28+Inputs!$B$29)))</f>
        <v/>
      </c>
      <c r="E2861">
        <f>INDEX(FactorTable!$B$2:$Y$301, MATCH(ROUND(MIN(300,MAX(1,D2861)),0), FactorTable!$A$2:$A$301,0), Skills!M30+1)</f>
        <v/>
      </c>
      <c r="F2861">
        <f>IF(Skills!N30=TRUE,(Skills!L30/10)*(E2861/1000),Skills!L30/10)+Skills!O30</f>
        <v/>
      </c>
      <c r="G2861">
        <f>Skills!G30*IF(Skills!H30&gt;0,Skills!I30/Skills!H30,1)</f>
        <v/>
      </c>
      <c r="H2861">
        <f>1-(1-Skills!J30/100)^Skills!K30</f>
        <v/>
      </c>
      <c r="I2861" t="inlineStr">
        <is>
          <t>1</t>
        </is>
      </c>
      <c r="J2861" t="inlineStr"/>
      <c r="K2861" t="inlineStr"/>
      <c r="L2861" t="inlineStr"/>
      <c r="M2861" t="inlineStr"/>
      <c r="N2861" t="inlineStr"/>
      <c r="O2861">
        <f>(1-Summary!$B$11)*T2861+Summary!$B$11*V2861</f>
        <v/>
      </c>
      <c r="P2861">
        <f>IF(B2874=0,0,O2861/B2874)</f>
        <v/>
      </c>
      <c r="Q2861" t="n">
        <v>0</v>
      </c>
      <c r="R2861" t="n">
        <v>0</v>
      </c>
      <c r="S2861">
        <f>IFERROR(O2861/N2861,0)</f>
        <v/>
      </c>
      <c r="T2861" t="n">
        <v>0</v>
      </c>
      <c r="V2861" t="n">
        <v>0</v>
      </c>
    </row>
    <row r="2863">
      <c r="A2863" t="inlineStr">
        <is>
          <t>Attack% Bucket Multiplier</t>
        </is>
      </c>
      <c r="B2863">
        <f>(1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4">
      <c r="A2864" t="inlineStr">
        <is>
          <t>Global Crit Rate Bonus %</t>
        </is>
      </c>
      <c r="B2864">
        <f>(C2847=TRUE)*20*IF(AND(Inputs!$B$38&lt;&gt;"pvp",Inputs!$B$43&gt;0),(((R2847-1)*(Skills!T16*(1+Inputs!$B$34/100))+MIN((Skills!T16*(1+Inputs!$B$34/100)),MAX(0,Inputs!$B$43-((R2847-1)*Skills!D16))))/Inputs!$B$43),IF(Inputs!$B$38="pvp",MIN((Skills!T16*(1+Inputs!$B$34/100)),15)/15,(Skills!T16*(1+Inputs!$B$34/100))/Skills!D16))</f>
        <v/>
      </c>
    </row>
    <row r="2865">
      <c r="A2865" t="inlineStr">
        <is>
          <t>Attack Speed Buff Bonus %</t>
        </is>
      </c>
      <c r="B2865">
        <f>((C2850=TRUE)*F2850*IF(AND(Inputs!$B$38&lt;&gt;"pvp",Inputs!$B$43&gt;0),(((R2850-1)*(Skills!T19*(1+Inputs!$B$34/100))+MIN((Skills!T19*(1+Inputs!$B$34/100)),MAX(0,Inputs!$B$43-((R2850-1)*Skills!D19))))/Inputs!$B$43),IF(Inputs!$B$38="pvp",MIN((Skills!T19*(1+Inputs!$B$34/100)),15)/15,(Skills!T19*(1+Inputs!$B$34/100))/Skills!D19)))</f>
        <v/>
      </c>
    </row>
    <row r="2866">
      <c r="A2866" t="inlineStr">
        <is>
          <t>Actions Per Second</t>
        </is>
      </c>
      <c r="B2866">
        <f>1+MIN(150,150*(1-(1-(Inputs!$B$11+((C2852=TRUE)*(F2852-Calc!F21))+((C2853=TRUE)*(F2853-Calc!F22)))/150)*(1-B2865/150)))/100</f>
        <v/>
      </c>
    </row>
    <row r="2867">
      <c r="A2867" t="inlineStr">
        <is>
          <t>Skill + Buff Cast Rate</t>
        </is>
      </c>
      <c r="B2867">
        <f>IF(AND(Inputs!$B$38&lt;&gt;"pvp",Inputs!$B$43&gt;0),SUMPRODUCT((Skills!E2:E30=TRUE)*(C2833:C2861=TRUE)*R2833:R2861*Skills!F2:F30)/Inputs!$B$43,SUMPRODUCT((Skills!E2:E30=TRUE)*(C2833:C2861=TRUE)*Q2833:Q2861*Skills!F2:F30))</f>
        <v/>
      </c>
    </row>
    <row r="2868">
      <c r="A2868" t="inlineStr">
        <is>
          <t>Arrow Stream Casts Per Second</t>
        </is>
      </c>
      <c r="B2868">
        <f>MAX(0,B2866-B2867)</f>
        <v/>
      </c>
    </row>
    <row r="2869">
      <c r="A2869" t="inlineStr">
        <is>
          <t>Global Critical Damage Bonus % (Sharp Eyes + Concentration)</t>
        </is>
      </c>
      <c r="B2869">
        <f>(C2847=TRUE)*F2847*IF(AND(Inputs!$B$38&lt;&gt;"pvp",Inputs!$B$43&gt;0),(((R2847-1)*(Skills!T16*(1+Inputs!$B$34/100))+MIN((Skills!T16*(1+Inputs!$B$34/100)),MAX(0,Inputs!$B$43-((R2847-1)*Skills!D16))))/Inputs!$B$43),IF(Inputs!$B$38="pvp",MIN((Skills!T16*(1+Inputs!$B$34/100)),15)/15,(Skills!T16*(1+Inputs!$B$34/100))/Skills!D16))+(C2848=TRUE)*30</f>
        <v/>
      </c>
    </row>
    <row r="2870">
      <c r="A2870" t="inlineStr">
        <is>
          <t>Global Final Damage Bonus % (Mortal Blow)</t>
        </is>
      </c>
      <c r="B2870">
        <f>(C2849=TRUE)*F2849</f>
        <v/>
      </c>
    </row>
    <row r="2871">
      <c r="A2871" t="inlineStr">
        <is>
          <t>Buff-Casting Startup Delay (s, fixed-duration only)</t>
        </is>
      </c>
      <c r="B2871">
        <f>IF(AND(Inputs!$B$38&lt;&gt;"pvp",Inputs!$B$43&gt;0),SUMPRODUCT((Skills!T2:T30&gt;0)*(Skills!E2:E30=TRUE)*(C2833:C2861=TRUE))/B2866,0)</f>
        <v/>
      </c>
    </row>
    <row r="2872">
      <c r="A2872" t="inlineStr">
        <is>
          <t>Boss-Only Total DPS (this block's swept value)</t>
        </is>
      </c>
      <c r="B2872">
        <f>SUM(T2833:T2861)</f>
        <v/>
      </c>
    </row>
    <row r="2873">
      <c r="A2873" t="inlineStr">
        <is>
          <t>Normal-Only Total DPS (this block's swept value)</t>
        </is>
      </c>
      <c r="B2873">
        <f>SUM(V2833:V2861)</f>
        <v/>
      </c>
    </row>
    <row r="2874">
      <c r="A2874" s="6" t="inlineStr">
        <is>
          <t>TOTAL DPS</t>
        </is>
      </c>
      <c r="B2874" s="6">
        <f>SUM(O2833:O2861)</f>
        <v/>
      </c>
    </row>
    <row r="2877">
      <c r="A2877" s="6" t="inlineStr">
        <is>
          <t>Stat: Ring of Cycles (Equip)</t>
        </is>
      </c>
    </row>
    <row r="2878">
      <c r="A2878" s="5" t="inlineStr">
        <is>
          <t>Key</t>
        </is>
      </c>
      <c r="B2878" s="5" t="inlineStr">
        <is>
          <t>Name</t>
        </is>
      </c>
      <c r="C2878" s="5" t="inlineStr">
        <is>
          <t>Unlocked</t>
        </is>
      </c>
      <c r="D2878" s="5" t="inlineStr">
        <is>
          <t>InputLevel</t>
        </is>
      </c>
      <c r="E2878" s="5" t="inlineStr">
        <is>
          <t>Factor</t>
        </is>
      </c>
      <c r="F2878" s="5" t="inlineStr">
        <is>
          <t>CoefficientPercent</t>
        </is>
      </c>
      <c r="G2878" s="5" t="inlineStr">
        <is>
          <t>EffectiveHits</t>
        </is>
      </c>
      <c r="H2878" s="5" t="inlineStr">
        <is>
          <t>ProcProbability</t>
        </is>
      </c>
      <c r="I2878" s="5" t="inlineStr">
        <is>
          <t>MapleHeroMultiplier</t>
        </is>
      </c>
      <c r="J2878" s="5" t="inlineStr">
        <is>
          <t>BaseDamage</t>
        </is>
      </c>
      <c r="K2878" s="5" t="inlineStr">
        <is>
          <t>BaseHitDamage</t>
        </is>
      </c>
      <c r="L2878" s="5" t="inlineStr">
        <is>
          <t>NonCritAvg</t>
        </is>
      </c>
      <c r="M2878" s="5" t="inlineStr">
        <is>
          <t>CritAvg</t>
        </is>
      </c>
      <c r="N2878" s="5" t="inlineStr">
        <is>
          <t>ExpectedDamage(perHit)</t>
        </is>
      </c>
      <c r="O2878" s="5" t="inlineStr">
        <is>
          <t>DPS</t>
        </is>
      </c>
      <c r="P2878" s="5" t="inlineStr">
        <is>
          <t>% of Total</t>
        </is>
      </c>
      <c r="Q2878" s="5" t="inlineStr">
        <is>
          <t>InvCooldown</t>
        </is>
      </c>
      <c r="R2878" s="5" t="inlineStr">
        <is>
          <t>CastsInFight</t>
        </is>
      </c>
      <c r="S2878" s="5" t="inlineStr">
        <is>
          <t>HitRate(perSec)</t>
        </is>
      </c>
      <c r="U2878" t="inlineStr">
        <is>
          <t>helpers</t>
        </is>
      </c>
    </row>
    <row r="2879">
      <c r="A2879">
        <f>Skills!A2</f>
        <v/>
      </c>
      <c r="B2879">
        <f>Skills!B2</f>
        <v/>
      </c>
      <c r="C2879">
        <f>Inputs!$B$3&gt;=100</f>
        <v/>
      </c>
      <c r="D2879" t="inlineStr"/>
      <c r="E2879" t="inlineStr"/>
      <c r="F2879">
        <f>U2881+Skills!O2</f>
        <v/>
      </c>
      <c r="G2879">
        <f>Skills!G2*IF(Skills!H2&gt;0,Skills!I2/Skills!H2,1)</f>
        <v/>
      </c>
      <c r="H2879">
        <f>1-(1-Skills!J2/100)^Skills!K2</f>
        <v/>
      </c>
      <c r="I2879" t="inlineStr">
        <is>
          <t>1</t>
        </is>
      </c>
      <c r="J2879">
        <f>((Inputs!$B$6*(1+Inputs!$B$7/100))+(((Inputs!$B$12*(1+Inputs!$B$13/100))-(Inputs!$B$12*(1+Inputs!$B$13/100)))+0.25*(Inputs!$B$14-Inputs!$B$14))*(1+Inputs!$B$7/100))*(F2879/100)</f>
        <v/>
      </c>
      <c r="K2879">
        <f>J2879*(1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2901=TRUE)*(F2901-Calc!F24)),(Inputs!$B$23+((C2906=TRUE)*(F2906-Calc!F29))+(IF(ArtifactsInput!$M$15,CHOOSE(ArtifactsInput!$N$15+1,25,30,35,40,45,50)/100*(Inputs!$B$11-Inputs!$B$11),0))))/100+(Inputs!$B$23+((C2906=TRUE)*(F2906-Calc!F29))+(IF(ArtifactsInput!$M$15,CHOOSE(ArtifactsInput!$N$15+1,25,30,35,40,45,50)/100*(Inputs!$B$11-Inputs!$B$11),0)))/100)/2</f>
        <v/>
      </c>
      <c r="M2879">
        <f>L2879*(1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IF(B2920=0,0,O2879/B2920)</f>
        <v/>
      </c>
      <c r="Q2879" t="n">
        <v>0</v>
      </c>
      <c r="R2879" t="n">
        <v>0</v>
      </c>
      <c r="S2879">
        <f>IFERROR(O2879/N2879,0)</f>
        <v/>
      </c>
      <c r="T2879">
        <f>IF(C2879,(Skills!G2*N2879*B2914)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2879*(1-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MAX(0,(Inputs!$B$3-100)*3)+Inputs!$B$28+Inputs!$B$29</f>
        <v/>
      </c>
      <c r="V2879">
        <f>IF(C2879,(Skills!G2*N2879*B2914)*IF(Inputs!$B$38="pvp",1,(1+(Inputs!$B$21+Skills!Q2+(IF(ArtifactsInput!$M$33,CHOOSE(ArtifactsInput!$N$33+1,30,36,42,48,54,60),0))+(IF(AND(ArtifactsInput!$M$35,Inputs!$B$4&lt;&gt;"Chapter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Skills!A3</f>
        <v/>
      </c>
      <c r="B2880">
        <f>Skills!B3</f>
        <v/>
      </c>
      <c r="C2880">
        <f>Inputs!$B$3&gt;=50</f>
        <v/>
      </c>
      <c r="D2880">
        <f>IF(Skills!C3=1,60+Inputs!$B$25+Inputs!$B$29,IF(Skills!C3=2,90+Inputs!$B$26+Inputs!$B$29,IF(Skills!C3=3,120+Inputs!$B$27+Inputs!$B$29,MAX(0,(Inputs!$B$3-100)*3)+Inputs!$B$28+Inputs!$B$29)))</f>
        <v/>
      </c>
      <c r="E2880">
        <f>INDEX(FactorTable!$B$2:$Y$301, MATCH(ROUND(MIN(300,MAX(1,D2880)),0), FactorTable!$A$2:$A$301,0), Skills!M3+1)</f>
        <v/>
      </c>
      <c r="F2880">
        <f>IF(Skills!N3=TRUE,(Skills!L3/10)*(E2880/1000),Skills!L3/10)+Skills!O3</f>
        <v/>
      </c>
      <c r="G2880" t="inlineStr"/>
      <c r="H2880" t="inlineStr"/>
      <c r="I2880" t="inlineStr">
        <is>
          <t>1</t>
        </is>
      </c>
      <c r="J2880" t="inlineStr"/>
      <c r="K2880" t="inlineStr"/>
      <c r="L2880" t="inlineStr"/>
      <c r="M2880" t="inlineStr"/>
      <c r="N2880" t="inlineStr"/>
      <c r="O2880" t="inlineStr"/>
      <c r="P2880" t="inlineStr"/>
      <c r="Q2880" t="inlineStr"/>
      <c r="R2880" t="inlineStr"/>
      <c r="S2880" t="inlineStr"/>
      <c r="T2880" t="inlineStr"/>
      <c r="U2880">
        <f>INDEX(FactorTable!$B$2:$Y$301, MATCH(ROUND(MIN(300,MAX(1,U2879)),0), FactorTable!$A$2:$A$301,0), 22)</f>
        <v/>
      </c>
      <c r="V2880" t="inlineStr"/>
    </row>
    <row r="2881">
      <c r="A2881">
        <f>Skills!A4</f>
        <v/>
      </c>
      <c r="B2881">
        <f>Skills!B4</f>
        <v/>
      </c>
      <c r="C2881">
        <f>Inputs!$B$3&gt;=105</f>
        <v/>
      </c>
      <c r="D2881">
        <f>IF(Skills!C4=1,60+Inputs!$B$25+Inputs!$B$29,IF(Skills!C4=2,90+Inputs!$B$26+Inputs!$B$29,IF(Skills!C4=3,120+Inputs!$B$27+Inputs!$B$29,MAX(0,(Inputs!$B$3-100)*3)+Inputs!$B$28+Inputs!$B$29)))</f>
        <v/>
      </c>
      <c r="E2881">
        <f>INDEX(FactorTable!$B$2:$Y$301, MATCH(ROUND(MIN(300,MAX(1,D2881)),0), FactorTable!$A$2:$A$301,0), Skills!M4+1)</f>
        <v/>
      </c>
      <c r="F2881">
        <f>IF(Skills!N4=TRUE,(Skills!L4/10)*(E2881/1000),Skills!L4/10)+Skills!O4</f>
        <v/>
      </c>
      <c r="G2881" t="inlineStr"/>
      <c r="H2881" t="inlineStr"/>
      <c r="I2881" t="inlineStr">
        <is>
          <t>1</t>
        </is>
      </c>
      <c r="J2881" t="inlineStr"/>
      <c r="K2881" t="inlineStr"/>
      <c r="L2881" t="inlineStr"/>
      <c r="M2881" t="inlineStr"/>
      <c r="N2881" t="inlineStr"/>
      <c r="O2881" t="inlineStr"/>
      <c r="P2881" t="inlineStr"/>
      <c r="Q2881" t="inlineStr"/>
      <c r="R2881" t="inlineStr"/>
      <c r="S2881" t="inlineStr"/>
      <c r="T2881" t="inlineStr"/>
      <c r="U2881">
        <f>290*U2880/1000</f>
        <v/>
      </c>
      <c r="V2881" t="inlineStr"/>
    </row>
    <row r="2882">
      <c r="A2882">
        <f>Skills!A5</f>
        <v/>
      </c>
      <c r="B2882">
        <f>Skills!B5</f>
        <v/>
      </c>
      <c r="C2882">
        <f>Inputs!$B$3&gt;=35</f>
        <v/>
      </c>
      <c r="D2882">
        <f>IF(Skills!C5=1,60+Inputs!$B$25+Inputs!$B$29,IF(Skills!C5=2,90+Inputs!$B$26+Inputs!$B$29,IF(Skills!C5=3,120+Inputs!$B$27+Inputs!$B$29,MAX(0,(Inputs!$B$3-100)*3)+Inputs!$B$28+Inputs!$B$29)))</f>
        <v/>
      </c>
      <c r="E2882">
        <f>INDEX(FactorTable!$B$2:$Y$301, MATCH(ROUND(MIN(300,MAX(1,D2882)),0), FactorTable!$A$2:$A$301,0), Skills!M5+1)</f>
        <v/>
      </c>
      <c r="F2882">
        <f>IF(Skills!N5=TRUE,(Skills!L5/10)*(E2882/1000),Skills!L5/10)+Skills!O5</f>
        <v/>
      </c>
      <c r="G2882">
        <f>Skills!G5*IF(Skills!H5&gt;0,Skills!I5/Skills!H5,1)</f>
        <v/>
      </c>
      <c r="H2882">
        <f>1-(1-Skills!J5/100)^Skills!K5</f>
        <v/>
      </c>
      <c r="I2882" t="inlineStr">
        <is>
          <t>1</t>
        </is>
      </c>
      <c r="J2882">
        <f>((Inputs!$B$6*(1+Inputs!$B$7/100))+(((Inputs!$B$12*(1+Inputs!$B$13/100))-(Inputs!$B$12*(1+Inputs!$B$13/100)))+0.25*(Inputs!$B$14-Inputs!$B$14))*(1+Inputs!$B$7/100))*(F2882/100)</f>
        <v/>
      </c>
      <c r="K2882">
        <f>J2882*(1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2887=TRUE,F2887,0)/100)*(1+(IF(Skills!A5="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2901=TRUE)*(F2901-Calc!F24)),(Inputs!$B$23+((C2906=TRUE)*(F2906-Calc!F29))+(IF(ArtifactsInput!$M$15,CHOOSE(ArtifactsInput!$N$15+1,25,30,35,40,45,50)/100*(Inputs!$B$11-Inputs!$B$11),0))))/100+(Inputs!$B$23+((C2906=TRUE)*(F2906-Calc!F29))+(IF(ArtifactsInput!$M$15,CHOOSE(ArtifactsInput!$N$15+1,25,30,35,40,45,50)/100*(Inputs!$B$11-Inputs!$B$11),0)))/100)/2</f>
        <v/>
      </c>
      <c r="M2882">
        <f>L2882*(1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IF(B2920=0,0,O2882/B2920)</f>
        <v/>
      </c>
      <c r="Q2882">
        <f>IFERROR(1/(IF(Inputs!$B$38="pvp",15,MAX(0.1,Skills!D5-IF(Skills!E5=TRUE,Inputs!$B$32,0)))*(1-IF(AND(ArtifactsInput!$M$27,Inputs!$B$4="Chapter Hunt"),CHOOSE(ArtifactsInput!$N$27+1,20,24,28,32,36,40),0)/100)),0)</f>
        <v/>
      </c>
      <c r="R2882">
        <f>IF(AND(Inputs!$B$38&lt;&gt;"pvp",Inputs!$B$43&gt;0),IF(MAX(0,Inputs!$B$43-B2917)&lt;=0,0,(INT(MAX(0,Inputs!$B$43-B2917)/(IF(Inputs!$B$38="pvp",15,MAX(0.1,Skills!D5-IF(Skills!E5=TRUE,Inputs!$B$32,0)))*(1-IF(AND(ArtifactsInput!$M$27,Inputs!$B$4="Chapter Hunt"),CHOOSE(ArtifactsInput!$N$27+1,20,24,28,32,36,40),0)/100)))+1)),0)</f>
        <v/>
      </c>
      <c r="S2882">
        <f>IFERROR(O2882/N2882,0)</f>
        <v/>
      </c>
      <c r="T2882">
        <f>IF(C2882,(H2882*N2882*IF(AND(Inputs!$B$38&lt;&gt;"pvp",Inputs!$B$43&gt;0),((Skills!G5*((R2882-1)*IF(Skills!H5&gt;0,Skills!I5/Skills!H5,1)+IF(Skills!H5&gt;0,MIN(Skills!I5,MAX(0,MAX(0,Inputs!$B$43-B2917)-((R2882-1)*(IF(Inputs!$B$38="pvp",15,MAX(0.1,Skills!D5-IF(Skills!E5=TRUE,Inputs!$B$32,0)))*(1-IF(AND(ArtifactsInput!$M$27,Inputs!$B$4="Chapter Hunt"),CHOOSE(ArtifactsInput!$N$27+1,20,24,28,32,36,40),0)/100)))))/Skills!H5,1)))/Inputs!$B$43),G2882*Q2882)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2882*(1-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5*((R2882-1)*IF(Skills!H5&gt;0,Skills!I5/Skills!H5,1)+IF(Skills!H5&gt;0,MIN(Skills!I5,MAX(0,MAX(0,Inputs!$B$43-B2917)-((R2882-1)*(IF(Inputs!$B$38="pvp",15,MAX(0.1,Skills!D5-IF(Skills!E5=TRUE,Inputs!$B$32,0)))*(1-IF(AND(ArtifactsInput!$M$27,Inputs!$B$4="Chapter Hunt"),CHOOSE(ArtifactsInput!$N$27+1,20,24,28,32,36,40),0)/100)))))/Skills!H5,1)))/Inputs!$B$43),G2882*Q2882))*IF(Inputs!$B$38="pvp",1,(1+(Inputs!$B$21+Skills!Q5+(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Skills!A6</f>
        <v/>
      </c>
      <c r="B2883">
        <f>Skills!B6</f>
        <v/>
      </c>
      <c r="C2883">
        <f>Inputs!$B$3&gt;=40</f>
        <v/>
      </c>
      <c r="D2883">
        <f>IF(Skills!C6=1,60+Inputs!$B$25+Inputs!$B$29,IF(Skills!C6=2,90+Inputs!$B$26+Inputs!$B$29,IF(Skills!C6=3,120+Inputs!$B$27+Inputs!$B$29,MAX(0,(Inputs!$B$3-100)*3)+Inputs!$B$28+Inputs!$B$29)))</f>
        <v/>
      </c>
      <c r="E2883">
        <f>INDEX(FactorTable!$B$2:$Y$301, MATCH(ROUND(MIN(300,MAX(1,D2883)),0), FactorTable!$A$2:$A$301,0), Skills!M6+1)</f>
        <v/>
      </c>
      <c r="F2883">
        <f>IF(Skills!N6=TRUE,(Skills!L6/10)*(E2883/1000),Skills!L6/10)+Skills!O6</f>
        <v/>
      </c>
      <c r="G2883">
        <f>Skills!G6*IF(Skills!H6&gt;0,Skills!I6/Skills!H6,1)</f>
        <v/>
      </c>
      <c r="H2883">
        <f>1-(1-Skills!J6/100)^Skills!K6</f>
        <v/>
      </c>
      <c r="I2883" t="inlineStr">
        <is>
          <t>1</t>
        </is>
      </c>
      <c r="J2883">
        <f>((Inputs!$B$6*(1+Inputs!$B$7/100))+(((Inputs!$B$12*(1+Inputs!$B$13/100))-(Inputs!$B$12*(1+Inputs!$B$13/100)))+0.25*(Inputs!$B$14-Inputs!$B$14))*(1+Inputs!$B$7/100))*(F2883/100)</f>
        <v/>
      </c>
      <c r="K2883">
        <f>J2883*(1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2884=TRUE,F2884,0)/100)*(1+(IF(Skills!A6="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2901=TRUE)*(F2901-Calc!F24)),(Inputs!$B$23+((C2906=TRUE)*(F2906-Calc!F29))+(IF(ArtifactsInput!$M$15,CHOOSE(ArtifactsInput!$N$15+1,25,30,35,40,45,50)/100*(Inputs!$B$11-Inputs!$B$11),0))))/100+(Inputs!$B$23+((C2906=TRUE)*(F2906-Calc!F29))+(IF(ArtifactsInput!$M$15,CHOOSE(ArtifactsInput!$N$15+1,25,30,35,40,45,50)/100*(Inputs!$B$11-Inputs!$B$11),0)))/100)/2</f>
        <v/>
      </c>
      <c r="M2883">
        <f>L2883*(1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IF(B2920=0,0,O2883/B2920)</f>
        <v/>
      </c>
      <c r="Q2883">
        <f>IFERROR(1/(IF(Inputs!$B$38="pvp",15,MAX(0.1,Skills!D6-IF(Skills!E6=TRUE,Inputs!$B$32,0)))*(1-IF(AND(ArtifactsInput!$M$27,Inputs!$B$4="Chapter Hunt"),CHOOSE(ArtifactsInput!$N$27+1,20,24,28,32,36,40),0)/100)),0)</f>
        <v/>
      </c>
      <c r="R2883">
        <f>IF(AND(Inputs!$B$38&lt;&gt;"pvp",Inputs!$B$43&gt;0),IF(MAX(0,Inputs!$B$43-B2917)&lt;=0,0,(INT(MAX(0,Inputs!$B$43-B2917)/(IF(Inputs!$B$38="pvp",15,MAX(0.1,Skills!D6-IF(Skills!E6=TRUE,Inputs!$B$32,0)))*(1-IF(AND(ArtifactsInput!$M$27,Inputs!$B$4="Chapter Hunt"),CHOOSE(ArtifactsInput!$N$27+1,20,24,28,32,36,40),0)/100)))+1)),0)</f>
        <v/>
      </c>
      <c r="S2883">
        <f>IFERROR(O2883/N2883,0)</f>
        <v/>
      </c>
      <c r="T2883">
        <f>IF(C2883,(H2883*N2883*IF(AND(Inputs!$B$38&lt;&gt;"pvp",Inputs!$B$43&gt;0),((Skills!G6*((R2883-1)*IF(Skills!H6&gt;0,Skills!I6/Skills!H6,1)+IF(Skills!H6&gt;0,MIN(Skills!I6,MAX(0,MAX(0,Inputs!$B$43-B2917)-((R2883-1)*(IF(Inputs!$B$38="pvp",15,MAX(0.1,Skills!D6-IF(Skills!E6=TRUE,Inputs!$B$32,0)))*(1-IF(AND(ArtifactsInput!$M$27,Inputs!$B$4="Chapter Hunt"),CHOOSE(ArtifactsInput!$N$27+1,20,24,28,32,36,40),0)/100)))))/Skills!H6,1)))/Inputs!$B$43),G2883*Q2883)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2883*(1-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6*((R2883-1)*IF(Skills!H6&gt;0,Skills!I6/Skills!H6,1)+IF(Skills!H6&gt;0,MIN(Skills!I6,MAX(0,MAX(0,Inputs!$B$43-B2917)-((R2883-1)*(IF(Inputs!$B$38="pvp",15,MAX(0.1,Skills!D6-IF(Skills!E6=TRUE,Inputs!$B$32,0)))*(1-IF(AND(ArtifactsInput!$M$27,Inputs!$B$4="Chapter Hunt"),CHOOSE(ArtifactsInput!$N$27+1,20,24,28,32,36,40),0)/100)))))/Skills!H6,1)))/Inputs!$B$43),G2883*Q2883))*IF(Inputs!$B$38="pvp",1,(1+(Inputs!$B$21+Skills!Q6+(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Skills!A7</f>
        <v/>
      </c>
      <c r="B2884">
        <f>Skills!B7</f>
        <v/>
      </c>
      <c r="C2884">
        <f>Inputs!$B$3&gt;=107</f>
        <v/>
      </c>
      <c r="D2884">
        <f>IF(Skills!C7=1,60+Inputs!$B$25+Inputs!$B$29,IF(Skills!C7=2,90+Inputs!$B$26+Inputs!$B$29,IF(Skills!C7=3,120+Inputs!$B$27+Inputs!$B$29,MAX(0,(Inputs!$B$3-100)*3)+Inputs!$B$28+Inputs!$B$29)))</f>
        <v/>
      </c>
      <c r="E2884">
        <f>INDEX(FactorTable!$B$2:$Y$301, MATCH(ROUND(MIN(300,MAX(1,D2884)),0), FactorTable!$A$2:$A$301,0), Skills!M7+1)</f>
        <v/>
      </c>
      <c r="F2884">
        <f>IF(Skills!N7=TRUE,(Skills!L7/10)*(E2884/1000),Skills!L7/10)+Skills!O7</f>
        <v/>
      </c>
      <c r="G2884" t="inlineStr"/>
      <c r="H2884" t="inlineStr"/>
      <c r="I2884" t="inlineStr">
        <is>
          <t>1</t>
        </is>
      </c>
      <c r="J2884" t="inlineStr"/>
      <c r="K2884" t="inlineStr"/>
      <c r="L2884" t="inlineStr"/>
      <c r="M2884" t="inlineStr"/>
      <c r="N2884" t="inlineStr"/>
      <c r="O2884" t="inlineStr"/>
      <c r="P2884" t="inlineStr"/>
      <c r="Q2884" t="inlineStr"/>
      <c r="R2884" t="inlineStr"/>
      <c r="S2884" t="inlineStr"/>
      <c r="T2884" t="inlineStr"/>
      <c r="V2884" t="inlineStr"/>
    </row>
    <row r="2885">
      <c r="A2885">
        <f>Skills!A8</f>
        <v/>
      </c>
      <c r="B2885">
        <f>Skills!B8</f>
        <v/>
      </c>
      <c r="C2885">
        <f>Inputs!$B$3&gt;=69</f>
        <v/>
      </c>
      <c r="D2885">
        <f>IF(Skills!C8=1,60+Inputs!$B$25+Inputs!$B$29,IF(Skills!C8=2,90+Inputs!$B$26+Inputs!$B$29,IF(Skills!C8=3,120+Inputs!$B$27+Inputs!$B$29,MAX(0,(Inputs!$B$3-100)*3)+Inputs!$B$28+Inputs!$B$29)))</f>
        <v/>
      </c>
      <c r="E2885">
        <f>INDEX(FactorTable!$B$2:$Y$301, MATCH(ROUND(MIN(300,MAX(1,D2885)),0), FactorTable!$A$2:$A$301,0), Skills!M8+1)</f>
        <v/>
      </c>
      <c r="F2885">
        <f>IF(Skills!N8=TRUE,(Skills!L8/10)*(E2885/1000),Skills!L8/10)+Skills!O8</f>
        <v/>
      </c>
      <c r="G2885">
        <f>Skills!G8*IF(Skills!H8&gt;0,Skills!I8/Skills!H8,1)</f>
        <v/>
      </c>
      <c r="H2885">
        <f>1-(1-Skills!J8/100)^Skills!K8</f>
        <v/>
      </c>
      <c r="I2885" t="inlineStr">
        <is>
          <t>1</t>
        </is>
      </c>
      <c r="J2885">
        <f>((Inputs!$B$6*(1+Inputs!$B$7/100))+(((Inputs!$B$12*(1+Inputs!$B$13/100))-(Inputs!$B$12*(1+Inputs!$B$13/100)))+0.25*(Inputs!$B$14-Inputs!$B$14))*(1+Inputs!$B$7/100))*(F2885/100)</f>
        <v/>
      </c>
      <c r="K2885">
        <f>J2885*(1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2887=TRUE,F2887,0)/100)*(1+(IF(Skills!A8="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2901=TRUE)*(F2901-Calc!F24)),(Inputs!$B$23+((C2906=TRUE)*(F2906-Calc!F29))+(IF(ArtifactsInput!$M$15,CHOOSE(ArtifactsInput!$N$15+1,25,30,35,40,45,50)/100*(Inputs!$B$11-Inputs!$B$11),0))))/100+(Inputs!$B$23+((C2906=TRUE)*(F2906-Calc!F29))+(IF(ArtifactsInput!$M$15,CHOOSE(ArtifactsInput!$N$15+1,25,30,35,40,45,50)/100*(Inputs!$B$11-Inputs!$B$11),0)))/100)/2</f>
        <v/>
      </c>
      <c r="M2885">
        <f>L2885*(1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IF(B2920=0,0,O2885/B2920)</f>
        <v/>
      </c>
      <c r="Q2885">
        <f>IFERROR(1/(IF(Inputs!$B$38="pvp",15,MAX(0.1,Skills!D8-IF(Skills!E8=TRUE,Inputs!$B$32,0)))*(1-IF(AND(ArtifactsInput!$M$27,Inputs!$B$4="Chapter Hunt"),CHOOSE(ArtifactsInput!$N$27+1,20,24,28,32,36,40),0)/100)),0)</f>
        <v/>
      </c>
      <c r="R2885">
        <f>IF(AND(Inputs!$B$38&lt;&gt;"pvp",Inputs!$B$43&gt;0),IF(MAX(0,Inputs!$B$43-B2917)&lt;=0,0,(INT(MAX(0,Inputs!$B$43-B2917)/(IF(Inputs!$B$38="pvp",15,MAX(0.1,Skills!D8-IF(Skills!E8=TRUE,Inputs!$B$32,0)))*(1-IF(AND(ArtifactsInput!$M$27,Inputs!$B$4="Chapter Hunt"),CHOOSE(ArtifactsInput!$N$27+1,20,24,28,32,36,40),0)/100)))+1)),0)</f>
        <v/>
      </c>
      <c r="S2885">
        <f>IFERROR(O2885/N2885,0)</f>
        <v/>
      </c>
      <c r="T2885">
        <f>IF(C2885,(H2885*N2885*IF(AND(Inputs!$B$38&lt;&gt;"pvp",Inputs!$B$43&gt;0),((Skills!G8*((R2885-1)*IF(Skills!H8&gt;0,Skills!I8/Skills!H8,1)+IF(Skills!H8&gt;0,MIN(Skills!I8,MAX(0,MAX(0,Inputs!$B$43-B2917)-((R2885-1)*(IF(Inputs!$B$38="pvp",15,MAX(0.1,Skills!D8-IF(Skills!E8=TRUE,Inputs!$B$32,0)))*(1-IF(AND(ArtifactsInput!$M$27,Inputs!$B$4="Chapter Hunt"),CHOOSE(ArtifactsInput!$N$27+1,20,24,28,32,36,40),0)/100)))))/Skills!H8,1)))/Inputs!$B$43),G2885*Q2885)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2885*(1-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8*((R2885-1)*IF(Skills!H8&gt;0,Skills!I8/Skills!H8,1)+IF(Skills!H8&gt;0,MIN(Skills!I8,MAX(0,MAX(0,Inputs!$B$43-B2917)-((R2885-1)*(IF(Inputs!$B$38="pvp",15,MAX(0.1,Skills!D8-IF(Skills!E8=TRUE,Inputs!$B$32,0)))*(1-IF(AND(ArtifactsInput!$M$27,Inputs!$B$4="Chapter Hunt"),CHOOSE(ArtifactsInput!$N$27+1,20,24,28,32,36,40),0)/100)))))/Skills!H8,1)))/Inputs!$B$43),G2885*Q2885))*IF(Inputs!$B$38="pvp",1,(1+(Inputs!$B$21+Skills!Q8+(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Skills!A9</f>
        <v/>
      </c>
      <c r="B2886">
        <f>Skills!B9</f>
        <v/>
      </c>
      <c r="C2886">
        <f>Inputs!$B$3&gt;=63</f>
        <v/>
      </c>
      <c r="D2886">
        <f>IF(Skills!C9=1,60+Inputs!$B$25+Inputs!$B$29,IF(Skills!C9=2,90+Inputs!$B$26+Inputs!$B$29,IF(Skills!C9=3,120+Inputs!$B$27+Inputs!$B$29,MAX(0,(Inputs!$B$3-100)*3)+Inputs!$B$28+Inputs!$B$29)))</f>
        <v/>
      </c>
      <c r="E2886">
        <f>INDEX(FactorTable!$B$2:$Y$301, MATCH(ROUND(MIN(300,MAX(1,D2886)),0), FactorTable!$A$2:$A$301,0), Skills!M9+1)</f>
        <v/>
      </c>
      <c r="F2886">
        <f>IF(Skills!N9=TRUE,(Skills!L9/10)*(E2886/1000),Skills!L9/10)+Skills!O9</f>
        <v/>
      </c>
      <c r="G2886">
        <f>Skills!G9*IF(Skills!H9&gt;0,Skills!I9/Skills!H9,1)</f>
        <v/>
      </c>
      <c r="H2886">
        <f>1-(1-Skills!J9/100)^Skills!K9</f>
        <v/>
      </c>
      <c r="I2886" t="inlineStr">
        <is>
          <t>1</t>
        </is>
      </c>
      <c r="J2886">
        <f>((Inputs!$B$6*(1+Inputs!$B$7/100))+(((Inputs!$B$12*(1+Inputs!$B$13/100))-(Inputs!$B$12*(1+Inputs!$B$13/100)))+0.25*(Inputs!$B$14-Inputs!$B$14))*(1+Inputs!$B$7/100))*(F2886/100)</f>
        <v/>
      </c>
      <c r="K2886">
        <f>J2886*(1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2887=TRUE,F2887,0)/100)*(1+(IF(Skills!A9="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2901=TRUE)*(F2901-Calc!F24)),(Inputs!$B$23+((C2906=TRUE)*(F2906-Calc!F29))+(IF(ArtifactsInput!$M$15,CHOOSE(ArtifactsInput!$N$15+1,25,30,35,40,45,50)/100*(Inputs!$B$11-Inputs!$B$11),0))))/100+(Inputs!$B$23+((C2906=TRUE)*(F2906-Calc!F29))+(IF(ArtifactsInput!$M$15,CHOOSE(ArtifactsInput!$N$15+1,25,30,35,40,45,50)/100*(Inputs!$B$11-Inputs!$B$11),0)))/100)/2</f>
        <v/>
      </c>
      <c r="M2886">
        <f>L2886*(1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IF(B2920=0,0,O2886/B2920)</f>
        <v/>
      </c>
      <c r="Q2886">
        <f>IFERROR(1/(IF(Inputs!$B$38="pvp",15,MAX(0.1,Skills!D9-IF(Skills!E9=TRUE,Inputs!$B$32,0)))*(1-IF(AND(ArtifactsInput!$M$27,Inputs!$B$4="Chapter Hunt"),CHOOSE(ArtifactsInput!$N$27+1,20,24,28,32,36,40),0)/100)),0)</f>
        <v/>
      </c>
      <c r="R2886">
        <f>IF(AND(Inputs!$B$38&lt;&gt;"pvp",Inputs!$B$43&gt;0),IF(MAX(0,Inputs!$B$43-B2917)&lt;=0,0,(INT(MAX(0,Inputs!$B$43-B2917)/(IF(Inputs!$B$38="pvp",15,MAX(0.1,Skills!D9-IF(Skills!E9=TRUE,Inputs!$B$32,0)))*(1-IF(AND(ArtifactsInput!$M$27,Inputs!$B$4="Chapter Hunt"),CHOOSE(ArtifactsInput!$N$27+1,20,24,28,32,36,40),0)/100)))+1)),0)</f>
        <v/>
      </c>
      <c r="S2886">
        <f>IFERROR(O2886/N2886,0)</f>
        <v/>
      </c>
      <c r="T2886">
        <f>IF(C2886,(H2886*N2886*IF(AND(Inputs!$B$38&lt;&gt;"pvp",Inputs!$B$43&gt;0),((Skills!G9*((R2886-1)*IF(Skills!H9&gt;0,Skills!I9/Skills!H9,1)+IF(Skills!H9&gt;0,MIN(Skills!I9,MAX(0,MAX(0,Inputs!$B$43-B2917)-((R2886-1)*(IF(Inputs!$B$38="pvp",15,MAX(0.1,Skills!D9-IF(Skills!E9=TRUE,Inputs!$B$32,0)))*(1-IF(AND(ArtifactsInput!$M$27,Inputs!$B$4="Chapter Hunt"),CHOOSE(ArtifactsInput!$N$27+1,20,24,28,32,36,40),0)/100)))))/Skills!H9,1)))/Inputs!$B$43),G2886*Q2886)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2886*(1-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9*((R2886-1)*IF(Skills!H9&gt;0,Skills!I9/Skills!H9,1)+IF(Skills!H9&gt;0,MIN(Skills!I9,MAX(0,MAX(0,Inputs!$B$43-B2917)-((R2886-1)*(IF(Inputs!$B$38="pvp",15,MAX(0.1,Skills!D9-IF(Skills!E9=TRUE,Inputs!$B$32,0)))*(1-IF(AND(ArtifactsInput!$M$27,Inputs!$B$4="Chapter Hunt"),CHOOSE(ArtifactsInput!$N$27+1,20,24,28,32,36,40),0)/100)))))/Skills!H9,1)))/Inputs!$B$43),G2886*Q2886))*IF(Inputs!$B$38="pvp",1,(1+(Inputs!$B$21+Skills!Q9+(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Skills!A10</f>
        <v/>
      </c>
      <c r="B2887">
        <f>Skills!B10</f>
        <v/>
      </c>
      <c r="C2887">
        <f>Inputs!$B$3&gt;=100</f>
        <v/>
      </c>
      <c r="D2887">
        <f>IF(Skills!C10=1,60+Inputs!$B$25+Inputs!$B$29,IF(Skills!C10=2,90+Inputs!$B$26+Inputs!$B$29,IF(Skills!C10=3,120+Inputs!$B$27+Inputs!$B$29,MAX(0,(Inputs!$B$3-100)*3)+Inputs!$B$28+Inputs!$B$29)))</f>
        <v/>
      </c>
      <c r="E2887">
        <f>INDEX(FactorTable!$B$2:$Y$301, MATCH(ROUND(MIN(300,MAX(1,D2887)),0), FactorTable!$A$2:$A$301,0), Skills!M10+1)</f>
        <v/>
      </c>
      <c r="F2887">
        <f>IF(Skills!N10=TRUE,(Skills!L10/10)*(E2887/1000),Skills!L10/10)+Skills!O10</f>
        <v/>
      </c>
      <c r="G2887" t="inlineStr"/>
      <c r="H2887" t="inlineStr"/>
      <c r="I2887" t="inlineStr">
        <is>
          <t>1</t>
        </is>
      </c>
      <c r="J2887" t="inlineStr"/>
      <c r="K2887" t="inlineStr"/>
      <c r="L2887" t="inlineStr"/>
      <c r="M2887" t="inlineStr"/>
      <c r="N2887" t="inlineStr"/>
      <c r="O2887" t="inlineStr"/>
      <c r="P2887" t="inlineStr"/>
      <c r="Q2887" t="inlineStr"/>
      <c r="R2887" t="inlineStr"/>
      <c r="S2887" t="inlineStr"/>
      <c r="T2887" t="inlineStr"/>
      <c r="V2887" t="inlineStr"/>
    </row>
    <row r="2888">
      <c r="A2888">
        <f>Skills!A11</f>
        <v/>
      </c>
      <c r="B2888">
        <f>Skills!B11</f>
        <v/>
      </c>
      <c r="C2888">
        <f>Inputs!$B$3&gt;=60</f>
        <v/>
      </c>
      <c r="D2888">
        <f>IF(Skills!C11=1,60+Inputs!$B$25+Inputs!$B$29,IF(Skills!C11=2,90+Inputs!$B$26+Inputs!$B$29,IF(Skills!C11=3,120+Inputs!$B$27+Inputs!$B$29,MAX(0,(Inputs!$B$3-100)*3)+Inputs!$B$28+Inputs!$B$29)))</f>
        <v/>
      </c>
      <c r="E2888">
        <f>INDEX(FactorTable!$B$2:$Y$301, MATCH(ROUND(MIN(300,MAX(1,D2888)),0), FactorTable!$A$2:$A$301,0), Skills!M11+1)</f>
        <v/>
      </c>
      <c r="F2888">
        <f>IF(Skills!N11=TRUE,(Skills!L11/10)*(E2888/1000),Skills!L11/10)+Skills!O11</f>
        <v/>
      </c>
      <c r="G2888">
        <f>Skills!G11*IF(Skills!H11&gt;0,Skills!I11/Skills!H11,1)</f>
        <v/>
      </c>
      <c r="H2888">
        <f>1-(1-Skills!J11/100)^Skills!K11</f>
        <v/>
      </c>
      <c r="I2888" t="inlineStr">
        <is>
          <t>1</t>
        </is>
      </c>
      <c r="J2888">
        <f>((Inputs!$B$6*(1+Inputs!$B$7/100))+(((Inputs!$B$12*(1+Inputs!$B$13/100))-(Inputs!$B$12*(1+Inputs!$B$13/100)))+0.25*(Inputs!$B$14-Inputs!$B$14))*(1+Inputs!$B$7/100))*(F2888/100)</f>
        <v/>
      </c>
      <c r="K2888">
        <f>J2888*(1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2889=TRUE,F2889,0)/100)*(1+(IF(Skills!A11="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2901=TRUE)*(F2901-Calc!F24)),(Inputs!$B$23+((C2906=TRUE)*(F2906-Calc!F29))+(IF(ArtifactsInput!$M$15,CHOOSE(ArtifactsInput!$N$15+1,25,30,35,40,45,50)/100*(Inputs!$B$11-Inputs!$B$11),0))))/100+(Inputs!$B$23+((C2906=TRUE)*(F2906-Calc!F29))+(IF(ArtifactsInput!$M$15,CHOOSE(ArtifactsInput!$N$15+1,25,30,35,40,45,50)/100*(Inputs!$B$11-Inputs!$B$11),0)))/100)/2</f>
        <v/>
      </c>
      <c r="M2888">
        <f>L2888*(1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IF(B2920=0,0,O2888/B2920)</f>
        <v/>
      </c>
      <c r="Q2888">
        <f>IFERROR(1/(IF(Inputs!$B$38="pvp",15,MAX(0.1,Skills!D11-IF(Skills!E11=TRUE,Inputs!$B$32,0)))*(1-IF(AND(ArtifactsInput!$M$27,Inputs!$B$4="Chapter Hunt"),CHOOSE(ArtifactsInput!$N$27+1,20,24,28,32,36,40),0)/100)),0)</f>
        <v/>
      </c>
      <c r="R2888">
        <f>IF(AND(Inputs!$B$38&lt;&gt;"pvp",Inputs!$B$43&gt;0),IF(MAX(0,Inputs!$B$43-B2917)&lt;=0,0,(INT(MAX(0,Inputs!$B$43-B2917)/(IF(Inputs!$B$38="pvp",15,MAX(0.1,Skills!D11-IF(Skills!E11=TRUE,Inputs!$B$32,0)))*(1-IF(AND(ArtifactsInput!$M$27,Inputs!$B$4="Chapter Hunt"),CHOOSE(ArtifactsInput!$N$27+1,20,24,28,32,36,40),0)/100)))+1)),0)</f>
        <v/>
      </c>
      <c r="S2888">
        <f>IFERROR(O2888/N2888,0)</f>
        <v/>
      </c>
      <c r="T2888">
        <f>IF(C2888,(H2888*N2888*IF(AND(Inputs!$B$38&lt;&gt;"pvp",Inputs!$B$43&gt;0),((Skills!G11*((R2888-1)*IF(Skills!H11&gt;0,Skills!I11/Skills!H11,1)+IF(Skills!H11&gt;0,MIN(Skills!I11,MAX(0,MAX(0,Inputs!$B$43-B2917)-((R2888-1)*(IF(Inputs!$B$38="pvp",15,MAX(0.1,Skills!D11-IF(Skills!E11=TRUE,Inputs!$B$32,0)))*(1-IF(AND(ArtifactsInput!$M$27,Inputs!$B$4="Chapter Hunt"),CHOOSE(ArtifactsInput!$N$27+1,20,24,28,32,36,40),0)/100)))))/Skills!H11,1)))/Inputs!$B$43),G2888*Q2888)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2888*(1-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11*((R2888-1)*IF(Skills!H11&gt;0,Skills!I11/Skills!H11,1)+IF(Skills!H11&gt;0,MIN(Skills!I11,MAX(0,MAX(0,Inputs!$B$43-B2917)-((R2888-1)*(IF(Inputs!$B$38="pvp",15,MAX(0.1,Skills!D11-IF(Skills!E11=TRUE,Inputs!$B$32,0)))*(1-IF(AND(ArtifactsInput!$M$27,Inputs!$B$4="Chapter Hunt"),CHOOSE(ArtifactsInput!$N$27+1,20,24,28,32,36,40),0)/100)))))/Skills!H11,1)))/Inputs!$B$43),G2888*Q2888))*IF(Inputs!$B$38="pvp",1,(1+(Inputs!$B$21+Skills!Q11+(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Skills!A12</f>
        <v/>
      </c>
      <c r="B2889">
        <f>Skills!B12</f>
        <v/>
      </c>
      <c r="C2889">
        <f>Inputs!$B$3&gt;=110</f>
        <v/>
      </c>
      <c r="D2889">
        <f>IF(Skills!C12=1,60+Inputs!$B$25+Inputs!$B$29,IF(Skills!C12=2,90+Inputs!$B$26+Inputs!$B$29,IF(Skills!C12=3,120+Inputs!$B$27+Inputs!$B$29,MAX(0,(Inputs!$B$3-100)*3)+Inputs!$B$28+Inputs!$B$29)))</f>
        <v/>
      </c>
      <c r="E2889">
        <f>INDEX(FactorTable!$B$2:$Y$301, MATCH(ROUND(MIN(300,MAX(1,D2889)),0), FactorTable!$A$2:$A$301,0), Skills!M12+1)</f>
        <v/>
      </c>
      <c r="F2889">
        <f>IF(Skills!N12=TRUE,(Skills!L12/10)*(E2889/1000),Skills!L12/10)+Skills!O12</f>
        <v/>
      </c>
      <c r="G2889" t="inlineStr"/>
      <c r="H2889" t="inlineStr"/>
      <c r="I2889" t="inlineStr">
        <is>
          <t>1</t>
        </is>
      </c>
      <c r="J2889" t="inlineStr"/>
      <c r="K2889" t="inlineStr"/>
      <c r="L2889" t="inlineStr"/>
      <c r="M2889" t="inlineStr"/>
      <c r="N2889" t="inlineStr"/>
      <c r="O2889" t="inlineStr"/>
      <c r="P2889" t="inlineStr"/>
      <c r="Q2889" t="inlineStr"/>
      <c r="R2889" t="inlineStr"/>
      <c r="S2889" t="inlineStr"/>
      <c r="T2889" t="inlineStr"/>
      <c r="V2889" t="inlineStr"/>
    </row>
    <row r="2890">
      <c r="A2890">
        <f>Skills!A13</f>
        <v/>
      </c>
      <c r="B2890">
        <f>Skills!B13</f>
        <v/>
      </c>
      <c r="C2890">
        <f>Inputs!$B$3&gt;=74</f>
        <v/>
      </c>
      <c r="D2890">
        <f>IF(Skills!C13=1,60+Inputs!$B$25+Inputs!$B$29,IF(Skills!C13=2,90+Inputs!$B$26+Inputs!$B$29,IF(Skills!C13=3,120+Inputs!$B$27+Inputs!$B$29,MAX(0,(Inputs!$B$3-100)*3)+Inputs!$B$28+Inputs!$B$29)))</f>
        <v/>
      </c>
      <c r="E2890">
        <f>INDEX(FactorTable!$B$2:$Y$301, MATCH(ROUND(MIN(300,MAX(1,D2890)),0), FactorTable!$A$2:$A$301,0), Skills!M13+1)</f>
        <v/>
      </c>
      <c r="F2890">
        <f>IF(Skills!N13=TRUE,(Skills!L13/10)*(E2890/1000),Skills!L13/10)+Skills!O13</f>
        <v/>
      </c>
      <c r="G2890">
        <f>Skills!G13*IF(Skills!H13&gt;0,Skills!I13/Skills!H13,1)</f>
        <v/>
      </c>
      <c r="H2890">
        <f>1-(1-Skills!J13/100)^Skills!K13</f>
        <v/>
      </c>
      <c r="I2890" t="inlineStr">
        <is>
          <t>1</t>
        </is>
      </c>
      <c r="J2890" t="inlineStr"/>
      <c r="K2890" t="inlineStr"/>
      <c r="L2890" t="inlineStr"/>
      <c r="M2890" t="inlineStr"/>
      <c r="N2890" t="inlineStr"/>
      <c r="O2890">
        <f>(1-Summary!$B$11)*T2890+Summary!$B$11*V2890</f>
        <v/>
      </c>
      <c r="P2890">
        <f>IF(B2920=0,0,O2890/B2920)</f>
        <v/>
      </c>
      <c r="Q2890" t="n">
        <v>0</v>
      </c>
      <c r="R2890" t="n">
        <v>0</v>
      </c>
      <c r="S2890">
        <f>IFERROR(O2890/N2890,0)</f>
        <v/>
      </c>
      <c r="T2890" t="n">
        <v>0</v>
      </c>
      <c r="V2890" t="n">
        <v>0</v>
      </c>
    </row>
    <row r="2891">
      <c r="A2891">
        <f>Skills!A14</f>
        <v/>
      </c>
      <c r="B2891">
        <f>Skills!B14</f>
        <v/>
      </c>
      <c r="C2891">
        <f>Inputs!$B$3&gt;=74</f>
        <v/>
      </c>
      <c r="D2891">
        <f>IF(Skills!C14=1,60+Inputs!$B$25+Inputs!$B$29,IF(Skills!C14=2,90+Inputs!$B$26+Inputs!$B$29,IF(Skills!C14=3,120+Inputs!$B$27+Inputs!$B$29,MAX(0,(Inputs!$B$3-100)*3)+Inputs!$B$28+Inputs!$B$29)))</f>
        <v/>
      </c>
      <c r="E2891">
        <f>INDEX(FactorTable!$B$2:$Y$301, MATCH(ROUND(MIN(300,MAX(1,D2891)),0), FactorTable!$A$2:$A$301,0), Skills!M14+1)</f>
        <v/>
      </c>
      <c r="F2891">
        <f>IF(Skills!N14=TRUE,(Skills!L14/10)*(E2891/1000),Skills!L14/10)+Skills!O14</f>
        <v/>
      </c>
      <c r="G2891">
        <f>Skills!G14*IF(Skills!H14&gt;0,Skills!I14/Skills!H14,1)</f>
        <v/>
      </c>
      <c r="H2891">
        <f>1-(1-Skills!J14/100)^Skills!K14</f>
        <v/>
      </c>
      <c r="I2891" t="inlineStr">
        <is>
          <t>1</t>
        </is>
      </c>
      <c r="J2891" t="inlineStr"/>
      <c r="K2891" t="inlineStr"/>
      <c r="L2891" t="inlineStr"/>
      <c r="M2891" t="inlineStr"/>
      <c r="N2891" t="inlineStr"/>
      <c r="O2891">
        <f>(1-Summary!$B$11)*T2891+Summary!$B$11*V2891</f>
        <v/>
      </c>
      <c r="P2891">
        <f>IF(B2920=0,0,O2891/B2920)</f>
        <v/>
      </c>
      <c r="Q2891" t="n">
        <v>0</v>
      </c>
      <c r="R2891" t="n">
        <v>0</v>
      </c>
      <c r="S2891">
        <f>IFERROR(O2891/N2891,0)</f>
        <v/>
      </c>
      <c r="T2891" t="n">
        <v>0</v>
      </c>
      <c r="V2891" t="n">
        <v>0</v>
      </c>
    </row>
    <row r="2892">
      <c r="A2892">
        <f>Skills!A15</f>
        <v/>
      </c>
      <c r="B2892">
        <f>Skills!B15</f>
        <v/>
      </c>
      <c r="C2892">
        <f>Inputs!$B$3&gt;=117</f>
        <v/>
      </c>
      <c r="D2892">
        <f>IF(Skills!C15=1,60+Inputs!$B$25+Inputs!$B$29,IF(Skills!C15=2,90+Inputs!$B$26+Inputs!$B$29,IF(Skills!C15=3,120+Inputs!$B$27+Inputs!$B$29,MAX(0,(Inputs!$B$3-100)*3)+Inputs!$B$28+Inputs!$B$29)))</f>
        <v/>
      </c>
      <c r="E2892">
        <f>INDEX(FactorTable!$B$2:$Y$301, MATCH(ROUND(MIN(300,MAX(1,D2892)),0), FactorTable!$A$2:$A$301,0), Skills!M15+1)</f>
        <v/>
      </c>
      <c r="F2892">
        <f>IF(Skills!N15=TRUE,(Skills!L15/10)*(E2892/1000),Skills!L15/10)+Skills!O15</f>
        <v/>
      </c>
      <c r="G2892">
        <f>Skills!G15*IF(Skills!H15&gt;0,Skills!I15/Skills!H15,1)</f>
        <v/>
      </c>
      <c r="H2892">
        <f>1-(1-Skills!J15/100)^Skills!K15</f>
        <v/>
      </c>
      <c r="I2892" t="inlineStr">
        <is>
          <t>1</t>
        </is>
      </c>
      <c r="J2892" t="inlineStr"/>
      <c r="K2892" t="inlineStr"/>
      <c r="L2892" t="inlineStr"/>
      <c r="M2892" t="inlineStr"/>
      <c r="N2892" t="inlineStr"/>
      <c r="O2892">
        <f>(1-Summary!$B$11)*T2892+Summary!$B$11*V2892</f>
        <v/>
      </c>
      <c r="P2892">
        <f>IF(B2920=0,0,O2892/B2920)</f>
        <v/>
      </c>
      <c r="Q2892">
        <f>IFERROR(1/(IF(Inputs!$B$38="pvp",15,MAX(0.1,Skills!D15-IF(Skills!E15=TRUE,Inputs!$B$32,0)))*(1-IF(AND(ArtifactsInput!$M$27,Inputs!$B$4="Chapter Hunt"),CHOOSE(ArtifactsInput!$N$27+1,20,24,28,32,36,40),0)/100)),0)</f>
        <v/>
      </c>
      <c r="R2892">
        <f>IF(AND(Inputs!$B$38&lt;&gt;"pvp",Inputs!$B$43&gt;0),IF(Inputs!$B$43&lt;=0,0,(INT(Inputs!$B$43/(IF(Inputs!$B$38="pvp",15,MAX(0.1,Skills!D15-IF(Skills!E15=TRUE,Inputs!$B$32,0)))*(1-IF(AND(ArtifactsInput!$M$27,Inputs!$B$4="Chapter Hunt"),CHOOSE(ArtifactsInput!$N$27+1,20,24,28,32,36,40),0)/100)))+1)),0)</f>
        <v/>
      </c>
      <c r="S2892">
        <f>IFERROR(O2892/N2892,0)</f>
        <v/>
      </c>
      <c r="T2892" t="n">
        <v>0</v>
      </c>
      <c r="V2892" t="n">
        <v>0</v>
      </c>
    </row>
    <row r="2893">
      <c r="A2893">
        <f>Skills!A16</f>
        <v/>
      </c>
      <c r="B2893">
        <f>Skills!B16</f>
        <v/>
      </c>
      <c r="C2893">
        <f>Inputs!$B$3&gt;=115</f>
        <v/>
      </c>
      <c r="D2893">
        <f>IF(Skills!C16=1,60+Inputs!$B$25+Inputs!$B$29,IF(Skills!C16=2,90+Inputs!$B$26+Inputs!$B$29,IF(Skills!C16=3,120+Inputs!$B$27+Inputs!$B$29,MAX(0,(Inputs!$B$3-100)*3)+Inputs!$B$28+Inputs!$B$29)))</f>
        <v/>
      </c>
      <c r="E2893">
        <f>INDEX(FactorTable!$B$2:$Y$301, MATCH(ROUND(MIN(300,MAX(1,D2893)),0), FactorTable!$A$2:$A$301,0), Skills!M16+1)</f>
        <v/>
      </c>
      <c r="F2893">
        <f>IF(Skills!N16=TRUE,(Skills!L16/10)*(E2893/1000),Skills!L16/10)+Skills!O16</f>
        <v/>
      </c>
      <c r="G2893">
        <f>Skills!G16*IF(Skills!H16&gt;0,Skills!I16/Skills!H16,1)</f>
        <v/>
      </c>
      <c r="H2893">
        <f>1-(1-Skills!J16/100)^Skills!K16</f>
        <v/>
      </c>
      <c r="I2893" t="inlineStr">
        <is>
          <t>1</t>
        </is>
      </c>
      <c r="J2893" t="inlineStr"/>
      <c r="K2893" t="inlineStr"/>
      <c r="L2893" t="inlineStr"/>
      <c r="M2893" t="inlineStr"/>
      <c r="N2893" t="inlineStr"/>
      <c r="O2893">
        <f>(1-Summary!$B$11)*T2893+Summary!$B$11*V2893</f>
        <v/>
      </c>
      <c r="P2893">
        <f>IF(B2920=0,0,O2893/B2920)</f>
        <v/>
      </c>
      <c r="Q2893">
        <f>IFERROR(1/(IF(Inputs!$B$38="pvp",15,MAX(0.1,Skills!D16-IF(Skills!E16=TRUE,Inputs!$B$32,0)))*(1-IF(AND(ArtifactsInput!$M$27,Inputs!$B$4="Chapter Hunt"),CHOOSE(ArtifactsInput!$N$27+1,20,24,28,32,36,40),0)/100)),0)</f>
        <v/>
      </c>
      <c r="R2893">
        <f>IF(AND(Inputs!$B$38&lt;&gt;"pvp",Inputs!$B$43&gt;0),IF(Inputs!$B$43&lt;=0,0,(INT(Inputs!$B$43/(IF(Inputs!$B$38="pvp",15,MAX(0.1,Skills!D16-IF(Skills!E16=TRUE,Inputs!$B$32,0)))*(1-IF(AND(ArtifactsInput!$M$27,Inputs!$B$4="Chapter Hunt"),CHOOSE(ArtifactsInput!$N$27+1,20,24,28,32,36,40),0)/100)))+1)),0)</f>
        <v/>
      </c>
      <c r="S2893">
        <f>IFERROR(O2893/N2893,0)</f>
        <v/>
      </c>
      <c r="T2893" t="n">
        <v>0</v>
      </c>
      <c r="V2893" t="n">
        <v>0</v>
      </c>
    </row>
    <row r="2894">
      <c r="A2894">
        <f>Skills!A17</f>
        <v/>
      </c>
      <c r="B2894">
        <f>Skills!B17</f>
        <v/>
      </c>
      <c r="C2894">
        <f>Inputs!$B$3&gt;=66</f>
        <v/>
      </c>
      <c r="D2894">
        <f>IF(Skills!C17=1,60+Inputs!$B$25+Inputs!$B$29,IF(Skills!C17=2,90+Inputs!$B$26+Inputs!$B$29,IF(Skills!C17=3,120+Inputs!$B$27+Inputs!$B$29,MAX(0,(Inputs!$B$3-100)*3)+Inputs!$B$28+Inputs!$B$29)))</f>
        <v/>
      </c>
      <c r="E2894">
        <f>INDEX(FactorTable!$B$2:$Y$301, MATCH(ROUND(MIN(300,MAX(1,D2894)),0), FactorTable!$A$2:$A$301,0), Skills!M17+1)</f>
        <v/>
      </c>
      <c r="F2894">
        <f>IF(Skills!N17=TRUE,(Skills!L17/10)*(E2894/1000),Skills!L17/10)+Skills!O17</f>
        <v/>
      </c>
      <c r="G2894">
        <f>Skills!G17*IF(Skills!H17&gt;0,Skills!I17/Skills!H17,1)</f>
        <v/>
      </c>
      <c r="H2894">
        <f>1-(1-Skills!J17/100)^Skills!K17</f>
        <v/>
      </c>
      <c r="I2894" t="inlineStr">
        <is>
          <t>1</t>
        </is>
      </c>
      <c r="J2894" t="inlineStr"/>
      <c r="K2894" t="inlineStr"/>
      <c r="L2894" t="inlineStr"/>
      <c r="M2894" t="inlineStr"/>
      <c r="N2894" t="inlineStr"/>
      <c r="O2894">
        <f>(1-Summary!$B$11)*T2894+Summary!$B$11*V2894</f>
        <v/>
      </c>
      <c r="P2894">
        <f>IF(B2920=0,0,O2894/B2920)</f>
        <v/>
      </c>
      <c r="Q2894" t="n">
        <v>0</v>
      </c>
      <c r="R2894" t="n">
        <v>0</v>
      </c>
      <c r="S2894">
        <f>IFERROR(O2894/N2894,0)</f>
        <v/>
      </c>
      <c r="T2894" t="n">
        <v>0</v>
      </c>
      <c r="V2894" t="n">
        <v>0</v>
      </c>
    </row>
    <row r="2895">
      <c r="A2895">
        <f>Skills!A18</f>
        <v/>
      </c>
      <c r="B2895">
        <f>Skills!B18</f>
        <v/>
      </c>
      <c r="C2895">
        <f>Inputs!$B$3&gt;=72</f>
        <v/>
      </c>
      <c r="D2895">
        <f>IF(Skills!C18=1,60+Inputs!$B$25+Inputs!$B$29,IF(Skills!C18=2,90+Inputs!$B$26+Inputs!$B$29,IF(Skills!C18=3,120+Inputs!$B$27+Inputs!$B$29,MAX(0,(Inputs!$B$3-100)*3)+Inputs!$B$28+Inputs!$B$29)))</f>
        <v/>
      </c>
      <c r="E2895">
        <f>INDEX(FactorTable!$B$2:$Y$301, MATCH(ROUND(MIN(300,MAX(1,D2895)),0), FactorTable!$A$2:$A$301,0), Skills!M18+1)</f>
        <v/>
      </c>
      <c r="F2895">
        <f>IF(Skills!N18=TRUE,(Skills!L18/10)*(E2895/1000),Skills!L18/10)+Skills!O18</f>
        <v/>
      </c>
      <c r="G2895">
        <f>Skills!G18*IF(Skills!H18&gt;0,Skills!I18/Skills!H18,1)</f>
        <v/>
      </c>
      <c r="H2895">
        <f>1-(1-Skills!J18/100)^Skills!K18</f>
        <v/>
      </c>
      <c r="I2895" t="inlineStr">
        <is>
          <t>1</t>
        </is>
      </c>
      <c r="J2895" t="inlineStr"/>
      <c r="K2895" t="inlineStr"/>
      <c r="L2895" t="inlineStr"/>
      <c r="M2895" t="inlineStr"/>
      <c r="N2895" t="inlineStr"/>
      <c r="O2895">
        <f>(1-Summary!$B$11)*T2895+Summary!$B$11*V2895</f>
        <v/>
      </c>
      <c r="P2895">
        <f>IF(B2920=0,0,O2895/B2920)</f>
        <v/>
      </c>
      <c r="Q2895" t="n">
        <v>0</v>
      </c>
      <c r="R2895" t="n">
        <v>0</v>
      </c>
      <c r="S2895">
        <f>IFERROR(O2895/N2895,0)</f>
        <v/>
      </c>
      <c r="T2895" t="n">
        <v>0</v>
      </c>
      <c r="V2895" t="n">
        <v>0</v>
      </c>
    </row>
    <row r="2896">
      <c r="A2896">
        <f>Skills!A19</f>
        <v/>
      </c>
      <c r="B2896">
        <f>Skills!B19</f>
        <v/>
      </c>
      <c r="C2896">
        <f>TRUE</f>
        <v/>
      </c>
      <c r="D2896">
        <f>IF(Skills!C19=1,60+Inputs!$B$25+Inputs!$B$29,IF(Skills!C19=2,90+Inputs!$B$26+Inputs!$B$29,IF(Skills!C19=3,120+Inputs!$B$27+Inputs!$B$29,MAX(0,(Inputs!$B$3-100)*3)+Inputs!$B$28+Inputs!$B$29)))</f>
        <v/>
      </c>
      <c r="E2896">
        <f>INDEX(FactorTable!$B$2:$Y$301, MATCH(ROUND(MIN(300,MAX(1,D2896)),0), FactorTable!$A$2:$A$301,0), Skills!M19+1)</f>
        <v/>
      </c>
      <c r="F2896">
        <f>IF(Skills!N19=TRUE,(Skills!L19/10)*(E2896/1000),Skills!L19/10)+Skills!O19</f>
        <v/>
      </c>
      <c r="G2896">
        <f>Skills!G19*IF(Skills!H19&gt;0,Skills!I19/Skills!H19,1)</f>
        <v/>
      </c>
      <c r="H2896">
        <f>1-(1-Skills!J19/100)^Skills!K19</f>
        <v/>
      </c>
      <c r="I2896" t="inlineStr">
        <is>
          <t>1</t>
        </is>
      </c>
      <c r="J2896" t="inlineStr"/>
      <c r="K2896" t="inlineStr"/>
      <c r="L2896" t="inlineStr"/>
      <c r="M2896" t="inlineStr"/>
      <c r="N2896" t="inlineStr"/>
      <c r="O2896">
        <f>(1-Summary!$B$11)*T2896+Summary!$B$11*V2896</f>
        <v/>
      </c>
      <c r="P2896">
        <f>IF(B2920=0,0,O2896/B2920)</f>
        <v/>
      </c>
      <c r="Q2896">
        <f>IFERROR(1/(IF(Inputs!$B$38="pvp",15,MAX(0.1,Skills!D19-IF(Skills!E19=TRUE,Inputs!$B$32,0)))*(1-IF(AND(ArtifactsInput!$M$27,Inputs!$B$4="Chapter Hunt"),CHOOSE(ArtifactsInput!$N$27+1,20,24,28,32,36,40),0)/100)),0)</f>
        <v/>
      </c>
      <c r="R2896">
        <f>IF(AND(Inputs!$B$38&lt;&gt;"pvp",Inputs!$B$43&gt;0),IF(Inputs!$B$43&lt;=0,0,(INT(Inputs!$B$43/(IF(Inputs!$B$38="pvp",15,MAX(0.1,Skills!D19-IF(Skills!E19=TRUE,Inputs!$B$32,0)))*(1-IF(AND(ArtifactsInput!$M$27,Inputs!$B$4="Chapter Hunt"),CHOOSE(ArtifactsInput!$N$27+1,20,24,28,32,36,40),0)/100)))+1)),0)</f>
        <v/>
      </c>
      <c r="S2896">
        <f>IFERROR(O2896/N2896,0)</f>
        <v/>
      </c>
      <c r="T2896" t="n">
        <v>0</v>
      </c>
      <c r="V2896" t="n">
        <v>0</v>
      </c>
    </row>
    <row r="2897">
      <c r="A2897">
        <f>Skills!A20</f>
        <v/>
      </c>
      <c r="B2897">
        <f>Skills!B20</f>
        <v/>
      </c>
      <c r="C2897">
        <f>Inputs!$B$3&gt;=15</f>
        <v/>
      </c>
      <c r="D2897">
        <f>IF(Skills!C20=1,60+Inputs!$B$25+Inputs!$B$29,IF(Skills!C20=2,90+Inputs!$B$26+Inputs!$B$29,IF(Skills!C20=3,120+Inputs!$B$27+Inputs!$B$29,MAX(0,(Inputs!$B$3-100)*3)+Inputs!$B$28+Inputs!$B$29)))</f>
        <v/>
      </c>
      <c r="E2897">
        <f>INDEX(FactorTable!$B$2:$Y$301, MATCH(ROUND(MIN(300,MAX(1,D2897)),0), FactorTable!$A$2:$A$301,0), Skills!M20+1)</f>
        <v/>
      </c>
      <c r="F2897">
        <f>IF(Skills!N20=TRUE,(Skills!L20/10)*(E2897/1000),Skills!L20/10)+Skills!O20</f>
        <v/>
      </c>
      <c r="G2897">
        <f>Skills!G20*IF(Skills!H20&gt;0,Skills!I20/Skills!H20,1)</f>
        <v/>
      </c>
      <c r="H2897">
        <f>1-(1-Skills!J20/100)^Skills!K20</f>
        <v/>
      </c>
      <c r="I2897" t="inlineStr">
        <is>
          <t>1</t>
        </is>
      </c>
      <c r="J2897" t="inlineStr"/>
      <c r="K2897" t="inlineStr"/>
      <c r="L2897" t="inlineStr"/>
      <c r="M2897" t="inlineStr"/>
      <c r="N2897" t="inlineStr"/>
      <c r="O2897">
        <f>(1-Summary!$B$11)*T2897+Summary!$B$11*V2897</f>
        <v/>
      </c>
      <c r="P2897">
        <f>IF(B2920=0,0,O2897/B2920)</f>
        <v/>
      </c>
      <c r="Q2897" t="n">
        <v>0</v>
      </c>
      <c r="R2897" t="n">
        <v>0</v>
      </c>
      <c r="S2897">
        <f>IFERROR(O2897/N2897,0)</f>
        <v/>
      </c>
      <c r="T2897" t="n">
        <v>0</v>
      </c>
      <c r="V2897" t="n">
        <v>0</v>
      </c>
    </row>
    <row r="2898">
      <c r="A2898">
        <f>Skills!A21</f>
        <v/>
      </c>
      <c r="B2898">
        <f>Skills!B21</f>
        <v/>
      </c>
      <c r="C2898">
        <f>Inputs!$B$3&gt;=10</f>
        <v/>
      </c>
      <c r="D2898">
        <f>IF(Skills!C21=1,60+Inputs!$B$25+Inputs!$B$29,IF(Skills!C21=2,90+Inputs!$B$26+Inputs!$B$29,IF(Skills!C21=3,120+Inputs!$B$27+Inputs!$B$29,MAX(0,(Inputs!$B$3-100)*3)+Inputs!$B$28+Inputs!$B$29)))</f>
        <v/>
      </c>
      <c r="E2898">
        <f>INDEX(FactorTable!$B$2:$Y$301, MATCH(ROUND(MIN(300,MAX(1,D2898)),0), FactorTable!$A$2:$A$301,0), Skills!M21+1)</f>
        <v/>
      </c>
      <c r="F2898">
        <f>IF(Skills!N21=TRUE,(Skills!L21/10)*(E2898/1000),Skills!L21/10)+Skills!O21</f>
        <v/>
      </c>
      <c r="G2898">
        <f>Skills!G21*IF(Skills!H21&gt;0,Skills!I21/Skills!H21,1)</f>
        <v/>
      </c>
      <c r="H2898">
        <f>1-(1-Skills!J21/100)^Skills!K21</f>
        <v/>
      </c>
      <c r="I2898" t="inlineStr">
        <is>
          <t>1</t>
        </is>
      </c>
      <c r="J2898" t="inlineStr"/>
      <c r="K2898" t="inlineStr"/>
      <c r="L2898" t="inlineStr"/>
      <c r="M2898" t="inlineStr"/>
      <c r="N2898" t="inlineStr"/>
      <c r="O2898">
        <f>(1-Summary!$B$11)*T2898+Summary!$B$11*V2898</f>
        <v/>
      </c>
      <c r="P2898">
        <f>IF(B2920=0,0,O2898/B2920)</f>
        <v/>
      </c>
      <c r="Q2898" t="n">
        <v>0</v>
      </c>
      <c r="R2898" t="n">
        <v>0</v>
      </c>
      <c r="S2898">
        <f>IFERROR(O2898/N2898,0)</f>
        <v/>
      </c>
      <c r="T2898" t="n">
        <v>0</v>
      </c>
      <c r="V2898" t="n">
        <v>0</v>
      </c>
    </row>
    <row r="2899">
      <c r="A2899">
        <f>Skills!A22</f>
        <v/>
      </c>
      <c r="B2899">
        <f>Skills!B22</f>
        <v/>
      </c>
      <c r="C2899">
        <f>Inputs!$B$3&gt;=33</f>
        <v/>
      </c>
      <c r="D2899">
        <f>IF(Skills!C22=1,60+Inputs!$B$25+Inputs!$B$29,IF(Skills!C22=2,90+Inputs!$B$26+Inputs!$B$29,IF(Skills!C22=3,120+Inputs!$B$27+Inputs!$B$29,MAX(0,(Inputs!$B$3-100)*3)+Inputs!$B$28+Inputs!$B$29)))</f>
        <v/>
      </c>
      <c r="E2899">
        <f>INDEX(FactorTable!$B$2:$Y$301, MATCH(ROUND(MIN(300,MAX(1,D2899)),0), FactorTable!$A$2:$A$301,0), Skills!M22+1)</f>
        <v/>
      </c>
      <c r="F2899">
        <f>IF(Skills!N22=TRUE,(Skills!L22/10)*(E2899/1000),Skills!L22/10)+Skills!O22</f>
        <v/>
      </c>
      <c r="G2899">
        <f>Skills!G22*IF(Skills!H22&gt;0,Skills!I22/Skills!H22,1)</f>
        <v/>
      </c>
      <c r="H2899">
        <f>1-(1-Skills!J22/100)^Skills!K22</f>
        <v/>
      </c>
      <c r="I2899" t="inlineStr">
        <is>
          <t>1</t>
        </is>
      </c>
      <c r="J2899" t="inlineStr"/>
      <c r="K2899" t="inlineStr"/>
      <c r="L2899" t="inlineStr"/>
      <c r="M2899" t="inlineStr"/>
      <c r="N2899" t="inlineStr"/>
      <c r="O2899">
        <f>(1-Summary!$B$11)*T2899+Summary!$B$11*V2899</f>
        <v/>
      </c>
      <c r="P2899">
        <f>IF(B2920=0,0,O2899/B2920)</f>
        <v/>
      </c>
      <c r="Q2899" t="n">
        <v>0</v>
      </c>
      <c r="R2899" t="n">
        <v>0</v>
      </c>
      <c r="S2899">
        <f>IFERROR(O2899/N2899,0)</f>
        <v/>
      </c>
      <c r="T2899" t="n">
        <v>0</v>
      </c>
      <c r="V2899" t="n">
        <v>0</v>
      </c>
    </row>
    <row r="2900">
      <c r="A2900">
        <f>Skills!A23</f>
        <v/>
      </c>
      <c r="B2900">
        <f>Skills!B23</f>
        <v/>
      </c>
      <c r="C2900">
        <f>Inputs!$B$3&gt;=38</f>
        <v/>
      </c>
      <c r="D2900">
        <f>IF(Skills!C23=1,60+Inputs!$B$25+Inputs!$B$29,IF(Skills!C23=2,90+Inputs!$B$26+Inputs!$B$29,IF(Skills!C23=3,120+Inputs!$B$27+Inputs!$B$29,MAX(0,(Inputs!$B$3-100)*3)+Inputs!$B$28+Inputs!$B$29)))</f>
        <v/>
      </c>
      <c r="E2900">
        <f>INDEX(FactorTable!$B$2:$Y$301, MATCH(ROUND(MIN(300,MAX(1,D2900)),0), FactorTable!$A$2:$A$301,0), Skills!M23+1)</f>
        <v/>
      </c>
      <c r="F2900">
        <f>IF(Skills!N23=TRUE,(Skills!L23/10)*(E2900/1000),Skills!L23/10)+Skills!O23</f>
        <v/>
      </c>
      <c r="G2900">
        <f>Skills!G23*IF(Skills!H23&gt;0,Skills!I23/Skills!H23,1)</f>
        <v/>
      </c>
      <c r="H2900">
        <f>1-(1-Skills!J23/100)^Skills!K23</f>
        <v/>
      </c>
      <c r="I2900" t="inlineStr">
        <is>
          <t>1</t>
        </is>
      </c>
      <c r="J2900" t="inlineStr"/>
      <c r="K2900" t="inlineStr"/>
      <c r="L2900" t="inlineStr"/>
      <c r="M2900" t="inlineStr"/>
      <c r="N2900" t="inlineStr"/>
      <c r="O2900">
        <f>(1-Summary!$B$11)*T2900+Summary!$B$11*V2900</f>
        <v/>
      </c>
      <c r="P2900">
        <f>IF(B2920=0,0,O2900/B2920)</f>
        <v/>
      </c>
      <c r="Q2900" t="n">
        <v>0</v>
      </c>
      <c r="R2900" t="n">
        <v>0</v>
      </c>
      <c r="S2900">
        <f>IFERROR(O2900/N2900,0)</f>
        <v/>
      </c>
      <c r="T2900" t="n">
        <v>0</v>
      </c>
      <c r="V2900" t="n">
        <v>0</v>
      </c>
    </row>
    <row r="2901">
      <c r="A2901">
        <f>Skills!A24</f>
        <v/>
      </c>
      <c r="B2901">
        <f>Skills!B24</f>
        <v/>
      </c>
      <c r="C2901">
        <f>Inputs!$B$3&gt;=43</f>
        <v/>
      </c>
      <c r="D2901">
        <f>IF(Skills!C24=1,60+Inputs!$B$25+Inputs!$B$29,IF(Skills!C24=2,90+Inputs!$B$26+Inputs!$B$29,IF(Skills!C24=3,120+Inputs!$B$27+Inputs!$B$29,MAX(0,(Inputs!$B$3-100)*3)+Inputs!$B$28+Inputs!$B$29)))</f>
        <v/>
      </c>
      <c r="E2901">
        <f>INDEX(FactorTable!$B$2:$Y$301, MATCH(ROUND(MIN(300,MAX(1,D2901)),0), FactorTable!$A$2:$A$301,0), Skills!M24+1)</f>
        <v/>
      </c>
      <c r="F2901">
        <f>IF(Skills!N24=TRUE,(Skills!L24/10)*(E2901/1000),Skills!L24/10)+Skills!O24</f>
        <v/>
      </c>
      <c r="G2901">
        <f>Skills!G24*IF(Skills!H24&gt;0,Skills!I24/Skills!H24,1)</f>
        <v/>
      </c>
      <c r="H2901">
        <f>1-(1-Skills!J24/100)^Skills!K24</f>
        <v/>
      </c>
      <c r="I2901" t="inlineStr">
        <is>
          <t>1</t>
        </is>
      </c>
      <c r="J2901" t="inlineStr"/>
      <c r="K2901" t="inlineStr"/>
      <c r="L2901" t="inlineStr"/>
      <c r="M2901" t="inlineStr"/>
      <c r="N2901" t="inlineStr"/>
      <c r="O2901">
        <f>(1-Summary!$B$11)*T2901+Summary!$B$11*V2901</f>
        <v/>
      </c>
      <c r="P2901">
        <f>IF(B2920=0,0,O2901/B2920)</f>
        <v/>
      </c>
      <c r="Q2901" t="n">
        <v>0</v>
      </c>
      <c r="R2901" t="n">
        <v>0</v>
      </c>
      <c r="S2901">
        <f>IFERROR(O2901/N2901,0)</f>
        <v/>
      </c>
      <c r="T2901" t="n">
        <v>0</v>
      </c>
      <c r="V2901" t="n">
        <v>0</v>
      </c>
    </row>
    <row r="2902">
      <c r="A2902">
        <f>Skills!A25</f>
        <v/>
      </c>
      <c r="B2902">
        <f>Skills!B25</f>
        <v/>
      </c>
      <c r="C2902">
        <f>Inputs!$B$3&gt;=75</f>
        <v/>
      </c>
      <c r="D2902">
        <f>IF(Skills!C25=1,60+Inputs!$B$25+Inputs!$B$29,IF(Skills!C25=2,90+Inputs!$B$26+Inputs!$B$29,IF(Skills!C25=3,120+Inputs!$B$27+Inputs!$B$29,MAX(0,(Inputs!$B$3-100)*3)+Inputs!$B$28+Inputs!$B$29)))</f>
        <v/>
      </c>
      <c r="E2902">
        <f>INDEX(FactorTable!$B$2:$Y$301, MATCH(ROUND(MIN(300,MAX(1,D2902)),0), FactorTable!$A$2:$A$301,0), Skills!M25+1)</f>
        <v/>
      </c>
      <c r="F2902">
        <f>IF(Skills!N25=TRUE,(Skills!L25/10)*(E2902/1000),Skills!L25/10)+Skills!O25</f>
        <v/>
      </c>
      <c r="G2902">
        <f>Skills!G25*IF(Skills!H25&gt;0,Skills!I25/Skills!H25,1)</f>
        <v/>
      </c>
      <c r="H2902">
        <f>1-(1-Skills!J25/100)^Skills!K25</f>
        <v/>
      </c>
      <c r="I2902" t="inlineStr">
        <is>
          <t>1</t>
        </is>
      </c>
      <c r="J2902" t="inlineStr"/>
      <c r="K2902" t="inlineStr"/>
      <c r="L2902" t="inlineStr"/>
      <c r="M2902" t="inlineStr"/>
      <c r="N2902" t="inlineStr"/>
      <c r="O2902">
        <f>(1-Summary!$B$11)*T2902+Summary!$B$11*V2902</f>
        <v/>
      </c>
      <c r="P2902">
        <f>IF(B2920=0,0,O2902/B2920)</f>
        <v/>
      </c>
      <c r="Q2902" t="n">
        <v>0</v>
      </c>
      <c r="R2902" t="n">
        <v>0</v>
      </c>
      <c r="S2902">
        <f>IFERROR(O2902/N2902,0)</f>
        <v/>
      </c>
      <c r="T2902" t="n">
        <v>0</v>
      </c>
      <c r="V2902" t="n">
        <v>0</v>
      </c>
    </row>
    <row r="2903">
      <c r="A2903">
        <f>Skills!A26</f>
        <v/>
      </c>
      <c r="B2903">
        <f>Skills!B26</f>
        <v/>
      </c>
      <c r="C2903">
        <f>Inputs!$B$3&gt;=125</f>
        <v/>
      </c>
      <c r="D2903">
        <f>IF(Skills!C26=1,60+Inputs!$B$25+Inputs!$B$29,IF(Skills!C26=2,90+Inputs!$B$26+Inputs!$B$29,IF(Skills!C26=3,120+Inputs!$B$27+Inputs!$B$29,MAX(0,(Inputs!$B$3-100)*3)+Inputs!$B$28+Inputs!$B$29)))</f>
        <v/>
      </c>
      <c r="E2903">
        <f>INDEX(FactorTable!$B$2:$Y$301, MATCH(ROUND(MIN(300,MAX(1,D2903)),0), FactorTable!$A$2:$A$301,0), Skills!M26+1)</f>
        <v/>
      </c>
      <c r="F2903">
        <f>IF(Skills!N26=TRUE,(Skills!L26/10)*(E2903/1000),Skills!L26/10)+Skills!O26</f>
        <v/>
      </c>
      <c r="G2903">
        <f>Skills!G26*IF(Skills!H26&gt;0,Skills!I26/Skills!H26,1)</f>
        <v/>
      </c>
      <c r="H2903">
        <f>1-(1-Skills!J26/100)^Skills!K26</f>
        <v/>
      </c>
      <c r="I2903" t="inlineStr">
        <is>
          <t>1</t>
        </is>
      </c>
      <c r="J2903" t="inlineStr"/>
      <c r="K2903" t="inlineStr"/>
      <c r="L2903" t="inlineStr"/>
      <c r="M2903" t="inlineStr"/>
      <c r="N2903" t="inlineStr"/>
      <c r="O2903">
        <f>(1-Summary!$B$11)*T2903+Summary!$B$11*V2903</f>
        <v/>
      </c>
      <c r="P2903">
        <f>IF(B2920=0,0,O2903/B2920)</f>
        <v/>
      </c>
      <c r="Q2903" t="n">
        <v>0</v>
      </c>
      <c r="R2903" t="n">
        <v>0</v>
      </c>
      <c r="S2903">
        <f>IFERROR(O2903/N2903,0)</f>
        <v/>
      </c>
      <c r="T2903" t="n">
        <v>0</v>
      </c>
      <c r="V2903" t="n">
        <v>0</v>
      </c>
    </row>
    <row r="2904">
      <c r="A2904">
        <f>Skills!A27</f>
        <v/>
      </c>
      <c r="B2904">
        <f>Skills!B27</f>
        <v/>
      </c>
      <c r="C2904">
        <f>Inputs!$B$3&gt;=125</f>
        <v/>
      </c>
      <c r="D2904">
        <f>IF(Skills!C27=1,60+Inputs!$B$25+Inputs!$B$29,IF(Skills!C27=2,90+Inputs!$B$26+Inputs!$B$29,IF(Skills!C27=3,120+Inputs!$B$27+Inputs!$B$29,MAX(0,(Inputs!$B$3-100)*3)+Inputs!$B$28+Inputs!$B$29)))</f>
        <v/>
      </c>
      <c r="E2904">
        <f>INDEX(FactorTable!$B$2:$Y$301, MATCH(ROUND(MIN(300,MAX(1,D2904)),0), FactorTable!$A$2:$A$301,0), Skills!M27+1)</f>
        <v/>
      </c>
      <c r="F2904">
        <f>IF(Skills!N27=TRUE,(Skills!L27/10)*(E2904/1000),Skills!L27/10)+Skills!O27</f>
        <v/>
      </c>
      <c r="G2904">
        <f>Skills!G27*IF(Skills!H27&gt;0,Skills!I27/Skills!H27,1)</f>
        <v/>
      </c>
      <c r="H2904">
        <f>1-(1-Skills!J27/100)^Skills!K27</f>
        <v/>
      </c>
      <c r="I2904" t="inlineStr">
        <is>
          <t>1</t>
        </is>
      </c>
      <c r="J2904" t="inlineStr"/>
      <c r="K2904" t="inlineStr"/>
      <c r="L2904" t="inlineStr"/>
      <c r="M2904" t="inlineStr"/>
      <c r="N2904" t="inlineStr"/>
      <c r="O2904">
        <f>(1-Summary!$B$11)*T2904+Summary!$B$11*V2904</f>
        <v/>
      </c>
      <c r="P2904">
        <f>IF(B2920=0,0,O2904/B2920)</f>
        <v/>
      </c>
      <c r="Q2904" t="n">
        <v>0</v>
      </c>
      <c r="R2904" t="n">
        <v>0</v>
      </c>
      <c r="S2904">
        <f>IFERROR(O2904/N2904,0)</f>
        <v/>
      </c>
      <c r="T2904" t="n">
        <v>0</v>
      </c>
      <c r="V2904" t="n">
        <v>0</v>
      </c>
    </row>
    <row r="2905">
      <c r="A2905">
        <f>Skills!A28</f>
        <v/>
      </c>
      <c r="B2905">
        <f>Skills!B28</f>
        <v/>
      </c>
      <c r="C2905">
        <f>Inputs!$B$3&gt;=120</f>
        <v/>
      </c>
      <c r="D2905">
        <f>IF(Skills!C28=1,60+Inputs!$B$25+Inputs!$B$29,IF(Skills!C28=2,90+Inputs!$B$26+Inputs!$B$29,IF(Skills!C28=3,120+Inputs!$B$27+Inputs!$B$29,MAX(0,(Inputs!$B$3-100)*3)+Inputs!$B$28+Inputs!$B$29)))</f>
        <v/>
      </c>
      <c r="E2905">
        <f>INDEX(FactorTable!$B$2:$Y$301, MATCH(ROUND(MIN(300,MAX(1,D2905)),0), FactorTable!$A$2:$A$301,0), Skills!M28+1)</f>
        <v/>
      </c>
      <c r="F2905">
        <f>IF(Skills!N28=TRUE,(Skills!L28/10)*(E2905/1000),Skills!L28/10)+Skills!O28</f>
        <v/>
      </c>
      <c r="G2905">
        <f>Skills!G28*IF(Skills!H28&gt;0,Skills!I28/Skills!H28,1)</f>
        <v/>
      </c>
      <c r="H2905">
        <f>1-(1-Skills!J28/100)^Skills!K28</f>
        <v/>
      </c>
      <c r="I2905" t="inlineStr">
        <is>
          <t>1</t>
        </is>
      </c>
      <c r="J2905" t="inlineStr"/>
      <c r="K2905" t="inlineStr"/>
      <c r="L2905" t="inlineStr"/>
      <c r="M2905" t="inlineStr"/>
      <c r="N2905" t="inlineStr"/>
      <c r="O2905">
        <f>(1-Summary!$B$11)*T2905+Summary!$B$11*V2905</f>
        <v/>
      </c>
      <c r="P2905">
        <f>IF(B2920=0,0,O2905/B2920)</f>
        <v/>
      </c>
      <c r="Q2905" t="n">
        <v>0</v>
      </c>
      <c r="R2905" t="n">
        <v>0</v>
      </c>
      <c r="S2905">
        <f>IFERROR(O2905/N2905,0)</f>
        <v/>
      </c>
      <c r="T2905" t="n">
        <v>0</v>
      </c>
      <c r="V2905" t="n">
        <v>0</v>
      </c>
    </row>
    <row r="2906">
      <c r="A2906">
        <f>Skills!A29</f>
        <v/>
      </c>
      <c r="B2906">
        <f>Skills!B29</f>
        <v/>
      </c>
      <c r="C2906">
        <f>Inputs!$B$3&gt;=120</f>
        <v/>
      </c>
      <c r="D2906">
        <f>IF(Skills!C29=1,60+Inputs!$B$25+Inputs!$B$29,IF(Skills!C29=2,90+Inputs!$B$26+Inputs!$B$29,IF(Skills!C29=3,120+Inputs!$B$27+Inputs!$B$29,MAX(0,(Inputs!$B$3-100)*3)+Inputs!$B$28+Inputs!$B$29)))</f>
        <v/>
      </c>
      <c r="E2906">
        <f>INDEX(FactorTable!$B$2:$Y$301, MATCH(ROUND(MIN(300,MAX(1,D2906)),0), FactorTable!$A$2:$A$301,0), Skills!M29+1)</f>
        <v/>
      </c>
      <c r="F2906">
        <f>IF(Skills!N29=TRUE,(Skills!L29/10)*(E2906/1000),Skills!L29/10)+Skills!O29</f>
        <v/>
      </c>
      <c r="G2906">
        <f>Skills!G29*IF(Skills!H29&gt;0,Skills!I29/Skills!H29,1)</f>
        <v/>
      </c>
      <c r="H2906">
        <f>1-(1-Skills!J29/100)^Skills!K29</f>
        <v/>
      </c>
      <c r="I2906" t="inlineStr">
        <is>
          <t>1</t>
        </is>
      </c>
      <c r="J2906" t="inlineStr"/>
      <c r="K2906" t="inlineStr"/>
      <c r="L2906" t="inlineStr"/>
      <c r="M2906" t="inlineStr"/>
      <c r="N2906" t="inlineStr"/>
      <c r="O2906">
        <f>(1-Summary!$B$11)*T2906+Summary!$B$11*V2906</f>
        <v/>
      </c>
      <c r="P2906">
        <f>IF(B2920=0,0,O2906/B2920)</f>
        <v/>
      </c>
      <c r="Q2906" t="n">
        <v>0</v>
      </c>
      <c r="R2906" t="n">
        <v>0</v>
      </c>
      <c r="S2906">
        <f>IFERROR(O2906/N2906,0)</f>
        <v/>
      </c>
      <c r="T2906" t="n">
        <v>0</v>
      </c>
      <c r="V2906" t="n">
        <v>0</v>
      </c>
    </row>
    <row r="2907">
      <c r="A2907">
        <f>Skills!A30</f>
        <v/>
      </c>
      <c r="B2907">
        <f>Skills!B30</f>
        <v/>
      </c>
      <c r="C2907">
        <f>Inputs!$B$3&gt;=45</f>
        <v/>
      </c>
      <c r="D2907">
        <f>IF(Skills!C30=1,60+Inputs!$B$25+Inputs!$B$29,IF(Skills!C30=2,90+Inputs!$B$26+Inputs!$B$29,IF(Skills!C30=3,120+Inputs!$B$27+Inputs!$B$29,MAX(0,(Inputs!$B$3-100)*3)+Inputs!$B$28+Inputs!$B$29)))</f>
        <v/>
      </c>
      <c r="E2907">
        <f>INDEX(FactorTable!$B$2:$Y$301, MATCH(ROUND(MIN(300,MAX(1,D2907)),0), FactorTable!$A$2:$A$301,0), Skills!M30+1)</f>
        <v/>
      </c>
      <c r="F2907">
        <f>IF(Skills!N30=TRUE,(Skills!L30/10)*(E2907/1000),Skills!L30/10)+Skills!O30</f>
        <v/>
      </c>
      <c r="G2907">
        <f>Skills!G30*IF(Skills!H30&gt;0,Skills!I30/Skills!H30,1)</f>
        <v/>
      </c>
      <c r="H2907">
        <f>1-(1-Skills!J30/100)^Skills!K30</f>
        <v/>
      </c>
      <c r="I2907" t="inlineStr">
        <is>
          <t>1</t>
        </is>
      </c>
      <c r="J2907" t="inlineStr"/>
      <c r="K2907" t="inlineStr"/>
      <c r="L2907" t="inlineStr"/>
      <c r="M2907" t="inlineStr"/>
      <c r="N2907" t="inlineStr"/>
      <c r="O2907">
        <f>(1-Summary!$B$11)*T2907+Summary!$B$11*V2907</f>
        <v/>
      </c>
      <c r="P2907">
        <f>IF(B2920=0,0,O2907/B2920)</f>
        <v/>
      </c>
      <c r="Q2907" t="n">
        <v>0</v>
      </c>
      <c r="R2907" t="n">
        <v>0</v>
      </c>
      <c r="S2907">
        <f>IFERROR(O2907/N2907,0)</f>
        <v/>
      </c>
      <c r="T2907" t="n">
        <v>0</v>
      </c>
      <c r="V2907" t="n">
        <v>0</v>
      </c>
    </row>
    <row r="2909">
      <c r="A2909" t="inlineStr">
        <is>
          <t>Attack% Bucket Multiplier</t>
        </is>
      </c>
      <c r="B2909">
        <f>(1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0">
      <c r="A2910" t="inlineStr">
        <is>
          <t>Global Crit Rate Bonus %</t>
        </is>
      </c>
      <c r="B2910">
        <f>(C2893=TRUE)*20*IF(AND(Inputs!$B$38&lt;&gt;"pvp",Inputs!$B$43&gt;0),(((R2893-1)*(Skills!T16*(1+Inputs!$B$34/100))+MIN((Skills!T16*(1+Inputs!$B$34/100)),MAX(0,Inputs!$B$43-((R2893-1)*Skills!D16))))/Inputs!$B$43),IF(Inputs!$B$38="pvp",MIN((Skills!T16*(1+Inputs!$B$34/100)),15)/15,(Skills!T16*(1+Inputs!$B$34/100))/Skills!D16))</f>
        <v/>
      </c>
    </row>
    <row r="2911">
      <c r="A2911" t="inlineStr">
        <is>
          <t>Attack Speed Buff Bonus %</t>
        </is>
      </c>
      <c r="B2911">
        <f>((C2896=TRUE)*F2896*IF(AND(Inputs!$B$38&lt;&gt;"pvp",Inputs!$B$43&gt;0),(((R2896-1)*(Skills!T19*(1+Inputs!$B$34/100))+MIN((Skills!T19*(1+Inputs!$B$34/100)),MAX(0,Inputs!$B$43-((R2896-1)*Skills!D19))))/Inputs!$B$43),IF(Inputs!$B$38="pvp",MIN((Skills!T19*(1+Inputs!$B$34/100)),15)/15,(Skills!T19*(1+Inputs!$B$34/100))/Skills!D19)))</f>
        <v/>
      </c>
    </row>
    <row r="2912">
      <c r="A2912" t="inlineStr">
        <is>
          <t>Actions Per Second</t>
        </is>
      </c>
      <c r="B2912">
        <f>1+MIN(150,150*(1-(1-(Inputs!$B$11+((C2898=TRUE)*(F2898-Calc!F21))+((C2899=TRUE)*(F2899-Calc!F22)))/150)*(1-B2911/150)))/100</f>
        <v/>
      </c>
    </row>
    <row r="2913">
      <c r="A2913" t="inlineStr">
        <is>
          <t>Skill + Buff Cast Rate</t>
        </is>
      </c>
      <c r="B2913">
        <f>IF(AND(Inputs!$B$38&lt;&gt;"pvp",Inputs!$B$43&gt;0),SUMPRODUCT((Skills!E2:E30=TRUE)*(C2879:C2907=TRUE)*R2879:R2907*Skills!F2:F30)/Inputs!$B$43,SUMPRODUCT((Skills!E2:E30=TRUE)*(C2879:C2907=TRUE)*Q2879:Q2907*Skills!F2:F30))</f>
        <v/>
      </c>
    </row>
    <row r="2914">
      <c r="A2914" t="inlineStr">
        <is>
          <t>Arrow Stream Casts Per Second</t>
        </is>
      </c>
      <c r="B2914">
        <f>MAX(0,B2912-B2913)</f>
        <v/>
      </c>
    </row>
    <row r="2915">
      <c r="A2915" t="inlineStr">
        <is>
          <t>Global Critical Damage Bonus % (Sharp Eyes + Concentration)</t>
        </is>
      </c>
      <c r="B2915">
        <f>(C2893=TRUE)*F2893*IF(AND(Inputs!$B$38&lt;&gt;"pvp",Inputs!$B$43&gt;0),(((R2893-1)*(Skills!T16*(1+Inputs!$B$34/100))+MIN((Skills!T16*(1+Inputs!$B$34/100)),MAX(0,Inputs!$B$43-((R2893-1)*Skills!D16))))/Inputs!$B$43),IF(Inputs!$B$38="pvp",MIN((Skills!T16*(1+Inputs!$B$34/100)),15)/15,(Skills!T16*(1+Inputs!$B$34/100))/Skills!D16))+(C2894=TRUE)*30</f>
        <v/>
      </c>
    </row>
    <row r="2916">
      <c r="A2916" t="inlineStr">
        <is>
          <t>Global Final Damage Bonus % (Mortal Blow)</t>
        </is>
      </c>
      <c r="B2916">
        <f>(C2895=TRUE)*F2895</f>
        <v/>
      </c>
    </row>
    <row r="2917">
      <c r="A2917" t="inlineStr">
        <is>
          <t>Buff-Casting Startup Delay (s, fixed-duration only)</t>
        </is>
      </c>
      <c r="B2917">
        <f>IF(AND(Inputs!$B$38&lt;&gt;"pvp",Inputs!$B$43&gt;0),SUMPRODUCT((Skills!T2:T30&gt;0)*(Skills!E2:E30=TRUE)*(C2879:C2907=TRUE))/B2912,0)</f>
        <v/>
      </c>
    </row>
    <row r="2918">
      <c r="A2918" t="inlineStr">
        <is>
          <t>Boss-Only Total DPS (this block's swept value)</t>
        </is>
      </c>
      <c r="B2918">
        <f>SUM(T2879:T2907)</f>
        <v/>
      </c>
    </row>
    <row r="2919">
      <c r="A2919" t="inlineStr">
        <is>
          <t>Normal-Only Total DPS (this block's swept value)</t>
        </is>
      </c>
      <c r="B2919">
        <f>SUM(V2879:V2907)</f>
        <v/>
      </c>
    </row>
    <row r="2920">
      <c r="A2920" s="6" t="inlineStr">
        <is>
          <t>TOTAL DPS</t>
        </is>
      </c>
      <c r="B2920" s="6">
        <f>SUM(O2879:O2907)</f>
        <v/>
      </c>
    </row>
    <row r="2923">
      <c r="A2923" s="9" t="inlineStr">
        <is>
          <t>Cooldown Reduction Milestone Sweep (absolute CDR seconds, fixed-duration content only)</t>
        </is>
      </c>
    </row>
    <row r="2924">
      <c r="A2924" s="5" t="inlineStr">
        <is>
          <t>CDR (s)</t>
        </is>
      </c>
      <c r="B2924" s="5" t="inlineStr">
        <is>
          <t>Total DPS</t>
        </is>
      </c>
      <c r="C2924" s="5" t="inlineStr">
        <is>
          <t>DPS Gain (vs prior step)</t>
        </is>
      </c>
      <c r="D2924" s="5" t="inlineStr">
        <is>
          <t>% Gain (vs current CDR)</t>
        </is>
      </c>
    </row>
    <row r="2925">
      <c r="A2925" t="n">
        <v>0.5</v>
      </c>
      <c r="B2925">
        <f>B2980</f>
        <v/>
      </c>
      <c r="C2925" t="n">
        <v>0</v>
      </c>
      <c r="D2925">
        <f>IF(Summary!$B$3=0,0,(B2925-Summary!$B$3)/Summary!$B$3*100)</f>
        <v/>
      </c>
    </row>
    <row r="2926">
      <c r="A2926" t="n">
        <v>1</v>
      </c>
      <c r="B2926">
        <f>B3026</f>
        <v/>
      </c>
      <c r="C2926">
        <f>B2926-B2925</f>
        <v/>
      </c>
      <c r="D2926">
        <f>IF(Summary!$B$3=0,0,(B2926-Summary!$B$3)/Summary!$B$3*100)</f>
        <v/>
      </c>
    </row>
    <row r="2927">
      <c r="A2927" t="n">
        <v>1.5</v>
      </c>
      <c r="B2927">
        <f>B3072</f>
        <v/>
      </c>
      <c r="C2927">
        <f>B2927-B2926</f>
        <v/>
      </c>
      <c r="D2927">
        <f>IF(Summary!$B$3=0,0,(B2927-Summary!$B$3)/Summary!$B$3*100)</f>
        <v/>
      </c>
    </row>
    <row r="2928">
      <c r="A2928" t="n">
        <v>2</v>
      </c>
      <c r="B2928">
        <f>B3118</f>
        <v/>
      </c>
      <c r="C2928">
        <f>B2928-B2927</f>
        <v/>
      </c>
      <c r="D2928">
        <f>IF(Summary!$B$3=0,0,(B2928-Summary!$B$3)/Summary!$B$3*100)</f>
        <v/>
      </c>
    </row>
    <row r="2929">
      <c r="A2929" t="n">
        <v>2.5</v>
      </c>
      <c r="B2929">
        <f>B3164</f>
        <v/>
      </c>
      <c r="C2929">
        <f>B2929-B2928</f>
        <v/>
      </c>
      <c r="D2929">
        <f>IF(Summary!$B$3=0,0,(B2929-Summary!$B$3)/Summary!$B$3*100)</f>
        <v/>
      </c>
    </row>
    <row r="2930">
      <c r="A2930" t="n">
        <v>3</v>
      </c>
      <c r="B2930">
        <f>B3210</f>
        <v/>
      </c>
      <c r="C2930">
        <f>B2930-B2929</f>
        <v/>
      </c>
      <c r="D2930">
        <f>IF(Summary!$B$3=0,0,(B2930-Summary!$B$3)/Summary!$B$3*100)</f>
        <v/>
      </c>
    </row>
    <row r="2931">
      <c r="A2931" t="n">
        <v>3.5</v>
      </c>
      <c r="B2931">
        <f>B3256</f>
        <v/>
      </c>
      <c r="C2931">
        <f>B2931-B2930</f>
        <v/>
      </c>
      <c r="D2931">
        <f>IF(Summary!$B$3=0,0,(B2931-Summary!$B$3)/Summary!$B$3*100)</f>
        <v/>
      </c>
    </row>
    <row r="2932">
      <c r="A2932" t="n">
        <v>4</v>
      </c>
      <c r="B2932">
        <f>B3302</f>
        <v/>
      </c>
      <c r="C2932">
        <f>B2932-B2931</f>
        <v/>
      </c>
      <c r="D2932">
        <f>IF(Summary!$B$3=0,0,(B2932-Summary!$B$3)/Summary!$B$3*100)</f>
        <v/>
      </c>
    </row>
    <row r="2933">
      <c r="A2933" t="n">
        <v>4.5</v>
      </c>
      <c r="B2933">
        <f>B3348</f>
        <v/>
      </c>
      <c r="C2933">
        <f>B2933-B2932</f>
        <v/>
      </c>
      <c r="D2933">
        <f>IF(Summary!$B$3=0,0,(B2933-Summary!$B$3)/Summary!$B$3*100)</f>
        <v/>
      </c>
    </row>
    <row r="2934">
      <c r="A2934" t="n">
        <v>5</v>
      </c>
      <c r="B2934">
        <f>B3394</f>
        <v/>
      </c>
      <c r="C2934">
        <f>B2934-B2933</f>
        <v/>
      </c>
      <c r="D2934">
        <f>IF(Summary!$B$3=0,0,(B2934-Summary!$B$3)/Summary!$B$3*100)</f>
        <v/>
      </c>
    </row>
    <row r="2937">
      <c r="A2937" s="6" t="inlineStr">
        <is>
          <t>Stat: CDR = 0.5s</t>
        </is>
      </c>
    </row>
    <row r="2938">
      <c r="A2938" s="5" t="inlineStr">
        <is>
          <t>Key</t>
        </is>
      </c>
      <c r="B2938" s="5" t="inlineStr">
        <is>
          <t>Name</t>
        </is>
      </c>
      <c r="C2938" s="5" t="inlineStr">
        <is>
          <t>Unlocked</t>
        </is>
      </c>
      <c r="D2938" s="5" t="inlineStr">
        <is>
          <t>InputLevel</t>
        </is>
      </c>
      <c r="E2938" s="5" t="inlineStr">
        <is>
          <t>Factor</t>
        </is>
      </c>
      <c r="F2938" s="5" t="inlineStr">
        <is>
          <t>CoefficientPercent</t>
        </is>
      </c>
      <c r="G2938" s="5" t="inlineStr">
        <is>
          <t>EffectiveHits</t>
        </is>
      </c>
      <c r="H2938" s="5" t="inlineStr">
        <is>
          <t>ProcProbability</t>
        </is>
      </c>
      <c r="I2938" s="5" t="inlineStr">
        <is>
          <t>MapleHeroMultiplier</t>
        </is>
      </c>
      <c r="J2938" s="5" t="inlineStr">
        <is>
          <t>BaseDamage</t>
        </is>
      </c>
      <c r="K2938" s="5" t="inlineStr">
        <is>
          <t>BaseHitDamage</t>
        </is>
      </c>
      <c r="L2938" s="5" t="inlineStr">
        <is>
          <t>NonCritAvg</t>
        </is>
      </c>
      <c r="M2938" s="5" t="inlineStr">
        <is>
          <t>CritAvg</t>
        </is>
      </c>
      <c r="N2938" s="5" t="inlineStr">
        <is>
          <t>ExpectedDamage(perHit)</t>
        </is>
      </c>
      <c r="O2938" s="5" t="inlineStr">
        <is>
          <t>DPS</t>
        </is>
      </c>
      <c r="P2938" s="5" t="inlineStr">
        <is>
          <t>% of Total</t>
        </is>
      </c>
      <c r="Q2938" s="5" t="inlineStr">
        <is>
          <t>InvCooldown</t>
        </is>
      </c>
      <c r="R2938" s="5" t="inlineStr">
        <is>
          <t>CastsInFight</t>
        </is>
      </c>
      <c r="S2938" s="5" t="inlineStr">
        <is>
          <t>HitRate(perSec)</t>
        </is>
      </c>
      <c r="U2938" t="inlineStr">
        <is>
          <t>helpers</t>
        </is>
      </c>
    </row>
    <row r="2939">
      <c r="A2939">
        <f>Skills!A2</f>
        <v/>
      </c>
      <c r="B2939">
        <f>Skills!B2</f>
        <v/>
      </c>
      <c r="C2939">
        <f>Inputs!$B$3&gt;=100</f>
        <v/>
      </c>
      <c r="D2939" t="inlineStr"/>
      <c r="E2939" t="inlineStr"/>
      <c r="F2939">
        <f>U2941+Skills!O2</f>
        <v/>
      </c>
      <c r="G2939">
        <f>Skills!G2*IF(Skills!H2&gt;0,Skills!I2/Skills!H2,1)</f>
        <v/>
      </c>
      <c r="H2939">
        <f>1-(1-Skills!J2/100)^Skills!K2</f>
        <v/>
      </c>
      <c r="I2939" t="inlineStr">
        <is>
          <t>1</t>
        </is>
      </c>
      <c r="J2939">
        <f>((Inputs!$B$6*(1+Inputs!$B$7/100))+(((Inputs!$B$12*(1+Inputs!$B$13/100))-(Inputs!$B$12*(1+Inputs!$B$13/100)))+0.25*(Inputs!$B$14-Inputs!$B$14))*(1+Inputs!$B$7/100))*(F2939/100)</f>
        <v/>
      </c>
      <c r="K2939">
        <f>J2939*(1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2939)</f>
        <v/>
      </c>
      <c r="L2939">
        <f>K2939*(MIN(Inputs!$B$22+((C2961=TRUE)*(F2961-Calc!F24)),(Inputs!$B$23+((C2966=TRUE)*(F2966-Calc!F29))+(IF(ArtifactsInput!$M$15,CHOOSE(ArtifactsInput!$N$15+1,25,30,35,40,45,50)/100*(Inputs!$B$11-Inputs!$B$11),0))))/100+(Inputs!$B$23+((C2966=TRUE)*(F2966-Calc!F29))+(IF(ArtifactsInput!$M$15,CHOOSE(ArtifactsInput!$N$15+1,25,30,35,40,45,50)/100*(Inputs!$B$11-Inputs!$B$11),0)))/100)/2</f>
        <v/>
      </c>
      <c r="M2939">
        <f>L2939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9">
        <f>L2939*(1-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2939*(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9">
        <f>(1-Summary!$B$11)*T2939+Summary!$B$11*V2939</f>
        <v/>
      </c>
      <c r="P2939">
        <f>IF(B2980=0,0,O2939/B2980)</f>
        <v/>
      </c>
      <c r="Q2939" t="n">
        <v>0</v>
      </c>
      <c r="R2939" t="n">
        <v>0</v>
      </c>
      <c r="S2939">
        <f>IFERROR(O2939/N2939,0)</f>
        <v/>
      </c>
      <c r="T2939">
        <f>IF(C2939,(Skills!G2*N2939*B2974)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2939*(1-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2939*(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2939*(1-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2939*(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9">
        <f>MAX(0,(Inputs!$B$3-100)*3)+Inputs!$B$28+Inputs!$B$29</f>
        <v/>
      </c>
      <c r="V2939">
        <f>IF(C2939,(Skills!G2*N2939*B2974)*IF(Inputs!$B$38="pvp",1,(1+(Inputs!$B$21+Skills!Q2+(IF(ArtifactsInput!$M$33,CHOOSE(ArtifactsInput!$N$33+1,30,36,42,48,54,60),0))+(IF(AND(ArtifactsInput!$M$35,Inputs!$B$4&lt;&gt;"Chapter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0">
      <c r="A2940">
        <f>Skills!A3</f>
        <v/>
      </c>
      <c r="B2940">
        <f>Skills!B3</f>
        <v/>
      </c>
      <c r="C2940">
        <f>Inputs!$B$3&gt;=50</f>
        <v/>
      </c>
      <c r="D2940">
        <f>IF(Skills!C3=1,60+Inputs!$B$25+Inputs!$B$29,IF(Skills!C3=2,90+Inputs!$B$26+Inputs!$B$29,IF(Skills!C3=3,120+Inputs!$B$27+Inputs!$B$29,MAX(0,(Inputs!$B$3-100)*3)+Inputs!$B$28+Inputs!$B$29)))</f>
        <v/>
      </c>
      <c r="E2940">
        <f>INDEX(FactorTable!$B$2:$Y$301, MATCH(ROUND(MIN(300,MAX(1,D2940)),0), FactorTable!$A$2:$A$301,0), Skills!M3+1)</f>
        <v/>
      </c>
      <c r="F2940">
        <f>IF(Skills!N3=TRUE,(Skills!L3/10)*(E2940/1000),Skills!L3/10)+Skills!O3</f>
        <v/>
      </c>
      <c r="G2940" t="inlineStr"/>
      <c r="H2940" t="inlineStr"/>
      <c r="I2940" t="inlineStr">
        <is>
          <t>1</t>
        </is>
      </c>
      <c r="J2940" t="inlineStr"/>
      <c r="K2940" t="inlineStr"/>
      <c r="L2940" t="inlineStr"/>
      <c r="M2940" t="inlineStr"/>
      <c r="N2940" t="inlineStr"/>
      <c r="O2940" t="inlineStr"/>
      <c r="P2940" t="inlineStr"/>
      <c r="Q2940" t="inlineStr"/>
      <c r="R2940" t="inlineStr"/>
      <c r="S2940" t="inlineStr"/>
      <c r="T2940" t="inlineStr"/>
      <c r="U2940">
        <f>INDEX(FactorTable!$B$2:$Y$301, MATCH(ROUND(MIN(300,MAX(1,U2939)),0), FactorTable!$A$2:$A$301,0), 22)</f>
        <v/>
      </c>
      <c r="V2940" t="inlineStr"/>
    </row>
    <row r="2941">
      <c r="A2941">
        <f>Skills!A4</f>
        <v/>
      </c>
      <c r="B2941">
        <f>Skills!B4</f>
        <v/>
      </c>
      <c r="C2941">
        <f>Inputs!$B$3&gt;=105</f>
        <v/>
      </c>
      <c r="D2941">
        <f>IF(Skills!C4=1,60+Inputs!$B$25+Inputs!$B$29,IF(Skills!C4=2,90+Inputs!$B$26+Inputs!$B$29,IF(Skills!C4=3,120+Inputs!$B$27+Inputs!$B$29,MAX(0,(Inputs!$B$3-100)*3)+Inputs!$B$28+Inputs!$B$29)))</f>
        <v/>
      </c>
      <c r="E2941">
        <f>INDEX(FactorTable!$B$2:$Y$301, MATCH(ROUND(MIN(300,MAX(1,D2941)),0), FactorTable!$A$2:$A$301,0), Skills!M4+1)</f>
        <v/>
      </c>
      <c r="F2941">
        <f>IF(Skills!N4=TRUE,(Skills!L4/10)*(E2941/1000),Skills!L4/10)+Skills!O4</f>
        <v/>
      </c>
      <c r="G2941" t="inlineStr"/>
      <c r="H2941" t="inlineStr"/>
      <c r="I2941" t="inlineStr">
        <is>
          <t>1</t>
        </is>
      </c>
      <c r="J2941" t="inlineStr"/>
      <c r="K2941" t="inlineStr"/>
      <c r="L2941" t="inlineStr"/>
      <c r="M2941" t="inlineStr"/>
      <c r="N2941" t="inlineStr"/>
      <c r="O2941" t="inlineStr"/>
      <c r="P2941" t="inlineStr"/>
      <c r="Q2941" t="inlineStr"/>
      <c r="R2941" t="inlineStr"/>
      <c r="S2941" t="inlineStr"/>
      <c r="T2941" t="inlineStr"/>
      <c r="U2941">
        <f>290*U2940/1000</f>
        <v/>
      </c>
      <c r="V2941" t="inlineStr"/>
    </row>
    <row r="2942">
      <c r="A2942">
        <f>Skills!A5</f>
        <v/>
      </c>
      <c r="B2942">
        <f>Skills!B5</f>
        <v/>
      </c>
      <c r="C2942">
        <f>Inputs!$B$3&gt;=35</f>
        <v/>
      </c>
      <c r="D2942">
        <f>IF(Skills!C5=1,60+Inputs!$B$25+Inputs!$B$29,IF(Skills!C5=2,90+Inputs!$B$26+Inputs!$B$29,IF(Skills!C5=3,120+Inputs!$B$27+Inputs!$B$29,MAX(0,(Inputs!$B$3-100)*3)+Inputs!$B$28+Inputs!$B$29)))</f>
        <v/>
      </c>
      <c r="E2942">
        <f>INDEX(FactorTable!$B$2:$Y$301, MATCH(ROUND(MIN(300,MAX(1,D2942)),0), FactorTable!$A$2:$A$301,0), Skills!M5+1)</f>
        <v/>
      </c>
      <c r="F2942">
        <f>IF(Skills!N5=TRUE,(Skills!L5/10)*(E2942/1000),Skills!L5/10)+Skills!O5</f>
        <v/>
      </c>
      <c r="G2942">
        <f>Skills!G5*IF(Skills!H5&gt;0,Skills!I5/Skills!H5,1)</f>
        <v/>
      </c>
      <c r="H2942">
        <f>1-(1-Skills!J5/100)^Skills!K5</f>
        <v/>
      </c>
      <c r="I2942" t="inlineStr">
        <is>
          <t>1</t>
        </is>
      </c>
      <c r="J2942">
        <f>((Inputs!$B$6*(1+Inputs!$B$7/100))+(((Inputs!$B$12*(1+Inputs!$B$13/100))-(Inputs!$B$12*(1+Inputs!$B$13/100)))+0.25*(Inputs!$B$14-Inputs!$B$14))*(1+Inputs!$B$7/100))*(F2942/100)</f>
        <v/>
      </c>
      <c r="K2942">
        <f>J2942*(1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2947=TRUE,F2947,0)/100)*(1+(IF(Skills!A5="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2942)</f>
        <v/>
      </c>
      <c r="L2942">
        <f>K2942*(MIN(Inputs!$B$22+((C2961=TRUE)*(F2961-Calc!F24)),(Inputs!$B$23+((C2966=TRUE)*(F2966-Calc!F29))+(IF(ArtifactsInput!$M$15,CHOOSE(ArtifactsInput!$N$15+1,25,30,35,40,45,50)/100*(Inputs!$B$11-Inputs!$B$11),0))))/100+(Inputs!$B$23+((C2966=TRUE)*(F2966-Calc!F29))+(IF(ArtifactsInput!$M$15,CHOOSE(ArtifactsInput!$N$15+1,25,30,35,40,45,50)/100*(Inputs!$B$11-Inputs!$B$11),0)))/100)/2</f>
        <v/>
      </c>
      <c r="M2942">
        <f>L2942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2">
        <f>L2942*(1-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2942*(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2">
        <f>(1-Summary!$B$11)*T2942+Summary!$B$11*V2942</f>
        <v/>
      </c>
      <c r="P2942">
        <f>IF(B2980=0,0,O2942/B2980)</f>
        <v/>
      </c>
      <c r="Q2942">
        <f>IFERROR(1/(IF(Inputs!$B$38="pvp",15,MAX(0.1,Skills!D5-IF(Skills!E5=TRUE,0.5,0)))*(1-IF(AND(ArtifactsInput!$M$27,Inputs!$B$4="Chapter Hunt"),CHOOSE(ArtifactsInput!$N$27+1,20,24,28,32,36,40),0)/100)),0)</f>
        <v/>
      </c>
      <c r="R2942">
        <f>IF(AND(Inputs!$B$38&lt;&gt;"pvp",Inputs!$B$43&gt;0),IF(MAX(0,Inputs!$B$43-B2977)&lt;=0,0,(INT(MAX(0,Inputs!$B$43-B2977)/(IF(Inputs!$B$38="pvp",15,MAX(0.1,Skills!D5-IF(Skills!E5=TRUE,0.5,0)))*(1-IF(AND(ArtifactsInput!$M$27,Inputs!$B$4="Chapter Hunt"),CHOOSE(ArtifactsInput!$N$27+1,20,24,28,32,36,40),0)/100)))+1)),0)</f>
        <v/>
      </c>
      <c r="S2942">
        <f>IFERROR(O2942/N2942,0)</f>
        <v/>
      </c>
      <c r="T2942">
        <f>IF(C2942,(H2942*N2942*IF(AND(Inputs!$B$38&lt;&gt;"pvp",Inputs!$B$43&gt;0),((Skills!G5*((R2942-1)*IF(Skills!H5&gt;0,Skills!I5/Skills!H5,1)+IF(Skills!H5&gt;0,MIN(Skills!I5,MAX(0,MAX(0,Inputs!$B$43-B2977)-((R2942-1)*(IF(Inputs!$B$38="pvp",15,MAX(0.1,Skills!D5-IF(Skills!E5=TRUE,0.5,0)))*(1-IF(AND(ArtifactsInput!$M$27,Inputs!$B$4="Chapter Hunt"),CHOOSE(ArtifactsInput!$N$27+1,20,24,28,32,36,40),0)/100)))))/Skills!H5,1)))/Inputs!$B$43),G2942*Q2942)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2942*(1-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2942*(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2942*(1-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2942*(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2">
        <f>IF(C2942,(H2942*N2942*IF(AND(Inputs!$B$38&lt;&gt;"pvp",Inputs!$B$43&gt;0),((Skills!G5*((R2942-1)*IF(Skills!H5&gt;0,Skills!I5/Skills!H5,1)+IF(Skills!H5&gt;0,MIN(Skills!I5,MAX(0,MAX(0,Inputs!$B$43-B2977)-((R2942-1)*(IF(Inputs!$B$38="pvp",15,MAX(0.1,Skills!D5-IF(Skills!E5=TRUE,0.5,0)))*(1-IF(AND(ArtifactsInput!$M$27,Inputs!$B$4="Chapter Hunt"),CHOOSE(ArtifactsInput!$N$27+1,20,24,28,32,36,40),0)/100)))))/Skills!H5,1)))/Inputs!$B$43),G2942*Q2942))*IF(Inputs!$B$38="pvp",1,(1+(Inputs!$B$21+Skills!Q5+(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3">
      <c r="A2943">
        <f>Skills!A6</f>
        <v/>
      </c>
      <c r="B2943">
        <f>Skills!B6</f>
        <v/>
      </c>
      <c r="C2943">
        <f>Inputs!$B$3&gt;=40</f>
        <v/>
      </c>
      <c r="D2943">
        <f>IF(Skills!C6=1,60+Inputs!$B$25+Inputs!$B$29,IF(Skills!C6=2,90+Inputs!$B$26+Inputs!$B$29,IF(Skills!C6=3,120+Inputs!$B$27+Inputs!$B$29,MAX(0,(Inputs!$B$3-100)*3)+Inputs!$B$28+Inputs!$B$29)))</f>
        <v/>
      </c>
      <c r="E2943">
        <f>INDEX(FactorTable!$B$2:$Y$301, MATCH(ROUND(MIN(300,MAX(1,D2943)),0), FactorTable!$A$2:$A$301,0), Skills!M6+1)</f>
        <v/>
      </c>
      <c r="F2943">
        <f>IF(Skills!N6=TRUE,(Skills!L6/10)*(E2943/1000),Skills!L6/10)+Skills!O6</f>
        <v/>
      </c>
      <c r="G2943">
        <f>Skills!G6*IF(Skills!H6&gt;0,Skills!I6/Skills!H6,1)</f>
        <v/>
      </c>
      <c r="H2943">
        <f>1-(1-Skills!J6/100)^Skills!K6</f>
        <v/>
      </c>
      <c r="I2943" t="inlineStr">
        <is>
          <t>1</t>
        </is>
      </c>
      <c r="J2943">
        <f>((Inputs!$B$6*(1+Inputs!$B$7/100))+(((Inputs!$B$12*(1+Inputs!$B$13/100))-(Inputs!$B$12*(1+Inputs!$B$13/100)))+0.25*(Inputs!$B$14-Inputs!$B$14))*(1+Inputs!$B$7/100))*(F2943/100)</f>
        <v/>
      </c>
      <c r="K2943">
        <f>J2943*(1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2944=TRUE,F2944,0)/100)*(1+(IF(Skills!A6="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2961=TRUE)*(F2961-Calc!F24)),(Inputs!$B$23+((C2966=TRUE)*(F2966-Calc!F29))+(IF(ArtifactsInput!$M$15,CHOOSE(ArtifactsInput!$N$15+1,25,30,35,40,45,50)/100*(Inputs!$B$11-Inputs!$B$11),0))))/100+(Inputs!$B$23+((C2966=TRUE)*(F2966-Calc!F29))+(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f>IFERROR(1/(IF(Inputs!$B$38="pvp",15,MAX(0.1,Skills!D6-IF(Skills!E6=TRUE,0.5,0)))*(1-IF(AND(ArtifactsInput!$M$27,Inputs!$B$4="Chapter Hunt"),CHOOSE(ArtifactsInput!$N$27+1,20,24,28,32,36,40),0)/100)),0)</f>
        <v/>
      </c>
      <c r="R2943">
        <f>IF(AND(Inputs!$B$38&lt;&gt;"pvp",Inputs!$B$43&gt;0),IF(MAX(0,Inputs!$B$43-B2977)&lt;=0,0,(INT(MAX(0,Inputs!$B$43-B2977)/(IF(Inputs!$B$38="pvp",15,MAX(0.1,Skills!D6-IF(Skills!E6=TRUE,0.5,0)))*(1-IF(AND(ArtifactsInput!$M$27,Inputs!$B$4="Chapter Hunt"),CHOOSE(ArtifactsInput!$N$27+1,20,24,28,32,36,40),0)/100)))+1)),0)</f>
        <v/>
      </c>
      <c r="S2943">
        <f>IFERROR(O2943/N2943,0)</f>
        <v/>
      </c>
      <c r="T2943">
        <f>IF(C2943,(H2943*N2943*IF(AND(Inputs!$B$38&lt;&gt;"pvp",Inputs!$B$43&gt;0),((Skills!G6*((R2943-1)*IF(Skills!H6&gt;0,Skills!I6/Skills!H6,1)+IF(Skills!H6&gt;0,MIN(Skills!I6,MAX(0,MAX(0,Inputs!$B$43-B2977)-((R2943-1)*(IF(Inputs!$B$38="pvp",15,MAX(0.1,Skills!D6-IF(Skills!E6=TRUE,0.5,0)))*(1-IF(AND(ArtifactsInput!$M$27,Inputs!$B$4="Chapter Hunt"),CHOOSE(ArtifactsInput!$N$27+1,20,24,28,32,36,40),0)/100)))))/Skills!H6,1)))/Inputs!$B$43),G2943*Q2943)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2943*(1-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6*((R2943-1)*IF(Skills!H6&gt;0,Skills!I6/Skills!H6,1)+IF(Skills!H6&gt;0,MIN(Skills!I6,MAX(0,MAX(0,Inputs!$B$43-B2977)-((R2943-1)*(IF(Inputs!$B$38="pvp",15,MAX(0.1,Skills!D6-IF(Skills!E6=TRUE,0.5,0)))*(1-IF(AND(ArtifactsInput!$M$27,Inputs!$B$4="Chapter Hunt"),CHOOSE(ArtifactsInput!$N$27+1,20,24,28,32,36,40),0)/100)))))/Skills!H6,1)))/Inputs!$B$43),G2943*Q2943))*IF(Inputs!$B$38="pvp",1,(1+(Inputs!$B$21+Skills!Q6+(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Skills!A7</f>
        <v/>
      </c>
      <c r="B2944">
        <f>Skills!B7</f>
        <v/>
      </c>
      <c r="C2944">
        <f>Inputs!$B$3&gt;=107</f>
        <v/>
      </c>
      <c r="D2944">
        <f>IF(Skills!C7=1,60+Inputs!$B$25+Inputs!$B$29,IF(Skills!C7=2,90+Inputs!$B$26+Inputs!$B$29,IF(Skills!C7=3,120+Inputs!$B$27+Inputs!$B$29,MAX(0,(Inputs!$B$3-100)*3)+Inputs!$B$28+Inputs!$B$29)))</f>
        <v/>
      </c>
      <c r="E2944">
        <f>INDEX(FactorTable!$B$2:$Y$301, MATCH(ROUND(MIN(300,MAX(1,D2944)),0), FactorTable!$A$2:$A$301,0), Skills!M7+1)</f>
        <v/>
      </c>
      <c r="F2944">
        <f>IF(Skills!N7=TRUE,(Skills!L7/10)*(E2944/1000),Skills!L7/10)+Skills!O7</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T2944" t="inlineStr"/>
      <c r="V2944" t="inlineStr"/>
    </row>
    <row r="2945">
      <c r="A2945">
        <f>Skills!A8</f>
        <v/>
      </c>
      <c r="B2945">
        <f>Skills!B8</f>
        <v/>
      </c>
      <c r="C2945">
        <f>Inputs!$B$3&gt;=69</f>
        <v/>
      </c>
      <c r="D2945">
        <f>IF(Skills!C8=1,60+Inputs!$B$25+Inputs!$B$29,IF(Skills!C8=2,90+Inputs!$B$26+Inputs!$B$29,IF(Skills!C8=3,120+Inputs!$B$27+Inputs!$B$29,MAX(0,(Inputs!$B$3-100)*3)+Inputs!$B$28+Inputs!$B$29)))</f>
        <v/>
      </c>
      <c r="E2945">
        <f>INDEX(FactorTable!$B$2:$Y$301, MATCH(ROUND(MIN(300,MAX(1,D2945)),0), FactorTable!$A$2:$A$301,0), Skills!M8+1)</f>
        <v/>
      </c>
      <c r="F2945">
        <f>IF(Skills!N8=TRUE,(Skills!L8/10)*(E2945/1000),Skills!L8/10)+Skills!O8</f>
        <v/>
      </c>
      <c r="G2945">
        <f>Skills!G8*IF(Skills!H8&gt;0,Skills!I8/Skills!H8,1)</f>
        <v/>
      </c>
      <c r="H2945">
        <f>1-(1-Skills!J8/100)^Skills!K8</f>
        <v/>
      </c>
      <c r="I2945" t="inlineStr">
        <is>
          <t>1</t>
        </is>
      </c>
      <c r="J2945">
        <f>((Inputs!$B$6*(1+Inputs!$B$7/100))+(((Inputs!$B$12*(1+Inputs!$B$13/100))-(Inputs!$B$12*(1+Inputs!$B$13/100)))+0.25*(Inputs!$B$14-Inputs!$B$14))*(1+Inputs!$B$7/100))*(F2945/100)</f>
        <v/>
      </c>
      <c r="K2945">
        <f>J2945*(1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2947=TRUE,F2947,0)/100)*(1+(IF(Skills!A8="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2961=TRUE)*(F2961-Calc!F24)),(Inputs!$B$23+((C2966=TRUE)*(F2966-Calc!F29))+(IF(ArtifactsInput!$M$15,CHOOSE(ArtifactsInput!$N$15+1,25,30,35,40,45,50)/100*(Inputs!$B$11-Inputs!$B$11),0))))/100+(Inputs!$B$23+((C2966=TRUE)*(F2966-Calc!F29))+(IF(ArtifactsInput!$M$15,CHOOSE(ArtifactsInput!$N$15+1,25,30,35,40,45,50)/100*(Inputs!$B$11-Inputs!$B$11),0)))/100)/2</f>
        <v/>
      </c>
      <c r="M2945">
        <f>L2945*(1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IF(B2980=0,0,O2945/B2980)</f>
        <v/>
      </c>
      <c r="Q2945">
        <f>IFERROR(1/(IF(Inputs!$B$38="pvp",15,MAX(0.1,Skills!D8-IF(Skills!E8=TRUE,0.5,0)))*(1-IF(AND(ArtifactsInput!$M$27,Inputs!$B$4="Chapter Hunt"),CHOOSE(ArtifactsInput!$N$27+1,20,24,28,32,36,40),0)/100)),0)</f>
        <v/>
      </c>
      <c r="R2945">
        <f>IF(AND(Inputs!$B$38&lt;&gt;"pvp",Inputs!$B$43&gt;0),IF(MAX(0,Inputs!$B$43-B2977)&lt;=0,0,(INT(MAX(0,Inputs!$B$43-B2977)/(IF(Inputs!$B$38="pvp",15,MAX(0.1,Skills!D8-IF(Skills!E8=TRUE,0.5,0)))*(1-IF(AND(ArtifactsInput!$M$27,Inputs!$B$4="Chapter Hunt"),CHOOSE(ArtifactsInput!$N$27+1,20,24,28,32,36,40),0)/100)))+1)),0)</f>
        <v/>
      </c>
      <c r="S2945">
        <f>IFERROR(O2945/N2945,0)</f>
        <v/>
      </c>
      <c r="T2945">
        <f>IF(C2945,(H2945*N2945*IF(AND(Inputs!$B$38&lt;&gt;"pvp",Inputs!$B$43&gt;0),((Skills!G8*((R2945-1)*IF(Skills!H8&gt;0,Skills!I8/Skills!H8,1)+IF(Skills!H8&gt;0,MIN(Skills!I8,MAX(0,MAX(0,Inputs!$B$43-B2977)-((R2945-1)*(IF(Inputs!$B$38="pvp",15,MAX(0.1,Skills!D8-IF(Skills!E8=TRUE,0.5,0)))*(1-IF(AND(ArtifactsInput!$M$27,Inputs!$B$4="Chapter Hunt"),CHOOSE(ArtifactsInput!$N$27+1,20,24,28,32,36,40),0)/100)))))/Skills!H8,1)))/Inputs!$B$43),G2945*Q2945)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2945*(1-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5">
        <f>IF(C2945,(H2945*N2945*IF(AND(Inputs!$B$38&lt;&gt;"pvp",Inputs!$B$43&gt;0),((Skills!G8*((R2945-1)*IF(Skills!H8&gt;0,Skills!I8/Skills!H8,1)+IF(Skills!H8&gt;0,MIN(Skills!I8,MAX(0,MAX(0,Inputs!$B$43-B2977)-((R2945-1)*(IF(Inputs!$B$38="pvp",15,MAX(0.1,Skills!D8-IF(Skills!E8=TRUE,0.5,0)))*(1-IF(AND(ArtifactsInput!$M$27,Inputs!$B$4="Chapter Hunt"),CHOOSE(ArtifactsInput!$N$27+1,20,24,28,32,36,40),0)/100)))))/Skills!H8,1)))/Inputs!$B$43),G2945*Q2945))*IF(Inputs!$B$38="pvp",1,(1+(Inputs!$B$21+Skills!Q8+(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Skills!A9</f>
        <v/>
      </c>
      <c r="B2946">
        <f>Skills!B9</f>
        <v/>
      </c>
      <c r="C2946">
        <f>Inputs!$B$3&gt;=63</f>
        <v/>
      </c>
      <c r="D2946">
        <f>IF(Skills!C9=1,60+Inputs!$B$25+Inputs!$B$29,IF(Skills!C9=2,90+Inputs!$B$26+Inputs!$B$29,IF(Skills!C9=3,120+Inputs!$B$27+Inputs!$B$29,MAX(0,(Inputs!$B$3-100)*3)+Inputs!$B$28+Inputs!$B$29)))</f>
        <v/>
      </c>
      <c r="E2946">
        <f>INDEX(FactorTable!$B$2:$Y$301, MATCH(ROUND(MIN(300,MAX(1,D2946)),0), FactorTable!$A$2:$A$301,0), Skills!M9+1)</f>
        <v/>
      </c>
      <c r="F2946">
        <f>IF(Skills!N9=TRUE,(Skills!L9/10)*(E2946/1000),Skills!L9/10)+Skills!O9</f>
        <v/>
      </c>
      <c r="G2946">
        <f>Skills!G9*IF(Skills!H9&gt;0,Skills!I9/Skills!H9,1)</f>
        <v/>
      </c>
      <c r="H2946">
        <f>1-(1-Skills!J9/100)^Skills!K9</f>
        <v/>
      </c>
      <c r="I2946" t="inlineStr">
        <is>
          <t>1</t>
        </is>
      </c>
      <c r="J2946">
        <f>((Inputs!$B$6*(1+Inputs!$B$7/100))+(((Inputs!$B$12*(1+Inputs!$B$13/100))-(Inputs!$B$12*(1+Inputs!$B$13/100)))+0.25*(Inputs!$B$14-Inputs!$B$14))*(1+Inputs!$B$7/100))*(F2946/100)</f>
        <v/>
      </c>
      <c r="K2946">
        <f>J2946*(1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2947=TRUE,F2947,0)/100)*(1+(IF(Skills!A9="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2961=TRUE)*(F2961-Calc!F24)),(Inputs!$B$23+((C2966=TRUE)*(F2966-Calc!F29))+(IF(ArtifactsInput!$M$15,CHOOSE(ArtifactsInput!$N$15+1,25,30,35,40,45,50)/100*(Inputs!$B$11-Inputs!$B$11),0))))/100+(Inputs!$B$23+((C2966=TRUE)*(F2966-Calc!F29))+(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IFERROR(1/(IF(Inputs!$B$38="pvp",15,MAX(0.1,Skills!D9-IF(Skills!E9=TRUE,0.5,0)))*(1-IF(AND(ArtifactsInput!$M$27,Inputs!$B$4="Chapter Hunt"),CHOOSE(ArtifactsInput!$N$27+1,20,24,28,32,36,40),0)/100)),0)</f>
        <v/>
      </c>
      <c r="R2946">
        <f>IF(AND(Inputs!$B$38&lt;&gt;"pvp",Inputs!$B$43&gt;0),IF(MAX(0,Inputs!$B$43-B2977)&lt;=0,0,(INT(MAX(0,Inputs!$B$43-B2977)/(IF(Inputs!$B$38="pvp",15,MAX(0.1,Skills!D9-IF(Skills!E9=TRUE,0.5,0)))*(1-IF(AND(ArtifactsInput!$M$27,Inputs!$B$4="Chapter Hunt"),CHOOSE(ArtifactsInput!$N$27+1,20,24,28,32,36,40),0)/100)))+1)),0)</f>
        <v/>
      </c>
      <c r="S2946">
        <f>IFERROR(O2946/N2946,0)</f>
        <v/>
      </c>
      <c r="T2946">
        <f>IF(C2946,(H2946*N2946*IF(AND(Inputs!$B$38&lt;&gt;"pvp",Inputs!$B$43&gt;0),((Skills!G9*((R2946-1)*IF(Skills!H9&gt;0,Skills!I9/Skills!H9,1)+IF(Skills!H9&gt;0,MIN(Skills!I9,MAX(0,MAX(0,Inputs!$B$43-B2977)-((R2946-1)*(IF(Inputs!$B$38="pvp",15,MAX(0.1,Skills!D9-IF(Skills!E9=TRUE,0.5,0)))*(1-IF(AND(ArtifactsInput!$M$27,Inputs!$B$4="Chapter Hunt"),CHOOSE(ArtifactsInput!$N$27+1,20,24,28,32,36,40),0)/100)))))/Skills!H9,1)))/Inputs!$B$43),G2946*Q2946)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2946*(1-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9*((R2946-1)*IF(Skills!H9&gt;0,Skills!I9/Skills!H9,1)+IF(Skills!H9&gt;0,MIN(Skills!I9,MAX(0,MAX(0,Inputs!$B$43-B2977)-((R2946-1)*(IF(Inputs!$B$38="pvp",15,MAX(0.1,Skills!D9-IF(Skills!E9=TRUE,0.5,0)))*(1-IF(AND(ArtifactsInput!$M$27,Inputs!$B$4="Chapter Hunt"),CHOOSE(ArtifactsInput!$N$27+1,20,24,28,32,36,40),0)/100)))))/Skills!H9,1)))/Inputs!$B$43),G2946*Q2946))*IF(Inputs!$B$38="pvp",1,(1+(Inputs!$B$21+Skills!Q9+(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Skills!A10</f>
        <v/>
      </c>
      <c r="B2947">
        <f>Skills!B10</f>
        <v/>
      </c>
      <c r="C2947">
        <f>Inputs!$B$3&gt;=100</f>
        <v/>
      </c>
      <c r="D2947">
        <f>IF(Skills!C10=1,60+Inputs!$B$25+Inputs!$B$29,IF(Skills!C10=2,90+Inputs!$B$26+Inputs!$B$29,IF(Skills!C10=3,120+Inputs!$B$27+Inputs!$B$29,MAX(0,(Inputs!$B$3-100)*3)+Inputs!$B$28+Inputs!$B$29)))</f>
        <v/>
      </c>
      <c r="E2947">
        <f>INDEX(FactorTable!$B$2:$Y$301, MATCH(ROUND(MIN(300,MAX(1,D2947)),0), FactorTable!$A$2:$A$301,0), Skills!M10+1)</f>
        <v/>
      </c>
      <c r="F2947">
        <f>IF(Skills!N10=TRUE,(Skills!L10/10)*(E2947/1000),Skills!L10/10)+Skills!O10</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T2947" t="inlineStr"/>
      <c r="V2947" t="inlineStr"/>
    </row>
    <row r="2948">
      <c r="A2948">
        <f>Skills!A11</f>
        <v/>
      </c>
      <c r="B2948">
        <f>Skills!B11</f>
        <v/>
      </c>
      <c r="C2948">
        <f>Inputs!$B$3&gt;=60</f>
        <v/>
      </c>
      <c r="D2948">
        <f>IF(Skills!C11=1,60+Inputs!$B$25+Inputs!$B$29,IF(Skills!C11=2,90+Inputs!$B$26+Inputs!$B$29,IF(Skills!C11=3,120+Inputs!$B$27+Inputs!$B$29,MAX(0,(Inputs!$B$3-100)*3)+Inputs!$B$28+Inputs!$B$29)))</f>
        <v/>
      </c>
      <c r="E2948">
        <f>INDEX(FactorTable!$B$2:$Y$301, MATCH(ROUND(MIN(300,MAX(1,D2948)),0), FactorTable!$A$2:$A$301,0), Skills!M11+1)</f>
        <v/>
      </c>
      <c r="F2948">
        <f>IF(Skills!N11=TRUE,(Skills!L11/10)*(E2948/1000),Skills!L11/10)+Skills!O11</f>
        <v/>
      </c>
      <c r="G2948">
        <f>Skills!G11*IF(Skills!H11&gt;0,Skills!I11/Skills!H11,1)</f>
        <v/>
      </c>
      <c r="H2948">
        <f>1-(1-Skills!J11/100)^Skills!K11</f>
        <v/>
      </c>
      <c r="I2948" t="inlineStr">
        <is>
          <t>1</t>
        </is>
      </c>
      <c r="J2948">
        <f>((Inputs!$B$6*(1+Inputs!$B$7/100))+(((Inputs!$B$12*(1+Inputs!$B$13/100))-(Inputs!$B$12*(1+Inputs!$B$13/100)))+0.25*(Inputs!$B$14-Inputs!$B$14))*(1+Inputs!$B$7/100))*(F2948/100)</f>
        <v/>
      </c>
      <c r="K2948">
        <f>J2948*(1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2949=TRUE,F2949,0)/100)*(1+(IF(Skills!A11="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2961=TRUE)*(F2961-Calc!F24)),(Inputs!$B$23+((C2966=TRUE)*(F2966-Calc!F29))+(IF(ArtifactsInput!$M$15,CHOOSE(ArtifactsInput!$N$15+1,25,30,35,40,45,50)/100*(Inputs!$B$11-Inputs!$B$11),0))))/100+(Inputs!$B$23+((C2966=TRUE)*(F2966-Calc!F29))+(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IFERROR(1/(IF(Inputs!$B$38="pvp",15,MAX(0.1,Skills!D11-IF(Skills!E11=TRUE,0.5,0)))*(1-IF(AND(ArtifactsInput!$M$27,Inputs!$B$4="Chapter Hunt"),CHOOSE(ArtifactsInput!$N$27+1,20,24,28,32,36,40),0)/100)),0)</f>
        <v/>
      </c>
      <c r="R2948">
        <f>IF(AND(Inputs!$B$38&lt;&gt;"pvp",Inputs!$B$43&gt;0),IF(MAX(0,Inputs!$B$43-B2977)&lt;=0,0,(INT(MAX(0,Inputs!$B$43-B2977)/(IF(Inputs!$B$38="pvp",15,MAX(0.1,Skills!D11-IF(Skills!E11=TRUE,0.5,0)))*(1-IF(AND(ArtifactsInput!$M$27,Inputs!$B$4="Chapter Hunt"),CHOOSE(ArtifactsInput!$N$27+1,20,24,28,32,36,40),0)/100)))+1)),0)</f>
        <v/>
      </c>
      <c r="S2948">
        <f>IFERROR(O2948/N2948,0)</f>
        <v/>
      </c>
      <c r="T2948">
        <f>IF(C2948,(H2948*N2948*IF(AND(Inputs!$B$38&lt;&gt;"pvp",Inputs!$B$43&gt;0),((Skills!G11*((R2948-1)*IF(Skills!H11&gt;0,Skills!I11/Skills!H11,1)+IF(Skills!H11&gt;0,MIN(Skills!I11,MAX(0,MAX(0,Inputs!$B$43-B2977)-((R2948-1)*(IF(Inputs!$B$38="pvp",15,MAX(0.1,Skills!D11-IF(Skills!E11=TRUE,0.5,0)))*(1-IF(AND(ArtifactsInput!$M$27,Inputs!$B$4="Chapter Hunt"),CHOOSE(ArtifactsInput!$N$27+1,20,24,28,32,36,40),0)/100)))))/Skills!H11,1)))/Inputs!$B$43),G2948*Q2948)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2948*(1-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11*((R2948-1)*IF(Skills!H11&gt;0,Skills!I11/Skills!H11,1)+IF(Skills!H11&gt;0,MIN(Skills!I11,MAX(0,MAX(0,Inputs!$B$43-B2977)-((R2948-1)*(IF(Inputs!$B$38="pvp",15,MAX(0.1,Skills!D11-IF(Skills!E11=TRUE,0.5,0)))*(1-IF(AND(ArtifactsInput!$M$27,Inputs!$B$4="Chapter Hunt"),CHOOSE(ArtifactsInput!$N$27+1,20,24,28,32,36,40),0)/100)))))/Skills!H11,1)))/Inputs!$B$43),G2948*Q2948))*IF(Inputs!$B$38="pvp",1,(1+(Inputs!$B$21+Skills!Q11+(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Skills!A12</f>
        <v/>
      </c>
      <c r="B2949">
        <f>Skills!B12</f>
        <v/>
      </c>
      <c r="C2949">
        <f>Inputs!$B$3&gt;=110</f>
        <v/>
      </c>
      <c r="D2949">
        <f>IF(Skills!C12=1,60+Inputs!$B$25+Inputs!$B$29,IF(Skills!C12=2,90+Inputs!$B$26+Inputs!$B$29,IF(Skills!C12=3,120+Inputs!$B$27+Inputs!$B$29,MAX(0,(Inputs!$B$3-100)*3)+Inputs!$B$28+Inputs!$B$29)))</f>
        <v/>
      </c>
      <c r="E2949">
        <f>INDEX(FactorTable!$B$2:$Y$301, MATCH(ROUND(MIN(300,MAX(1,D2949)),0), FactorTable!$A$2:$A$301,0), Skills!M12+1)</f>
        <v/>
      </c>
      <c r="F2949">
        <f>IF(Skills!N12=TRUE,(Skills!L12/10)*(E2949/1000),Skills!L12/10)+Skills!O12</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Skills!A13</f>
        <v/>
      </c>
      <c r="B2950">
        <f>Skills!B13</f>
        <v/>
      </c>
      <c r="C2950">
        <f>Inputs!$B$3&gt;=74</f>
        <v/>
      </c>
      <c r="D2950">
        <f>IF(Skills!C13=1,60+Inputs!$B$25+Inputs!$B$29,IF(Skills!C13=2,90+Inputs!$B$26+Inputs!$B$29,IF(Skills!C13=3,120+Inputs!$B$27+Inputs!$B$29,MAX(0,(Inputs!$B$3-100)*3)+Inputs!$B$28+Inputs!$B$29)))</f>
        <v/>
      </c>
      <c r="E2950">
        <f>INDEX(FactorTable!$B$2:$Y$301, MATCH(ROUND(MIN(300,MAX(1,D2950)),0), FactorTable!$A$2:$A$301,0), Skills!M13+1)</f>
        <v/>
      </c>
      <c r="F2950">
        <f>IF(Skills!N13=TRUE,(Skills!L13/10)*(E2950/1000),Skills!L13/10)+Skills!O13</f>
        <v/>
      </c>
      <c r="G2950">
        <f>Skills!G13*IF(Skills!H13&gt;0,Skills!I13/Skills!H13,1)</f>
        <v/>
      </c>
      <c r="H2950">
        <f>1-(1-Skills!J13/100)^Skills!K13</f>
        <v/>
      </c>
      <c r="I2950" t="inlineStr">
        <is>
          <t>1</t>
        </is>
      </c>
      <c r="J2950" t="inlineStr"/>
      <c r="K2950" t="inlineStr"/>
      <c r="L2950" t="inlineStr"/>
      <c r="M2950" t="inlineStr"/>
      <c r="N2950" t="inlineStr"/>
      <c r="O2950">
        <f>(1-Summary!$B$11)*T2950+Summary!$B$11*V2950</f>
        <v/>
      </c>
      <c r="P2950">
        <f>IF(B2980=0,0,O2950/B2980)</f>
        <v/>
      </c>
      <c r="Q2950" t="n">
        <v>0</v>
      </c>
      <c r="R2950" t="n">
        <v>0</v>
      </c>
      <c r="S2950">
        <f>IFERROR(O2950/N2950,0)</f>
        <v/>
      </c>
      <c r="T2950" t="n">
        <v>0</v>
      </c>
      <c r="V2950" t="n">
        <v>0</v>
      </c>
    </row>
    <row r="2951">
      <c r="A2951">
        <f>Skills!A14</f>
        <v/>
      </c>
      <c r="B2951">
        <f>Skills!B14</f>
        <v/>
      </c>
      <c r="C2951">
        <f>Inputs!$B$3&gt;=74</f>
        <v/>
      </c>
      <c r="D2951">
        <f>IF(Skills!C14=1,60+Inputs!$B$25+Inputs!$B$29,IF(Skills!C14=2,90+Inputs!$B$26+Inputs!$B$29,IF(Skills!C14=3,120+Inputs!$B$27+Inputs!$B$29,MAX(0,(Inputs!$B$3-100)*3)+Inputs!$B$28+Inputs!$B$29)))</f>
        <v/>
      </c>
      <c r="E2951">
        <f>INDEX(FactorTable!$B$2:$Y$301, MATCH(ROUND(MIN(300,MAX(1,D2951)),0), FactorTable!$A$2:$A$301,0), Skills!M14+1)</f>
        <v/>
      </c>
      <c r="F2951">
        <f>IF(Skills!N14=TRUE,(Skills!L14/10)*(E2951/1000),Skills!L14/10)+Skills!O14</f>
        <v/>
      </c>
      <c r="G2951">
        <f>Skills!G14*IF(Skills!H14&gt;0,Skills!I14/Skills!H14,1)</f>
        <v/>
      </c>
      <c r="H2951">
        <f>1-(1-Skills!J14/100)^Skills!K14</f>
        <v/>
      </c>
      <c r="I2951" t="inlineStr">
        <is>
          <t>1</t>
        </is>
      </c>
      <c r="J2951" t="inlineStr"/>
      <c r="K2951" t="inlineStr"/>
      <c r="L2951" t="inlineStr"/>
      <c r="M2951" t="inlineStr"/>
      <c r="N2951" t="inlineStr"/>
      <c r="O2951">
        <f>(1-Summary!$B$11)*T2951+Summary!$B$11*V2951</f>
        <v/>
      </c>
      <c r="P2951">
        <f>IF(B2980=0,0,O2951/B2980)</f>
        <v/>
      </c>
      <c r="Q2951" t="n">
        <v>0</v>
      </c>
      <c r="R2951" t="n">
        <v>0</v>
      </c>
      <c r="S2951">
        <f>IFERROR(O2951/N2951,0)</f>
        <v/>
      </c>
      <c r="T2951" t="n">
        <v>0</v>
      </c>
      <c r="V2951" t="n">
        <v>0</v>
      </c>
    </row>
    <row r="2952">
      <c r="A2952">
        <f>Skills!A15</f>
        <v/>
      </c>
      <c r="B2952">
        <f>Skills!B15</f>
        <v/>
      </c>
      <c r="C2952">
        <f>Inputs!$B$3&gt;=117</f>
        <v/>
      </c>
      <c r="D2952">
        <f>IF(Skills!C15=1,60+Inputs!$B$25+Inputs!$B$29,IF(Skills!C15=2,90+Inputs!$B$26+Inputs!$B$29,IF(Skills!C15=3,120+Inputs!$B$27+Inputs!$B$29,MAX(0,(Inputs!$B$3-100)*3)+Inputs!$B$28+Inputs!$B$29)))</f>
        <v/>
      </c>
      <c r="E2952">
        <f>INDEX(FactorTable!$B$2:$Y$301, MATCH(ROUND(MIN(300,MAX(1,D2952)),0), FactorTable!$A$2:$A$301,0), Skills!M15+1)</f>
        <v/>
      </c>
      <c r="F2952">
        <f>IF(Skills!N15=TRUE,(Skills!L15/10)*(E2952/1000),Skills!L15/10)+Skills!O15</f>
        <v/>
      </c>
      <c r="G2952">
        <f>Skills!G15*IF(Skills!H15&gt;0,Skills!I15/Skills!H15,1)</f>
        <v/>
      </c>
      <c r="H2952">
        <f>1-(1-Skills!J15/100)^Skills!K15</f>
        <v/>
      </c>
      <c r="I2952" t="inlineStr">
        <is>
          <t>1</t>
        </is>
      </c>
      <c r="J2952" t="inlineStr"/>
      <c r="K2952" t="inlineStr"/>
      <c r="L2952" t="inlineStr"/>
      <c r="M2952" t="inlineStr"/>
      <c r="N2952" t="inlineStr"/>
      <c r="O2952">
        <f>(1-Summary!$B$11)*T2952+Summary!$B$11*V2952</f>
        <v/>
      </c>
      <c r="P2952">
        <f>IF(B2980=0,0,O2952/B2980)</f>
        <v/>
      </c>
      <c r="Q2952">
        <f>IFERROR(1/(IF(Inputs!$B$38="pvp",15,MAX(0.1,Skills!D15-IF(Skills!E15=TRUE,0.5,0)))*(1-IF(AND(ArtifactsInput!$M$27,Inputs!$B$4="Chapter Hunt"),CHOOSE(ArtifactsInput!$N$27+1,20,24,28,32,36,40),0)/100)),0)</f>
        <v/>
      </c>
      <c r="R2952">
        <f>IF(AND(Inputs!$B$38&lt;&gt;"pvp",Inputs!$B$43&gt;0),IF(Inputs!$B$43&lt;=0,0,(INT(Inputs!$B$43/(IF(Inputs!$B$38="pvp",15,MAX(0.1,Skills!D15-IF(Skills!E15=TRUE,0.5,0)))*(1-IF(AND(ArtifactsInput!$M$27,Inputs!$B$4="Chapter Hunt"),CHOOSE(ArtifactsInput!$N$27+1,20,24,28,32,36,40),0)/100)))+1)),0)</f>
        <v/>
      </c>
      <c r="S2952">
        <f>IFERROR(O2952/N2952,0)</f>
        <v/>
      </c>
      <c r="T2952" t="n">
        <v>0</v>
      </c>
      <c r="V2952" t="n">
        <v>0</v>
      </c>
    </row>
    <row r="2953">
      <c r="A2953">
        <f>Skills!A16</f>
        <v/>
      </c>
      <c r="B2953">
        <f>Skills!B16</f>
        <v/>
      </c>
      <c r="C2953">
        <f>Inputs!$B$3&gt;=115</f>
        <v/>
      </c>
      <c r="D2953">
        <f>IF(Skills!C16=1,60+Inputs!$B$25+Inputs!$B$29,IF(Skills!C16=2,90+Inputs!$B$26+Inputs!$B$29,IF(Skills!C16=3,120+Inputs!$B$27+Inputs!$B$29,MAX(0,(Inputs!$B$3-100)*3)+Inputs!$B$28+Inputs!$B$29)))</f>
        <v/>
      </c>
      <c r="E2953">
        <f>INDEX(FactorTable!$B$2:$Y$301, MATCH(ROUND(MIN(300,MAX(1,D2953)),0), FactorTable!$A$2:$A$301,0), Skills!M16+1)</f>
        <v/>
      </c>
      <c r="F2953">
        <f>IF(Skills!N16=TRUE,(Skills!L16/10)*(E2953/1000),Skills!L16/10)+Skills!O16</f>
        <v/>
      </c>
      <c r="G2953">
        <f>Skills!G16*IF(Skills!H16&gt;0,Skills!I16/Skills!H16,1)</f>
        <v/>
      </c>
      <c r="H2953">
        <f>1-(1-Skills!J16/100)^Skills!K16</f>
        <v/>
      </c>
      <c r="I2953" t="inlineStr">
        <is>
          <t>1</t>
        </is>
      </c>
      <c r="J2953" t="inlineStr"/>
      <c r="K2953" t="inlineStr"/>
      <c r="L2953" t="inlineStr"/>
      <c r="M2953" t="inlineStr"/>
      <c r="N2953" t="inlineStr"/>
      <c r="O2953">
        <f>(1-Summary!$B$11)*T2953+Summary!$B$11*V2953</f>
        <v/>
      </c>
      <c r="P2953">
        <f>IF(B2980=0,0,O2953/B2980)</f>
        <v/>
      </c>
      <c r="Q2953">
        <f>IFERROR(1/(IF(Inputs!$B$38="pvp",15,MAX(0.1,Skills!D16-IF(Skills!E16=TRUE,0.5,0)))*(1-IF(AND(ArtifactsInput!$M$27,Inputs!$B$4="Chapter Hunt"),CHOOSE(ArtifactsInput!$N$27+1,20,24,28,32,36,40),0)/100)),0)</f>
        <v/>
      </c>
      <c r="R2953">
        <f>IF(AND(Inputs!$B$38&lt;&gt;"pvp",Inputs!$B$43&gt;0),IF(Inputs!$B$43&lt;=0,0,(INT(Inputs!$B$43/(IF(Inputs!$B$38="pvp",15,MAX(0.1,Skills!D16-IF(Skills!E16=TRUE,0.5,0)))*(1-IF(AND(ArtifactsInput!$M$27,Inputs!$B$4="Chapter Hunt"),CHOOSE(ArtifactsInput!$N$27+1,20,24,28,32,36,40),0)/100)))+1)),0)</f>
        <v/>
      </c>
      <c r="S2953">
        <f>IFERROR(O2953/N2953,0)</f>
        <v/>
      </c>
      <c r="T2953" t="n">
        <v>0</v>
      </c>
      <c r="V2953" t="n">
        <v>0</v>
      </c>
    </row>
    <row r="2954">
      <c r="A2954">
        <f>Skills!A17</f>
        <v/>
      </c>
      <c r="B2954">
        <f>Skills!B17</f>
        <v/>
      </c>
      <c r="C2954">
        <f>Inputs!$B$3&gt;=66</f>
        <v/>
      </c>
      <c r="D2954">
        <f>IF(Skills!C17=1,60+Inputs!$B$25+Inputs!$B$29,IF(Skills!C17=2,90+Inputs!$B$26+Inputs!$B$29,IF(Skills!C17=3,120+Inputs!$B$27+Inputs!$B$29,MAX(0,(Inputs!$B$3-100)*3)+Inputs!$B$28+Inputs!$B$29)))</f>
        <v/>
      </c>
      <c r="E2954">
        <f>INDEX(FactorTable!$B$2:$Y$301, MATCH(ROUND(MIN(300,MAX(1,D2954)),0), FactorTable!$A$2:$A$301,0), Skills!M17+1)</f>
        <v/>
      </c>
      <c r="F2954">
        <f>IF(Skills!N17=TRUE,(Skills!L17/10)*(E2954/1000),Skills!L17/10)+Skills!O17</f>
        <v/>
      </c>
      <c r="G2954">
        <f>Skills!G17*IF(Skills!H17&gt;0,Skills!I17/Skills!H17,1)</f>
        <v/>
      </c>
      <c r="H2954">
        <f>1-(1-Skills!J17/100)^Skills!K17</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Skills!A18</f>
        <v/>
      </c>
      <c r="B2955">
        <f>Skills!B18</f>
        <v/>
      </c>
      <c r="C2955">
        <f>Inputs!$B$3&gt;=72</f>
        <v/>
      </c>
      <c r="D2955">
        <f>IF(Skills!C18=1,60+Inputs!$B$25+Inputs!$B$29,IF(Skills!C18=2,90+Inputs!$B$26+Inputs!$B$29,IF(Skills!C18=3,120+Inputs!$B$27+Inputs!$B$29,MAX(0,(Inputs!$B$3-100)*3)+Inputs!$B$28+Inputs!$B$29)))</f>
        <v/>
      </c>
      <c r="E2955">
        <f>INDEX(FactorTable!$B$2:$Y$301, MATCH(ROUND(MIN(300,MAX(1,D2955)),0), FactorTable!$A$2:$A$301,0), Skills!M18+1)</f>
        <v/>
      </c>
      <c r="F2955">
        <f>IF(Skills!N18=TRUE,(Skills!L18/10)*(E2955/1000),Skills!L18/10)+Skills!O18</f>
        <v/>
      </c>
      <c r="G2955">
        <f>Skills!G18*IF(Skills!H18&gt;0,Skills!I18/Skills!H18,1)</f>
        <v/>
      </c>
      <c r="H2955">
        <f>1-(1-Skills!J18/100)^Skills!K18</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Skills!A19</f>
        <v/>
      </c>
      <c r="B2956">
        <f>Skills!B19</f>
        <v/>
      </c>
      <c r="C2956">
        <f>TRUE</f>
        <v/>
      </c>
      <c r="D2956">
        <f>IF(Skills!C19=1,60+Inputs!$B$25+Inputs!$B$29,IF(Skills!C19=2,90+Inputs!$B$26+Inputs!$B$29,IF(Skills!C19=3,120+Inputs!$B$27+Inputs!$B$29,MAX(0,(Inputs!$B$3-100)*3)+Inputs!$B$28+Inputs!$B$29)))</f>
        <v/>
      </c>
      <c r="E2956">
        <f>INDEX(FactorTable!$B$2:$Y$301, MATCH(ROUND(MIN(300,MAX(1,D2956)),0), FactorTable!$A$2:$A$301,0), Skills!M19+1)</f>
        <v/>
      </c>
      <c r="F2956">
        <f>IF(Skills!N19=TRUE,(Skills!L19/10)*(E2956/1000),Skills!L19/10)+Skills!O19</f>
        <v/>
      </c>
      <c r="G2956">
        <f>Skills!G19*IF(Skills!H19&gt;0,Skills!I19/Skills!H19,1)</f>
        <v/>
      </c>
      <c r="H2956">
        <f>1-(1-Skills!J19/100)^Skills!K19</f>
        <v/>
      </c>
      <c r="I2956" t="inlineStr">
        <is>
          <t>1</t>
        </is>
      </c>
      <c r="J2956" t="inlineStr"/>
      <c r="K2956" t="inlineStr"/>
      <c r="L2956" t="inlineStr"/>
      <c r="M2956" t="inlineStr"/>
      <c r="N2956" t="inlineStr"/>
      <c r="O2956">
        <f>(1-Summary!$B$11)*T2956+Summary!$B$11*V2956</f>
        <v/>
      </c>
      <c r="P2956">
        <f>IF(B2980=0,0,O2956/B2980)</f>
        <v/>
      </c>
      <c r="Q2956">
        <f>IFERROR(1/(IF(Inputs!$B$38="pvp",15,MAX(0.1,Skills!D19-IF(Skills!E19=TRUE,0.5,0)))*(1-IF(AND(ArtifactsInput!$M$27,Inputs!$B$4="Chapter Hunt"),CHOOSE(ArtifactsInput!$N$27+1,20,24,28,32,36,40),0)/100)),0)</f>
        <v/>
      </c>
      <c r="R2956">
        <f>IF(AND(Inputs!$B$38&lt;&gt;"pvp",Inputs!$B$43&gt;0),IF(Inputs!$B$43&lt;=0,0,(INT(Inputs!$B$43/(IF(Inputs!$B$38="pvp",15,MAX(0.1,Skills!D19-IF(Skills!E19=TRUE,0.5,0)))*(1-IF(AND(ArtifactsInput!$M$27,Inputs!$B$4="Chapter Hunt"),CHOOSE(ArtifactsInput!$N$27+1,20,24,28,32,36,40),0)/100)))+1)),0)</f>
        <v/>
      </c>
      <c r="S2956">
        <f>IFERROR(O2956/N2956,0)</f>
        <v/>
      </c>
      <c r="T2956" t="n">
        <v>0</v>
      </c>
      <c r="V2956" t="n">
        <v>0</v>
      </c>
    </row>
    <row r="2957">
      <c r="A2957">
        <f>Skills!A20</f>
        <v/>
      </c>
      <c r="B2957">
        <f>Skills!B20</f>
        <v/>
      </c>
      <c r="C2957">
        <f>Inputs!$B$3&gt;=15</f>
        <v/>
      </c>
      <c r="D2957">
        <f>IF(Skills!C20=1,60+Inputs!$B$25+Inputs!$B$29,IF(Skills!C20=2,90+Inputs!$B$26+Inputs!$B$29,IF(Skills!C20=3,120+Inputs!$B$27+Inputs!$B$29,MAX(0,(Inputs!$B$3-100)*3)+Inputs!$B$28+Inputs!$B$29)))</f>
        <v/>
      </c>
      <c r="E2957">
        <f>INDEX(FactorTable!$B$2:$Y$301, MATCH(ROUND(MIN(300,MAX(1,D2957)),0), FactorTable!$A$2:$A$301,0), Skills!M20+1)</f>
        <v/>
      </c>
      <c r="F2957">
        <f>IF(Skills!N20=TRUE,(Skills!L20/10)*(E2957/1000),Skills!L20/10)+Skills!O20</f>
        <v/>
      </c>
      <c r="G2957">
        <f>Skills!G20*IF(Skills!H20&gt;0,Skills!I20/Skills!H20,1)</f>
        <v/>
      </c>
      <c r="H2957">
        <f>1-(1-Skills!J20/100)^Skills!K20</f>
        <v/>
      </c>
      <c r="I2957" t="inlineStr">
        <is>
          <t>1</t>
        </is>
      </c>
      <c r="J2957" t="inlineStr"/>
      <c r="K2957" t="inlineStr"/>
      <c r="L2957" t="inlineStr"/>
      <c r="M2957" t="inlineStr"/>
      <c r="N2957" t="inlineStr"/>
      <c r="O2957">
        <f>(1-Summary!$B$11)*T2957+Summary!$B$11*V2957</f>
        <v/>
      </c>
      <c r="P2957">
        <f>IF(B2980=0,0,O2957/B2980)</f>
        <v/>
      </c>
      <c r="Q2957" t="n">
        <v>0</v>
      </c>
      <c r="R2957" t="n">
        <v>0</v>
      </c>
      <c r="S2957">
        <f>IFERROR(O2957/N2957,0)</f>
        <v/>
      </c>
      <c r="T2957" t="n">
        <v>0</v>
      </c>
      <c r="V2957" t="n">
        <v>0</v>
      </c>
    </row>
    <row r="2958">
      <c r="A2958">
        <f>Skills!A21</f>
        <v/>
      </c>
      <c r="B2958">
        <f>Skills!B21</f>
        <v/>
      </c>
      <c r="C2958">
        <f>Inputs!$B$3&gt;=10</f>
        <v/>
      </c>
      <c r="D2958">
        <f>IF(Skills!C21=1,60+Inputs!$B$25+Inputs!$B$29,IF(Skills!C21=2,90+Inputs!$B$26+Inputs!$B$29,IF(Skills!C21=3,120+Inputs!$B$27+Inputs!$B$29,MAX(0,(Inputs!$B$3-100)*3)+Inputs!$B$28+Inputs!$B$29)))</f>
        <v/>
      </c>
      <c r="E2958">
        <f>INDEX(FactorTable!$B$2:$Y$301, MATCH(ROUND(MIN(300,MAX(1,D2958)),0), FactorTable!$A$2:$A$301,0), Skills!M21+1)</f>
        <v/>
      </c>
      <c r="F2958">
        <f>IF(Skills!N21=TRUE,(Skills!L21/10)*(E2958/1000),Skills!L21/10)+Skills!O21</f>
        <v/>
      </c>
      <c r="G2958">
        <f>Skills!G21*IF(Skills!H21&gt;0,Skills!I21/Skills!H21,1)</f>
        <v/>
      </c>
      <c r="H2958">
        <f>1-(1-Skills!J21/100)^Skills!K21</f>
        <v/>
      </c>
      <c r="I2958" t="inlineStr">
        <is>
          <t>1</t>
        </is>
      </c>
      <c r="J2958" t="inlineStr"/>
      <c r="K2958" t="inlineStr"/>
      <c r="L2958" t="inlineStr"/>
      <c r="M2958" t="inlineStr"/>
      <c r="N2958" t="inlineStr"/>
      <c r="O2958">
        <f>(1-Summary!$B$11)*T2958+Summary!$B$11*V2958</f>
        <v/>
      </c>
      <c r="P2958">
        <f>IF(B2980=0,0,O2958/B2980)</f>
        <v/>
      </c>
      <c r="Q2958" t="n">
        <v>0</v>
      </c>
      <c r="R2958" t="n">
        <v>0</v>
      </c>
      <c r="S2958">
        <f>IFERROR(O2958/N2958,0)</f>
        <v/>
      </c>
      <c r="T2958" t="n">
        <v>0</v>
      </c>
      <c r="V2958" t="n">
        <v>0</v>
      </c>
    </row>
    <row r="2959">
      <c r="A2959">
        <f>Skills!A22</f>
        <v/>
      </c>
      <c r="B2959">
        <f>Skills!B22</f>
        <v/>
      </c>
      <c r="C2959">
        <f>Inputs!$B$3&gt;=33</f>
        <v/>
      </c>
      <c r="D2959">
        <f>IF(Skills!C22=1,60+Inputs!$B$25+Inputs!$B$29,IF(Skills!C22=2,90+Inputs!$B$26+Inputs!$B$29,IF(Skills!C22=3,120+Inputs!$B$27+Inputs!$B$29,MAX(0,(Inputs!$B$3-100)*3)+Inputs!$B$28+Inputs!$B$29)))</f>
        <v/>
      </c>
      <c r="E2959">
        <f>INDEX(FactorTable!$B$2:$Y$301, MATCH(ROUND(MIN(300,MAX(1,D2959)),0), FactorTable!$A$2:$A$301,0), Skills!M22+1)</f>
        <v/>
      </c>
      <c r="F2959">
        <f>IF(Skills!N22=TRUE,(Skills!L22/10)*(E2959/1000),Skills!L22/10)+Skills!O22</f>
        <v/>
      </c>
      <c r="G2959">
        <f>Skills!G22*IF(Skills!H22&gt;0,Skills!I22/Skills!H22,1)</f>
        <v/>
      </c>
      <c r="H2959">
        <f>1-(1-Skills!J22/100)^Skills!K22</f>
        <v/>
      </c>
      <c r="I2959" t="inlineStr">
        <is>
          <t>1</t>
        </is>
      </c>
      <c r="J2959" t="inlineStr"/>
      <c r="K2959" t="inlineStr"/>
      <c r="L2959" t="inlineStr"/>
      <c r="M2959" t="inlineStr"/>
      <c r="N2959" t="inlineStr"/>
      <c r="O2959">
        <f>(1-Summary!$B$11)*T2959+Summary!$B$11*V2959</f>
        <v/>
      </c>
      <c r="P2959">
        <f>IF(B2980=0,0,O2959/B2980)</f>
        <v/>
      </c>
      <c r="Q2959" t="n">
        <v>0</v>
      </c>
      <c r="R2959" t="n">
        <v>0</v>
      </c>
      <c r="S2959">
        <f>IFERROR(O2959/N2959,0)</f>
        <v/>
      </c>
      <c r="T2959" t="n">
        <v>0</v>
      </c>
      <c r="V2959" t="n">
        <v>0</v>
      </c>
    </row>
    <row r="2960">
      <c r="A2960">
        <f>Skills!A23</f>
        <v/>
      </c>
      <c r="B2960">
        <f>Skills!B23</f>
        <v/>
      </c>
      <c r="C2960">
        <f>Inputs!$B$3&gt;=38</f>
        <v/>
      </c>
      <c r="D2960">
        <f>IF(Skills!C23=1,60+Inputs!$B$25+Inputs!$B$29,IF(Skills!C23=2,90+Inputs!$B$26+Inputs!$B$29,IF(Skills!C23=3,120+Inputs!$B$27+Inputs!$B$29,MAX(0,(Inputs!$B$3-100)*3)+Inputs!$B$28+Inputs!$B$29)))</f>
        <v/>
      </c>
      <c r="E2960">
        <f>INDEX(FactorTable!$B$2:$Y$301, MATCH(ROUND(MIN(300,MAX(1,D2960)),0), FactorTable!$A$2:$A$301,0), Skills!M23+1)</f>
        <v/>
      </c>
      <c r="F2960">
        <f>IF(Skills!N23=TRUE,(Skills!L23/10)*(E2960/1000),Skills!L23/10)+Skills!O23</f>
        <v/>
      </c>
      <c r="G2960">
        <f>Skills!G23*IF(Skills!H23&gt;0,Skills!I23/Skills!H23,1)</f>
        <v/>
      </c>
      <c r="H2960">
        <f>1-(1-Skills!J23/100)^Skills!K23</f>
        <v/>
      </c>
      <c r="I2960" t="inlineStr">
        <is>
          <t>1</t>
        </is>
      </c>
      <c r="J2960" t="inlineStr"/>
      <c r="K2960" t="inlineStr"/>
      <c r="L2960" t="inlineStr"/>
      <c r="M2960" t="inlineStr"/>
      <c r="N2960" t="inlineStr"/>
      <c r="O2960">
        <f>(1-Summary!$B$11)*T2960+Summary!$B$11*V2960</f>
        <v/>
      </c>
      <c r="P2960">
        <f>IF(B2980=0,0,O2960/B2980)</f>
        <v/>
      </c>
      <c r="Q2960" t="n">
        <v>0</v>
      </c>
      <c r="R2960" t="n">
        <v>0</v>
      </c>
      <c r="S2960">
        <f>IFERROR(O2960/N2960,0)</f>
        <v/>
      </c>
      <c r="T2960" t="n">
        <v>0</v>
      </c>
      <c r="V2960" t="n">
        <v>0</v>
      </c>
    </row>
    <row r="2961">
      <c r="A2961">
        <f>Skills!A24</f>
        <v/>
      </c>
      <c r="B2961">
        <f>Skills!B24</f>
        <v/>
      </c>
      <c r="C2961">
        <f>Inputs!$B$3&gt;=43</f>
        <v/>
      </c>
      <c r="D2961">
        <f>IF(Skills!C24=1,60+Inputs!$B$25+Inputs!$B$29,IF(Skills!C24=2,90+Inputs!$B$26+Inputs!$B$29,IF(Skills!C24=3,120+Inputs!$B$27+Inputs!$B$29,MAX(0,(Inputs!$B$3-100)*3)+Inputs!$B$28+Inputs!$B$29)))</f>
        <v/>
      </c>
      <c r="E2961">
        <f>INDEX(FactorTable!$B$2:$Y$301, MATCH(ROUND(MIN(300,MAX(1,D2961)),0), FactorTable!$A$2:$A$301,0), Skills!M24+1)</f>
        <v/>
      </c>
      <c r="F2961">
        <f>IF(Skills!N24=TRUE,(Skills!L24/10)*(E2961/1000),Skills!L24/10)+Skills!O24</f>
        <v/>
      </c>
      <c r="G2961">
        <f>Skills!G24*IF(Skills!H24&gt;0,Skills!I24/Skills!H24,1)</f>
        <v/>
      </c>
      <c r="H2961">
        <f>1-(1-Skills!J24/100)^Skills!K24</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Skills!A25</f>
        <v/>
      </c>
      <c r="B2962">
        <f>Skills!B25</f>
        <v/>
      </c>
      <c r="C2962">
        <f>Inputs!$B$3&gt;=75</f>
        <v/>
      </c>
      <c r="D2962">
        <f>IF(Skills!C25=1,60+Inputs!$B$25+Inputs!$B$29,IF(Skills!C25=2,90+Inputs!$B$26+Inputs!$B$29,IF(Skills!C25=3,120+Inputs!$B$27+Inputs!$B$29,MAX(0,(Inputs!$B$3-100)*3)+Inputs!$B$28+Inputs!$B$29)))</f>
        <v/>
      </c>
      <c r="E2962">
        <f>INDEX(FactorTable!$B$2:$Y$301, MATCH(ROUND(MIN(300,MAX(1,D2962)),0), FactorTable!$A$2:$A$301,0), Skills!M25+1)</f>
        <v/>
      </c>
      <c r="F2962">
        <f>IF(Skills!N25=TRUE,(Skills!L25/10)*(E2962/1000),Skills!L25/10)+Skills!O25</f>
        <v/>
      </c>
      <c r="G2962">
        <f>Skills!G25*IF(Skills!H25&gt;0,Skills!I25/Skills!H25,1)</f>
        <v/>
      </c>
      <c r="H2962">
        <f>1-(1-Skills!J25/100)^Skills!K25</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Skills!A26</f>
        <v/>
      </c>
      <c r="B2963">
        <f>Skills!B26</f>
        <v/>
      </c>
      <c r="C2963">
        <f>Inputs!$B$3&gt;=125</f>
        <v/>
      </c>
      <c r="D2963">
        <f>IF(Skills!C26=1,60+Inputs!$B$25+Inputs!$B$29,IF(Skills!C26=2,90+Inputs!$B$26+Inputs!$B$29,IF(Skills!C26=3,120+Inputs!$B$27+Inputs!$B$29,MAX(0,(Inputs!$B$3-100)*3)+Inputs!$B$28+Inputs!$B$29)))</f>
        <v/>
      </c>
      <c r="E2963">
        <f>INDEX(FactorTable!$B$2:$Y$301, MATCH(ROUND(MIN(300,MAX(1,D2963)),0), FactorTable!$A$2:$A$301,0), Skills!M26+1)</f>
        <v/>
      </c>
      <c r="F2963">
        <f>IF(Skills!N26=TRUE,(Skills!L26/10)*(E2963/1000),Skills!L26/10)+Skills!O26</f>
        <v/>
      </c>
      <c r="G2963">
        <f>Skills!G26*IF(Skills!H26&gt;0,Skills!I26/Skills!H26,1)</f>
        <v/>
      </c>
      <c r="H2963">
        <f>1-(1-Skills!J26/100)^Skills!K26</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Skills!A27</f>
        <v/>
      </c>
      <c r="B2964">
        <f>Skills!B27</f>
        <v/>
      </c>
      <c r="C2964">
        <f>Inputs!$B$3&gt;=125</f>
        <v/>
      </c>
      <c r="D2964">
        <f>IF(Skills!C27=1,60+Inputs!$B$25+Inputs!$B$29,IF(Skills!C27=2,90+Inputs!$B$26+Inputs!$B$29,IF(Skills!C27=3,120+Inputs!$B$27+Inputs!$B$29,MAX(0,(Inputs!$B$3-100)*3)+Inputs!$B$28+Inputs!$B$29)))</f>
        <v/>
      </c>
      <c r="E2964">
        <f>INDEX(FactorTable!$B$2:$Y$301, MATCH(ROUND(MIN(300,MAX(1,D2964)),0), FactorTable!$A$2:$A$301,0), Skills!M27+1)</f>
        <v/>
      </c>
      <c r="F2964">
        <f>IF(Skills!N27=TRUE,(Skills!L27/10)*(E2964/1000),Skills!L27/10)+Skills!O27</f>
        <v/>
      </c>
      <c r="G2964">
        <f>Skills!G27*IF(Skills!H27&gt;0,Skills!I27/Skills!H27,1)</f>
        <v/>
      </c>
      <c r="H2964">
        <f>1-(1-Skills!J27/100)^Skills!K27</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Skills!A28</f>
        <v/>
      </c>
      <c r="B2965">
        <f>Skills!B28</f>
        <v/>
      </c>
      <c r="C2965">
        <f>Inputs!$B$3&gt;=120</f>
        <v/>
      </c>
      <c r="D2965">
        <f>IF(Skills!C28=1,60+Inputs!$B$25+Inputs!$B$29,IF(Skills!C28=2,90+Inputs!$B$26+Inputs!$B$29,IF(Skills!C28=3,120+Inputs!$B$27+Inputs!$B$29,MAX(0,(Inputs!$B$3-100)*3)+Inputs!$B$28+Inputs!$B$29)))</f>
        <v/>
      </c>
      <c r="E2965">
        <f>INDEX(FactorTable!$B$2:$Y$301, MATCH(ROUND(MIN(300,MAX(1,D2965)),0), FactorTable!$A$2:$A$301,0), Skills!M28+1)</f>
        <v/>
      </c>
      <c r="F2965">
        <f>IF(Skills!N28=TRUE,(Skills!L28/10)*(E2965/1000),Skills!L28/10)+Skills!O28</f>
        <v/>
      </c>
      <c r="G2965">
        <f>Skills!G28*IF(Skills!H28&gt;0,Skills!I28/Skills!H28,1)</f>
        <v/>
      </c>
      <c r="H2965">
        <f>1-(1-Skills!J28/100)^Skills!K28</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Skills!A29</f>
        <v/>
      </c>
      <c r="B2966">
        <f>Skills!B29</f>
        <v/>
      </c>
      <c r="C2966">
        <f>Inputs!$B$3&gt;=120</f>
        <v/>
      </c>
      <c r="D2966">
        <f>IF(Skills!C29=1,60+Inputs!$B$25+Inputs!$B$29,IF(Skills!C29=2,90+Inputs!$B$26+Inputs!$B$29,IF(Skills!C29=3,120+Inputs!$B$27+Inputs!$B$29,MAX(0,(Inputs!$B$3-100)*3)+Inputs!$B$28+Inputs!$B$29)))</f>
        <v/>
      </c>
      <c r="E2966">
        <f>INDEX(FactorTable!$B$2:$Y$301, MATCH(ROUND(MIN(300,MAX(1,D2966)),0), FactorTable!$A$2:$A$301,0), Skills!M29+1)</f>
        <v/>
      </c>
      <c r="F2966">
        <f>IF(Skills!N29=TRUE,(Skills!L29/10)*(E2966/1000),Skills!L29/10)+Skills!O29</f>
        <v/>
      </c>
      <c r="G2966">
        <f>Skills!G29*IF(Skills!H29&gt;0,Skills!I29/Skills!H29,1)</f>
        <v/>
      </c>
      <c r="H2966">
        <f>1-(1-Skills!J29/100)^Skills!K29</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Skills!A30</f>
        <v/>
      </c>
      <c r="B2967">
        <f>Skills!B30</f>
        <v/>
      </c>
      <c r="C2967">
        <f>Inputs!$B$3&gt;=45</f>
        <v/>
      </c>
      <c r="D2967">
        <f>IF(Skills!C30=1,60+Inputs!$B$25+Inputs!$B$29,IF(Skills!C30=2,90+Inputs!$B$26+Inputs!$B$29,IF(Skills!C30=3,120+Inputs!$B$27+Inputs!$B$29,MAX(0,(Inputs!$B$3-100)*3)+Inputs!$B$28+Inputs!$B$29)))</f>
        <v/>
      </c>
      <c r="E2967">
        <f>INDEX(FactorTable!$B$2:$Y$301, MATCH(ROUND(MIN(300,MAX(1,D2967)),0), FactorTable!$A$2:$A$301,0), Skills!M30+1)</f>
        <v/>
      </c>
      <c r="F2967">
        <f>IF(Skills!N30=TRUE,(Skills!L30/10)*(E2967/1000),Skills!L30/10)+Skills!O30</f>
        <v/>
      </c>
      <c r="G2967">
        <f>Skills!G30*IF(Skills!H30&gt;0,Skills!I30/Skills!H30,1)</f>
        <v/>
      </c>
      <c r="H2967">
        <f>1-(1-Skills!J30/100)^Skills!K30</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f>(C2953=TRUE)*20*IF(AND(Inputs!$B$38&lt;&gt;"pvp",Inputs!$B$43&gt;0),(((R2953-1)*(Skills!T16*(1+Inputs!$B$34/100))+MIN((Skills!T16*(1+Inputs!$B$34/100)),MAX(0,Inputs!$B$43-((R2953-1)*Skills!D16))))/Inputs!$B$43),IF(Inputs!$B$38="pvp",MIN((Skills!T16*(1+Inputs!$B$34/100)),15)/15,(Skills!T16*(1+Inputs!$B$34/100))/Skills!D16))</f>
        <v/>
      </c>
    </row>
    <row r="2971">
      <c r="A2971" t="inlineStr">
        <is>
          <t>Attack Speed Buff Bonus %</t>
        </is>
      </c>
      <c r="B2971">
        <f>((C2956=TRUE)*F2956*IF(AND(Inputs!$B$38&lt;&gt;"pvp",Inputs!$B$43&gt;0),(((R2956-1)*(Skills!T19*(1+Inputs!$B$34/100))+MIN((Skills!T19*(1+Inputs!$B$34/100)),MAX(0,Inputs!$B$43-((R2956-1)*Skills!D19))))/Inputs!$B$43),IF(Inputs!$B$38="pvp",MIN((Skills!T19*(1+Inputs!$B$34/100)),15)/15,(Skills!T19*(1+Inputs!$B$34/100))/Skills!D19)))</f>
        <v/>
      </c>
    </row>
    <row r="2972">
      <c r="A2972" t="inlineStr">
        <is>
          <t>Actions Per Second</t>
        </is>
      </c>
      <c r="B2972">
        <f>1+MIN(150,150*(1-(1-(Inputs!$B$11+((C2958=TRUE)*(F2958-Calc!F21))+((C2959=TRUE)*(F2959-Calc!F22)))/150)*(1-B2971/150)))/100</f>
        <v/>
      </c>
    </row>
    <row r="2973">
      <c r="A2973" t="inlineStr">
        <is>
          <t>Skill + Buff Cast Rate</t>
        </is>
      </c>
      <c r="B2973">
        <f>IF(AND(Inputs!$B$38&lt;&gt;"pvp",Inputs!$B$43&gt;0),SUMPRODUCT((Skills!E2:E30=TRUE)*(C2939:C2967=TRUE)*R2939:R2967*Skills!F2:F30)/Inputs!$B$43,SUMPRODUCT((Skills!E2:E30=TRUE)*(C2939:C2967=TRUE)*Q2939:Q2967*Skills!F2:F30))</f>
        <v/>
      </c>
    </row>
    <row r="2974">
      <c r="A2974" t="inlineStr">
        <is>
          <t>Arrow Stream Casts Per Second</t>
        </is>
      </c>
      <c r="B2974">
        <f>MAX(0,B2972-B2973)</f>
        <v/>
      </c>
    </row>
    <row r="2975">
      <c r="A2975" t="inlineStr">
        <is>
          <t>Global Critical Damage Bonus % (Sharp Eyes + Concentration)</t>
        </is>
      </c>
      <c r="B2975">
        <f>(C2953=TRUE)*F2953*IF(AND(Inputs!$B$38&lt;&gt;"pvp",Inputs!$B$43&gt;0),(((R2953-1)*(Skills!T16*(1+Inputs!$B$34/100))+MIN((Skills!T16*(1+Inputs!$B$34/100)),MAX(0,Inputs!$B$43-((R2953-1)*Skills!D16))))/Inputs!$B$43),IF(Inputs!$B$38="pvp",MIN((Skills!T16*(1+Inputs!$B$34/100)),15)/15,(Skills!T16*(1+Inputs!$B$34/100))/Skills!D16))+(C2954=TRUE)*30</f>
        <v/>
      </c>
    </row>
    <row r="2976">
      <c r="A2976" t="inlineStr">
        <is>
          <t>Global Final Damage Bonus % (Mortal Blow)</t>
        </is>
      </c>
      <c r="B2976">
        <f>(C2955=TRUE)*F2955</f>
        <v/>
      </c>
    </row>
    <row r="2977">
      <c r="A2977" t="inlineStr">
        <is>
          <t>Buff-Casting Startup Delay (s, fixed-duration only)</t>
        </is>
      </c>
      <c r="B2977">
        <f>IF(AND(Inputs!$B$38&lt;&gt;"pvp",Inputs!$B$43&gt;0),SUMPRODUCT((Skills!T2:T30&gt;0)*(Skills!E2:E30=TRUE)*(C2939:C2967=TRUE))/B2972,0)</f>
        <v/>
      </c>
    </row>
    <row r="2978">
      <c r="A2978" t="inlineStr">
        <is>
          <t>Boss-Only Total DPS (this block's swept value)</t>
        </is>
      </c>
      <c r="B2978">
        <f>SUM(T2939:T2967)</f>
        <v/>
      </c>
    </row>
    <row r="2979">
      <c r="A2979" t="inlineStr">
        <is>
          <t>Normal-Only Total DPS (this block's swept value)</t>
        </is>
      </c>
      <c r="B2979">
        <f>SUM(V2939:V2967)</f>
        <v/>
      </c>
    </row>
    <row r="2980">
      <c r="A2980" s="6" t="inlineStr">
        <is>
          <t>TOTAL DPS</t>
        </is>
      </c>
      <c r="B2980" s="6">
        <f>SUM(O2939:O2967)</f>
        <v/>
      </c>
    </row>
    <row r="2983">
      <c r="A2983" s="6" t="inlineStr">
        <is>
          <t>Stat: CDR = 1.0s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3007=TRUE)*(F3007-Calc!F24)),(Inputs!$B$23+((C3012=TRUE)*(F3012-Calc!F29))+(IF(ArtifactsInput!$M$15,CHOOSE(ArtifactsInput!$N$15+1,25,30,35,40,45,50)/100*(Inputs!$B$11-Inputs!$B$11),0))))/100+(Inputs!$B$23+((C3012=TRUE)*(F3012-Calc!F29))+(IF(ArtifactsInput!$M$15,CHOOSE(ArtifactsInput!$N$15+1,25,30,35,40,45,50)/100*(Inputs!$B$11-Inputs!$B$11),0)))/100)/2</f>
        <v/>
      </c>
      <c r="M2985">
        <f>L2985*(1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IF(B3026=0,0,O2985/B3026)</f>
        <v/>
      </c>
      <c r="Q2985" t="n">
        <v>0</v>
      </c>
      <c r="R2985" t="n">
        <v>0</v>
      </c>
      <c r="S2985">
        <f>IFERROR(O2985/N2985,0)</f>
        <v/>
      </c>
      <c r="T2985">
        <f>IF(C2985,(Skills!G2*N2985*B3020)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2985*(1-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IF(C2985,(Skills!G2*N2985*B3020)*IF(Inputs!$B$38="pvp",1,(1+(Inputs!$B$21+Skills!Q2+(IF(ArtifactsInput!$M$33,CHOOSE(ArtifactsInput!$N$33+1,30,36,42,48,54,60),0))+(IF(AND(ArtifactsInput!$M$35,Inputs!$B$4&lt;&gt;"Chapter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T2986" t="inlineStr"/>
      <c r="U2986">
        <f>INDEX(FactorTable!$B$2:$Y$301, MATCH(ROUND(MIN(300,MAX(1,U2985)),0), FactorTable!$A$2:$A$301,0), 22)</f>
        <v/>
      </c>
      <c r="V2986" t="inlineStr"/>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T2987" t="inlineStr"/>
      <c r="U2987">
        <f>290*U2986/1000</f>
        <v/>
      </c>
      <c r="V2987" t="inlineStr"/>
    </row>
    <row r="2988">
      <c r="A2988">
        <f>Skills!A5</f>
        <v/>
      </c>
      <c r="B2988">
        <f>Skills!B5</f>
        <v/>
      </c>
      <c r="C2988">
        <f>Inputs!$B$3&gt;=35</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2993=TRUE,F2993,0)/100)*(1+(IF(Skills!A5="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3007=TRUE)*(F3007-Calc!F24)),(Inputs!$B$23+((C3012=TRUE)*(F3012-Calc!F29))+(IF(ArtifactsInput!$M$15,CHOOSE(ArtifactsInput!$N$15+1,25,30,35,40,45,50)/100*(Inputs!$B$11-Inputs!$B$11),0))))/100+(Inputs!$B$23+((C3012=TRUE)*(F3012-Calc!F29))+(IF(ArtifactsInput!$M$15,CHOOSE(ArtifactsInput!$N$15+1,25,30,35,40,45,50)/100*(Inputs!$B$11-Inputs!$B$11),0)))/100)/2</f>
        <v/>
      </c>
      <c r="M2988">
        <f>L2988*(1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IF(B3026=0,0,O2988/B3026)</f>
        <v/>
      </c>
      <c r="Q2988">
        <f>IFERROR(1/(IF(Inputs!$B$38="pvp",15,MAX(0.1,Skills!D5-IF(Skills!E5=TRUE,1.0,0)))*(1-IF(AND(ArtifactsInput!$M$27,Inputs!$B$4="Chapter Hunt"),CHOOSE(ArtifactsInput!$N$27+1,20,24,28,32,36,40),0)/100)),0)</f>
        <v/>
      </c>
      <c r="R2988">
        <f>IF(AND(Inputs!$B$38&lt;&gt;"pvp",Inputs!$B$43&gt;0),IF(MAX(0,Inputs!$B$43-B3023)&lt;=0,0,(INT(MAX(0,Inputs!$B$43-B3023)/(IF(Inputs!$B$38="pvp",15,MAX(0.1,Skills!D5-IF(Skills!E5=TRUE,1.0,0)))*(1-IF(AND(ArtifactsInput!$M$27,Inputs!$B$4="Chapter Hunt"),CHOOSE(ArtifactsInput!$N$27+1,20,24,28,32,36,40),0)/100)))+1)),0)</f>
        <v/>
      </c>
      <c r="S2988">
        <f>IFERROR(O2988/N2988,0)</f>
        <v/>
      </c>
      <c r="T2988">
        <f>IF(C2988,(H2988*N2988*IF(AND(Inputs!$B$38&lt;&gt;"pvp",Inputs!$B$43&gt;0),((Skills!G5*((R2988-1)*IF(Skills!H5&gt;0,Skills!I5/Skills!H5,1)+IF(Skills!H5&gt;0,MIN(Skills!I5,MAX(0,MAX(0,Inputs!$B$43-B3023)-((R2988-1)*(IF(Inputs!$B$38="pvp",15,MAX(0.1,Skills!D5-IF(Skills!E5=TRUE,1.0,0)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2988*(1-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3023)-((R2988-1)*(IF(Inputs!$B$38="pvp",15,MAX(0.1,Skills!D5-IF(Skills!E5=TRUE,1.0,0)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Inputs!$B$3&gt;=40</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2990=TRUE,F2990,0)/100)*(1+(IF(Skills!A6="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3007=TRUE)*(F3007-Calc!F24)),(Inputs!$B$23+((C3012=TRUE)*(F3012-Calc!F29))+(IF(ArtifactsInput!$M$15,CHOOSE(ArtifactsInput!$N$15+1,25,30,35,40,45,50)/100*(Inputs!$B$11-Inputs!$B$11),0))))/100+(Inputs!$B$23+((C3012=TRUE)*(F3012-Calc!F29))+(IF(ArtifactsInput!$M$15,CHOOSE(ArtifactsInput!$N$15+1,25,30,35,40,45,50)/100*(Inputs!$B$11-Inputs!$B$11),0)))/100)/2</f>
        <v/>
      </c>
      <c r="M2989">
        <f>L2989*(1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IF(B3026=0,0,O2989/B3026)</f>
        <v/>
      </c>
      <c r="Q2989">
        <f>IFERROR(1/(IF(Inputs!$B$38="pvp",15,MAX(0.1,Skills!D6-IF(Skills!E6=TRUE,1.0,0)))*(1-IF(AND(ArtifactsInput!$M$27,Inputs!$B$4="Chapter Hunt"),CHOOSE(ArtifactsInput!$N$27+1,20,24,28,32,36,40),0)/100)),0)</f>
        <v/>
      </c>
      <c r="R2989">
        <f>IF(AND(Inputs!$B$38&lt;&gt;"pvp",Inputs!$B$43&gt;0),IF(MAX(0,Inputs!$B$43-B3023)&lt;=0,0,(INT(MAX(0,Inputs!$B$43-B3023)/(IF(Inputs!$B$38="pvp",15,MAX(0.1,Skills!D6-IF(Skills!E6=TRUE,1.0,0)))*(1-IF(AND(ArtifactsInput!$M$27,Inputs!$B$4="Chapter Hunt"),CHOOSE(ArtifactsInput!$N$27+1,20,24,28,32,36,40),0)/100)))+1)),0)</f>
        <v/>
      </c>
      <c r="S2989">
        <f>IFERROR(O2989/N2989,0)</f>
        <v/>
      </c>
      <c r="T2989">
        <f>IF(C2989,(H2989*N2989*IF(AND(Inputs!$B$38&lt;&gt;"pvp",Inputs!$B$43&gt;0),((Skills!G6*((R2989-1)*IF(Skills!H6&gt;0,Skills!I6/Skills!H6,1)+IF(Skills!H6&gt;0,MIN(Skills!I6,MAX(0,MAX(0,Inputs!$B$43-B3023)-((R2989-1)*(IF(Inputs!$B$38="pvp",15,MAX(0.1,Skills!D6-IF(Skills!E6=TRUE,1.0,0)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3023)-((R2989-1)*(IF(Inputs!$B$38="pvp",15,MAX(0.1,Skills!D6-IF(Skills!E6=TRUE,1.0,0)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t="inlineStr"/>
      <c r="H2990" t="inlineStr"/>
      <c r="I2990" t="inlineStr">
        <is>
          <t>1</t>
        </is>
      </c>
      <c r="J2990" t="inlineStr"/>
      <c r="K2990" t="inlineStr"/>
      <c r="L2990" t="inlineStr"/>
      <c r="M2990" t="inlineStr"/>
      <c r="N2990" t="inlineStr"/>
      <c r="O2990" t="inlineStr"/>
      <c r="P2990" t="inlineStr"/>
      <c r="Q2990" t="inlineStr"/>
      <c r="R2990" t="inlineStr"/>
      <c r="S2990" t="inlineStr"/>
      <c r="T2990" t="inlineStr"/>
      <c r="V2990" t="inlineStr"/>
    </row>
    <row r="2991">
      <c r="A2991">
        <f>Skills!A8</f>
        <v/>
      </c>
      <c r="B2991">
        <f>Skills!B8</f>
        <v/>
      </c>
      <c r="C2991">
        <f>Inputs!$B$3&gt;=69</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2993=TRUE,F2993,0)/100)*(1+(IF(Skills!A8="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3007=TRUE)*(F3007-Calc!F24)),(Inputs!$B$23+((C3012=TRUE)*(F3012-Calc!F29))+(IF(ArtifactsInput!$M$15,CHOOSE(ArtifactsInput!$N$15+1,25,30,35,40,45,50)/100*(Inputs!$B$11-Inputs!$B$11),0))))/100+(Inputs!$B$23+((C3012=TRUE)*(F3012-Calc!F29))+(IF(ArtifactsInput!$M$15,CHOOSE(ArtifactsInput!$N$15+1,25,30,35,40,45,50)/100*(Inputs!$B$11-Inputs!$B$11),0)))/100)/2</f>
        <v/>
      </c>
      <c r="M2991">
        <f>L2991*(1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IF(B3026=0,0,O2991/B3026)</f>
        <v/>
      </c>
      <c r="Q2991">
        <f>IFERROR(1/(IF(Inputs!$B$38="pvp",15,MAX(0.1,Skills!D8-IF(Skills!E8=TRUE,1.0,0)))*(1-IF(AND(ArtifactsInput!$M$27,Inputs!$B$4="Chapter Hunt"),CHOOSE(ArtifactsInput!$N$27+1,20,24,28,32,36,40),0)/100)),0)</f>
        <v/>
      </c>
      <c r="R2991">
        <f>IF(AND(Inputs!$B$38&lt;&gt;"pvp",Inputs!$B$43&gt;0),IF(MAX(0,Inputs!$B$43-B3023)&lt;=0,0,(INT(MAX(0,Inputs!$B$43-B3023)/(IF(Inputs!$B$38="pvp",15,MAX(0.1,Skills!D8-IF(Skills!E8=TRUE,1.0,0)))*(1-IF(AND(ArtifactsInput!$M$27,Inputs!$B$4="Chapter Hunt"),CHOOSE(ArtifactsInput!$N$27+1,20,24,28,32,36,40),0)/100)))+1)),0)</f>
        <v/>
      </c>
      <c r="S2991">
        <f>IFERROR(O2991/N2991,0)</f>
        <v/>
      </c>
      <c r="T2991">
        <f>IF(C2991,(H2991*N2991*IF(AND(Inputs!$B$38&lt;&gt;"pvp",Inputs!$B$43&gt;0),((Skills!G8*((R2991-1)*IF(Skills!H8&gt;0,Skills!I8/Skills!H8,1)+IF(Skills!H8&gt;0,MIN(Skills!I8,MAX(0,MAX(0,Inputs!$B$43-B3023)-((R2991-1)*(IF(Inputs!$B$38="pvp",15,MAX(0.1,Skills!D8-IF(Skills!E8=TRUE,1.0,0)))*(1-IF(AND(ArtifactsInput!$M$27,Inputs!$B$4="Chapter Hunt"),CHOOSE(ArtifactsInput!$N$27+1,20,24,28,32,36,40),0)/100)))))/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2991*(1-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3023)-((R2991-1)*(IF(Inputs!$B$38="pvp",15,MAX(0.1,Skills!D8-IF(Skills!E8=TRUE,1.0,0)))*(1-IF(AND(ArtifactsInput!$M$27,Inputs!$B$4="Chapter Hunt"),CHOOSE(ArtifactsInput!$N$27+1,20,24,28,32,36,40),0)/100)))))/Skills!H8,1)))/Inputs!$B$43),G2991*Q2991))*IF(Inputs!$B$38="pvp",1,(1+(Inputs!$B$21+Skills!Q8+(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Inputs!$B$3&gt;=63</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2993=TRUE,F2993,0)/100)*(1+(IF(Skills!A9="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3007=TRUE)*(F3007-Calc!F24)),(Inputs!$B$23+((C3012=TRUE)*(F3012-Calc!F29))+(IF(ArtifactsInput!$M$15,CHOOSE(ArtifactsInput!$N$15+1,25,30,35,40,45,50)/100*(Inputs!$B$11-Inputs!$B$11),0))))/100+(Inputs!$B$23+((C3012=TRUE)*(F3012-Calc!F29))+(IF(ArtifactsInput!$M$15,CHOOSE(ArtifactsInput!$N$15+1,25,30,35,40,45,50)/100*(Inputs!$B$11-Inputs!$B$11),0)))/100)/2</f>
        <v/>
      </c>
      <c r="M2992">
        <f>L2992*(1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IF(B3026=0,0,O2992/B3026)</f>
        <v/>
      </c>
      <c r="Q2992">
        <f>IFERROR(1/(IF(Inputs!$B$38="pvp",15,MAX(0.1,Skills!D9-IF(Skills!E9=TRUE,1.0,0)))*(1-IF(AND(ArtifactsInput!$M$27,Inputs!$B$4="Chapter Hunt"),CHOOSE(ArtifactsInput!$N$27+1,20,24,28,32,36,40),0)/100)),0)</f>
        <v/>
      </c>
      <c r="R2992">
        <f>IF(AND(Inputs!$B$38&lt;&gt;"pvp",Inputs!$B$43&gt;0),IF(MAX(0,Inputs!$B$43-B3023)&lt;=0,0,(INT(MAX(0,Inputs!$B$43-B3023)/(IF(Inputs!$B$38="pvp",15,MAX(0.1,Skills!D9-IF(Skills!E9=TRUE,1.0,0)))*(1-IF(AND(ArtifactsInput!$M$27,Inputs!$B$4="Chapter Hunt"),CHOOSE(ArtifactsInput!$N$27+1,20,24,28,32,36,40),0)/100)))+1)),0)</f>
        <v/>
      </c>
      <c r="S2992">
        <f>IFERROR(O2992/N2992,0)</f>
        <v/>
      </c>
      <c r="T2992">
        <f>IF(C2992,(H2992*N2992*IF(AND(Inputs!$B$38&lt;&gt;"pvp",Inputs!$B$43&gt;0),((Skills!G9*((R2992-1)*IF(Skills!H9&gt;0,Skills!I9/Skills!H9,1)+IF(Skills!H9&gt;0,MIN(Skills!I9,MAX(0,MAX(0,Inputs!$B$43-B3023)-((R2992-1)*(IF(Inputs!$B$38="pvp",15,MAX(0.1,Skills!D9-IF(Skills!E9=TRUE,1.0,0)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2992*(1-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3023)-((R2992-1)*(IF(Inputs!$B$38="pvp",15,MAX(0.1,Skills!D9-IF(Skills!E9=TRUE,1.0,0)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Inputs!$B$3&gt;=100</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t="inlineStr"/>
      <c r="H2993" t="inlineStr"/>
      <c r="I2993" t="inlineStr">
        <is>
          <t>1</t>
        </is>
      </c>
      <c r="J2993" t="inlineStr"/>
      <c r="K2993" t="inlineStr"/>
      <c r="L2993" t="inlineStr"/>
      <c r="M2993" t="inlineStr"/>
      <c r="N2993" t="inlineStr"/>
      <c r="O2993" t="inlineStr"/>
      <c r="P2993" t="inlineStr"/>
      <c r="Q2993" t="inlineStr"/>
      <c r="R2993" t="inlineStr"/>
      <c r="S2993" t="inlineStr"/>
      <c r="T2993" t="inlineStr"/>
      <c r="V2993" t="inlineStr"/>
    </row>
    <row r="2994">
      <c r="A2994">
        <f>Skills!A11</f>
        <v/>
      </c>
      <c r="B2994">
        <f>Skills!B11</f>
        <v/>
      </c>
      <c r="C2994">
        <f>Inputs!$B$3&gt;=60</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2995=TRUE,F2995,0)/100)*(1+(IF(Skills!A11="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3007=TRUE)*(F3007-Calc!F24)),(Inputs!$B$23+((C3012=TRUE)*(F3012-Calc!F29))+(IF(ArtifactsInput!$M$15,CHOOSE(ArtifactsInput!$N$15+1,25,30,35,40,45,50)/100*(Inputs!$B$11-Inputs!$B$11),0))))/100+(Inputs!$B$23+((C3012=TRUE)*(F3012-Calc!F29))+(IF(ArtifactsInput!$M$15,CHOOSE(ArtifactsInput!$N$15+1,25,30,35,40,45,50)/100*(Inputs!$B$11-Inputs!$B$11),0)))/100)/2</f>
        <v/>
      </c>
      <c r="M2994">
        <f>L2994*(1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IF(B3026=0,0,O2994/B3026)</f>
        <v/>
      </c>
      <c r="Q2994">
        <f>IFERROR(1/(IF(Inputs!$B$38="pvp",15,MAX(0.1,Skills!D11-IF(Skills!E11=TRUE,1.0,0)))*(1-IF(AND(ArtifactsInput!$M$27,Inputs!$B$4="Chapter Hunt"),CHOOSE(ArtifactsInput!$N$27+1,20,24,28,32,36,40),0)/100)),0)</f>
        <v/>
      </c>
      <c r="R2994">
        <f>IF(AND(Inputs!$B$38&lt;&gt;"pvp",Inputs!$B$43&gt;0),IF(MAX(0,Inputs!$B$43-B3023)&lt;=0,0,(INT(MAX(0,Inputs!$B$43-B3023)/(IF(Inputs!$B$38="pvp",15,MAX(0.1,Skills!D11-IF(Skills!E11=TRUE,1.0,0)))*(1-IF(AND(ArtifactsInput!$M$27,Inputs!$B$4="Chapter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3023)-((R2994-1)*(IF(Inputs!$B$38="pvp",15,MAX(0.1,Skills!D11-IF(Skills!E11=TRUE,1.0,0)))*(1-IF(AND(ArtifactsInput!$M$27,Inputs!$B$4="Chapter Hunt"),CHOOSE(ArtifactsInput!$N$27+1,20,24,28,32,36,40),0)/100)))))/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2994*(1-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3023)-((R2994-1)*(IF(Inputs!$B$38="pvp",15,MAX(0.1,Skills!D11-IF(Skills!E11=TRUE,1.0,0)))*(1-IF(AND(ArtifactsInput!$M$27,Inputs!$B$4="Chapter Hunt"),CHOOSE(ArtifactsInput!$N$27+1,20,24,28,32,36,40),0)/100)))))/Skills!H11,1)))/Inputs!$B$43),G2994*Q2994))*IF(Inputs!$B$38="pvp",1,(1+(Inputs!$B$21+Skills!Q11+(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Inputs!$B$3&gt;=110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c r="T2995" t="inlineStr"/>
      <c r="V2995" t="inlineStr"/>
    </row>
    <row r="2996">
      <c r="A2996">
        <f>Skills!A13</f>
        <v/>
      </c>
      <c r="B2996">
        <f>Skills!B13</f>
        <v/>
      </c>
      <c r="C2996">
        <f>Inputs!$B$3&gt;=74</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IF(B3026=0,0,O2996/B3026)</f>
        <v/>
      </c>
      <c r="Q2996" t="n">
        <v>0</v>
      </c>
      <c r="R2996" t="n">
        <v>0</v>
      </c>
      <c r="S2996">
        <f>IFERROR(O2996/N2996,0)</f>
        <v/>
      </c>
      <c r="T2996" t="n">
        <v>0</v>
      </c>
      <c r="V2996" t="n">
        <v>0</v>
      </c>
    </row>
    <row r="2997">
      <c r="A2997">
        <f>Skills!A14</f>
        <v/>
      </c>
      <c r="B2997">
        <f>Skills!B14</f>
        <v/>
      </c>
      <c r="C2997">
        <f>Inputs!$B$3&gt;=74</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IF(B3026=0,0,O2997/B3026)</f>
        <v/>
      </c>
      <c r="Q2997" t="n">
        <v>0</v>
      </c>
      <c r="R2997" t="n">
        <v>0</v>
      </c>
      <c r="S2997">
        <f>IFERROR(O2997/N2997,0)</f>
        <v/>
      </c>
      <c r="T2997" t="n">
        <v>0</v>
      </c>
      <c r="V2997" t="n">
        <v>0</v>
      </c>
    </row>
    <row r="2998">
      <c r="A2998">
        <f>Skills!A15</f>
        <v/>
      </c>
      <c r="B2998">
        <f>Skills!B15</f>
        <v/>
      </c>
      <c r="C2998">
        <f>Inputs!$B$3&gt;=117</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IF(B3026=0,0,O2998/B3026)</f>
        <v/>
      </c>
      <c r="Q2998">
        <f>IFERROR(1/(IF(Inputs!$B$38="pvp",15,MAX(0.1,Skills!D15-IF(Skills!E15=TRUE,1.0,0)))*(1-IF(AND(ArtifactsInput!$M$27,Inputs!$B$4="Chapter Hunt"),CHOOSE(ArtifactsInput!$N$27+1,20,24,28,32,36,40),0)/100)),0)</f>
        <v/>
      </c>
      <c r="R2998">
        <f>IF(AND(Inputs!$B$38&lt;&gt;"pvp",Inputs!$B$43&gt;0),IF(Inputs!$B$43&lt;=0,0,(INT(Inputs!$B$43/(IF(Inputs!$B$38="pvp",15,MAX(0.1,Skills!D15-IF(Skills!E15=TRUE,1.0,0)))*(1-IF(AND(ArtifactsInput!$M$27,Inputs!$B$4="Chapter Hunt"),CHOOSE(ArtifactsInput!$N$27+1,20,24,28,32,36,40),0)/100)))+1)),0)</f>
        <v/>
      </c>
      <c r="S2998">
        <f>IFERROR(O2998/N2998,0)</f>
        <v/>
      </c>
      <c r="T2998" t="n">
        <v>0</v>
      </c>
      <c r="V2998" t="n">
        <v>0</v>
      </c>
    </row>
    <row r="2999">
      <c r="A2999">
        <f>Skills!A16</f>
        <v/>
      </c>
      <c r="B2999">
        <f>Skills!B16</f>
        <v/>
      </c>
      <c r="C2999">
        <f>Inputs!$B$3&gt;=115</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IF(B3026=0,0,O2999/B3026)</f>
        <v/>
      </c>
      <c r="Q2999">
        <f>IFERROR(1/(IF(Inputs!$B$38="pvp",15,MAX(0.1,Skills!D16-IF(Skills!E16=TRUE,1.0,0)))*(1-IF(AND(ArtifactsInput!$M$27,Inputs!$B$4="Chapter Hunt"),CHOOSE(ArtifactsInput!$N$27+1,20,24,28,32,36,40),0)/100)),0)</f>
        <v/>
      </c>
      <c r="R2999">
        <f>IF(AND(Inputs!$B$38&lt;&gt;"pvp",Inputs!$B$43&gt;0),IF(Inputs!$B$43&lt;=0,0,(INT(Inputs!$B$43/(IF(Inputs!$B$38="pvp",15,MAX(0.1,Skills!D16-IF(Skills!E16=TRUE,1.0,0)))*(1-IF(AND(ArtifactsInput!$M$27,Inputs!$B$4="Chapter Hunt"),CHOOSE(ArtifactsInput!$N$27+1,20,24,28,32,36,40),0)/100)))+1)),0)</f>
        <v/>
      </c>
      <c r="S2999">
        <f>IFERROR(O2999/N2999,0)</f>
        <v/>
      </c>
      <c r="T2999" t="n">
        <v>0</v>
      </c>
      <c r="V2999" t="n">
        <v>0</v>
      </c>
    </row>
    <row r="3000">
      <c r="A3000">
        <f>Skills!A17</f>
        <v/>
      </c>
      <c r="B3000">
        <f>Skills!B17</f>
        <v/>
      </c>
      <c r="C3000">
        <f>Inputs!$B$3&gt;=66</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IF(B3026=0,0,O3000/B3026)</f>
        <v/>
      </c>
      <c r="Q3000" t="n">
        <v>0</v>
      </c>
      <c r="R3000" t="n">
        <v>0</v>
      </c>
      <c r="S3000">
        <f>IFERROR(O3000/N3000,0)</f>
        <v/>
      </c>
      <c r="T3000" t="n">
        <v>0</v>
      </c>
      <c r="V3000" t="n">
        <v>0</v>
      </c>
    </row>
    <row r="3001">
      <c r="A3001">
        <f>Skills!A18</f>
        <v/>
      </c>
      <c r="B3001">
        <f>Skills!B18</f>
        <v/>
      </c>
      <c r="C3001">
        <f>Inputs!$B$3&gt;=72</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IF(B3026=0,0,O3001/B3026)</f>
        <v/>
      </c>
      <c r="Q3001" t="n">
        <v>0</v>
      </c>
      <c r="R3001" t="n">
        <v>0</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IF(B3026=0,0,O3002/B3026)</f>
        <v/>
      </c>
      <c r="Q3002">
        <f>IFERROR(1/(IF(Inputs!$B$38="pvp",15,MAX(0.1,Skills!D19-IF(Skills!E19=TRUE,1.0,0)))*(1-IF(AND(ArtifactsInput!$M$27,Inputs!$B$4="Chapter Hunt"),CHOOSE(ArtifactsInput!$N$27+1,20,24,28,32,36,40),0)/100)),0)</f>
        <v/>
      </c>
      <c r="R3002">
        <f>IF(AND(Inputs!$B$38&lt;&gt;"pvp",Inputs!$B$43&gt;0),IF(Inputs!$B$43&lt;=0,0,(INT(Inputs!$B$43/(IF(Inputs!$B$38="pvp",15,MAX(0.1,Skills!D19-IF(Skills!E19=TRUE,1.0,0)))*(1-IF(AND(ArtifactsInput!$M$27,Inputs!$B$4="Chapter Hunt"),CHOOSE(ArtifactsInput!$N$27+1,20,24,28,32,36,40),0)/100)))+1)),0)</f>
        <v/>
      </c>
      <c r="S3002">
        <f>IFERROR(O3002/N3002,0)</f>
        <v/>
      </c>
      <c r="T3002" t="n">
        <v>0</v>
      </c>
      <c r="V3002" t="n">
        <v>0</v>
      </c>
    </row>
    <row r="3003">
      <c r="A3003">
        <f>Skills!A20</f>
        <v/>
      </c>
      <c r="B3003">
        <f>Skills!B20</f>
        <v/>
      </c>
      <c r="C3003">
        <f>Inputs!$B$3&gt;=15</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IF(B3026=0,0,O3003/B3026)</f>
        <v/>
      </c>
      <c r="Q3003" t="n">
        <v>0</v>
      </c>
      <c r="R3003" t="n">
        <v>0</v>
      </c>
      <c r="S3003">
        <f>IFERROR(O3003/N3003,0)</f>
        <v/>
      </c>
      <c r="T3003" t="n">
        <v>0</v>
      </c>
      <c r="V3003" t="n">
        <v>0</v>
      </c>
    </row>
    <row r="3004">
      <c r="A3004">
        <f>Skills!A21</f>
        <v/>
      </c>
      <c r="B3004">
        <f>Skills!B21</f>
        <v/>
      </c>
      <c r="C3004">
        <f>Inputs!$B$3&gt;=10</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IF(B3026=0,0,O3004/B3026)</f>
        <v/>
      </c>
      <c r="Q3004" t="n">
        <v>0</v>
      </c>
      <c r="R3004" t="n">
        <v>0</v>
      </c>
      <c r="S3004">
        <f>IFERROR(O3004/N3004,0)</f>
        <v/>
      </c>
      <c r="T3004" t="n">
        <v>0</v>
      </c>
      <c r="V3004" t="n">
        <v>0</v>
      </c>
    </row>
    <row r="3005">
      <c r="A3005">
        <f>Skills!A22</f>
        <v/>
      </c>
      <c r="B3005">
        <f>Skills!B22</f>
        <v/>
      </c>
      <c r="C3005">
        <f>Inputs!$B$3&gt;=33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IF(B3026=0,0,O3005/B3026)</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IF(B3026=0,0,O3006/B3026)</f>
        <v/>
      </c>
      <c r="Q3006" t="n">
        <v>0</v>
      </c>
      <c r="R3006" t="n">
        <v>0</v>
      </c>
      <c r="S3006">
        <f>IFERROR(O3006/N3006,0)</f>
        <v/>
      </c>
      <c r="T3006" t="n">
        <v>0</v>
      </c>
      <c r="V3006" t="n">
        <v>0</v>
      </c>
    </row>
    <row r="3007">
      <c r="A3007">
        <f>Skills!A24</f>
        <v/>
      </c>
      <c r="B3007">
        <f>Skills!B24</f>
        <v/>
      </c>
      <c r="C3007">
        <f>Inputs!$B$3&gt;=43</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IF(B3026=0,0,O3007/B3026)</f>
        <v/>
      </c>
      <c r="Q3007" t="n">
        <v>0</v>
      </c>
      <c r="R3007" t="n">
        <v>0</v>
      </c>
      <c r="S3007">
        <f>IFERROR(O3007/N3007,0)</f>
        <v/>
      </c>
      <c r="T3007" t="n">
        <v>0</v>
      </c>
      <c r="V3007" t="n">
        <v>0</v>
      </c>
    </row>
    <row r="3008">
      <c r="A3008">
        <f>Skills!A25</f>
        <v/>
      </c>
      <c r="B3008">
        <f>Skills!B25</f>
        <v/>
      </c>
      <c r="C3008">
        <f>Inputs!$B$3&gt;=75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IF(B3026=0,0,O3008/B3026)</f>
        <v/>
      </c>
      <c r="Q3008" t="n">
        <v>0</v>
      </c>
      <c r="R3008" t="n">
        <v>0</v>
      </c>
      <c r="S3008">
        <f>IFERROR(O3008/N3008,0)</f>
        <v/>
      </c>
      <c r="T3008" t="n">
        <v>0</v>
      </c>
      <c r="V3008" t="n">
        <v>0</v>
      </c>
    </row>
    <row r="3009">
      <c r="A3009">
        <f>Skills!A26</f>
        <v/>
      </c>
      <c r="B3009">
        <f>Skills!B26</f>
        <v/>
      </c>
      <c r="C3009">
        <f>Inputs!$B$3&gt;=125</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IF(B3026=0,0,O3009/B3026)</f>
        <v/>
      </c>
      <c r="Q3009" t="n">
        <v>0</v>
      </c>
      <c r="R3009" t="n">
        <v>0</v>
      </c>
      <c r="S3009">
        <f>IFERROR(O3009/N3009,0)</f>
        <v/>
      </c>
      <c r="T3009" t="n">
        <v>0</v>
      </c>
      <c r="V3009" t="n">
        <v>0</v>
      </c>
    </row>
    <row r="3010">
      <c r="A3010">
        <f>Skills!A27</f>
        <v/>
      </c>
      <c r="B3010">
        <f>Skills!B27</f>
        <v/>
      </c>
      <c r="C3010">
        <f>Inputs!$B$3&gt;=125</f>
        <v/>
      </c>
      <c r="D3010">
        <f>IF(Skills!C27=1,60+Inputs!$B$25+Inputs!$B$29,IF(Skills!C27=2,90+Inputs!$B$26+Inputs!$B$29,IF(Skills!C27=3,120+Inputs!$B$27+Inputs!$B$29,MAX(0,(Inputs!$B$3-100)*3)+Inputs!$B$28+Inputs!$B$29)))</f>
        <v/>
      </c>
      <c r="E3010">
        <f>INDEX(FactorTable!$B$2:$Y$301, MATCH(ROUND(MIN(300,MAX(1,D3010)),0), FactorTable!$A$2:$A$301,0), Skills!M27+1)</f>
        <v/>
      </c>
      <c r="F3010">
        <f>IF(Skills!N27=TRUE,(Skills!L27/10)*(E3010/1000),Skills!L27/10)+Skills!O27</f>
        <v/>
      </c>
      <c r="G3010">
        <f>Skills!G27*IF(Skills!H27&gt;0,Skills!I27/Skills!H27,1)</f>
        <v/>
      </c>
      <c r="H3010">
        <f>1-(1-Skills!J27/100)^Skills!K27</f>
        <v/>
      </c>
      <c r="I3010" t="inlineStr">
        <is>
          <t>1</t>
        </is>
      </c>
      <c r="J3010" t="inlineStr"/>
      <c r="K3010" t="inlineStr"/>
      <c r="L3010" t="inlineStr"/>
      <c r="M3010" t="inlineStr"/>
      <c r="N3010" t="inlineStr"/>
      <c r="O3010">
        <f>(1-Summary!$B$11)*T3010+Summary!$B$11*V3010</f>
        <v/>
      </c>
      <c r="P3010">
        <f>IF(B3026=0,0,O3010/B3026)</f>
        <v/>
      </c>
      <c r="Q3010" t="n">
        <v>0</v>
      </c>
      <c r="R3010" t="n">
        <v>0</v>
      </c>
      <c r="S3010">
        <f>IFERROR(O3010/N3010,0)</f>
        <v/>
      </c>
      <c r="T3010" t="n">
        <v>0</v>
      </c>
      <c r="V3010" t="n">
        <v>0</v>
      </c>
    </row>
    <row r="3011">
      <c r="A3011">
        <f>Skills!A28</f>
        <v/>
      </c>
      <c r="B3011">
        <f>Skills!B28</f>
        <v/>
      </c>
      <c r="C3011">
        <f>Inputs!$B$3&gt;=120</f>
        <v/>
      </c>
      <c r="D3011">
        <f>IF(Skills!C28=1,60+Inputs!$B$25+Inputs!$B$29,IF(Skills!C28=2,90+Inputs!$B$26+Inputs!$B$29,IF(Skills!C28=3,120+Inputs!$B$27+Inputs!$B$29,MAX(0,(Inputs!$B$3-100)*3)+Inputs!$B$28+Inputs!$B$29)))</f>
        <v/>
      </c>
      <c r="E3011">
        <f>INDEX(FactorTable!$B$2:$Y$301, MATCH(ROUND(MIN(300,MAX(1,D3011)),0), FactorTable!$A$2:$A$301,0), Skills!M28+1)</f>
        <v/>
      </c>
      <c r="F3011">
        <f>IF(Skills!N28=TRUE,(Skills!L28/10)*(E3011/1000),Skills!L28/10)+Skills!O28</f>
        <v/>
      </c>
      <c r="G3011">
        <f>Skills!G28*IF(Skills!H28&gt;0,Skills!I28/Skills!H28,1)</f>
        <v/>
      </c>
      <c r="H3011">
        <f>1-(1-Skills!J28/100)^Skills!K28</f>
        <v/>
      </c>
      <c r="I3011" t="inlineStr">
        <is>
          <t>1</t>
        </is>
      </c>
      <c r="J3011" t="inlineStr"/>
      <c r="K3011" t="inlineStr"/>
      <c r="L3011" t="inlineStr"/>
      <c r="M3011" t="inlineStr"/>
      <c r="N3011" t="inlineStr"/>
      <c r="O3011">
        <f>(1-Summary!$B$11)*T3011+Summary!$B$11*V3011</f>
        <v/>
      </c>
      <c r="P3011">
        <f>IF(B3026=0,0,O3011/B3026)</f>
        <v/>
      </c>
      <c r="Q3011" t="n">
        <v>0</v>
      </c>
      <c r="R3011" t="n">
        <v>0</v>
      </c>
      <c r="S3011">
        <f>IFERROR(O3011/N3011,0)</f>
        <v/>
      </c>
      <c r="T3011" t="n">
        <v>0</v>
      </c>
      <c r="V3011" t="n">
        <v>0</v>
      </c>
    </row>
    <row r="3012">
      <c r="A3012">
        <f>Skills!A29</f>
        <v/>
      </c>
      <c r="B3012">
        <f>Skills!B29</f>
        <v/>
      </c>
      <c r="C3012">
        <f>Inputs!$B$3&gt;=120</f>
        <v/>
      </c>
      <c r="D3012">
        <f>IF(Skills!C29=1,60+Inputs!$B$25+Inputs!$B$29,IF(Skills!C29=2,90+Inputs!$B$26+Inputs!$B$29,IF(Skills!C29=3,120+Inputs!$B$27+Inputs!$B$29,MAX(0,(Inputs!$B$3-100)*3)+Inputs!$B$28+Inputs!$B$29)))</f>
        <v/>
      </c>
      <c r="E3012">
        <f>INDEX(FactorTable!$B$2:$Y$301, MATCH(ROUND(MIN(300,MAX(1,D3012)),0), FactorTable!$A$2:$A$301,0), Skills!M29+1)</f>
        <v/>
      </c>
      <c r="F3012">
        <f>IF(Skills!N29=TRUE,(Skills!L29/10)*(E3012/1000),Skills!L29/10)+Skills!O29</f>
        <v/>
      </c>
      <c r="G3012">
        <f>Skills!G29*IF(Skills!H29&gt;0,Skills!I29/Skills!H29,1)</f>
        <v/>
      </c>
      <c r="H3012">
        <f>1-(1-Skills!J29/100)^Skills!K29</f>
        <v/>
      </c>
      <c r="I3012" t="inlineStr">
        <is>
          <t>1</t>
        </is>
      </c>
      <c r="J3012" t="inlineStr"/>
      <c r="K3012" t="inlineStr"/>
      <c r="L3012" t="inlineStr"/>
      <c r="M3012" t="inlineStr"/>
      <c r="N3012" t="inlineStr"/>
      <c r="O3012">
        <f>(1-Summary!$B$11)*T3012+Summary!$B$11*V3012</f>
        <v/>
      </c>
      <c r="P3012">
        <f>IF(B3026=0,0,O3012/B3026)</f>
        <v/>
      </c>
      <c r="Q3012" t="n">
        <v>0</v>
      </c>
      <c r="R3012" t="n">
        <v>0</v>
      </c>
      <c r="S3012">
        <f>IFERROR(O3012/N3012,0)</f>
        <v/>
      </c>
      <c r="T3012" t="n">
        <v>0</v>
      </c>
      <c r="V3012" t="n">
        <v>0</v>
      </c>
    </row>
    <row r="3013">
      <c r="A3013">
        <f>Skills!A30</f>
        <v/>
      </c>
      <c r="B3013">
        <f>Skills!B30</f>
        <v/>
      </c>
      <c r="C3013">
        <f>Inputs!$B$3&gt;=45</f>
        <v/>
      </c>
      <c r="D3013">
        <f>IF(Skills!C30=1,60+Inputs!$B$25+Inputs!$B$29,IF(Skills!C30=2,90+Inputs!$B$26+Inputs!$B$29,IF(Skills!C30=3,120+Inputs!$B$27+Inputs!$B$29,MAX(0,(Inputs!$B$3-100)*3)+Inputs!$B$28+Inputs!$B$29)))</f>
        <v/>
      </c>
      <c r="E3013">
        <f>INDEX(FactorTable!$B$2:$Y$301, MATCH(ROUND(MIN(300,MAX(1,D3013)),0), FactorTable!$A$2:$A$301,0), Skills!M30+1)</f>
        <v/>
      </c>
      <c r="F3013">
        <f>IF(Skills!N30=TRUE,(Skills!L30/10)*(E3013/1000),Skills!L30/10)+Skills!O30</f>
        <v/>
      </c>
      <c r="G3013">
        <f>Skills!G30*IF(Skills!H30&gt;0,Skills!I30/Skills!H30,1)</f>
        <v/>
      </c>
      <c r="H3013">
        <f>1-(1-Skills!J30/100)^Skills!K30</f>
        <v/>
      </c>
      <c r="I3013" t="inlineStr">
        <is>
          <t>1</t>
        </is>
      </c>
      <c r="J3013" t="inlineStr"/>
      <c r="K3013" t="inlineStr"/>
      <c r="L3013" t="inlineStr"/>
      <c r="M3013" t="inlineStr"/>
      <c r="N3013" t="inlineStr"/>
      <c r="O3013">
        <f>(1-Summary!$B$11)*T3013+Summary!$B$11*V3013</f>
        <v/>
      </c>
      <c r="P3013">
        <f>IF(B3026=0,0,O3013/B3026)</f>
        <v/>
      </c>
      <c r="Q3013" t="n">
        <v>0</v>
      </c>
      <c r="R3013" t="n">
        <v>0</v>
      </c>
      <c r="S3013">
        <f>IFERROR(O3013/N3013,0)</f>
        <v/>
      </c>
      <c r="T3013" t="n">
        <v>0</v>
      </c>
      <c r="V3013" t="n">
        <v>0</v>
      </c>
    </row>
    <row r="3015">
      <c r="A3015" t="inlineStr">
        <is>
          <t>Attack% Bucket Multiplier</t>
        </is>
      </c>
      <c r="B3015">
        <f>(1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6">
      <c r="A3016" t="inlineStr">
        <is>
          <t>Global Crit Rate Bonus %</t>
        </is>
      </c>
      <c r="B3016">
        <f>(C2999=TRUE)*20*IF(AND(Inputs!$B$38&lt;&gt;"pvp",Inputs!$B$43&gt;0),(((R2999-1)*(Skills!T16*(1+Inputs!$B$34/100))+MIN((Skills!T16*(1+Inputs!$B$34/100)),MAX(0,Inputs!$B$43-((R2999-1)*Skills!D16))))/Inputs!$B$43),IF(Inputs!$B$38="pvp",MIN((Skills!T16*(1+Inputs!$B$34/100)),15)/15,(Skills!T16*(1+Inputs!$B$34/100))/Skills!D16))</f>
        <v/>
      </c>
    </row>
    <row r="3017">
      <c r="A3017" t="inlineStr">
        <is>
          <t>Attack Speed Buff Bonus %</t>
        </is>
      </c>
      <c r="B3017">
        <f>((C3002=TRUE)*F3002*IF(AND(Inputs!$B$38&lt;&gt;"pvp",Inputs!$B$43&gt;0),(((R3002-1)*(Skills!T19*(1+Inputs!$B$34/100))+MIN((Skills!T19*(1+Inputs!$B$34/100)),MAX(0,Inputs!$B$43-((R3002-1)*Skills!D19))))/Inputs!$B$43),IF(Inputs!$B$38="pvp",MIN((Skills!T19*(1+Inputs!$B$34/100)),15)/15,(Skills!T19*(1+Inputs!$B$34/100))/Skills!D19)))</f>
        <v/>
      </c>
    </row>
    <row r="3018">
      <c r="A3018" t="inlineStr">
        <is>
          <t>Actions Per Second</t>
        </is>
      </c>
      <c r="B3018">
        <f>1+MIN(150,150*(1-(1-(Inputs!$B$11+((C3004=TRUE)*(F3004-Calc!F21))+((C3005=TRUE)*(F3005-Calc!F22)))/150)*(1-B3017/150)))/100</f>
        <v/>
      </c>
    </row>
    <row r="3019">
      <c r="A3019" t="inlineStr">
        <is>
          <t>Skill + Buff Cast Rate</t>
        </is>
      </c>
      <c r="B3019">
        <f>IF(AND(Inputs!$B$38&lt;&gt;"pvp",Inputs!$B$43&gt;0),SUMPRODUCT((Skills!E2:E30=TRUE)*(C2985:C3013=TRUE)*R2985:R3013*Skills!F2:F30)/Inputs!$B$43,SUMPRODUCT((Skills!E2:E30=TRUE)*(C2985:C3013=TRUE)*Q2985:Q3013*Skills!F2:F30))</f>
        <v/>
      </c>
    </row>
    <row r="3020">
      <c r="A3020" t="inlineStr">
        <is>
          <t>Arrow Stream Casts Per Second</t>
        </is>
      </c>
      <c r="B3020">
        <f>MAX(0,B3018-B3019)</f>
        <v/>
      </c>
    </row>
    <row r="3021">
      <c r="A3021" t="inlineStr">
        <is>
          <t>Global Critical Damage Bonus % (Sharp Eyes + Concentration)</t>
        </is>
      </c>
      <c r="B3021">
        <f>(C2999=TRUE)*F2999*IF(AND(Inputs!$B$38&lt;&gt;"pvp",Inputs!$B$43&gt;0),(((R2999-1)*(Skills!T16*(1+Inputs!$B$34/100))+MIN((Skills!T16*(1+Inputs!$B$34/100)),MAX(0,Inputs!$B$43-((R2999-1)*Skills!D16))))/Inputs!$B$43),IF(Inputs!$B$38="pvp",MIN((Skills!T16*(1+Inputs!$B$34/100)),15)/15,(Skills!T16*(1+Inputs!$B$34/100))/Skills!D16))+(C3000=TRUE)*30</f>
        <v/>
      </c>
    </row>
    <row r="3022">
      <c r="A3022" t="inlineStr">
        <is>
          <t>Global Final Damage Bonus % (Mortal Blow)</t>
        </is>
      </c>
      <c r="B3022">
        <f>(C3001=TRUE)*F3001</f>
        <v/>
      </c>
    </row>
    <row r="3023">
      <c r="A3023" t="inlineStr">
        <is>
          <t>Buff-Casting Startup Delay (s, fixed-duration only)</t>
        </is>
      </c>
      <c r="B3023">
        <f>IF(AND(Inputs!$B$38&lt;&gt;"pvp",Inputs!$B$43&gt;0),SUMPRODUCT((Skills!T2:T30&gt;0)*(Skills!E2:E30=TRUE)*(C2985:C3013=TRUE))/B3018,0)</f>
        <v/>
      </c>
    </row>
    <row r="3024">
      <c r="A3024" t="inlineStr">
        <is>
          <t>Boss-Only Total DPS (this block's swept value)</t>
        </is>
      </c>
      <c r="B3024">
        <f>SUM(T2985:T3013)</f>
        <v/>
      </c>
    </row>
    <row r="3025">
      <c r="A3025" t="inlineStr">
        <is>
          <t>Normal-Only Total DPS (this block's swept value)</t>
        </is>
      </c>
      <c r="B3025">
        <f>SUM(V2985:V3013)</f>
        <v/>
      </c>
    </row>
    <row r="3026">
      <c r="A3026" s="6" t="inlineStr">
        <is>
          <t>TOTAL DPS</t>
        </is>
      </c>
      <c r="B3026" s="6">
        <f>SUM(O2985:O3013)</f>
        <v/>
      </c>
    </row>
    <row r="3029">
      <c r="A3029" s="6" t="inlineStr">
        <is>
          <t>Stat: CDR = 1.5s</t>
        </is>
      </c>
    </row>
    <row r="3030">
      <c r="A3030" s="5" t="inlineStr">
        <is>
          <t>Key</t>
        </is>
      </c>
      <c r="B3030" s="5" t="inlineStr">
        <is>
          <t>Name</t>
        </is>
      </c>
      <c r="C3030" s="5" t="inlineStr">
        <is>
          <t>Unlocked</t>
        </is>
      </c>
      <c r="D3030" s="5" t="inlineStr">
        <is>
          <t>InputLevel</t>
        </is>
      </c>
      <c r="E3030" s="5" t="inlineStr">
        <is>
          <t>Factor</t>
        </is>
      </c>
      <c r="F3030" s="5" t="inlineStr">
        <is>
          <t>CoefficientPercent</t>
        </is>
      </c>
      <c r="G3030" s="5" t="inlineStr">
        <is>
          <t>EffectiveHits</t>
        </is>
      </c>
      <c r="H3030" s="5" t="inlineStr">
        <is>
          <t>ProcProbability</t>
        </is>
      </c>
      <c r="I3030" s="5" t="inlineStr">
        <is>
          <t>MapleHeroMultiplier</t>
        </is>
      </c>
      <c r="J3030" s="5" t="inlineStr">
        <is>
          <t>BaseDamage</t>
        </is>
      </c>
      <c r="K3030" s="5" t="inlineStr">
        <is>
          <t>BaseHitDamage</t>
        </is>
      </c>
      <c r="L3030" s="5" t="inlineStr">
        <is>
          <t>NonCritAvg</t>
        </is>
      </c>
      <c r="M3030" s="5" t="inlineStr">
        <is>
          <t>CritAvg</t>
        </is>
      </c>
      <c r="N3030" s="5" t="inlineStr">
        <is>
          <t>ExpectedDamage(perHit)</t>
        </is>
      </c>
      <c r="O3030" s="5" t="inlineStr">
        <is>
          <t>DPS</t>
        </is>
      </c>
      <c r="P3030" s="5" t="inlineStr">
        <is>
          <t>% of Total</t>
        </is>
      </c>
      <c r="Q3030" s="5" t="inlineStr">
        <is>
          <t>InvCooldown</t>
        </is>
      </c>
      <c r="R3030" s="5" t="inlineStr">
        <is>
          <t>CastsInFight</t>
        </is>
      </c>
      <c r="S3030" s="5" t="inlineStr">
        <is>
          <t>HitRate(perSec)</t>
        </is>
      </c>
      <c r="U3030" t="inlineStr">
        <is>
          <t>helpers</t>
        </is>
      </c>
    </row>
    <row r="3031">
      <c r="A3031">
        <f>Skills!A2</f>
        <v/>
      </c>
      <c r="B3031">
        <f>Skills!B2</f>
        <v/>
      </c>
      <c r="C3031">
        <f>Inputs!$B$3&gt;=100</f>
        <v/>
      </c>
      <c r="D3031" t="inlineStr"/>
      <c r="E3031" t="inlineStr"/>
      <c r="F3031">
        <f>U3033+Skills!O2</f>
        <v/>
      </c>
      <c r="G3031">
        <f>Skills!G2*IF(Skills!H2&gt;0,Skills!I2/Skills!H2,1)</f>
        <v/>
      </c>
      <c r="H3031">
        <f>1-(1-Skills!J2/100)^Skills!K2</f>
        <v/>
      </c>
      <c r="I3031" t="inlineStr">
        <is>
          <t>1</t>
        </is>
      </c>
      <c r="J3031">
        <f>((Inputs!$B$6*(1+Inputs!$B$7/100))+(((Inputs!$B$12*(1+Inputs!$B$13/100))-(Inputs!$B$12*(1+Inputs!$B$13/100)))+0.25*(Inputs!$B$14-Inputs!$B$14))*(1+Inputs!$B$7/100))*(F3031/100)</f>
        <v/>
      </c>
      <c r="K3031">
        <f>J3031*(1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3053=TRUE)*(F3053-Calc!F24)),(Inputs!$B$23+((C3058=TRUE)*(F3058-Calc!F29))+(IF(ArtifactsInput!$M$15,CHOOSE(ArtifactsInput!$N$15+1,25,30,35,40,45,50)/100*(Inputs!$B$11-Inputs!$B$11),0))))/100+(Inputs!$B$23+((C3058=TRUE)*(F3058-Calc!F29))+(IF(ArtifactsInput!$M$15,CHOOSE(ArtifactsInput!$N$15+1,25,30,35,40,45,50)/100*(Inputs!$B$11-Inputs!$B$11),0)))/100)/2</f>
        <v/>
      </c>
      <c r="M3031">
        <f>L3031*(1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IF(B3072=0,0,O3031/B3072)</f>
        <v/>
      </c>
      <c r="Q3031" t="n">
        <v>0</v>
      </c>
      <c r="R3031" t="n">
        <v>0</v>
      </c>
      <c r="S3031">
        <f>IFERROR(O3031/N3031,0)</f>
        <v/>
      </c>
      <c r="T3031">
        <f>IF(C3031,(Skills!G2*N3031*B3066)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3031*(1-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1">
        <f>MAX(0,(Inputs!$B$3-100)*3)+Inputs!$B$28+Inputs!$B$29</f>
        <v/>
      </c>
      <c r="V3031">
        <f>IF(C3031,(Skills!G2*N3031*B3066)*IF(Inputs!$B$38="pvp",1,(1+(Inputs!$B$21+Skills!Q2+(IF(ArtifactsInput!$M$33,CHOOSE(ArtifactsInput!$N$33+1,30,36,42,48,54,60),0))+(IF(AND(ArtifactsInput!$M$35,Inputs!$B$4&lt;&gt;"Chapter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Skills!A3</f>
        <v/>
      </c>
      <c r="B3032">
        <f>Skills!B3</f>
        <v/>
      </c>
      <c r="C3032">
        <f>Inputs!$B$3&gt;=50</f>
        <v/>
      </c>
      <c r="D3032">
        <f>IF(Skills!C3=1,60+Inputs!$B$25+Inputs!$B$29,IF(Skills!C3=2,90+Inputs!$B$26+Inputs!$B$29,IF(Skills!C3=3,120+Inputs!$B$27+Inputs!$B$29,MAX(0,(Inputs!$B$3-100)*3)+Inputs!$B$28+Inputs!$B$29)))</f>
        <v/>
      </c>
      <c r="E3032">
        <f>INDEX(FactorTable!$B$2:$Y$301, MATCH(ROUND(MIN(300,MAX(1,D3032)),0), FactorTable!$A$2:$A$301,0), Skills!M3+1)</f>
        <v/>
      </c>
      <c r="F3032">
        <f>IF(Skills!N3=TRUE,(Skills!L3/10)*(E3032/1000),Skills!L3/10)+Skills!O3</f>
        <v/>
      </c>
      <c r="G3032" t="inlineStr"/>
      <c r="H3032" t="inlineStr"/>
      <c r="I3032" t="inlineStr">
        <is>
          <t>1</t>
        </is>
      </c>
      <c r="J3032" t="inlineStr"/>
      <c r="K3032" t="inlineStr"/>
      <c r="L3032" t="inlineStr"/>
      <c r="M3032" t="inlineStr"/>
      <c r="N3032" t="inlineStr"/>
      <c r="O3032" t="inlineStr"/>
      <c r="P3032" t="inlineStr"/>
      <c r="Q3032" t="inlineStr"/>
      <c r="R3032" t="inlineStr"/>
      <c r="S3032" t="inlineStr"/>
      <c r="T3032" t="inlineStr"/>
      <c r="U3032">
        <f>INDEX(FactorTable!$B$2:$Y$301, MATCH(ROUND(MIN(300,MAX(1,U3031)),0), FactorTable!$A$2:$A$301,0), 22)</f>
        <v/>
      </c>
      <c r="V3032" t="inlineStr"/>
    </row>
    <row r="3033">
      <c r="A3033">
        <f>Skills!A4</f>
        <v/>
      </c>
      <c r="B3033">
        <f>Skills!B4</f>
        <v/>
      </c>
      <c r="C3033">
        <f>Inputs!$B$3&gt;=105</f>
        <v/>
      </c>
      <c r="D3033">
        <f>IF(Skills!C4=1,60+Inputs!$B$25+Inputs!$B$29,IF(Skills!C4=2,90+Inputs!$B$26+Inputs!$B$29,IF(Skills!C4=3,120+Inputs!$B$27+Inputs!$B$29,MAX(0,(Inputs!$B$3-100)*3)+Inputs!$B$28+Inputs!$B$29)))</f>
        <v/>
      </c>
      <c r="E3033">
        <f>INDEX(FactorTable!$B$2:$Y$301, MATCH(ROUND(MIN(300,MAX(1,D3033)),0), FactorTable!$A$2:$A$301,0), Skills!M4+1)</f>
        <v/>
      </c>
      <c r="F3033">
        <f>IF(Skills!N4=TRUE,(Skills!L4/10)*(E3033/1000),Skills!L4/10)+Skills!O4</f>
        <v/>
      </c>
      <c r="G3033" t="inlineStr"/>
      <c r="H3033" t="inlineStr"/>
      <c r="I3033" t="inlineStr">
        <is>
          <t>1</t>
        </is>
      </c>
      <c r="J3033" t="inlineStr"/>
      <c r="K3033" t="inlineStr"/>
      <c r="L3033" t="inlineStr"/>
      <c r="M3033" t="inlineStr"/>
      <c r="N3033" t="inlineStr"/>
      <c r="O3033" t="inlineStr"/>
      <c r="P3033" t="inlineStr"/>
      <c r="Q3033" t="inlineStr"/>
      <c r="R3033" t="inlineStr"/>
      <c r="S3033" t="inlineStr"/>
      <c r="T3033" t="inlineStr"/>
      <c r="U3033">
        <f>290*U3032/1000</f>
        <v/>
      </c>
      <c r="V3033" t="inlineStr"/>
    </row>
    <row r="3034">
      <c r="A3034">
        <f>Skills!A5</f>
        <v/>
      </c>
      <c r="B3034">
        <f>Skills!B5</f>
        <v/>
      </c>
      <c r="C3034">
        <f>Inputs!$B$3&gt;=35</f>
        <v/>
      </c>
      <c r="D3034">
        <f>IF(Skills!C5=1,60+Inputs!$B$25+Inputs!$B$29,IF(Skills!C5=2,90+Inputs!$B$26+Inputs!$B$29,IF(Skills!C5=3,120+Inputs!$B$27+Inputs!$B$29,MAX(0,(Inputs!$B$3-100)*3)+Inputs!$B$28+Inputs!$B$29)))</f>
        <v/>
      </c>
      <c r="E3034">
        <f>INDEX(FactorTable!$B$2:$Y$301, MATCH(ROUND(MIN(300,MAX(1,D3034)),0), FactorTable!$A$2:$A$301,0), Skills!M5+1)</f>
        <v/>
      </c>
      <c r="F3034">
        <f>IF(Skills!N5=TRUE,(Skills!L5/10)*(E3034/1000),Skills!L5/10)+Skills!O5</f>
        <v/>
      </c>
      <c r="G3034">
        <f>Skills!G5*IF(Skills!H5&gt;0,Skills!I5/Skills!H5,1)</f>
        <v/>
      </c>
      <c r="H3034">
        <f>1-(1-Skills!J5/100)^Skills!K5</f>
        <v/>
      </c>
      <c r="I3034" t="inlineStr">
        <is>
          <t>1</t>
        </is>
      </c>
      <c r="J3034">
        <f>((Inputs!$B$6*(1+Inputs!$B$7/100))+(((Inputs!$B$12*(1+Inputs!$B$13/100))-(Inputs!$B$12*(1+Inputs!$B$13/100)))+0.25*(Inputs!$B$14-Inputs!$B$14))*(1+Inputs!$B$7/100))*(F3034/100)</f>
        <v/>
      </c>
      <c r="K3034">
        <f>J3034*(1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3039=TRUE,F3039,0)/100)*(1+(IF(Skills!A5="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3053=TRUE)*(F3053-Calc!F24)),(Inputs!$B$23+((C3058=TRUE)*(F3058-Calc!F29))+(IF(ArtifactsInput!$M$15,CHOOSE(ArtifactsInput!$N$15+1,25,30,35,40,45,50)/100*(Inputs!$B$11-Inputs!$B$11),0))))/100+(Inputs!$B$23+((C3058=TRUE)*(F3058-Calc!F29))+(IF(ArtifactsInput!$M$15,CHOOSE(ArtifactsInput!$N$15+1,25,30,35,40,45,50)/100*(Inputs!$B$11-Inputs!$B$11),0)))/100)/2</f>
        <v/>
      </c>
      <c r="M3034">
        <f>L3034*(1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IF(B3072=0,0,O3034/B3072)</f>
        <v/>
      </c>
      <c r="Q3034">
        <f>IFERROR(1/(IF(Inputs!$B$38="pvp",15,MAX(0.1,Skills!D5-IF(Skills!E5=TRUE,1.5,0)))*(1-IF(AND(ArtifactsInput!$M$27,Inputs!$B$4="Chapter Hunt"),CHOOSE(ArtifactsInput!$N$27+1,20,24,28,32,36,40),0)/100)),0)</f>
        <v/>
      </c>
      <c r="R3034">
        <f>IF(AND(Inputs!$B$38&lt;&gt;"pvp",Inputs!$B$43&gt;0),IF(MAX(0,Inputs!$B$43-B3069)&lt;=0,0,(INT(MAX(0,Inputs!$B$43-B3069)/(IF(Inputs!$B$38="pvp",15,MAX(0.1,Skills!D5-IF(Skills!E5=TRUE,1.5,0)))*(1-IF(AND(ArtifactsInput!$M$27,Inputs!$B$4="Chapter Hunt"),CHOOSE(ArtifactsInput!$N$27+1,20,24,28,32,36,40),0)/100)))+1)),0)</f>
        <v/>
      </c>
      <c r="S3034">
        <f>IFERROR(O3034/N3034,0)</f>
        <v/>
      </c>
      <c r="T3034">
        <f>IF(C3034,(H3034*N3034*IF(AND(Inputs!$B$38&lt;&gt;"pvp",Inputs!$B$43&gt;0),((Skills!G5*((R3034-1)*IF(Skills!H5&gt;0,Skills!I5/Skills!H5,1)+IF(Skills!H5&gt;0,MIN(Skills!I5,MAX(0,MAX(0,Inputs!$B$43-B3069)-((R3034-1)*(IF(Inputs!$B$38="pvp",15,MAX(0.1,Skills!D5-IF(Skills!E5=TRUE,1.5,0)))*(1-IF(AND(ArtifactsInput!$M$27,Inputs!$B$4="Chapter Hunt"),CHOOSE(ArtifactsInput!$N$27+1,20,24,28,32,36,40),0)/100)))))/Skills!H5,1)))/Inputs!$B$43),G3034*Q3034)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3034*(1-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5*((R3034-1)*IF(Skills!H5&gt;0,Skills!I5/Skills!H5,1)+IF(Skills!H5&gt;0,MIN(Skills!I5,MAX(0,MAX(0,Inputs!$B$43-B3069)-((R3034-1)*(IF(Inputs!$B$38="pvp",15,MAX(0.1,Skills!D5-IF(Skills!E5=TRUE,1.5,0)))*(1-IF(AND(ArtifactsInput!$M$27,Inputs!$B$4="Chapter Hunt"),CHOOSE(ArtifactsInput!$N$27+1,20,24,28,32,36,40),0)/100)))))/Skills!H5,1)))/Inputs!$B$43),G3034*Q3034))*IF(Inputs!$B$38="pvp",1,(1+(Inputs!$B$21+Skills!Q5+(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Skills!A6</f>
        <v/>
      </c>
      <c r="B3035">
        <f>Skills!B6</f>
        <v/>
      </c>
      <c r="C3035">
        <f>Inputs!$B$3&gt;=40</f>
        <v/>
      </c>
      <c r="D3035">
        <f>IF(Skills!C6=1,60+Inputs!$B$25+Inputs!$B$29,IF(Skills!C6=2,90+Inputs!$B$26+Inputs!$B$29,IF(Skills!C6=3,120+Inputs!$B$27+Inputs!$B$29,MAX(0,(Inputs!$B$3-100)*3)+Inputs!$B$28+Inputs!$B$29)))</f>
        <v/>
      </c>
      <c r="E3035">
        <f>INDEX(FactorTable!$B$2:$Y$301, MATCH(ROUND(MIN(300,MAX(1,D3035)),0), FactorTable!$A$2:$A$301,0), Skills!M6+1)</f>
        <v/>
      </c>
      <c r="F3035">
        <f>IF(Skills!N6=TRUE,(Skills!L6/10)*(E3035/1000),Skills!L6/10)+Skills!O6</f>
        <v/>
      </c>
      <c r="G3035">
        <f>Skills!G6*IF(Skills!H6&gt;0,Skills!I6/Skills!H6,1)</f>
        <v/>
      </c>
      <c r="H3035">
        <f>1-(1-Skills!J6/100)^Skills!K6</f>
        <v/>
      </c>
      <c r="I3035" t="inlineStr">
        <is>
          <t>1</t>
        </is>
      </c>
      <c r="J3035">
        <f>((Inputs!$B$6*(1+Inputs!$B$7/100))+(((Inputs!$B$12*(1+Inputs!$B$13/100))-(Inputs!$B$12*(1+Inputs!$B$13/100)))+0.25*(Inputs!$B$14-Inputs!$B$14))*(1+Inputs!$B$7/100))*(F3035/100)</f>
        <v/>
      </c>
      <c r="K3035">
        <f>J3035*(1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3036=TRUE,F3036,0)/100)*(1+(IF(Skills!A6="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3053=TRUE)*(F3053-Calc!F24)),(Inputs!$B$23+((C3058=TRUE)*(F3058-Calc!F29))+(IF(ArtifactsInput!$M$15,CHOOSE(ArtifactsInput!$N$15+1,25,30,35,40,45,50)/100*(Inputs!$B$11-Inputs!$B$11),0))))/100+(Inputs!$B$23+((C3058=TRUE)*(F3058-Calc!F29))+(IF(ArtifactsInput!$M$15,CHOOSE(ArtifactsInput!$N$15+1,25,30,35,40,45,50)/100*(Inputs!$B$11-Inputs!$B$11),0)))/100)/2</f>
        <v/>
      </c>
      <c r="M3035">
        <f>L3035*(1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IF(B3072=0,0,O3035/B3072)</f>
        <v/>
      </c>
      <c r="Q3035">
        <f>IFERROR(1/(IF(Inputs!$B$38="pvp",15,MAX(0.1,Skills!D6-IF(Skills!E6=TRUE,1.5,0)))*(1-IF(AND(ArtifactsInput!$M$27,Inputs!$B$4="Chapter Hunt"),CHOOSE(ArtifactsInput!$N$27+1,20,24,28,32,36,40),0)/100)),0)</f>
        <v/>
      </c>
      <c r="R3035">
        <f>IF(AND(Inputs!$B$38&lt;&gt;"pvp",Inputs!$B$43&gt;0),IF(MAX(0,Inputs!$B$43-B3069)&lt;=0,0,(INT(MAX(0,Inputs!$B$43-B3069)/(IF(Inputs!$B$38="pvp",15,MAX(0.1,Skills!D6-IF(Skills!E6=TRUE,1.5,0)))*(1-IF(AND(ArtifactsInput!$M$27,Inputs!$B$4="Chapter Hunt"),CHOOSE(ArtifactsInput!$N$27+1,20,24,28,32,36,40),0)/100)))+1)),0)</f>
        <v/>
      </c>
      <c r="S3035">
        <f>IFERROR(O3035/N3035,0)</f>
        <v/>
      </c>
      <c r="T3035">
        <f>IF(C3035,(H3035*N3035*IF(AND(Inputs!$B$38&lt;&gt;"pvp",Inputs!$B$43&gt;0),((Skills!G6*((R3035-1)*IF(Skills!H6&gt;0,Skills!I6/Skills!H6,1)+IF(Skills!H6&gt;0,MIN(Skills!I6,MAX(0,MAX(0,Inputs!$B$43-B3069)-((R3035-1)*(IF(Inputs!$B$38="pvp",15,MAX(0.1,Skills!D6-IF(Skills!E6=TRUE,1.5,0)))*(1-IF(AND(ArtifactsInput!$M$27,Inputs!$B$4="Chapter Hunt"),CHOOSE(ArtifactsInput!$N$27+1,20,24,28,32,36,40),0)/100)))))/Skills!H6,1)))/Inputs!$B$43),G3035*Q3035)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3035*(1-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6*((R3035-1)*IF(Skills!H6&gt;0,Skills!I6/Skills!H6,1)+IF(Skills!H6&gt;0,MIN(Skills!I6,MAX(0,MAX(0,Inputs!$B$43-B3069)-((R3035-1)*(IF(Inputs!$B$38="pvp",15,MAX(0.1,Skills!D6-IF(Skills!E6=TRUE,1.5,0)))*(1-IF(AND(ArtifactsInput!$M$27,Inputs!$B$4="Chapter Hunt"),CHOOSE(ArtifactsInput!$N$27+1,20,24,28,32,36,40),0)/100)))))/Skills!H6,1)))/Inputs!$B$43),G3035*Q3035))*IF(Inputs!$B$38="pvp",1,(1+(Inputs!$B$21+Skills!Q6+(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Skills!A7</f>
        <v/>
      </c>
      <c r="B3036">
        <f>Skills!B7</f>
        <v/>
      </c>
      <c r="C3036">
        <f>Inputs!$B$3&gt;=107</f>
        <v/>
      </c>
      <c r="D3036">
        <f>IF(Skills!C7=1,60+Inputs!$B$25+Inputs!$B$29,IF(Skills!C7=2,90+Inputs!$B$26+Inputs!$B$29,IF(Skills!C7=3,120+Inputs!$B$27+Inputs!$B$29,MAX(0,(Inputs!$B$3-100)*3)+Inputs!$B$28+Inputs!$B$29)))</f>
        <v/>
      </c>
      <c r="E3036">
        <f>INDEX(FactorTable!$B$2:$Y$301, MATCH(ROUND(MIN(300,MAX(1,D3036)),0), FactorTable!$A$2:$A$301,0), Skills!M7+1)</f>
        <v/>
      </c>
      <c r="F3036">
        <f>IF(Skills!N7=TRUE,(Skills!L7/10)*(E3036/1000),Skills!L7/10)+Skills!O7</f>
        <v/>
      </c>
      <c r="G3036" t="inlineStr"/>
      <c r="H3036" t="inlineStr"/>
      <c r="I3036" t="inlineStr">
        <is>
          <t>1</t>
        </is>
      </c>
      <c r="J3036" t="inlineStr"/>
      <c r="K3036" t="inlineStr"/>
      <c r="L3036" t="inlineStr"/>
      <c r="M3036" t="inlineStr"/>
      <c r="N3036" t="inlineStr"/>
      <c r="O3036" t="inlineStr"/>
      <c r="P3036" t="inlineStr"/>
      <c r="Q3036" t="inlineStr"/>
      <c r="R3036" t="inlineStr"/>
      <c r="S3036" t="inlineStr"/>
      <c r="T3036" t="inlineStr"/>
      <c r="V3036" t="inlineStr"/>
    </row>
    <row r="3037">
      <c r="A3037">
        <f>Skills!A8</f>
        <v/>
      </c>
      <c r="B3037">
        <f>Skills!B8</f>
        <v/>
      </c>
      <c r="C3037">
        <f>Inputs!$B$3&gt;=69</f>
        <v/>
      </c>
      <c r="D3037">
        <f>IF(Skills!C8=1,60+Inputs!$B$25+Inputs!$B$29,IF(Skills!C8=2,90+Inputs!$B$26+Inputs!$B$29,IF(Skills!C8=3,120+Inputs!$B$27+Inputs!$B$29,MAX(0,(Inputs!$B$3-100)*3)+Inputs!$B$28+Inputs!$B$29)))</f>
        <v/>
      </c>
      <c r="E3037">
        <f>INDEX(FactorTable!$B$2:$Y$301, MATCH(ROUND(MIN(300,MAX(1,D3037)),0), FactorTable!$A$2:$A$301,0), Skills!M8+1)</f>
        <v/>
      </c>
      <c r="F3037">
        <f>IF(Skills!N8=TRUE,(Skills!L8/10)*(E3037/1000),Skills!L8/10)+Skills!O8</f>
        <v/>
      </c>
      <c r="G3037">
        <f>Skills!G8*IF(Skills!H8&gt;0,Skills!I8/Skills!H8,1)</f>
        <v/>
      </c>
      <c r="H3037">
        <f>1-(1-Skills!J8/100)^Skills!K8</f>
        <v/>
      </c>
      <c r="I3037" t="inlineStr">
        <is>
          <t>1</t>
        </is>
      </c>
      <c r="J3037">
        <f>((Inputs!$B$6*(1+Inputs!$B$7/100))+(((Inputs!$B$12*(1+Inputs!$B$13/100))-(Inputs!$B$12*(1+Inputs!$B$13/100)))+0.25*(Inputs!$B$14-Inputs!$B$14))*(1+Inputs!$B$7/100))*(F3037/100)</f>
        <v/>
      </c>
      <c r="K3037">
        <f>J3037*(1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3039=TRUE,F3039,0)/100)*(1+(IF(Skills!A8="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3053=TRUE)*(F3053-Calc!F24)),(Inputs!$B$23+((C3058=TRUE)*(F3058-Calc!F29))+(IF(ArtifactsInput!$M$15,CHOOSE(ArtifactsInput!$N$15+1,25,30,35,40,45,50)/100*(Inputs!$B$11-Inputs!$B$11),0))))/100+(Inputs!$B$23+((C3058=TRUE)*(F3058-Calc!F29))+(IF(ArtifactsInput!$M$15,CHOOSE(ArtifactsInput!$N$15+1,25,30,35,40,45,50)/100*(Inputs!$B$11-Inputs!$B$11),0)))/100)/2</f>
        <v/>
      </c>
      <c r="M3037">
        <f>L3037*(1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IF(B3072=0,0,O3037/B3072)</f>
        <v/>
      </c>
      <c r="Q3037">
        <f>IFERROR(1/(IF(Inputs!$B$38="pvp",15,MAX(0.1,Skills!D8-IF(Skills!E8=TRUE,1.5,0)))*(1-IF(AND(ArtifactsInput!$M$27,Inputs!$B$4="Chapter Hunt"),CHOOSE(ArtifactsInput!$N$27+1,20,24,28,32,36,40),0)/100)),0)</f>
        <v/>
      </c>
      <c r="R3037">
        <f>IF(AND(Inputs!$B$38&lt;&gt;"pvp",Inputs!$B$43&gt;0),IF(MAX(0,Inputs!$B$43-B3069)&lt;=0,0,(INT(MAX(0,Inputs!$B$43-B3069)/(IF(Inputs!$B$38="pvp",15,MAX(0.1,Skills!D8-IF(Skills!E8=TRUE,1.5,0)))*(1-IF(AND(ArtifactsInput!$M$27,Inputs!$B$4="Chapter Hunt"),CHOOSE(ArtifactsInput!$N$27+1,20,24,28,32,36,40),0)/100)))+1)),0)</f>
        <v/>
      </c>
      <c r="S3037">
        <f>IFERROR(O3037/N3037,0)</f>
        <v/>
      </c>
      <c r="T3037">
        <f>IF(C3037,(H3037*N3037*IF(AND(Inputs!$B$38&lt;&gt;"pvp",Inputs!$B$43&gt;0),((Skills!G8*((R3037-1)*IF(Skills!H8&gt;0,Skills!I8/Skills!H8,1)+IF(Skills!H8&gt;0,MIN(Skills!I8,MAX(0,MAX(0,Inputs!$B$43-B3069)-((R3037-1)*(IF(Inputs!$B$38="pvp",15,MAX(0.1,Skills!D8-IF(Skills!E8=TRUE,1.5,0)))*(1-IF(AND(ArtifactsInput!$M$27,Inputs!$B$4="Chapter Hunt"),CHOOSE(ArtifactsInput!$N$27+1,20,24,28,32,36,40),0)/100)))))/Skills!H8,1)))/Inputs!$B$43),G3037*Q3037)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3037*(1-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7">
        <f>IF(C3037,(H3037*N3037*IF(AND(Inputs!$B$38&lt;&gt;"pvp",Inputs!$B$43&gt;0),((Skills!G8*((R3037-1)*IF(Skills!H8&gt;0,Skills!I8/Skills!H8,1)+IF(Skills!H8&gt;0,MIN(Skills!I8,MAX(0,MAX(0,Inputs!$B$43-B3069)-((R3037-1)*(IF(Inputs!$B$38="pvp",15,MAX(0.1,Skills!D8-IF(Skills!E8=TRUE,1.5,0)))*(1-IF(AND(ArtifactsInput!$M$27,Inputs!$B$4="Chapter Hunt"),CHOOSE(ArtifactsInput!$N$27+1,20,24,28,32,36,40),0)/100)))))/Skills!H8,1)))/Inputs!$B$43),G3037*Q3037))*IF(Inputs!$B$38="pvp",1,(1+(Inputs!$B$21+Skills!Q8+(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Skills!A9</f>
        <v/>
      </c>
      <c r="B3038">
        <f>Skills!B9</f>
        <v/>
      </c>
      <c r="C3038">
        <f>Inputs!$B$3&gt;=63</f>
        <v/>
      </c>
      <c r="D3038">
        <f>IF(Skills!C9=1,60+Inputs!$B$25+Inputs!$B$29,IF(Skills!C9=2,90+Inputs!$B$26+Inputs!$B$29,IF(Skills!C9=3,120+Inputs!$B$27+Inputs!$B$29,MAX(0,(Inputs!$B$3-100)*3)+Inputs!$B$28+Inputs!$B$29)))</f>
        <v/>
      </c>
      <c r="E3038">
        <f>INDEX(FactorTable!$B$2:$Y$301, MATCH(ROUND(MIN(300,MAX(1,D3038)),0), FactorTable!$A$2:$A$301,0), Skills!M9+1)</f>
        <v/>
      </c>
      <c r="F3038">
        <f>IF(Skills!N9=TRUE,(Skills!L9/10)*(E3038/1000),Skills!L9/10)+Skills!O9</f>
        <v/>
      </c>
      <c r="G3038">
        <f>Skills!G9*IF(Skills!H9&gt;0,Skills!I9/Skills!H9,1)</f>
        <v/>
      </c>
      <c r="H3038">
        <f>1-(1-Skills!J9/100)^Skills!K9</f>
        <v/>
      </c>
      <c r="I3038" t="inlineStr">
        <is>
          <t>1</t>
        </is>
      </c>
      <c r="J3038">
        <f>((Inputs!$B$6*(1+Inputs!$B$7/100))+(((Inputs!$B$12*(1+Inputs!$B$13/100))-(Inputs!$B$12*(1+Inputs!$B$13/100)))+0.25*(Inputs!$B$14-Inputs!$B$14))*(1+Inputs!$B$7/100))*(F3038/100)</f>
        <v/>
      </c>
      <c r="K3038">
        <f>J3038*(1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3039=TRUE,F3039,0)/100)*(1+(IF(Skills!A9="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3053=TRUE)*(F3053-Calc!F24)),(Inputs!$B$23+((C3058=TRUE)*(F3058-Calc!F29))+(IF(ArtifactsInput!$M$15,CHOOSE(ArtifactsInput!$N$15+1,25,30,35,40,45,50)/100*(Inputs!$B$11-Inputs!$B$11),0))))/100+(Inputs!$B$23+((C3058=TRUE)*(F3058-Calc!F29))+(IF(ArtifactsInput!$M$15,CHOOSE(ArtifactsInput!$N$15+1,25,30,35,40,45,50)/100*(Inputs!$B$11-Inputs!$B$11),0)))/100)/2</f>
        <v/>
      </c>
      <c r="M3038">
        <f>L3038*(1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IF(B3072=0,0,O3038/B3072)</f>
        <v/>
      </c>
      <c r="Q3038">
        <f>IFERROR(1/(IF(Inputs!$B$38="pvp",15,MAX(0.1,Skills!D9-IF(Skills!E9=TRUE,1.5,0)))*(1-IF(AND(ArtifactsInput!$M$27,Inputs!$B$4="Chapter Hunt"),CHOOSE(ArtifactsInput!$N$27+1,20,24,28,32,36,40),0)/100)),0)</f>
        <v/>
      </c>
      <c r="R3038">
        <f>IF(AND(Inputs!$B$38&lt;&gt;"pvp",Inputs!$B$43&gt;0),IF(MAX(0,Inputs!$B$43-B3069)&lt;=0,0,(INT(MAX(0,Inputs!$B$43-B3069)/(IF(Inputs!$B$38="pvp",15,MAX(0.1,Skills!D9-IF(Skills!E9=TRUE,1.5,0)))*(1-IF(AND(ArtifactsInput!$M$27,Inputs!$B$4="Chapter Hunt"),CHOOSE(ArtifactsInput!$N$27+1,20,24,28,32,36,40),0)/100)))+1)),0)</f>
        <v/>
      </c>
      <c r="S3038">
        <f>IFERROR(O3038/N3038,0)</f>
        <v/>
      </c>
      <c r="T3038">
        <f>IF(C3038,(H3038*N3038*IF(AND(Inputs!$B$38&lt;&gt;"pvp",Inputs!$B$43&gt;0),((Skills!G9*((R3038-1)*IF(Skills!H9&gt;0,Skills!I9/Skills!H9,1)+IF(Skills!H9&gt;0,MIN(Skills!I9,MAX(0,MAX(0,Inputs!$B$43-B3069)-((R3038-1)*(IF(Inputs!$B$38="pvp",15,MAX(0.1,Skills!D9-IF(Skills!E9=TRUE,1.5,0)))*(1-IF(AND(ArtifactsInput!$M$27,Inputs!$B$4="Chapter Hunt"),CHOOSE(ArtifactsInput!$N$27+1,20,24,28,32,36,40),0)/100)))))/Skills!H9,1)))/Inputs!$B$43),G3038*Q3038)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3038*(1-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9*((R3038-1)*IF(Skills!H9&gt;0,Skills!I9/Skills!H9,1)+IF(Skills!H9&gt;0,MIN(Skills!I9,MAX(0,MAX(0,Inputs!$B$43-B3069)-((R3038-1)*(IF(Inputs!$B$38="pvp",15,MAX(0.1,Skills!D9-IF(Skills!E9=TRUE,1.5,0)))*(1-IF(AND(ArtifactsInput!$M$27,Inputs!$B$4="Chapter Hunt"),CHOOSE(ArtifactsInput!$N$27+1,20,24,28,32,36,40),0)/100)))))/Skills!H9,1)))/Inputs!$B$43),G3038*Q3038))*IF(Inputs!$B$38="pvp",1,(1+(Inputs!$B$21+Skills!Q9+(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Skills!A10</f>
        <v/>
      </c>
      <c r="B3039">
        <f>Skills!B10</f>
        <v/>
      </c>
      <c r="C3039">
        <f>Inputs!$B$3&gt;=100</f>
        <v/>
      </c>
      <c r="D3039">
        <f>IF(Skills!C10=1,60+Inputs!$B$25+Inputs!$B$29,IF(Skills!C10=2,90+Inputs!$B$26+Inputs!$B$29,IF(Skills!C10=3,120+Inputs!$B$27+Inputs!$B$29,MAX(0,(Inputs!$B$3-100)*3)+Inputs!$B$28+Inputs!$B$29)))</f>
        <v/>
      </c>
      <c r="E3039">
        <f>INDEX(FactorTable!$B$2:$Y$301, MATCH(ROUND(MIN(300,MAX(1,D3039)),0), FactorTable!$A$2:$A$301,0), Skills!M10+1)</f>
        <v/>
      </c>
      <c r="F3039">
        <f>IF(Skills!N10=TRUE,(Skills!L10/10)*(E3039/1000),Skills!L10/10)+Skills!O10</f>
        <v/>
      </c>
      <c r="G3039" t="inlineStr"/>
      <c r="H3039" t="inlineStr"/>
      <c r="I3039" t="inlineStr">
        <is>
          <t>1</t>
        </is>
      </c>
      <c r="J3039" t="inlineStr"/>
      <c r="K3039" t="inlineStr"/>
      <c r="L3039" t="inlineStr"/>
      <c r="M3039" t="inlineStr"/>
      <c r="N3039" t="inlineStr"/>
      <c r="O3039" t="inlineStr"/>
      <c r="P3039" t="inlineStr"/>
      <c r="Q3039" t="inlineStr"/>
      <c r="R3039" t="inlineStr"/>
      <c r="S3039" t="inlineStr"/>
      <c r="T3039" t="inlineStr"/>
      <c r="V3039" t="inlineStr"/>
    </row>
    <row r="3040">
      <c r="A3040">
        <f>Skills!A11</f>
        <v/>
      </c>
      <c r="B3040">
        <f>Skills!B11</f>
        <v/>
      </c>
      <c r="C3040">
        <f>Inputs!$B$3&gt;=60</f>
        <v/>
      </c>
      <c r="D3040">
        <f>IF(Skills!C11=1,60+Inputs!$B$25+Inputs!$B$29,IF(Skills!C11=2,90+Inputs!$B$26+Inputs!$B$29,IF(Skills!C11=3,120+Inputs!$B$27+Inputs!$B$29,MAX(0,(Inputs!$B$3-100)*3)+Inputs!$B$28+Inputs!$B$29)))</f>
        <v/>
      </c>
      <c r="E3040">
        <f>INDEX(FactorTable!$B$2:$Y$301, MATCH(ROUND(MIN(300,MAX(1,D3040)),0), FactorTable!$A$2:$A$301,0), Skills!M11+1)</f>
        <v/>
      </c>
      <c r="F3040">
        <f>IF(Skills!N11=TRUE,(Skills!L11/10)*(E3040/1000),Skills!L11/10)+Skills!O11</f>
        <v/>
      </c>
      <c r="G3040">
        <f>Skills!G11*IF(Skills!H11&gt;0,Skills!I11/Skills!H11,1)</f>
        <v/>
      </c>
      <c r="H3040">
        <f>1-(1-Skills!J11/100)^Skills!K11</f>
        <v/>
      </c>
      <c r="I3040" t="inlineStr">
        <is>
          <t>1</t>
        </is>
      </c>
      <c r="J3040">
        <f>((Inputs!$B$6*(1+Inputs!$B$7/100))+(((Inputs!$B$12*(1+Inputs!$B$13/100))-(Inputs!$B$12*(1+Inputs!$B$13/100)))+0.25*(Inputs!$B$14-Inputs!$B$14))*(1+Inputs!$B$7/100))*(F3040/100)</f>
        <v/>
      </c>
      <c r="K3040">
        <f>J3040*(1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3041=TRUE,F3041,0)/100)*(1+(IF(Skills!A11="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3053=TRUE)*(F3053-Calc!F24)),(Inputs!$B$23+((C3058=TRUE)*(F3058-Calc!F29))+(IF(ArtifactsInput!$M$15,CHOOSE(ArtifactsInput!$N$15+1,25,30,35,40,45,50)/100*(Inputs!$B$11-Inputs!$B$11),0))))/100+(Inputs!$B$23+((C3058=TRUE)*(F3058-Calc!F29))+(IF(ArtifactsInput!$M$15,CHOOSE(ArtifactsInput!$N$15+1,25,30,35,40,45,50)/100*(Inputs!$B$11-Inputs!$B$11),0)))/100)/2</f>
        <v/>
      </c>
      <c r="M3040">
        <f>L3040*(1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IF(B3072=0,0,O3040/B3072)</f>
        <v/>
      </c>
      <c r="Q3040">
        <f>IFERROR(1/(IF(Inputs!$B$38="pvp",15,MAX(0.1,Skills!D11-IF(Skills!E11=TRUE,1.5,0)))*(1-IF(AND(ArtifactsInput!$M$27,Inputs!$B$4="Chapter Hunt"),CHOOSE(ArtifactsInput!$N$27+1,20,24,28,32,36,40),0)/100)),0)</f>
        <v/>
      </c>
      <c r="R3040">
        <f>IF(AND(Inputs!$B$38&lt;&gt;"pvp",Inputs!$B$43&gt;0),IF(MAX(0,Inputs!$B$43-B3069)&lt;=0,0,(INT(MAX(0,Inputs!$B$43-B3069)/(IF(Inputs!$B$38="pvp",15,MAX(0.1,Skills!D11-IF(Skills!E11=TRUE,1.5,0)))*(1-IF(AND(ArtifactsInput!$M$27,Inputs!$B$4="Chapter Hunt"),CHOOSE(ArtifactsInput!$N$27+1,20,24,28,32,36,40),0)/100)))+1)),0)</f>
        <v/>
      </c>
      <c r="S3040">
        <f>IFERROR(O3040/N3040,0)</f>
        <v/>
      </c>
      <c r="T3040">
        <f>IF(C3040,(H3040*N3040*IF(AND(Inputs!$B$38&lt;&gt;"pvp",Inputs!$B$43&gt;0),((Skills!G11*((R3040-1)*IF(Skills!H11&gt;0,Skills!I11/Skills!H11,1)+IF(Skills!H11&gt;0,MIN(Skills!I11,MAX(0,MAX(0,Inputs!$B$43-B3069)-((R3040-1)*(IF(Inputs!$B$38="pvp",15,MAX(0.1,Skills!D11-IF(Skills!E11=TRUE,1.5,0)))*(1-IF(AND(ArtifactsInput!$M$27,Inputs!$B$4="Chapter Hunt"),CHOOSE(ArtifactsInput!$N$27+1,20,24,28,32,36,40),0)/100)))))/Skills!H11,1)))/Inputs!$B$43),G3040*Q3040)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3040*(1-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11*((R3040-1)*IF(Skills!H11&gt;0,Skills!I11/Skills!H11,1)+IF(Skills!H11&gt;0,MIN(Skills!I11,MAX(0,MAX(0,Inputs!$B$43-B3069)-((R3040-1)*(IF(Inputs!$B$38="pvp",15,MAX(0.1,Skills!D11-IF(Skills!E11=TRUE,1.5,0)))*(1-IF(AND(ArtifactsInput!$M$27,Inputs!$B$4="Chapter Hunt"),CHOOSE(ArtifactsInput!$N$27+1,20,24,28,32,36,40),0)/100)))))/Skills!H11,1)))/Inputs!$B$43),G3040*Q3040))*IF(Inputs!$B$38="pvp",1,(1+(Inputs!$B$21+Skills!Q11+(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Skills!A12</f>
        <v/>
      </c>
      <c r="B3041">
        <f>Skills!B12</f>
        <v/>
      </c>
      <c r="C3041">
        <f>Inputs!$B$3&gt;=110</f>
        <v/>
      </c>
      <c r="D3041">
        <f>IF(Skills!C12=1,60+Inputs!$B$25+Inputs!$B$29,IF(Skills!C12=2,90+Inputs!$B$26+Inputs!$B$29,IF(Skills!C12=3,120+Inputs!$B$27+Inputs!$B$29,MAX(0,(Inputs!$B$3-100)*3)+Inputs!$B$28+Inputs!$B$29)))</f>
        <v/>
      </c>
      <c r="E3041">
        <f>INDEX(FactorTable!$B$2:$Y$301, MATCH(ROUND(MIN(300,MAX(1,D3041)),0), FactorTable!$A$2:$A$301,0), Skills!M12+1)</f>
        <v/>
      </c>
      <c r="F3041">
        <f>IF(Skills!N12=TRUE,(Skills!L12/10)*(E3041/1000),Skills!L12/10)+Skills!O12</f>
        <v/>
      </c>
      <c r="G3041" t="inlineStr"/>
      <c r="H3041" t="inlineStr"/>
      <c r="I3041" t="inlineStr">
        <is>
          <t>1</t>
        </is>
      </c>
      <c r="J3041" t="inlineStr"/>
      <c r="K3041" t="inlineStr"/>
      <c r="L3041" t="inlineStr"/>
      <c r="M3041" t="inlineStr"/>
      <c r="N3041" t="inlineStr"/>
      <c r="O3041" t="inlineStr"/>
      <c r="P3041" t="inlineStr"/>
      <c r="Q3041" t="inlineStr"/>
      <c r="R3041" t="inlineStr"/>
      <c r="S3041" t="inlineStr"/>
      <c r="T3041" t="inlineStr"/>
      <c r="V3041" t="inlineStr"/>
    </row>
    <row r="3042">
      <c r="A3042">
        <f>Skills!A13</f>
        <v/>
      </c>
      <c r="B3042">
        <f>Skills!B13</f>
        <v/>
      </c>
      <c r="C3042">
        <f>Inputs!$B$3&gt;=74</f>
        <v/>
      </c>
      <c r="D3042">
        <f>IF(Skills!C13=1,60+Inputs!$B$25+Inputs!$B$29,IF(Skills!C13=2,90+Inputs!$B$26+Inputs!$B$29,IF(Skills!C13=3,120+Inputs!$B$27+Inputs!$B$29,MAX(0,(Inputs!$B$3-100)*3)+Inputs!$B$28+Inputs!$B$29)))</f>
        <v/>
      </c>
      <c r="E3042">
        <f>INDEX(FactorTable!$B$2:$Y$301, MATCH(ROUND(MIN(300,MAX(1,D3042)),0), FactorTable!$A$2:$A$301,0), Skills!M13+1)</f>
        <v/>
      </c>
      <c r="F3042">
        <f>IF(Skills!N13=TRUE,(Skills!L13/10)*(E3042/1000),Skills!L13/10)+Skills!O13</f>
        <v/>
      </c>
      <c r="G3042">
        <f>Skills!G13*IF(Skills!H13&gt;0,Skills!I13/Skills!H13,1)</f>
        <v/>
      </c>
      <c r="H3042">
        <f>1-(1-Skills!J13/100)^Skills!K13</f>
        <v/>
      </c>
      <c r="I3042" t="inlineStr">
        <is>
          <t>1</t>
        </is>
      </c>
      <c r="J3042" t="inlineStr"/>
      <c r="K3042" t="inlineStr"/>
      <c r="L3042" t="inlineStr"/>
      <c r="M3042" t="inlineStr"/>
      <c r="N3042" t="inlineStr"/>
      <c r="O3042">
        <f>(1-Summary!$B$11)*T3042+Summary!$B$11*V3042</f>
        <v/>
      </c>
      <c r="P3042">
        <f>IF(B3072=0,0,O3042/B3072)</f>
        <v/>
      </c>
      <c r="Q3042" t="n">
        <v>0</v>
      </c>
      <c r="R3042" t="n">
        <v>0</v>
      </c>
      <c r="S3042">
        <f>IFERROR(O3042/N3042,0)</f>
        <v/>
      </c>
      <c r="T3042" t="n">
        <v>0</v>
      </c>
      <c r="V3042" t="n">
        <v>0</v>
      </c>
    </row>
    <row r="3043">
      <c r="A3043">
        <f>Skills!A14</f>
        <v/>
      </c>
      <c r="B3043">
        <f>Skills!B14</f>
        <v/>
      </c>
      <c r="C3043">
        <f>Inputs!$B$3&gt;=74</f>
        <v/>
      </c>
      <c r="D3043">
        <f>IF(Skills!C14=1,60+Inputs!$B$25+Inputs!$B$29,IF(Skills!C14=2,90+Inputs!$B$26+Inputs!$B$29,IF(Skills!C14=3,120+Inputs!$B$27+Inputs!$B$29,MAX(0,(Inputs!$B$3-100)*3)+Inputs!$B$28+Inputs!$B$29)))</f>
        <v/>
      </c>
      <c r="E3043">
        <f>INDEX(FactorTable!$B$2:$Y$301, MATCH(ROUND(MIN(300,MAX(1,D3043)),0), FactorTable!$A$2:$A$301,0), Skills!M14+1)</f>
        <v/>
      </c>
      <c r="F3043">
        <f>IF(Skills!N14=TRUE,(Skills!L14/10)*(E3043/1000),Skills!L14/10)+Skills!O14</f>
        <v/>
      </c>
      <c r="G3043">
        <f>Skills!G14*IF(Skills!H14&gt;0,Skills!I14/Skills!H14,1)</f>
        <v/>
      </c>
      <c r="H3043">
        <f>1-(1-Skills!J14/100)^Skills!K14</f>
        <v/>
      </c>
      <c r="I3043" t="inlineStr">
        <is>
          <t>1</t>
        </is>
      </c>
      <c r="J3043" t="inlineStr"/>
      <c r="K3043" t="inlineStr"/>
      <c r="L3043" t="inlineStr"/>
      <c r="M3043" t="inlineStr"/>
      <c r="N3043" t="inlineStr"/>
      <c r="O3043">
        <f>(1-Summary!$B$11)*T3043+Summary!$B$11*V3043</f>
        <v/>
      </c>
      <c r="P3043">
        <f>IF(B3072=0,0,O3043/B3072)</f>
        <v/>
      </c>
      <c r="Q3043" t="n">
        <v>0</v>
      </c>
      <c r="R3043" t="n">
        <v>0</v>
      </c>
      <c r="S3043">
        <f>IFERROR(O3043/N3043,0)</f>
        <v/>
      </c>
      <c r="T3043" t="n">
        <v>0</v>
      </c>
      <c r="V3043" t="n">
        <v>0</v>
      </c>
    </row>
    <row r="3044">
      <c r="A3044">
        <f>Skills!A15</f>
        <v/>
      </c>
      <c r="B3044">
        <f>Skills!B15</f>
        <v/>
      </c>
      <c r="C3044">
        <f>Inputs!$B$3&gt;=117</f>
        <v/>
      </c>
      <c r="D3044">
        <f>IF(Skills!C15=1,60+Inputs!$B$25+Inputs!$B$29,IF(Skills!C15=2,90+Inputs!$B$26+Inputs!$B$29,IF(Skills!C15=3,120+Inputs!$B$27+Inputs!$B$29,MAX(0,(Inputs!$B$3-100)*3)+Inputs!$B$28+Inputs!$B$29)))</f>
        <v/>
      </c>
      <c r="E3044">
        <f>INDEX(FactorTable!$B$2:$Y$301, MATCH(ROUND(MIN(300,MAX(1,D3044)),0), FactorTable!$A$2:$A$301,0), Skills!M15+1)</f>
        <v/>
      </c>
      <c r="F3044">
        <f>IF(Skills!N15=TRUE,(Skills!L15/10)*(E3044/1000),Skills!L15/10)+Skills!O15</f>
        <v/>
      </c>
      <c r="G3044">
        <f>Skills!G15*IF(Skills!H15&gt;0,Skills!I15/Skills!H15,1)</f>
        <v/>
      </c>
      <c r="H3044">
        <f>1-(1-Skills!J15/100)^Skills!K15</f>
        <v/>
      </c>
      <c r="I3044" t="inlineStr">
        <is>
          <t>1</t>
        </is>
      </c>
      <c r="J3044" t="inlineStr"/>
      <c r="K3044" t="inlineStr"/>
      <c r="L3044" t="inlineStr"/>
      <c r="M3044" t="inlineStr"/>
      <c r="N3044" t="inlineStr"/>
      <c r="O3044">
        <f>(1-Summary!$B$11)*T3044+Summary!$B$11*V3044</f>
        <v/>
      </c>
      <c r="P3044">
        <f>IF(B3072=0,0,O3044/B3072)</f>
        <v/>
      </c>
      <c r="Q3044">
        <f>IFERROR(1/(IF(Inputs!$B$38="pvp",15,MAX(0.1,Skills!D15-IF(Skills!E15=TRUE,1.5,0)))*(1-IF(AND(ArtifactsInput!$M$27,Inputs!$B$4="Chapter Hunt"),CHOOSE(ArtifactsInput!$N$27+1,20,24,28,32,36,40),0)/100)),0)</f>
        <v/>
      </c>
      <c r="R3044">
        <f>IF(AND(Inputs!$B$38&lt;&gt;"pvp",Inputs!$B$43&gt;0),IF(Inputs!$B$43&lt;=0,0,(INT(Inputs!$B$43/(IF(Inputs!$B$38="pvp",15,MAX(0.1,Skills!D15-IF(Skills!E15=TRUE,1.5,0)))*(1-IF(AND(ArtifactsInput!$M$27,Inputs!$B$4="Chapter Hunt"),CHOOSE(ArtifactsInput!$N$27+1,20,24,28,32,36,40),0)/100)))+1)),0)</f>
        <v/>
      </c>
      <c r="S3044">
        <f>IFERROR(O3044/N3044,0)</f>
        <v/>
      </c>
      <c r="T3044" t="n">
        <v>0</v>
      </c>
      <c r="V3044" t="n">
        <v>0</v>
      </c>
    </row>
    <row r="3045">
      <c r="A3045">
        <f>Skills!A16</f>
        <v/>
      </c>
      <c r="B3045">
        <f>Skills!B16</f>
        <v/>
      </c>
      <c r="C3045">
        <f>Inputs!$B$3&gt;=115</f>
        <v/>
      </c>
      <c r="D3045">
        <f>IF(Skills!C16=1,60+Inputs!$B$25+Inputs!$B$29,IF(Skills!C16=2,90+Inputs!$B$26+Inputs!$B$29,IF(Skills!C16=3,120+Inputs!$B$27+Inputs!$B$29,MAX(0,(Inputs!$B$3-100)*3)+Inputs!$B$28+Inputs!$B$29)))</f>
        <v/>
      </c>
      <c r="E3045">
        <f>INDEX(FactorTable!$B$2:$Y$301, MATCH(ROUND(MIN(300,MAX(1,D3045)),0), FactorTable!$A$2:$A$301,0), Skills!M16+1)</f>
        <v/>
      </c>
      <c r="F3045">
        <f>IF(Skills!N16=TRUE,(Skills!L16/10)*(E3045/1000),Skills!L16/10)+Skills!O16</f>
        <v/>
      </c>
      <c r="G3045">
        <f>Skills!G16*IF(Skills!H16&gt;0,Skills!I16/Skills!H16,1)</f>
        <v/>
      </c>
      <c r="H3045">
        <f>1-(1-Skills!J16/100)^Skills!K16</f>
        <v/>
      </c>
      <c r="I3045" t="inlineStr">
        <is>
          <t>1</t>
        </is>
      </c>
      <c r="J3045" t="inlineStr"/>
      <c r="K3045" t="inlineStr"/>
      <c r="L3045" t="inlineStr"/>
      <c r="M3045" t="inlineStr"/>
      <c r="N3045" t="inlineStr"/>
      <c r="O3045">
        <f>(1-Summary!$B$11)*T3045+Summary!$B$11*V3045</f>
        <v/>
      </c>
      <c r="P3045">
        <f>IF(B3072=0,0,O3045/B3072)</f>
        <v/>
      </c>
      <c r="Q3045">
        <f>IFERROR(1/(IF(Inputs!$B$38="pvp",15,MAX(0.1,Skills!D16-IF(Skills!E16=TRUE,1.5,0)))*(1-IF(AND(ArtifactsInput!$M$27,Inputs!$B$4="Chapter Hunt"),CHOOSE(ArtifactsInput!$N$27+1,20,24,28,32,36,40),0)/100)),0)</f>
        <v/>
      </c>
      <c r="R3045">
        <f>IF(AND(Inputs!$B$38&lt;&gt;"pvp",Inputs!$B$43&gt;0),IF(Inputs!$B$43&lt;=0,0,(INT(Inputs!$B$43/(IF(Inputs!$B$38="pvp",15,MAX(0.1,Skills!D16-IF(Skills!E16=TRUE,1.5,0)))*(1-IF(AND(ArtifactsInput!$M$27,Inputs!$B$4="Chapter Hunt"),CHOOSE(ArtifactsInput!$N$27+1,20,24,28,32,36,40),0)/100)))+1)),0)</f>
        <v/>
      </c>
      <c r="S3045">
        <f>IFERROR(O3045/N3045,0)</f>
        <v/>
      </c>
      <c r="T3045" t="n">
        <v>0</v>
      </c>
      <c r="V3045" t="n">
        <v>0</v>
      </c>
    </row>
    <row r="3046">
      <c r="A3046">
        <f>Skills!A17</f>
        <v/>
      </c>
      <c r="B3046">
        <f>Skills!B17</f>
        <v/>
      </c>
      <c r="C3046">
        <f>Inputs!$B$3&gt;=66</f>
        <v/>
      </c>
      <c r="D3046">
        <f>IF(Skills!C17=1,60+Inputs!$B$25+Inputs!$B$29,IF(Skills!C17=2,90+Inputs!$B$26+Inputs!$B$29,IF(Skills!C17=3,120+Inputs!$B$27+Inputs!$B$29,MAX(0,(Inputs!$B$3-100)*3)+Inputs!$B$28+Inputs!$B$29)))</f>
        <v/>
      </c>
      <c r="E3046">
        <f>INDEX(FactorTable!$B$2:$Y$301, MATCH(ROUND(MIN(300,MAX(1,D3046)),0), FactorTable!$A$2:$A$301,0), Skills!M17+1)</f>
        <v/>
      </c>
      <c r="F3046">
        <f>IF(Skills!N17=TRUE,(Skills!L17/10)*(E3046/1000),Skills!L17/10)+Skills!O17</f>
        <v/>
      </c>
      <c r="G3046">
        <f>Skills!G17*IF(Skills!H17&gt;0,Skills!I17/Skills!H17,1)</f>
        <v/>
      </c>
      <c r="H3046">
        <f>1-(1-Skills!J17/100)^Skills!K17</f>
        <v/>
      </c>
      <c r="I3046" t="inlineStr">
        <is>
          <t>1</t>
        </is>
      </c>
      <c r="J3046" t="inlineStr"/>
      <c r="K3046" t="inlineStr"/>
      <c r="L3046" t="inlineStr"/>
      <c r="M3046" t="inlineStr"/>
      <c r="N3046" t="inlineStr"/>
      <c r="O3046">
        <f>(1-Summary!$B$11)*T3046+Summary!$B$11*V3046</f>
        <v/>
      </c>
      <c r="P3046">
        <f>IF(B3072=0,0,O3046/B3072)</f>
        <v/>
      </c>
      <c r="Q3046" t="n">
        <v>0</v>
      </c>
      <c r="R3046" t="n">
        <v>0</v>
      </c>
      <c r="S3046">
        <f>IFERROR(O3046/N3046,0)</f>
        <v/>
      </c>
      <c r="T3046" t="n">
        <v>0</v>
      </c>
      <c r="V3046" t="n">
        <v>0</v>
      </c>
    </row>
    <row r="3047">
      <c r="A3047">
        <f>Skills!A18</f>
        <v/>
      </c>
      <c r="B3047">
        <f>Skills!B18</f>
        <v/>
      </c>
      <c r="C3047">
        <f>Inputs!$B$3&gt;=72</f>
        <v/>
      </c>
      <c r="D3047">
        <f>IF(Skills!C18=1,60+Inputs!$B$25+Inputs!$B$29,IF(Skills!C18=2,90+Inputs!$B$26+Inputs!$B$29,IF(Skills!C18=3,120+Inputs!$B$27+Inputs!$B$29,MAX(0,(Inputs!$B$3-100)*3)+Inputs!$B$28+Inputs!$B$29)))</f>
        <v/>
      </c>
      <c r="E3047">
        <f>INDEX(FactorTable!$B$2:$Y$301, MATCH(ROUND(MIN(300,MAX(1,D3047)),0), FactorTable!$A$2:$A$301,0), Skills!M18+1)</f>
        <v/>
      </c>
      <c r="F3047">
        <f>IF(Skills!N18=TRUE,(Skills!L18/10)*(E3047/1000),Skills!L18/10)+Skills!O18</f>
        <v/>
      </c>
      <c r="G3047">
        <f>Skills!G18*IF(Skills!H18&gt;0,Skills!I18/Skills!H18,1)</f>
        <v/>
      </c>
      <c r="H3047">
        <f>1-(1-Skills!J18/100)^Skills!K18</f>
        <v/>
      </c>
      <c r="I3047" t="inlineStr">
        <is>
          <t>1</t>
        </is>
      </c>
      <c r="J3047" t="inlineStr"/>
      <c r="K3047" t="inlineStr"/>
      <c r="L3047" t="inlineStr"/>
      <c r="M3047" t="inlineStr"/>
      <c r="N3047" t="inlineStr"/>
      <c r="O3047">
        <f>(1-Summary!$B$11)*T3047+Summary!$B$11*V3047</f>
        <v/>
      </c>
      <c r="P3047">
        <f>IF(B3072=0,0,O3047/B3072)</f>
        <v/>
      </c>
      <c r="Q3047" t="n">
        <v>0</v>
      </c>
      <c r="R3047" t="n">
        <v>0</v>
      </c>
      <c r="S3047">
        <f>IFERROR(O3047/N3047,0)</f>
        <v/>
      </c>
      <c r="T3047" t="n">
        <v>0</v>
      </c>
      <c r="V3047" t="n">
        <v>0</v>
      </c>
    </row>
    <row r="3048">
      <c r="A3048">
        <f>Skills!A19</f>
        <v/>
      </c>
      <c r="B3048">
        <f>Skills!B19</f>
        <v/>
      </c>
      <c r="C3048">
        <f>TRUE</f>
        <v/>
      </c>
      <c r="D3048">
        <f>IF(Skills!C19=1,60+Inputs!$B$25+Inputs!$B$29,IF(Skills!C19=2,90+Inputs!$B$26+Inputs!$B$29,IF(Skills!C19=3,120+Inputs!$B$27+Inputs!$B$29,MAX(0,(Inputs!$B$3-100)*3)+Inputs!$B$28+Inputs!$B$29)))</f>
        <v/>
      </c>
      <c r="E3048">
        <f>INDEX(FactorTable!$B$2:$Y$301, MATCH(ROUND(MIN(300,MAX(1,D3048)),0), FactorTable!$A$2:$A$301,0), Skills!M19+1)</f>
        <v/>
      </c>
      <c r="F3048">
        <f>IF(Skills!N19=TRUE,(Skills!L19/10)*(E3048/1000),Skills!L19/10)+Skills!O19</f>
        <v/>
      </c>
      <c r="G3048">
        <f>Skills!G19*IF(Skills!H19&gt;0,Skills!I19/Skills!H19,1)</f>
        <v/>
      </c>
      <c r="H3048">
        <f>1-(1-Skills!J19/100)^Skills!K19</f>
        <v/>
      </c>
      <c r="I3048" t="inlineStr">
        <is>
          <t>1</t>
        </is>
      </c>
      <c r="J3048" t="inlineStr"/>
      <c r="K3048" t="inlineStr"/>
      <c r="L3048" t="inlineStr"/>
      <c r="M3048" t="inlineStr"/>
      <c r="N3048" t="inlineStr"/>
      <c r="O3048">
        <f>(1-Summary!$B$11)*T3048+Summary!$B$11*V3048</f>
        <v/>
      </c>
      <c r="P3048">
        <f>IF(B3072=0,0,O3048/B3072)</f>
        <v/>
      </c>
      <c r="Q3048">
        <f>IFERROR(1/(IF(Inputs!$B$38="pvp",15,MAX(0.1,Skills!D19-IF(Skills!E19=TRUE,1.5,0)))*(1-IF(AND(ArtifactsInput!$M$27,Inputs!$B$4="Chapter Hunt"),CHOOSE(ArtifactsInput!$N$27+1,20,24,28,32,36,40),0)/100)),0)</f>
        <v/>
      </c>
      <c r="R3048">
        <f>IF(AND(Inputs!$B$38&lt;&gt;"pvp",Inputs!$B$43&gt;0),IF(Inputs!$B$43&lt;=0,0,(INT(Inputs!$B$43/(IF(Inputs!$B$38="pvp",15,MAX(0.1,Skills!D19-IF(Skills!E19=TRUE,1.5,0)))*(1-IF(AND(ArtifactsInput!$M$27,Inputs!$B$4="Chapter Hunt"),CHOOSE(ArtifactsInput!$N$27+1,20,24,28,32,36,40),0)/100)))+1)),0)</f>
        <v/>
      </c>
      <c r="S3048">
        <f>IFERROR(O3048/N3048,0)</f>
        <v/>
      </c>
      <c r="T3048" t="n">
        <v>0</v>
      </c>
      <c r="V3048" t="n">
        <v>0</v>
      </c>
    </row>
    <row r="3049">
      <c r="A3049">
        <f>Skills!A20</f>
        <v/>
      </c>
      <c r="B3049">
        <f>Skills!B20</f>
        <v/>
      </c>
      <c r="C3049">
        <f>Inputs!$B$3&gt;=15</f>
        <v/>
      </c>
      <c r="D3049">
        <f>IF(Skills!C20=1,60+Inputs!$B$25+Inputs!$B$29,IF(Skills!C20=2,90+Inputs!$B$26+Inputs!$B$29,IF(Skills!C20=3,120+Inputs!$B$27+Inputs!$B$29,MAX(0,(Inputs!$B$3-100)*3)+Inputs!$B$28+Inputs!$B$29)))</f>
        <v/>
      </c>
      <c r="E3049">
        <f>INDEX(FactorTable!$B$2:$Y$301, MATCH(ROUND(MIN(300,MAX(1,D3049)),0), FactorTable!$A$2:$A$301,0), Skills!M20+1)</f>
        <v/>
      </c>
      <c r="F3049">
        <f>IF(Skills!N20=TRUE,(Skills!L20/10)*(E3049/1000),Skills!L20/10)+Skills!O20</f>
        <v/>
      </c>
      <c r="G3049">
        <f>Skills!G20*IF(Skills!H20&gt;0,Skills!I20/Skills!H20,1)</f>
        <v/>
      </c>
      <c r="H3049">
        <f>1-(1-Skills!J20/100)^Skills!K20</f>
        <v/>
      </c>
      <c r="I3049" t="inlineStr">
        <is>
          <t>1</t>
        </is>
      </c>
      <c r="J3049" t="inlineStr"/>
      <c r="K3049" t="inlineStr"/>
      <c r="L3049" t="inlineStr"/>
      <c r="M3049" t="inlineStr"/>
      <c r="N3049" t="inlineStr"/>
      <c r="O3049">
        <f>(1-Summary!$B$11)*T3049+Summary!$B$11*V3049</f>
        <v/>
      </c>
      <c r="P3049">
        <f>IF(B3072=0,0,O3049/B3072)</f>
        <v/>
      </c>
      <c r="Q3049" t="n">
        <v>0</v>
      </c>
      <c r="R3049" t="n">
        <v>0</v>
      </c>
      <c r="S3049">
        <f>IFERROR(O3049/N3049,0)</f>
        <v/>
      </c>
      <c r="T3049" t="n">
        <v>0</v>
      </c>
      <c r="V3049" t="n">
        <v>0</v>
      </c>
    </row>
    <row r="3050">
      <c r="A3050">
        <f>Skills!A21</f>
        <v/>
      </c>
      <c r="B3050">
        <f>Skills!B21</f>
        <v/>
      </c>
      <c r="C3050">
        <f>Inputs!$B$3&gt;=10</f>
        <v/>
      </c>
      <c r="D3050">
        <f>IF(Skills!C21=1,60+Inputs!$B$25+Inputs!$B$29,IF(Skills!C21=2,90+Inputs!$B$26+Inputs!$B$29,IF(Skills!C21=3,120+Inputs!$B$27+Inputs!$B$29,MAX(0,(Inputs!$B$3-100)*3)+Inputs!$B$28+Inputs!$B$29)))</f>
        <v/>
      </c>
      <c r="E3050">
        <f>INDEX(FactorTable!$B$2:$Y$301, MATCH(ROUND(MIN(300,MAX(1,D3050)),0), FactorTable!$A$2:$A$301,0), Skills!M21+1)</f>
        <v/>
      </c>
      <c r="F3050">
        <f>IF(Skills!N21=TRUE,(Skills!L21/10)*(E3050/1000),Skills!L21/10)+Skills!O21</f>
        <v/>
      </c>
      <c r="G3050">
        <f>Skills!G21*IF(Skills!H21&gt;0,Skills!I21/Skills!H21,1)</f>
        <v/>
      </c>
      <c r="H3050">
        <f>1-(1-Skills!J21/100)^Skills!K21</f>
        <v/>
      </c>
      <c r="I3050" t="inlineStr">
        <is>
          <t>1</t>
        </is>
      </c>
      <c r="J3050" t="inlineStr"/>
      <c r="K3050" t="inlineStr"/>
      <c r="L3050" t="inlineStr"/>
      <c r="M3050" t="inlineStr"/>
      <c r="N3050" t="inlineStr"/>
      <c r="O3050">
        <f>(1-Summary!$B$11)*T3050+Summary!$B$11*V3050</f>
        <v/>
      </c>
      <c r="P3050">
        <f>IF(B3072=0,0,O3050/B3072)</f>
        <v/>
      </c>
      <c r="Q3050" t="n">
        <v>0</v>
      </c>
      <c r="R3050" t="n">
        <v>0</v>
      </c>
      <c r="S3050">
        <f>IFERROR(O3050/N3050,0)</f>
        <v/>
      </c>
      <c r="T3050" t="n">
        <v>0</v>
      </c>
      <c r="V3050" t="n">
        <v>0</v>
      </c>
    </row>
    <row r="3051">
      <c r="A3051">
        <f>Skills!A22</f>
        <v/>
      </c>
      <c r="B3051">
        <f>Skills!B22</f>
        <v/>
      </c>
      <c r="C3051">
        <f>Inputs!$B$3&gt;=33</f>
        <v/>
      </c>
      <c r="D3051">
        <f>IF(Skills!C22=1,60+Inputs!$B$25+Inputs!$B$29,IF(Skills!C22=2,90+Inputs!$B$26+Inputs!$B$29,IF(Skills!C22=3,120+Inputs!$B$27+Inputs!$B$29,MAX(0,(Inputs!$B$3-100)*3)+Inputs!$B$28+Inputs!$B$29)))</f>
        <v/>
      </c>
      <c r="E3051">
        <f>INDEX(FactorTable!$B$2:$Y$301, MATCH(ROUND(MIN(300,MAX(1,D3051)),0), FactorTable!$A$2:$A$301,0), Skills!M22+1)</f>
        <v/>
      </c>
      <c r="F3051">
        <f>IF(Skills!N22=TRUE,(Skills!L22/10)*(E3051/1000),Skills!L22/10)+Skills!O22</f>
        <v/>
      </c>
      <c r="G3051">
        <f>Skills!G22*IF(Skills!H22&gt;0,Skills!I22/Skills!H22,1)</f>
        <v/>
      </c>
      <c r="H3051">
        <f>1-(1-Skills!J22/100)^Skills!K22</f>
        <v/>
      </c>
      <c r="I3051" t="inlineStr">
        <is>
          <t>1</t>
        </is>
      </c>
      <c r="J3051" t="inlineStr"/>
      <c r="K3051" t="inlineStr"/>
      <c r="L3051" t="inlineStr"/>
      <c r="M3051" t="inlineStr"/>
      <c r="N3051" t="inlineStr"/>
      <c r="O3051">
        <f>(1-Summary!$B$11)*T3051+Summary!$B$11*V3051</f>
        <v/>
      </c>
      <c r="P3051">
        <f>IF(B3072=0,0,O3051/B3072)</f>
        <v/>
      </c>
      <c r="Q3051" t="n">
        <v>0</v>
      </c>
      <c r="R3051" t="n">
        <v>0</v>
      </c>
      <c r="S3051">
        <f>IFERROR(O3051/N3051,0)</f>
        <v/>
      </c>
      <c r="T3051" t="n">
        <v>0</v>
      </c>
      <c r="V3051" t="n">
        <v>0</v>
      </c>
    </row>
    <row r="3052">
      <c r="A3052">
        <f>Skills!A23</f>
        <v/>
      </c>
      <c r="B3052">
        <f>Skills!B23</f>
        <v/>
      </c>
      <c r="C3052">
        <f>Inputs!$B$3&gt;=38</f>
        <v/>
      </c>
      <c r="D3052">
        <f>IF(Skills!C23=1,60+Inputs!$B$25+Inputs!$B$29,IF(Skills!C23=2,90+Inputs!$B$26+Inputs!$B$29,IF(Skills!C23=3,120+Inputs!$B$27+Inputs!$B$29,MAX(0,(Inputs!$B$3-100)*3)+Inputs!$B$28+Inputs!$B$29)))</f>
        <v/>
      </c>
      <c r="E3052">
        <f>INDEX(FactorTable!$B$2:$Y$301, MATCH(ROUND(MIN(300,MAX(1,D3052)),0), FactorTable!$A$2:$A$301,0), Skills!M23+1)</f>
        <v/>
      </c>
      <c r="F3052">
        <f>IF(Skills!N23=TRUE,(Skills!L23/10)*(E3052/1000),Skills!L23/10)+Skills!O23</f>
        <v/>
      </c>
      <c r="G3052">
        <f>Skills!G23*IF(Skills!H23&gt;0,Skills!I23/Skills!H23,1)</f>
        <v/>
      </c>
      <c r="H3052">
        <f>1-(1-Skills!J23/100)^Skills!K23</f>
        <v/>
      </c>
      <c r="I3052" t="inlineStr">
        <is>
          <t>1</t>
        </is>
      </c>
      <c r="J3052" t="inlineStr"/>
      <c r="K3052" t="inlineStr"/>
      <c r="L3052" t="inlineStr"/>
      <c r="M3052" t="inlineStr"/>
      <c r="N3052" t="inlineStr"/>
      <c r="O3052">
        <f>(1-Summary!$B$11)*T3052+Summary!$B$11*V3052</f>
        <v/>
      </c>
      <c r="P3052">
        <f>IF(B3072=0,0,O3052/B3072)</f>
        <v/>
      </c>
      <c r="Q3052" t="n">
        <v>0</v>
      </c>
      <c r="R3052" t="n">
        <v>0</v>
      </c>
      <c r="S3052">
        <f>IFERROR(O3052/N3052,0)</f>
        <v/>
      </c>
      <c r="T3052" t="n">
        <v>0</v>
      </c>
      <c r="V3052" t="n">
        <v>0</v>
      </c>
    </row>
    <row r="3053">
      <c r="A3053">
        <f>Skills!A24</f>
        <v/>
      </c>
      <c r="B3053">
        <f>Skills!B24</f>
        <v/>
      </c>
      <c r="C3053">
        <f>Inputs!$B$3&gt;=43</f>
        <v/>
      </c>
      <c r="D3053">
        <f>IF(Skills!C24=1,60+Inputs!$B$25+Inputs!$B$29,IF(Skills!C24=2,90+Inputs!$B$26+Inputs!$B$29,IF(Skills!C24=3,120+Inputs!$B$27+Inputs!$B$29,MAX(0,(Inputs!$B$3-100)*3)+Inputs!$B$28+Inputs!$B$29)))</f>
        <v/>
      </c>
      <c r="E3053">
        <f>INDEX(FactorTable!$B$2:$Y$301, MATCH(ROUND(MIN(300,MAX(1,D3053)),0), FactorTable!$A$2:$A$301,0), Skills!M24+1)</f>
        <v/>
      </c>
      <c r="F3053">
        <f>IF(Skills!N24=TRUE,(Skills!L24/10)*(E3053/1000),Skills!L24/10)+Skills!O24</f>
        <v/>
      </c>
      <c r="G3053">
        <f>Skills!G24*IF(Skills!H24&gt;0,Skills!I24/Skills!H24,1)</f>
        <v/>
      </c>
      <c r="H3053">
        <f>1-(1-Skills!J24/100)^Skills!K24</f>
        <v/>
      </c>
      <c r="I3053" t="inlineStr">
        <is>
          <t>1</t>
        </is>
      </c>
      <c r="J3053" t="inlineStr"/>
      <c r="K3053" t="inlineStr"/>
      <c r="L3053" t="inlineStr"/>
      <c r="M3053" t="inlineStr"/>
      <c r="N3053" t="inlineStr"/>
      <c r="O3053">
        <f>(1-Summary!$B$11)*T3053+Summary!$B$11*V3053</f>
        <v/>
      </c>
      <c r="P3053">
        <f>IF(B3072=0,0,O3053/B3072)</f>
        <v/>
      </c>
      <c r="Q3053" t="n">
        <v>0</v>
      </c>
      <c r="R3053" t="n">
        <v>0</v>
      </c>
      <c r="S3053">
        <f>IFERROR(O3053/N3053,0)</f>
        <v/>
      </c>
      <c r="T3053" t="n">
        <v>0</v>
      </c>
      <c r="V3053" t="n">
        <v>0</v>
      </c>
    </row>
    <row r="3054">
      <c r="A3054">
        <f>Skills!A25</f>
        <v/>
      </c>
      <c r="B3054">
        <f>Skills!B25</f>
        <v/>
      </c>
      <c r="C3054">
        <f>Inputs!$B$3&gt;=75</f>
        <v/>
      </c>
      <c r="D3054">
        <f>IF(Skills!C25=1,60+Inputs!$B$25+Inputs!$B$29,IF(Skills!C25=2,90+Inputs!$B$26+Inputs!$B$29,IF(Skills!C25=3,120+Inputs!$B$27+Inputs!$B$29,MAX(0,(Inputs!$B$3-100)*3)+Inputs!$B$28+Inputs!$B$29)))</f>
        <v/>
      </c>
      <c r="E3054">
        <f>INDEX(FactorTable!$B$2:$Y$301, MATCH(ROUND(MIN(300,MAX(1,D3054)),0), FactorTable!$A$2:$A$301,0), Skills!M25+1)</f>
        <v/>
      </c>
      <c r="F3054">
        <f>IF(Skills!N25=TRUE,(Skills!L25/10)*(E3054/1000),Skills!L25/10)+Skills!O25</f>
        <v/>
      </c>
      <c r="G3054">
        <f>Skills!G25*IF(Skills!H25&gt;0,Skills!I25/Skills!H25,1)</f>
        <v/>
      </c>
      <c r="H3054">
        <f>1-(1-Skills!J25/100)^Skills!K25</f>
        <v/>
      </c>
      <c r="I3054" t="inlineStr">
        <is>
          <t>1</t>
        </is>
      </c>
      <c r="J3054" t="inlineStr"/>
      <c r="K3054" t="inlineStr"/>
      <c r="L3054" t="inlineStr"/>
      <c r="M3054" t="inlineStr"/>
      <c r="N3054" t="inlineStr"/>
      <c r="O3054">
        <f>(1-Summary!$B$11)*T3054+Summary!$B$11*V3054</f>
        <v/>
      </c>
      <c r="P3054">
        <f>IF(B3072=0,0,O3054/B3072)</f>
        <v/>
      </c>
      <c r="Q3054" t="n">
        <v>0</v>
      </c>
      <c r="R3054" t="n">
        <v>0</v>
      </c>
      <c r="S3054">
        <f>IFERROR(O3054/N3054,0)</f>
        <v/>
      </c>
      <c r="T3054" t="n">
        <v>0</v>
      </c>
      <c r="V3054" t="n">
        <v>0</v>
      </c>
    </row>
    <row r="3055">
      <c r="A3055">
        <f>Skills!A26</f>
        <v/>
      </c>
      <c r="B3055">
        <f>Skills!B26</f>
        <v/>
      </c>
      <c r="C3055">
        <f>Inputs!$B$3&gt;=125</f>
        <v/>
      </c>
      <c r="D3055">
        <f>IF(Skills!C26=1,60+Inputs!$B$25+Inputs!$B$29,IF(Skills!C26=2,90+Inputs!$B$26+Inputs!$B$29,IF(Skills!C26=3,120+Inputs!$B$27+Inputs!$B$29,MAX(0,(Inputs!$B$3-100)*3)+Inputs!$B$28+Inputs!$B$29)))</f>
        <v/>
      </c>
      <c r="E3055">
        <f>INDEX(FactorTable!$B$2:$Y$301, MATCH(ROUND(MIN(300,MAX(1,D3055)),0), FactorTable!$A$2:$A$301,0), Skills!M26+1)</f>
        <v/>
      </c>
      <c r="F3055">
        <f>IF(Skills!N26=TRUE,(Skills!L26/10)*(E3055/1000),Skills!L26/10)+Skills!O26</f>
        <v/>
      </c>
      <c r="G3055">
        <f>Skills!G26*IF(Skills!H26&gt;0,Skills!I26/Skills!H26,1)</f>
        <v/>
      </c>
      <c r="H3055">
        <f>1-(1-Skills!J26/100)^Skills!K26</f>
        <v/>
      </c>
      <c r="I3055" t="inlineStr">
        <is>
          <t>1</t>
        </is>
      </c>
      <c r="J3055" t="inlineStr"/>
      <c r="K3055" t="inlineStr"/>
      <c r="L3055" t="inlineStr"/>
      <c r="M3055" t="inlineStr"/>
      <c r="N3055" t="inlineStr"/>
      <c r="O3055">
        <f>(1-Summary!$B$11)*T3055+Summary!$B$11*V3055</f>
        <v/>
      </c>
      <c r="P3055">
        <f>IF(B3072=0,0,O3055/B3072)</f>
        <v/>
      </c>
      <c r="Q3055" t="n">
        <v>0</v>
      </c>
      <c r="R3055" t="n">
        <v>0</v>
      </c>
      <c r="S3055">
        <f>IFERROR(O3055/N3055,0)</f>
        <v/>
      </c>
      <c r="T3055" t="n">
        <v>0</v>
      </c>
      <c r="V3055" t="n">
        <v>0</v>
      </c>
    </row>
    <row r="3056">
      <c r="A3056">
        <f>Skills!A27</f>
        <v/>
      </c>
      <c r="B3056">
        <f>Skills!B27</f>
        <v/>
      </c>
      <c r="C3056">
        <f>Inputs!$B$3&gt;=125</f>
        <v/>
      </c>
      <c r="D3056">
        <f>IF(Skills!C27=1,60+Inputs!$B$25+Inputs!$B$29,IF(Skills!C27=2,90+Inputs!$B$26+Inputs!$B$29,IF(Skills!C27=3,120+Inputs!$B$27+Inputs!$B$29,MAX(0,(Inputs!$B$3-100)*3)+Inputs!$B$28+Inputs!$B$29)))</f>
        <v/>
      </c>
      <c r="E3056">
        <f>INDEX(FactorTable!$B$2:$Y$301, MATCH(ROUND(MIN(300,MAX(1,D3056)),0), FactorTable!$A$2:$A$301,0), Skills!M27+1)</f>
        <v/>
      </c>
      <c r="F3056">
        <f>IF(Skills!N27=TRUE,(Skills!L27/10)*(E3056/1000),Skills!L27/10)+Skills!O27</f>
        <v/>
      </c>
      <c r="G3056">
        <f>Skills!G27*IF(Skills!H27&gt;0,Skills!I27/Skills!H27,1)</f>
        <v/>
      </c>
      <c r="H3056">
        <f>1-(1-Skills!J27/100)^Skills!K27</f>
        <v/>
      </c>
      <c r="I3056" t="inlineStr">
        <is>
          <t>1</t>
        </is>
      </c>
      <c r="J3056" t="inlineStr"/>
      <c r="K3056" t="inlineStr"/>
      <c r="L3056" t="inlineStr"/>
      <c r="M3056" t="inlineStr"/>
      <c r="N3056" t="inlineStr"/>
      <c r="O3056">
        <f>(1-Summary!$B$11)*T3056+Summary!$B$11*V3056</f>
        <v/>
      </c>
      <c r="P3056">
        <f>IF(B3072=0,0,O3056/B3072)</f>
        <v/>
      </c>
      <c r="Q3056" t="n">
        <v>0</v>
      </c>
      <c r="R3056" t="n">
        <v>0</v>
      </c>
      <c r="S3056">
        <f>IFERROR(O3056/N3056,0)</f>
        <v/>
      </c>
      <c r="T3056" t="n">
        <v>0</v>
      </c>
      <c r="V3056" t="n">
        <v>0</v>
      </c>
    </row>
    <row r="3057">
      <c r="A3057">
        <f>Skills!A28</f>
        <v/>
      </c>
      <c r="B3057">
        <f>Skills!B28</f>
        <v/>
      </c>
      <c r="C3057">
        <f>Inputs!$B$3&gt;=120</f>
        <v/>
      </c>
      <c r="D3057">
        <f>IF(Skills!C28=1,60+Inputs!$B$25+Inputs!$B$29,IF(Skills!C28=2,90+Inputs!$B$26+Inputs!$B$29,IF(Skills!C28=3,120+Inputs!$B$27+Inputs!$B$29,MAX(0,(Inputs!$B$3-100)*3)+Inputs!$B$28+Inputs!$B$29)))</f>
        <v/>
      </c>
      <c r="E3057">
        <f>INDEX(FactorTable!$B$2:$Y$301, MATCH(ROUND(MIN(300,MAX(1,D3057)),0), FactorTable!$A$2:$A$301,0), Skills!M28+1)</f>
        <v/>
      </c>
      <c r="F3057">
        <f>IF(Skills!N28=TRUE,(Skills!L28/10)*(E3057/1000),Skills!L28/10)+Skills!O28</f>
        <v/>
      </c>
      <c r="G3057">
        <f>Skills!G28*IF(Skills!H28&gt;0,Skills!I28/Skills!H28,1)</f>
        <v/>
      </c>
      <c r="H3057">
        <f>1-(1-Skills!J28/100)^Skills!K28</f>
        <v/>
      </c>
      <c r="I3057" t="inlineStr">
        <is>
          <t>1</t>
        </is>
      </c>
      <c r="J3057" t="inlineStr"/>
      <c r="K3057" t="inlineStr"/>
      <c r="L3057" t="inlineStr"/>
      <c r="M3057" t="inlineStr"/>
      <c r="N3057" t="inlineStr"/>
      <c r="O3057">
        <f>(1-Summary!$B$11)*T3057+Summary!$B$11*V3057</f>
        <v/>
      </c>
      <c r="P3057">
        <f>IF(B3072=0,0,O3057/B3072)</f>
        <v/>
      </c>
      <c r="Q3057" t="n">
        <v>0</v>
      </c>
      <c r="R3057" t="n">
        <v>0</v>
      </c>
      <c r="S3057">
        <f>IFERROR(O3057/N3057,0)</f>
        <v/>
      </c>
      <c r="T3057" t="n">
        <v>0</v>
      </c>
      <c r="V3057" t="n">
        <v>0</v>
      </c>
    </row>
    <row r="3058">
      <c r="A3058">
        <f>Skills!A29</f>
        <v/>
      </c>
      <c r="B3058">
        <f>Skills!B29</f>
        <v/>
      </c>
      <c r="C3058">
        <f>Inputs!$B$3&gt;=120</f>
        <v/>
      </c>
      <c r="D3058">
        <f>IF(Skills!C29=1,60+Inputs!$B$25+Inputs!$B$29,IF(Skills!C29=2,90+Inputs!$B$26+Inputs!$B$29,IF(Skills!C29=3,120+Inputs!$B$27+Inputs!$B$29,MAX(0,(Inputs!$B$3-100)*3)+Inputs!$B$28+Inputs!$B$29)))</f>
        <v/>
      </c>
      <c r="E3058">
        <f>INDEX(FactorTable!$B$2:$Y$301, MATCH(ROUND(MIN(300,MAX(1,D3058)),0), FactorTable!$A$2:$A$301,0), Skills!M29+1)</f>
        <v/>
      </c>
      <c r="F3058">
        <f>IF(Skills!N29=TRUE,(Skills!L29/10)*(E3058/1000),Skills!L29/10)+Skills!O29</f>
        <v/>
      </c>
      <c r="G3058">
        <f>Skills!G29*IF(Skills!H29&gt;0,Skills!I29/Skills!H29,1)</f>
        <v/>
      </c>
      <c r="H3058">
        <f>1-(1-Skills!J29/100)^Skills!K29</f>
        <v/>
      </c>
      <c r="I3058" t="inlineStr">
        <is>
          <t>1</t>
        </is>
      </c>
      <c r="J3058" t="inlineStr"/>
      <c r="K3058" t="inlineStr"/>
      <c r="L3058" t="inlineStr"/>
      <c r="M3058" t="inlineStr"/>
      <c r="N3058" t="inlineStr"/>
      <c r="O3058">
        <f>(1-Summary!$B$11)*T3058+Summary!$B$11*V3058</f>
        <v/>
      </c>
      <c r="P3058">
        <f>IF(B3072=0,0,O3058/B3072)</f>
        <v/>
      </c>
      <c r="Q3058" t="n">
        <v>0</v>
      </c>
      <c r="R3058" t="n">
        <v>0</v>
      </c>
      <c r="S3058">
        <f>IFERROR(O3058/N3058,0)</f>
        <v/>
      </c>
      <c r="T3058" t="n">
        <v>0</v>
      </c>
      <c r="V3058" t="n">
        <v>0</v>
      </c>
    </row>
    <row r="3059">
      <c r="A3059">
        <f>Skills!A30</f>
        <v/>
      </c>
      <c r="B3059">
        <f>Skills!B30</f>
        <v/>
      </c>
      <c r="C3059">
        <f>Inputs!$B$3&gt;=45</f>
        <v/>
      </c>
      <c r="D3059">
        <f>IF(Skills!C30=1,60+Inputs!$B$25+Inputs!$B$29,IF(Skills!C30=2,90+Inputs!$B$26+Inputs!$B$29,IF(Skills!C30=3,120+Inputs!$B$27+Inputs!$B$29,MAX(0,(Inputs!$B$3-100)*3)+Inputs!$B$28+Inputs!$B$29)))</f>
        <v/>
      </c>
      <c r="E3059">
        <f>INDEX(FactorTable!$B$2:$Y$301, MATCH(ROUND(MIN(300,MAX(1,D3059)),0), FactorTable!$A$2:$A$301,0), Skills!M30+1)</f>
        <v/>
      </c>
      <c r="F3059">
        <f>IF(Skills!N30=TRUE,(Skills!L30/10)*(E3059/1000),Skills!L30/10)+Skills!O30</f>
        <v/>
      </c>
      <c r="G3059">
        <f>Skills!G30*IF(Skills!H30&gt;0,Skills!I30/Skills!H30,1)</f>
        <v/>
      </c>
      <c r="H3059">
        <f>1-(1-Skills!J30/100)^Skills!K30</f>
        <v/>
      </c>
      <c r="I3059" t="inlineStr">
        <is>
          <t>1</t>
        </is>
      </c>
      <c r="J3059" t="inlineStr"/>
      <c r="K3059" t="inlineStr"/>
      <c r="L3059" t="inlineStr"/>
      <c r="M3059" t="inlineStr"/>
      <c r="N3059" t="inlineStr"/>
      <c r="O3059">
        <f>(1-Summary!$B$11)*T3059+Summary!$B$11*V3059</f>
        <v/>
      </c>
      <c r="P3059">
        <f>IF(B3072=0,0,O3059/B3072)</f>
        <v/>
      </c>
      <c r="Q3059" t="n">
        <v>0</v>
      </c>
      <c r="R3059" t="n">
        <v>0</v>
      </c>
      <c r="S3059">
        <f>IFERROR(O3059/N3059,0)</f>
        <v/>
      </c>
      <c r="T3059" t="n">
        <v>0</v>
      </c>
      <c r="V3059" t="n">
        <v>0</v>
      </c>
    </row>
    <row r="3061">
      <c r="A3061" t="inlineStr">
        <is>
          <t>Attack% Bucket Multiplier</t>
        </is>
      </c>
      <c r="B3061">
        <f>(1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2">
      <c r="A3062" t="inlineStr">
        <is>
          <t>Global Crit Rate Bonus %</t>
        </is>
      </c>
      <c r="B3062">
        <f>(C3045=TRUE)*20*IF(AND(Inputs!$B$38&lt;&gt;"pvp",Inputs!$B$43&gt;0),(((R3045-1)*(Skills!T16*(1+Inputs!$B$34/100))+MIN((Skills!T16*(1+Inputs!$B$34/100)),MAX(0,Inputs!$B$43-((R3045-1)*Skills!D16))))/Inputs!$B$43),IF(Inputs!$B$38="pvp",MIN((Skills!T16*(1+Inputs!$B$34/100)),15)/15,(Skills!T16*(1+Inputs!$B$34/100))/Skills!D16))</f>
        <v/>
      </c>
    </row>
    <row r="3063">
      <c r="A3063" t="inlineStr">
        <is>
          <t>Attack Speed Buff Bonus %</t>
        </is>
      </c>
      <c r="B3063">
        <f>((C3048=TRUE)*F3048*IF(AND(Inputs!$B$38&lt;&gt;"pvp",Inputs!$B$43&gt;0),(((R3048-1)*(Skills!T19*(1+Inputs!$B$34/100))+MIN((Skills!T19*(1+Inputs!$B$34/100)),MAX(0,Inputs!$B$43-((R3048-1)*Skills!D19))))/Inputs!$B$43),IF(Inputs!$B$38="pvp",MIN((Skills!T19*(1+Inputs!$B$34/100)),15)/15,(Skills!T19*(1+Inputs!$B$34/100))/Skills!D19)))</f>
        <v/>
      </c>
    </row>
    <row r="3064">
      <c r="A3064" t="inlineStr">
        <is>
          <t>Actions Per Second</t>
        </is>
      </c>
      <c r="B3064">
        <f>1+MIN(150,150*(1-(1-(Inputs!$B$11+((C3050=TRUE)*(F3050-Calc!F21))+((C3051=TRUE)*(F3051-Calc!F22)))/150)*(1-B3063/150)))/100</f>
        <v/>
      </c>
    </row>
    <row r="3065">
      <c r="A3065" t="inlineStr">
        <is>
          <t>Skill + Buff Cast Rate</t>
        </is>
      </c>
      <c r="B3065">
        <f>IF(AND(Inputs!$B$38&lt;&gt;"pvp",Inputs!$B$43&gt;0),SUMPRODUCT((Skills!E2:E30=TRUE)*(C3031:C3059=TRUE)*R3031:R3059*Skills!F2:F30)/Inputs!$B$43,SUMPRODUCT((Skills!E2:E30=TRUE)*(C3031:C3059=TRUE)*Q3031:Q3059*Skills!F2:F30))</f>
        <v/>
      </c>
    </row>
    <row r="3066">
      <c r="A3066" t="inlineStr">
        <is>
          <t>Arrow Stream Casts Per Second</t>
        </is>
      </c>
      <c r="B3066">
        <f>MAX(0,B3064-B3065)</f>
        <v/>
      </c>
    </row>
    <row r="3067">
      <c r="A3067" t="inlineStr">
        <is>
          <t>Global Critical Damage Bonus % (Sharp Eyes + Concentration)</t>
        </is>
      </c>
      <c r="B3067">
        <f>(C3045=TRUE)*F3045*IF(AND(Inputs!$B$38&lt;&gt;"pvp",Inputs!$B$43&gt;0),(((R3045-1)*(Skills!T16*(1+Inputs!$B$34/100))+MIN((Skills!T16*(1+Inputs!$B$34/100)),MAX(0,Inputs!$B$43-((R3045-1)*Skills!D16))))/Inputs!$B$43),IF(Inputs!$B$38="pvp",MIN((Skills!T16*(1+Inputs!$B$34/100)),15)/15,(Skills!T16*(1+Inputs!$B$34/100))/Skills!D16))+(C3046=TRUE)*30</f>
        <v/>
      </c>
    </row>
    <row r="3068">
      <c r="A3068" t="inlineStr">
        <is>
          <t>Global Final Damage Bonus % (Mortal Blow)</t>
        </is>
      </c>
      <c r="B3068">
        <f>(C3047=TRUE)*F3047</f>
        <v/>
      </c>
    </row>
    <row r="3069">
      <c r="A3069" t="inlineStr">
        <is>
          <t>Buff-Casting Startup Delay (s, fixed-duration only)</t>
        </is>
      </c>
      <c r="B3069">
        <f>IF(AND(Inputs!$B$38&lt;&gt;"pvp",Inputs!$B$43&gt;0),SUMPRODUCT((Skills!T2:T30&gt;0)*(Skills!E2:E30=TRUE)*(C3031:C3059=TRUE))/B3064,0)</f>
        <v/>
      </c>
    </row>
    <row r="3070">
      <c r="A3070" t="inlineStr">
        <is>
          <t>Boss-Only Total DPS (this block's swept value)</t>
        </is>
      </c>
      <c r="B3070">
        <f>SUM(T3031:T3059)</f>
        <v/>
      </c>
    </row>
    <row r="3071">
      <c r="A3071" t="inlineStr">
        <is>
          <t>Normal-Only Total DPS (this block's swept value)</t>
        </is>
      </c>
      <c r="B3071">
        <f>SUM(V3031:V3059)</f>
        <v/>
      </c>
    </row>
    <row r="3072">
      <c r="A3072" s="6" t="inlineStr">
        <is>
          <t>TOTAL DPS</t>
        </is>
      </c>
      <c r="B3072" s="6">
        <f>SUM(O3031:O3059)</f>
        <v/>
      </c>
    </row>
    <row r="3075">
      <c r="A3075" s="6" t="inlineStr">
        <is>
          <t>Stat: CDR = 2.0s</t>
        </is>
      </c>
    </row>
    <row r="3076">
      <c r="A3076" s="5" t="inlineStr">
        <is>
          <t>Key</t>
        </is>
      </c>
      <c r="B3076" s="5" t="inlineStr">
        <is>
          <t>Name</t>
        </is>
      </c>
      <c r="C3076" s="5" t="inlineStr">
        <is>
          <t>Unlocked</t>
        </is>
      </c>
      <c r="D3076" s="5" t="inlineStr">
        <is>
          <t>InputLevel</t>
        </is>
      </c>
      <c r="E3076" s="5" t="inlineStr">
        <is>
          <t>Factor</t>
        </is>
      </c>
      <c r="F3076" s="5" t="inlineStr">
        <is>
          <t>CoefficientPercent</t>
        </is>
      </c>
      <c r="G3076" s="5" t="inlineStr">
        <is>
          <t>EffectiveHits</t>
        </is>
      </c>
      <c r="H3076" s="5" t="inlineStr">
        <is>
          <t>ProcProbability</t>
        </is>
      </c>
      <c r="I3076" s="5" t="inlineStr">
        <is>
          <t>MapleHeroMultiplier</t>
        </is>
      </c>
      <c r="J3076" s="5" t="inlineStr">
        <is>
          <t>BaseDamage</t>
        </is>
      </c>
      <c r="K3076" s="5" t="inlineStr">
        <is>
          <t>BaseHitDamage</t>
        </is>
      </c>
      <c r="L3076" s="5" t="inlineStr">
        <is>
          <t>NonCritAvg</t>
        </is>
      </c>
      <c r="M3076" s="5" t="inlineStr">
        <is>
          <t>CritAvg</t>
        </is>
      </c>
      <c r="N3076" s="5" t="inlineStr">
        <is>
          <t>ExpectedDamage(perHit)</t>
        </is>
      </c>
      <c r="O3076" s="5" t="inlineStr">
        <is>
          <t>DPS</t>
        </is>
      </c>
      <c r="P3076" s="5" t="inlineStr">
        <is>
          <t>% of Total</t>
        </is>
      </c>
      <c r="Q3076" s="5" t="inlineStr">
        <is>
          <t>InvCooldown</t>
        </is>
      </c>
      <c r="R3076" s="5" t="inlineStr">
        <is>
          <t>CastsInFight</t>
        </is>
      </c>
      <c r="S3076" s="5" t="inlineStr">
        <is>
          <t>HitRate(perSec)</t>
        </is>
      </c>
      <c r="U3076" t="inlineStr">
        <is>
          <t>helpers</t>
        </is>
      </c>
    </row>
    <row r="3077">
      <c r="A3077">
        <f>Skills!A2</f>
        <v/>
      </c>
      <c r="B3077">
        <f>Skills!B2</f>
        <v/>
      </c>
      <c r="C3077">
        <f>Inputs!$B$3&gt;=100</f>
        <v/>
      </c>
      <c r="D3077" t="inlineStr"/>
      <c r="E3077" t="inlineStr"/>
      <c r="F3077">
        <f>U3079+Skills!O2</f>
        <v/>
      </c>
      <c r="G3077">
        <f>Skills!G2*IF(Skills!H2&gt;0,Skills!I2/Skills!H2,1)</f>
        <v/>
      </c>
      <c r="H3077">
        <f>1-(1-Skills!J2/100)^Skills!K2</f>
        <v/>
      </c>
      <c r="I3077" t="inlineStr">
        <is>
          <t>1</t>
        </is>
      </c>
      <c r="J3077">
        <f>((Inputs!$B$6*(1+Inputs!$B$7/100))+(((Inputs!$B$12*(1+Inputs!$B$13/100))-(Inputs!$B$12*(1+Inputs!$B$13/100)))+0.25*(Inputs!$B$14-Inputs!$B$14))*(1+Inputs!$B$7/100))*(F3077/100)</f>
        <v/>
      </c>
      <c r="K3077">
        <f>J3077*(1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3099=TRUE)*(F3099-Calc!F24)),(Inputs!$B$23+((C3104=TRUE)*(F3104-Calc!F29))+(IF(ArtifactsInput!$M$15,CHOOSE(ArtifactsInput!$N$15+1,25,30,35,40,45,50)/100*(Inputs!$B$11-Inputs!$B$11),0))))/100+(Inputs!$B$23+((C3104=TRUE)*(F3104-Calc!F29))+(IF(ArtifactsInput!$M$15,CHOOSE(ArtifactsInput!$N$15+1,25,30,35,40,45,50)/100*(Inputs!$B$11-Inputs!$B$11),0)))/100)/2</f>
        <v/>
      </c>
      <c r="M3077">
        <f>L3077*(1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IF(B3118=0,0,O3077/B3118)</f>
        <v/>
      </c>
      <c r="Q3077" t="n">
        <v>0</v>
      </c>
      <c r="R3077" t="n">
        <v>0</v>
      </c>
      <c r="S3077">
        <f>IFERROR(O3077/N3077,0)</f>
        <v/>
      </c>
      <c r="T3077">
        <f>IF(C3077,(Skills!G2*N3077*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3077*(1-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7">
        <f>MAX(0,(Inputs!$B$3-100)*3)+Inputs!$B$28+Inputs!$B$29</f>
        <v/>
      </c>
      <c r="V3077">
        <f>IF(C3077,(Skills!G2*N3077*B3112)*IF(Inputs!$B$38="pvp",1,(1+(Inputs!$B$21+Skills!Q2+(IF(ArtifactsInput!$M$33,CHOOSE(ArtifactsInput!$N$33+1,30,36,42,48,54,60),0))+(IF(AND(ArtifactsInput!$M$35,Inputs!$B$4&lt;&gt;"Chapter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Skills!A3</f>
        <v/>
      </c>
      <c r="B3078">
        <f>Skills!B3</f>
        <v/>
      </c>
      <c r="C3078">
        <f>Inputs!$B$3&gt;=50</f>
        <v/>
      </c>
      <c r="D3078">
        <f>IF(Skills!C3=1,60+Inputs!$B$25+Inputs!$B$29,IF(Skills!C3=2,90+Inputs!$B$26+Inputs!$B$29,IF(Skills!C3=3,120+Inputs!$B$27+Inputs!$B$29,MAX(0,(Inputs!$B$3-100)*3)+Inputs!$B$28+Inputs!$B$29)))</f>
        <v/>
      </c>
      <c r="E3078">
        <f>INDEX(FactorTable!$B$2:$Y$301, MATCH(ROUND(MIN(300,MAX(1,D3078)),0), FactorTable!$A$2:$A$301,0), Skills!M3+1)</f>
        <v/>
      </c>
      <c r="F3078">
        <f>IF(Skills!N3=TRUE,(Skills!L3/10)*(E3078/1000),Skills!L3/10)+Skills!O3</f>
        <v/>
      </c>
      <c r="G3078" t="inlineStr"/>
      <c r="H3078" t="inlineStr"/>
      <c r="I3078" t="inlineStr">
        <is>
          <t>1</t>
        </is>
      </c>
      <c r="J3078" t="inlineStr"/>
      <c r="K3078" t="inlineStr"/>
      <c r="L3078" t="inlineStr"/>
      <c r="M3078" t="inlineStr"/>
      <c r="N3078" t="inlineStr"/>
      <c r="O3078" t="inlineStr"/>
      <c r="P3078" t="inlineStr"/>
      <c r="Q3078" t="inlineStr"/>
      <c r="R3078" t="inlineStr"/>
      <c r="S3078" t="inlineStr"/>
      <c r="T3078" t="inlineStr"/>
      <c r="U3078">
        <f>INDEX(FactorTable!$B$2:$Y$301, MATCH(ROUND(MIN(300,MAX(1,U3077)),0), FactorTable!$A$2:$A$301,0), 22)</f>
        <v/>
      </c>
      <c r="V3078" t="inlineStr"/>
    </row>
    <row r="3079">
      <c r="A3079">
        <f>Skills!A4</f>
        <v/>
      </c>
      <c r="B3079">
        <f>Skills!B4</f>
        <v/>
      </c>
      <c r="C3079">
        <f>Inputs!$B$3&gt;=105</f>
        <v/>
      </c>
      <c r="D3079">
        <f>IF(Skills!C4=1,60+Inputs!$B$25+Inputs!$B$29,IF(Skills!C4=2,90+Inputs!$B$26+Inputs!$B$29,IF(Skills!C4=3,120+Inputs!$B$27+Inputs!$B$29,MAX(0,(Inputs!$B$3-100)*3)+Inputs!$B$28+Inputs!$B$29)))</f>
        <v/>
      </c>
      <c r="E3079">
        <f>INDEX(FactorTable!$B$2:$Y$301, MATCH(ROUND(MIN(300,MAX(1,D3079)),0), FactorTable!$A$2:$A$301,0), Skills!M4+1)</f>
        <v/>
      </c>
      <c r="F3079">
        <f>IF(Skills!N4=TRUE,(Skills!L4/10)*(E3079/1000),Skills!L4/10)+Skills!O4</f>
        <v/>
      </c>
      <c r="G3079" t="inlineStr"/>
      <c r="H3079" t="inlineStr"/>
      <c r="I3079" t="inlineStr">
        <is>
          <t>1</t>
        </is>
      </c>
      <c r="J3079" t="inlineStr"/>
      <c r="K3079" t="inlineStr"/>
      <c r="L3079" t="inlineStr"/>
      <c r="M3079" t="inlineStr"/>
      <c r="N3079" t="inlineStr"/>
      <c r="O3079" t="inlineStr"/>
      <c r="P3079" t="inlineStr"/>
      <c r="Q3079" t="inlineStr"/>
      <c r="R3079" t="inlineStr"/>
      <c r="S3079" t="inlineStr"/>
      <c r="T3079" t="inlineStr"/>
      <c r="U3079">
        <f>290*U3078/1000</f>
        <v/>
      </c>
      <c r="V3079" t="inlineStr"/>
    </row>
    <row r="3080">
      <c r="A3080">
        <f>Skills!A5</f>
        <v/>
      </c>
      <c r="B3080">
        <f>Skills!B5</f>
        <v/>
      </c>
      <c r="C3080">
        <f>Inputs!$B$3&gt;=35</f>
        <v/>
      </c>
      <c r="D3080">
        <f>IF(Skills!C5=1,60+Inputs!$B$25+Inputs!$B$29,IF(Skills!C5=2,90+Inputs!$B$26+Inputs!$B$29,IF(Skills!C5=3,120+Inputs!$B$27+Inputs!$B$29,MAX(0,(Inputs!$B$3-100)*3)+Inputs!$B$28+Inputs!$B$29)))</f>
        <v/>
      </c>
      <c r="E3080">
        <f>INDEX(FactorTable!$B$2:$Y$301, MATCH(ROUND(MIN(300,MAX(1,D3080)),0), FactorTable!$A$2:$A$301,0), Skills!M5+1)</f>
        <v/>
      </c>
      <c r="F3080">
        <f>IF(Skills!N5=TRUE,(Skills!L5/10)*(E3080/1000),Skills!L5/10)+Skills!O5</f>
        <v/>
      </c>
      <c r="G3080">
        <f>Skills!G5*IF(Skills!H5&gt;0,Skills!I5/Skills!H5,1)</f>
        <v/>
      </c>
      <c r="H3080">
        <f>1-(1-Skills!J5/100)^Skills!K5</f>
        <v/>
      </c>
      <c r="I3080" t="inlineStr">
        <is>
          <t>1</t>
        </is>
      </c>
      <c r="J3080">
        <f>((Inputs!$B$6*(1+Inputs!$B$7/100))+(((Inputs!$B$12*(1+Inputs!$B$13/100))-(Inputs!$B$12*(1+Inputs!$B$13/100)))+0.25*(Inputs!$B$14-Inputs!$B$14))*(1+Inputs!$B$7/100))*(F3080/100)</f>
        <v/>
      </c>
      <c r="K3080">
        <f>J3080*(1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3085=TRUE,F3085,0)/100)*(1+(IF(Skills!A5="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24)),(Inputs!$B$23+((C3104=TRUE)*(F3104-Calc!F29))+(IF(ArtifactsInput!$M$15,CHOOSE(ArtifactsInput!$N$15+1,25,30,35,40,45,50)/100*(Inputs!$B$11-Inputs!$B$11),0))))/100+(Inputs!$B$23+((C3104=TRUE)*(F3104-Calc!F29))+(IF(ArtifactsInput!$M$15,CHOOSE(ArtifactsInput!$N$15+1,25,30,35,40,45,50)/100*(Inputs!$B$11-Inputs!$B$11),0)))/100)/2</f>
        <v/>
      </c>
      <c r="M3080">
        <f>L3080*(1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IFERROR(1/(IF(Inputs!$B$38="pvp",15,MAX(0.1,Skills!D5-IF(Skills!E5=TRUE,2.0,0)))*(1-IF(AND(ArtifactsInput!$M$27,Inputs!$B$4="Chapter Hunt"),CHOOSE(ArtifactsInput!$N$27+1,20,24,28,32,36,40),0)/100)),0)</f>
        <v/>
      </c>
      <c r="R3080">
        <f>IF(AND(Inputs!$B$38&lt;&gt;"pvp",Inputs!$B$43&gt;0),IF(MAX(0,Inputs!$B$43-B3115)&lt;=0,0,(INT(MAX(0,Inputs!$B$43-B3115)/(IF(Inputs!$B$38="pvp",15,MAX(0.1,Skills!D5-IF(Skills!E5=TRUE,2.0,0)))*(1-IF(AND(ArtifactsInput!$M$27,Inputs!$B$4="Chapter Hunt"),CHOOSE(ArtifactsInput!$N$27+1,20,24,28,32,36,40),0)/100)))+1)),0)</f>
        <v/>
      </c>
      <c r="S3080">
        <f>IFERROR(O3080/N3080,0)</f>
        <v/>
      </c>
      <c r="T3080">
        <f>IF(C3080,(H3080*N3080*IF(AND(Inputs!$B$38&lt;&gt;"pvp",Inputs!$B$43&gt;0),((Skills!G5*((R3080-1)*IF(Skills!H5&gt;0,Skills!I5/Skills!H5,1)+IF(Skills!H5&gt;0,MIN(Skills!I5,MAX(0,MAX(0,Inputs!$B$43-B3115)-((R3080-1)*(IF(Inputs!$B$38="pvp",15,MAX(0.1,Skills!D5-IF(Skills!E5=TRUE,2.0,0)))*(1-IF(AND(ArtifactsInput!$M$27,Inputs!$B$4="Chapter Hunt"),CHOOSE(ArtifactsInput!$N$27+1,20,24,28,32,36,40),0)/100)))))/Skills!H5,1)))/Inputs!$B$43),G3080*Q3080)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3080*(1-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0">
        <f>IF(C3080,(H3080*N3080*IF(AND(Inputs!$B$38&lt;&gt;"pvp",Inputs!$B$43&gt;0),((Skills!G5*((R3080-1)*IF(Skills!H5&gt;0,Skills!I5/Skills!H5,1)+IF(Skills!H5&gt;0,MIN(Skills!I5,MAX(0,MAX(0,Inputs!$B$43-B3115)-((R3080-1)*(IF(Inputs!$B$38="pvp",15,MAX(0.1,Skills!D5-IF(Skills!E5=TRUE,2.0,0)))*(1-IF(AND(ArtifactsInput!$M$27,Inputs!$B$4="Chapter Hunt"),CHOOSE(ArtifactsInput!$N$27+1,20,24,28,32,36,40),0)/100)))))/Skills!H5,1)))/Inputs!$B$43),G3080*Q3080))*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Skills!A6</f>
        <v/>
      </c>
      <c r="B3081">
        <f>Skills!B6</f>
        <v/>
      </c>
      <c r="C3081">
        <f>Inputs!$B$3&gt;=40</f>
        <v/>
      </c>
      <c r="D3081">
        <f>IF(Skills!C6=1,60+Inputs!$B$25+Inputs!$B$29,IF(Skills!C6=2,90+Inputs!$B$26+Inputs!$B$29,IF(Skills!C6=3,120+Inputs!$B$27+Inputs!$B$29,MAX(0,(Inputs!$B$3-100)*3)+Inputs!$B$28+Inputs!$B$29)))</f>
        <v/>
      </c>
      <c r="E3081">
        <f>INDEX(FactorTable!$B$2:$Y$301, MATCH(ROUND(MIN(300,MAX(1,D3081)),0), FactorTable!$A$2:$A$301,0), Skills!M6+1)</f>
        <v/>
      </c>
      <c r="F3081">
        <f>IF(Skills!N6=TRUE,(Skills!L6/10)*(E3081/1000),Skills!L6/10)+Skills!O6</f>
        <v/>
      </c>
      <c r="G3081">
        <f>Skills!G6*IF(Skills!H6&gt;0,Skills!I6/Skills!H6,1)</f>
        <v/>
      </c>
      <c r="H3081">
        <f>1-(1-Skills!J6/100)^Skills!K6</f>
        <v/>
      </c>
      <c r="I3081" t="inlineStr">
        <is>
          <t>1</t>
        </is>
      </c>
      <c r="J3081">
        <f>((Inputs!$B$6*(1+Inputs!$B$7/100))+(((Inputs!$B$12*(1+Inputs!$B$13/100))-(Inputs!$B$12*(1+Inputs!$B$13/100)))+0.25*(Inputs!$B$14-Inputs!$B$14))*(1+Inputs!$B$7/100))*(F3081/100)</f>
        <v/>
      </c>
      <c r="K3081">
        <f>J3081*(1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3082=TRUE,F3082,0)/100)*(1+(IF(Skills!A6="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24)),(Inputs!$B$23+((C3104=TRUE)*(F3104-Calc!F29))+(IF(ArtifactsInput!$M$15,CHOOSE(ArtifactsInput!$N$15+1,25,30,35,40,45,50)/100*(Inputs!$B$11-Inputs!$B$11),0))))/100+(Inputs!$B$23+((C3104=TRUE)*(F3104-Calc!F29))+(IF(ArtifactsInput!$M$15,CHOOSE(ArtifactsInput!$N$15+1,25,30,35,40,45,50)/100*(Inputs!$B$11-Inputs!$B$11),0)))/100)/2</f>
        <v/>
      </c>
      <c r="M3081">
        <f>L3081*(1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IFERROR(1/(IF(Inputs!$B$38="pvp",15,MAX(0.1,Skills!D6-IF(Skills!E6=TRUE,2.0,0)))*(1-IF(AND(ArtifactsInput!$M$27,Inputs!$B$4="Chapter Hunt"),CHOOSE(ArtifactsInput!$N$27+1,20,24,28,32,36,40),0)/100)),0)</f>
        <v/>
      </c>
      <c r="R3081">
        <f>IF(AND(Inputs!$B$38&lt;&gt;"pvp",Inputs!$B$43&gt;0),IF(MAX(0,Inputs!$B$43-B3115)&lt;=0,0,(INT(MAX(0,Inputs!$B$43-B3115)/(IF(Inputs!$B$38="pvp",15,MAX(0.1,Skills!D6-IF(Skills!E6=TRUE,2.0,0)))*(1-IF(AND(ArtifactsInput!$M$27,Inputs!$B$4="Chapter Hunt"),CHOOSE(ArtifactsInput!$N$27+1,20,24,28,32,36,40),0)/100)))+1)),0)</f>
        <v/>
      </c>
      <c r="S3081">
        <f>IFERROR(O3081/N3081,0)</f>
        <v/>
      </c>
      <c r="T3081">
        <f>IF(C3081,(H3081*N3081*IF(AND(Inputs!$B$38&lt;&gt;"pvp",Inputs!$B$43&gt;0),((Skills!G6*((R3081-1)*IF(Skills!H6&gt;0,Skills!I6/Skills!H6,1)+IF(Skills!H6&gt;0,MIN(Skills!I6,MAX(0,MAX(0,Inputs!$B$43-B3115)-((R3081-1)*(IF(Inputs!$B$38="pvp",15,MAX(0.1,Skills!D6-IF(Skills!E6=TRUE,2.0,0)))*(1-IF(AND(ArtifactsInput!$M$27,Inputs!$B$4="Chapter Hunt"),CHOOSE(ArtifactsInput!$N$27+1,20,24,28,32,36,40),0)/100)))))/Skills!H6,1)))/Inputs!$B$43),G3081*Q3081)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3081*(1-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1">
        <f>IF(C3081,(H3081*N3081*IF(AND(Inputs!$B$38&lt;&gt;"pvp",Inputs!$B$43&gt;0),((Skills!G6*((R3081-1)*IF(Skills!H6&gt;0,Skills!I6/Skills!H6,1)+IF(Skills!H6&gt;0,MIN(Skills!I6,MAX(0,MAX(0,Inputs!$B$43-B3115)-((R3081-1)*(IF(Inputs!$B$38="pvp",15,MAX(0.1,Skills!D6-IF(Skills!E6=TRUE,2.0,0)))*(1-IF(AND(ArtifactsInput!$M$27,Inputs!$B$4="Chapter Hunt"),CHOOSE(ArtifactsInput!$N$27+1,20,24,28,32,36,40),0)/100)))))/Skills!H6,1)))/Inputs!$B$43),G3081*Q3081))*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Skills!A7</f>
        <v/>
      </c>
      <c r="B3082">
        <f>Skills!B7</f>
        <v/>
      </c>
      <c r="C3082">
        <f>Inputs!$B$3&gt;=107</f>
        <v/>
      </c>
      <c r="D3082">
        <f>IF(Skills!C7=1,60+Inputs!$B$25+Inputs!$B$29,IF(Skills!C7=2,90+Inputs!$B$26+Inputs!$B$29,IF(Skills!C7=3,120+Inputs!$B$27+Inputs!$B$29,MAX(0,(Inputs!$B$3-100)*3)+Inputs!$B$28+Inputs!$B$29)))</f>
        <v/>
      </c>
      <c r="E3082">
        <f>INDEX(FactorTable!$B$2:$Y$301, MATCH(ROUND(MIN(300,MAX(1,D3082)),0), FactorTable!$A$2:$A$301,0), Skills!M7+1)</f>
        <v/>
      </c>
      <c r="F3082">
        <f>IF(Skills!N7=TRUE,(Skills!L7/10)*(E3082/1000),Skills!L7/10)+Skills!O7</f>
        <v/>
      </c>
      <c r="G3082" t="inlineStr"/>
      <c r="H3082" t="inlineStr"/>
      <c r="I3082" t="inlineStr">
        <is>
          <t>1</t>
        </is>
      </c>
      <c r="J3082" t="inlineStr"/>
      <c r="K3082" t="inlineStr"/>
      <c r="L3082" t="inlineStr"/>
      <c r="M3082" t="inlineStr"/>
      <c r="N3082" t="inlineStr"/>
      <c r="O3082" t="inlineStr"/>
      <c r="P3082" t="inlineStr"/>
      <c r="Q3082" t="inlineStr"/>
      <c r="R3082" t="inlineStr"/>
      <c r="S3082" t="inlineStr"/>
      <c r="T3082" t="inlineStr"/>
      <c r="V3082" t="inlineStr"/>
    </row>
    <row r="3083">
      <c r="A3083">
        <f>Skills!A8</f>
        <v/>
      </c>
      <c r="B3083">
        <f>Skills!B8</f>
        <v/>
      </c>
      <c r="C3083">
        <f>Inputs!$B$3&gt;=69</f>
        <v/>
      </c>
      <c r="D3083">
        <f>IF(Skills!C8=1,60+Inputs!$B$25+Inputs!$B$29,IF(Skills!C8=2,90+Inputs!$B$26+Inputs!$B$29,IF(Skills!C8=3,120+Inputs!$B$27+Inputs!$B$29,MAX(0,(Inputs!$B$3-100)*3)+Inputs!$B$28+Inputs!$B$29)))</f>
        <v/>
      </c>
      <c r="E3083">
        <f>INDEX(FactorTable!$B$2:$Y$301, MATCH(ROUND(MIN(300,MAX(1,D3083)),0), FactorTable!$A$2:$A$301,0), Skills!M8+1)</f>
        <v/>
      </c>
      <c r="F3083">
        <f>IF(Skills!N8=TRUE,(Skills!L8/10)*(E3083/1000),Skills!L8/10)+Skills!O8</f>
        <v/>
      </c>
      <c r="G3083">
        <f>Skills!G8*IF(Skills!H8&gt;0,Skills!I8/Skills!H8,1)</f>
        <v/>
      </c>
      <c r="H3083">
        <f>1-(1-Skills!J8/100)^Skills!K8</f>
        <v/>
      </c>
      <c r="I3083" t="inlineStr">
        <is>
          <t>1</t>
        </is>
      </c>
      <c r="J3083">
        <f>((Inputs!$B$6*(1+Inputs!$B$7/100))+(((Inputs!$B$12*(1+Inputs!$B$13/100))-(Inputs!$B$12*(1+Inputs!$B$13/100)))+0.25*(Inputs!$B$14-Inputs!$B$14))*(1+Inputs!$B$7/100))*(F3083/100)</f>
        <v/>
      </c>
      <c r="K3083">
        <f>J3083*(1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3085=TRUE,F3085,0)/100)*(1+(IF(Skills!A8="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24)),(Inputs!$B$23+((C3104=TRUE)*(F3104-Calc!F29))+(IF(ArtifactsInput!$M$15,CHOOSE(ArtifactsInput!$N$15+1,25,30,35,40,45,50)/100*(Inputs!$B$11-Inputs!$B$11),0))))/100+(Inputs!$B$23+((C3104=TRUE)*(F3104-Calc!F29))+(IF(ArtifactsInput!$M$15,CHOOSE(ArtifactsInput!$N$15+1,25,30,35,40,45,50)/100*(Inputs!$B$11-Inputs!$B$11),0)))/100)/2</f>
        <v/>
      </c>
      <c r="M3083">
        <f>L3083*(1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IFERROR(1/(IF(Inputs!$B$38="pvp",15,MAX(0.1,Skills!D8-IF(Skills!E8=TRUE,2.0,0)))*(1-IF(AND(ArtifactsInput!$M$27,Inputs!$B$4="Chapter Hunt"),CHOOSE(ArtifactsInput!$N$27+1,20,24,28,32,36,40),0)/100)),0)</f>
        <v/>
      </c>
      <c r="R3083">
        <f>IF(AND(Inputs!$B$38&lt;&gt;"pvp",Inputs!$B$43&gt;0),IF(MAX(0,Inputs!$B$43-B3115)&lt;=0,0,(INT(MAX(0,Inputs!$B$43-B3115)/(IF(Inputs!$B$38="pvp",15,MAX(0.1,Skills!D8-IF(Skills!E8=TRUE,2.0,0)))*(1-IF(AND(ArtifactsInput!$M$27,Inputs!$B$4="Chapter Hunt"),CHOOSE(ArtifactsInput!$N$27+1,20,24,28,32,36,40),0)/100)))+1)),0)</f>
        <v/>
      </c>
      <c r="S3083">
        <f>IFERROR(O3083/N3083,0)</f>
        <v/>
      </c>
      <c r="T3083">
        <f>IF(C3083,(H3083*N3083*IF(AND(Inputs!$B$38&lt;&gt;"pvp",Inputs!$B$43&gt;0),((Skills!G8*((R3083-1)*IF(Skills!H8&gt;0,Skills!I8/Skills!H8,1)+IF(Skills!H8&gt;0,MIN(Skills!I8,MAX(0,MAX(0,Inputs!$B$43-B3115)-((R3083-1)*(IF(Inputs!$B$38="pvp",15,MAX(0.1,Skills!D8-IF(Skills!E8=TRUE,2.0,0)))*(1-IF(AND(ArtifactsInput!$M$27,Inputs!$B$4="Chapter Hunt"),CHOOSE(ArtifactsInput!$N$27+1,20,24,28,32,36,40),0)/100)))))/Skills!H8,1)))/Inputs!$B$43),G3083*Q3083)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3083*(1-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8*((R3083-1)*IF(Skills!H8&gt;0,Skills!I8/Skills!H8,1)+IF(Skills!H8&gt;0,MIN(Skills!I8,MAX(0,MAX(0,Inputs!$B$43-B3115)-((R3083-1)*(IF(Inputs!$B$38="pvp",15,MAX(0.1,Skills!D8-IF(Skills!E8=TRUE,2.0,0)))*(1-IF(AND(ArtifactsInput!$M$27,Inputs!$B$4="Chapter Hunt"),CHOOSE(ArtifactsInput!$N$27+1,20,24,28,32,36,40),0)/100)))))/Skills!H8,1)))/Inputs!$B$43),G3083*Q3083))*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Skills!A9</f>
        <v/>
      </c>
      <c r="B3084">
        <f>Skills!B9</f>
        <v/>
      </c>
      <c r="C3084">
        <f>Inputs!$B$3&gt;=63</f>
        <v/>
      </c>
      <c r="D3084">
        <f>IF(Skills!C9=1,60+Inputs!$B$25+Inputs!$B$29,IF(Skills!C9=2,90+Inputs!$B$26+Inputs!$B$29,IF(Skills!C9=3,120+Inputs!$B$27+Inputs!$B$29,MAX(0,(Inputs!$B$3-100)*3)+Inputs!$B$28+Inputs!$B$29)))</f>
        <v/>
      </c>
      <c r="E3084">
        <f>INDEX(FactorTable!$B$2:$Y$301, MATCH(ROUND(MIN(300,MAX(1,D3084)),0), FactorTable!$A$2:$A$301,0), Skills!M9+1)</f>
        <v/>
      </c>
      <c r="F3084">
        <f>IF(Skills!N9=TRUE,(Skills!L9/10)*(E3084/1000),Skills!L9/10)+Skills!O9</f>
        <v/>
      </c>
      <c r="G3084">
        <f>Skills!G9*IF(Skills!H9&gt;0,Skills!I9/Skills!H9,1)</f>
        <v/>
      </c>
      <c r="H3084">
        <f>1-(1-Skills!J9/100)^Skills!K9</f>
        <v/>
      </c>
      <c r="I3084" t="inlineStr">
        <is>
          <t>1</t>
        </is>
      </c>
      <c r="J3084">
        <f>((Inputs!$B$6*(1+Inputs!$B$7/100))+(((Inputs!$B$12*(1+Inputs!$B$13/100))-(Inputs!$B$12*(1+Inputs!$B$13/100)))+0.25*(Inputs!$B$14-Inputs!$B$14))*(1+Inputs!$B$7/100))*(F3084/100)</f>
        <v/>
      </c>
      <c r="K3084">
        <f>J3084*(1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3085=TRUE,F3085,0)/100)*(1+(IF(Skills!A9="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24)),(Inputs!$B$23+((C3104=TRUE)*(F3104-Calc!F29))+(IF(ArtifactsInput!$M$15,CHOOSE(ArtifactsInput!$N$15+1,25,30,35,40,45,50)/100*(Inputs!$B$11-Inputs!$B$11),0))))/100+(Inputs!$B$23+((C3104=TRUE)*(F3104-Calc!F29))+(IF(ArtifactsInput!$M$15,CHOOSE(ArtifactsInput!$N$15+1,25,30,35,40,45,50)/100*(Inputs!$B$11-Inputs!$B$11),0)))/100)/2</f>
        <v/>
      </c>
      <c r="M3084">
        <f>L3084*(1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IFERROR(1/(IF(Inputs!$B$38="pvp",15,MAX(0.1,Skills!D9-IF(Skills!E9=TRUE,2.0,0)))*(1-IF(AND(ArtifactsInput!$M$27,Inputs!$B$4="Chapter Hunt"),CHOOSE(ArtifactsInput!$N$27+1,20,24,28,32,36,40),0)/100)),0)</f>
        <v/>
      </c>
      <c r="R3084">
        <f>IF(AND(Inputs!$B$38&lt;&gt;"pvp",Inputs!$B$43&gt;0),IF(MAX(0,Inputs!$B$43-B3115)&lt;=0,0,(INT(MAX(0,Inputs!$B$43-B3115)/(IF(Inputs!$B$38="pvp",15,MAX(0.1,Skills!D9-IF(Skills!E9=TRUE,2.0,0)))*(1-IF(AND(ArtifactsInput!$M$27,Inputs!$B$4="Chapter Hunt"),CHOOSE(ArtifactsInput!$N$27+1,20,24,28,32,36,40),0)/100)))+1)),0)</f>
        <v/>
      </c>
      <c r="S3084">
        <f>IFERROR(O3084/N3084,0)</f>
        <v/>
      </c>
      <c r="T3084">
        <f>IF(C3084,(H3084*N3084*IF(AND(Inputs!$B$38&lt;&gt;"pvp",Inputs!$B$43&gt;0),((Skills!G9*((R3084-1)*IF(Skills!H9&gt;0,Skills!I9/Skills!H9,1)+IF(Skills!H9&gt;0,MIN(Skills!I9,MAX(0,MAX(0,Inputs!$B$43-B3115)-((R3084-1)*(IF(Inputs!$B$38="pvp",15,MAX(0.1,Skills!D9-IF(Skills!E9=TRUE,2.0,0)))*(1-IF(AND(ArtifactsInput!$M$27,Inputs!$B$4="Chapter Hunt"),CHOOSE(ArtifactsInput!$N$27+1,20,24,28,32,36,40),0)/100)))))/Skills!H9,1)))/Inputs!$B$43),G3084*Q3084)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3084*(1-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9*((R3084-1)*IF(Skills!H9&gt;0,Skills!I9/Skills!H9,1)+IF(Skills!H9&gt;0,MIN(Skills!I9,MAX(0,MAX(0,Inputs!$B$43-B3115)-((R3084-1)*(IF(Inputs!$B$38="pvp",15,MAX(0.1,Skills!D9-IF(Skills!E9=TRUE,2.0,0)))*(1-IF(AND(ArtifactsInput!$M$27,Inputs!$B$4="Chapter Hunt"),CHOOSE(ArtifactsInput!$N$27+1,20,24,28,32,36,40),0)/100)))))/Skills!H9,1)))/Inputs!$B$43),G3084*Q3084))*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Skills!A10</f>
        <v/>
      </c>
      <c r="B3085">
        <f>Skills!B10</f>
        <v/>
      </c>
      <c r="C3085">
        <f>Inputs!$B$3&gt;=100</f>
        <v/>
      </c>
      <c r="D3085">
        <f>IF(Skills!C10=1,60+Inputs!$B$25+Inputs!$B$29,IF(Skills!C10=2,90+Inputs!$B$26+Inputs!$B$29,IF(Skills!C10=3,120+Inputs!$B$27+Inputs!$B$29,MAX(0,(Inputs!$B$3-100)*3)+Inputs!$B$28+Inputs!$B$29)))</f>
        <v/>
      </c>
      <c r="E3085">
        <f>INDEX(FactorTable!$B$2:$Y$301, MATCH(ROUND(MIN(300,MAX(1,D3085)),0), FactorTable!$A$2:$A$301,0), Skills!M10+1)</f>
        <v/>
      </c>
      <c r="F3085">
        <f>IF(Skills!N10=TRUE,(Skills!L10/10)*(E3085/1000),Skills!L10/10)+Skills!O10</f>
        <v/>
      </c>
      <c r="G3085" t="inlineStr"/>
      <c r="H3085" t="inlineStr"/>
      <c r="I3085" t="inlineStr">
        <is>
          <t>1</t>
        </is>
      </c>
      <c r="J3085" t="inlineStr"/>
      <c r="K3085" t="inlineStr"/>
      <c r="L3085" t="inlineStr"/>
      <c r="M3085" t="inlineStr"/>
      <c r="N3085" t="inlineStr"/>
      <c r="O3085" t="inlineStr"/>
      <c r="P3085" t="inlineStr"/>
      <c r="Q3085" t="inlineStr"/>
      <c r="R3085" t="inlineStr"/>
      <c r="S3085" t="inlineStr"/>
      <c r="T3085" t="inlineStr"/>
      <c r="V3085" t="inlineStr"/>
    </row>
    <row r="3086">
      <c r="A3086">
        <f>Skills!A11</f>
        <v/>
      </c>
      <c r="B3086">
        <f>Skills!B11</f>
        <v/>
      </c>
      <c r="C3086">
        <f>Inputs!$B$3&gt;=60</f>
        <v/>
      </c>
      <c r="D3086">
        <f>IF(Skills!C11=1,60+Inputs!$B$25+Inputs!$B$29,IF(Skills!C11=2,90+Inputs!$B$26+Inputs!$B$29,IF(Skills!C11=3,120+Inputs!$B$27+Inputs!$B$29,MAX(0,(Inputs!$B$3-100)*3)+Inputs!$B$28+Inputs!$B$29)))</f>
        <v/>
      </c>
      <c r="E3086">
        <f>INDEX(FactorTable!$B$2:$Y$301, MATCH(ROUND(MIN(300,MAX(1,D3086)),0), FactorTable!$A$2:$A$301,0), Skills!M11+1)</f>
        <v/>
      </c>
      <c r="F3086">
        <f>IF(Skills!N11=TRUE,(Skills!L11/10)*(E3086/1000),Skills!L11/10)+Skills!O11</f>
        <v/>
      </c>
      <c r="G3086">
        <f>Skills!G11*IF(Skills!H11&gt;0,Skills!I11/Skills!H11,1)</f>
        <v/>
      </c>
      <c r="H3086">
        <f>1-(1-Skills!J11/100)^Skills!K11</f>
        <v/>
      </c>
      <c r="I3086" t="inlineStr">
        <is>
          <t>1</t>
        </is>
      </c>
      <c r="J3086">
        <f>((Inputs!$B$6*(1+Inputs!$B$7/100))+(((Inputs!$B$12*(1+Inputs!$B$13/100))-(Inputs!$B$12*(1+Inputs!$B$13/100)))+0.25*(Inputs!$B$14-Inputs!$B$14))*(1+Inputs!$B$7/100))*(F3086/100)</f>
        <v/>
      </c>
      <c r="K3086">
        <f>J3086*(1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3087=TRUE,F3087,0)/100)*(1+(IF(Skills!A11="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24)),(Inputs!$B$23+((C3104=TRUE)*(F3104-Calc!F29))+(IF(ArtifactsInput!$M$15,CHOOSE(ArtifactsInput!$N$15+1,25,30,35,40,45,50)/100*(Inputs!$B$11-Inputs!$B$11),0))))/100+(Inputs!$B$23+((C3104=TRUE)*(F3104-Calc!F29))+(IF(ArtifactsInput!$M$15,CHOOSE(ArtifactsInput!$N$15+1,25,30,35,40,45,50)/100*(Inputs!$B$11-Inputs!$B$11),0)))/100)/2</f>
        <v/>
      </c>
      <c r="M3086">
        <f>L3086*(1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IFERROR(1/(IF(Inputs!$B$38="pvp",15,MAX(0.1,Skills!D11-IF(Skills!E11=TRUE,2.0,0)))*(1-IF(AND(ArtifactsInput!$M$27,Inputs!$B$4="Chapter Hunt"),CHOOSE(ArtifactsInput!$N$27+1,20,24,28,32,36,40),0)/100)),0)</f>
        <v/>
      </c>
      <c r="R3086">
        <f>IF(AND(Inputs!$B$38&lt;&gt;"pvp",Inputs!$B$43&gt;0),IF(MAX(0,Inputs!$B$43-B3115)&lt;=0,0,(INT(MAX(0,Inputs!$B$43-B3115)/(IF(Inputs!$B$38="pvp",15,MAX(0.1,Skills!D11-IF(Skills!E11=TRUE,2.0,0)))*(1-IF(AND(ArtifactsInput!$M$27,Inputs!$B$4="Chapter Hunt"),CHOOSE(ArtifactsInput!$N$27+1,20,24,28,32,36,40),0)/100)))+1)),0)</f>
        <v/>
      </c>
      <c r="S3086">
        <f>IFERROR(O3086/N3086,0)</f>
        <v/>
      </c>
      <c r="T3086">
        <f>IF(C3086,(H3086*N3086*IF(AND(Inputs!$B$38&lt;&gt;"pvp",Inputs!$B$43&gt;0),((Skills!G11*((R3086-1)*IF(Skills!H11&gt;0,Skills!I11/Skills!H11,1)+IF(Skills!H11&gt;0,MIN(Skills!I11,MAX(0,MAX(0,Inputs!$B$43-B3115)-((R3086-1)*(IF(Inputs!$B$38="pvp",15,MAX(0.1,Skills!D11-IF(Skills!E11=TRUE,2.0,0)))*(1-IF(AND(ArtifactsInput!$M$27,Inputs!$B$4="Chapter Hunt"),CHOOSE(ArtifactsInput!$N$27+1,20,24,28,32,36,40),0)/100)))))/Skills!H11,1)))/Inputs!$B$43),G3086*Q3086)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3086*(1-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11*((R3086-1)*IF(Skills!H11&gt;0,Skills!I11/Skills!H11,1)+IF(Skills!H11&gt;0,MIN(Skills!I11,MAX(0,MAX(0,Inputs!$B$43-B3115)-((R3086-1)*(IF(Inputs!$B$38="pvp",15,MAX(0.1,Skills!D11-IF(Skills!E11=TRUE,2.0,0)))*(1-IF(AND(ArtifactsInput!$M$27,Inputs!$B$4="Chapter Hunt"),CHOOSE(ArtifactsInput!$N$27+1,20,24,28,32,36,40),0)/100)))))/Skills!H11,1)))/Inputs!$B$43),G3086*Q3086))*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Skills!A12</f>
        <v/>
      </c>
      <c r="B3087">
        <f>Skills!B12</f>
        <v/>
      </c>
      <c r="C3087">
        <f>Inputs!$B$3&gt;=110</f>
        <v/>
      </c>
      <c r="D3087">
        <f>IF(Skills!C12=1,60+Inputs!$B$25+Inputs!$B$29,IF(Skills!C12=2,90+Inputs!$B$26+Inputs!$B$29,IF(Skills!C12=3,120+Inputs!$B$27+Inputs!$B$29,MAX(0,(Inputs!$B$3-100)*3)+Inputs!$B$28+Inputs!$B$29)))</f>
        <v/>
      </c>
      <c r="E3087">
        <f>INDEX(FactorTable!$B$2:$Y$301, MATCH(ROUND(MIN(300,MAX(1,D3087)),0), FactorTable!$A$2:$A$301,0), Skills!M12+1)</f>
        <v/>
      </c>
      <c r="F3087">
        <f>IF(Skills!N12=TRUE,(Skills!L12/10)*(E3087/1000),Skills!L12/10)+Skills!O12</f>
        <v/>
      </c>
      <c r="G3087" t="inlineStr"/>
      <c r="H3087" t="inlineStr"/>
      <c r="I3087" t="inlineStr">
        <is>
          <t>1</t>
        </is>
      </c>
      <c r="J3087" t="inlineStr"/>
      <c r="K3087" t="inlineStr"/>
      <c r="L3087" t="inlineStr"/>
      <c r="M3087" t="inlineStr"/>
      <c r="N3087" t="inlineStr"/>
      <c r="O3087" t="inlineStr"/>
      <c r="P3087" t="inlineStr"/>
      <c r="Q3087" t="inlineStr"/>
      <c r="R3087" t="inlineStr"/>
      <c r="S3087" t="inlineStr"/>
      <c r="T3087" t="inlineStr"/>
      <c r="V3087" t="inlineStr"/>
    </row>
    <row r="3088">
      <c r="A3088">
        <f>Skills!A13</f>
        <v/>
      </c>
      <c r="B3088">
        <f>Skills!B13</f>
        <v/>
      </c>
      <c r="C3088">
        <f>Inputs!$B$3&gt;=74</f>
        <v/>
      </c>
      <c r="D3088">
        <f>IF(Skills!C13=1,60+Inputs!$B$25+Inputs!$B$29,IF(Skills!C13=2,90+Inputs!$B$26+Inputs!$B$29,IF(Skills!C13=3,120+Inputs!$B$27+Inputs!$B$29,MAX(0,(Inputs!$B$3-100)*3)+Inputs!$B$28+Inputs!$B$29)))</f>
        <v/>
      </c>
      <c r="E3088">
        <f>INDEX(FactorTable!$B$2:$Y$301, MATCH(ROUND(MIN(300,MAX(1,D3088)),0), FactorTable!$A$2:$A$301,0), Skills!M13+1)</f>
        <v/>
      </c>
      <c r="F3088">
        <f>IF(Skills!N13=TRUE,(Skills!L13/10)*(E3088/1000),Skills!L13/10)+Skills!O13</f>
        <v/>
      </c>
      <c r="G3088">
        <f>Skills!G13*IF(Skills!H13&gt;0,Skills!I13/Skills!H13,1)</f>
        <v/>
      </c>
      <c r="H3088">
        <f>1-(1-Skills!J13/100)^Skills!K13</f>
        <v/>
      </c>
      <c r="I3088" t="inlineStr">
        <is>
          <t>1</t>
        </is>
      </c>
      <c r="J3088" t="inlineStr"/>
      <c r="K3088" t="inlineStr"/>
      <c r="L3088" t="inlineStr"/>
      <c r="M3088" t="inlineStr"/>
      <c r="N3088" t="inlineStr"/>
      <c r="O3088">
        <f>(1-Summary!$B$11)*T3088+Summary!$B$11*V3088</f>
        <v/>
      </c>
      <c r="P3088">
        <f>IF(B3118=0,0,O3088/B3118)</f>
        <v/>
      </c>
      <c r="Q3088" t="n">
        <v>0</v>
      </c>
      <c r="R3088" t="n">
        <v>0</v>
      </c>
      <c r="S3088">
        <f>IFERROR(O3088/N3088,0)</f>
        <v/>
      </c>
      <c r="T3088" t="n">
        <v>0</v>
      </c>
      <c r="V3088" t="n">
        <v>0</v>
      </c>
    </row>
    <row r="3089">
      <c r="A3089">
        <f>Skills!A14</f>
        <v/>
      </c>
      <c r="B3089">
        <f>Skills!B14</f>
        <v/>
      </c>
      <c r="C3089">
        <f>Inputs!$B$3&gt;=74</f>
        <v/>
      </c>
      <c r="D3089">
        <f>IF(Skills!C14=1,60+Inputs!$B$25+Inputs!$B$29,IF(Skills!C14=2,90+Inputs!$B$26+Inputs!$B$29,IF(Skills!C14=3,120+Inputs!$B$27+Inputs!$B$29,MAX(0,(Inputs!$B$3-100)*3)+Inputs!$B$28+Inputs!$B$29)))</f>
        <v/>
      </c>
      <c r="E3089">
        <f>INDEX(FactorTable!$B$2:$Y$301, MATCH(ROUND(MIN(300,MAX(1,D3089)),0), FactorTable!$A$2:$A$301,0), Skills!M14+1)</f>
        <v/>
      </c>
      <c r="F3089">
        <f>IF(Skills!N14=TRUE,(Skills!L14/10)*(E3089/1000),Skills!L14/10)+Skills!O14</f>
        <v/>
      </c>
      <c r="G3089">
        <f>Skills!G14*IF(Skills!H14&gt;0,Skills!I14/Skills!H14,1)</f>
        <v/>
      </c>
      <c r="H3089">
        <f>1-(1-Skills!J14/100)^Skills!K14</f>
        <v/>
      </c>
      <c r="I3089" t="inlineStr">
        <is>
          <t>1</t>
        </is>
      </c>
      <c r="J3089" t="inlineStr"/>
      <c r="K3089" t="inlineStr"/>
      <c r="L3089" t="inlineStr"/>
      <c r="M3089" t="inlineStr"/>
      <c r="N3089" t="inlineStr"/>
      <c r="O3089">
        <f>(1-Summary!$B$11)*T3089+Summary!$B$11*V3089</f>
        <v/>
      </c>
      <c r="P3089">
        <f>IF(B3118=0,0,O3089/B3118)</f>
        <v/>
      </c>
      <c r="Q3089" t="n">
        <v>0</v>
      </c>
      <c r="R3089" t="n">
        <v>0</v>
      </c>
      <c r="S3089">
        <f>IFERROR(O3089/N3089,0)</f>
        <v/>
      </c>
      <c r="T3089" t="n">
        <v>0</v>
      </c>
      <c r="V3089" t="n">
        <v>0</v>
      </c>
    </row>
    <row r="3090">
      <c r="A3090">
        <f>Skills!A15</f>
        <v/>
      </c>
      <c r="B3090">
        <f>Skills!B15</f>
        <v/>
      </c>
      <c r="C3090">
        <f>Inputs!$B$3&gt;=117</f>
        <v/>
      </c>
      <c r="D3090">
        <f>IF(Skills!C15=1,60+Inputs!$B$25+Inputs!$B$29,IF(Skills!C15=2,90+Inputs!$B$26+Inputs!$B$29,IF(Skills!C15=3,120+Inputs!$B$27+Inputs!$B$29,MAX(0,(Inputs!$B$3-100)*3)+Inputs!$B$28+Inputs!$B$29)))</f>
        <v/>
      </c>
      <c r="E3090">
        <f>INDEX(FactorTable!$B$2:$Y$301, MATCH(ROUND(MIN(300,MAX(1,D3090)),0), FactorTable!$A$2:$A$301,0), Skills!M15+1)</f>
        <v/>
      </c>
      <c r="F3090">
        <f>IF(Skills!N15=TRUE,(Skills!L15/10)*(E3090/1000),Skills!L15/10)+Skills!O15</f>
        <v/>
      </c>
      <c r="G3090">
        <f>Skills!G15*IF(Skills!H15&gt;0,Skills!I15/Skills!H15,1)</f>
        <v/>
      </c>
      <c r="H3090">
        <f>1-(1-Skills!J15/100)^Skills!K15</f>
        <v/>
      </c>
      <c r="I3090" t="inlineStr">
        <is>
          <t>1</t>
        </is>
      </c>
      <c r="J3090" t="inlineStr"/>
      <c r="K3090" t="inlineStr"/>
      <c r="L3090" t="inlineStr"/>
      <c r="M3090" t="inlineStr"/>
      <c r="N3090" t="inlineStr"/>
      <c r="O3090">
        <f>(1-Summary!$B$11)*T3090+Summary!$B$11*V3090</f>
        <v/>
      </c>
      <c r="P3090">
        <f>IF(B3118=0,0,O3090/B3118)</f>
        <v/>
      </c>
      <c r="Q3090">
        <f>IFERROR(1/(IF(Inputs!$B$38="pvp",15,MAX(0.1,Skills!D15-IF(Skills!E15=TRUE,2.0,0)))*(1-IF(AND(ArtifactsInput!$M$27,Inputs!$B$4="Chapter Hunt"),CHOOSE(ArtifactsInput!$N$27+1,20,24,28,32,36,40),0)/100)),0)</f>
        <v/>
      </c>
      <c r="R3090">
        <f>IF(AND(Inputs!$B$38&lt;&gt;"pvp",Inputs!$B$43&gt;0),IF(Inputs!$B$43&lt;=0,0,(INT(Inputs!$B$43/(IF(Inputs!$B$38="pvp",15,MAX(0.1,Skills!D15-IF(Skills!E15=TRUE,2.0,0)))*(1-IF(AND(ArtifactsInput!$M$27,Inputs!$B$4="Chapter Hunt"),CHOOSE(ArtifactsInput!$N$27+1,20,24,28,32,36,40),0)/100)))+1)),0)</f>
        <v/>
      </c>
      <c r="S3090">
        <f>IFERROR(O3090/N3090,0)</f>
        <v/>
      </c>
      <c r="T3090" t="n">
        <v>0</v>
      </c>
      <c r="V3090" t="n">
        <v>0</v>
      </c>
    </row>
    <row r="3091">
      <c r="A3091">
        <f>Skills!A16</f>
        <v/>
      </c>
      <c r="B3091">
        <f>Skills!B16</f>
        <v/>
      </c>
      <c r="C3091">
        <f>Inputs!$B$3&gt;=115</f>
        <v/>
      </c>
      <c r="D3091">
        <f>IF(Skills!C16=1,60+Inputs!$B$25+Inputs!$B$29,IF(Skills!C16=2,90+Inputs!$B$26+Inputs!$B$29,IF(Skills!C16=3,120+Inputs!$B$27+Inputs!$B$29,MAX(0,(Inputs!$B$3-100)*3)+Inputs!$B$28+Inputs!$B$29)))</f>
        <v/>
      </c>
      <c r="E3091">
        <f>INDEX(FactorTable!$B$2:$Y$301, MATCH(ROUND(MIN(300,MAX(1,D3091)),0), FactorTable!$A$2:$A$301,0), Skills!M16+1)</f>
        <v/>
      </c>
      <c r="F3091">
        <f>IF(Skills!N16=TRUE,(Skills!L16/10)*(E3091/1000),Skills!L16/10)+Skills!O16</f>
        <v/>
      </c>
      <c r="G3091">
        <f>Skills!G16*IF(Skills!H16&gt;0,Skills!I16/Skills!H16,1)</f>
        <v/>
      </c>
      <c r="H3091">
        <f>1-(1-Skills!J16/100)^Skills!K16</f>
        <v/>
      </c>
      <c r="I3091" t="inlineStr">
        <is>
          <t>1</t>
        </is>
      </c>
      <c r="J3091" t="inlineStr"/>
      <c r="K3091" t="inlineStr"/>
      <c r="L3091" t="inlineStr"/>
      <c r="M3091" t="inlineStr"/>
      <c r="N3091" t="inlineStr"/>
      <c r="O3091">
        <f>(1-Summary!$B$11)*T3091+Summary!$B$11*V3091</f>
        <v/>
      </c>
      <c r="P3091">
        <f>IF(B3118=0,0,O3091/B3118)</f>
        <v/>
      </c>
      <c r="Q3091">
        <f>IFERROR(1/(IF(Inputs!$B$38="pvp",15,MAX(0.1,Skills!D16-IF(Skills!E16=TRUE,2.0,0)))*(1-IF(AND(ArtifactsInput!$M$27,Inputs!$B$4="Chapter Hunt"),CHOOSE(ArtifactsInput!$N$27+1,20,24,28,32,36,40),0)/100)),0)</f>
        <v/>
      </c>
      <c r="R3091">
        <f>IF(AND(Inputs!$B$38&lt;&gt;"pvp",Inputs!$B$43&gt;0),IF(Inputs!$B$43&lt;=0,0,(INT(Inputs!$B$43/(IF(Inputs!$B$38="pvp",15,MAX(0.1,Skills!D16-IF(Skills!E16=TRUE,2.0,0)))*(1-IF(AND(ArtifactsInput!$M$27,Inputs!$B$4="Chapter Hunt"),CHOOSE(ArtifactsInput!$N$27+1,20,24,28,32,36,40),0)/100)))+1)),0)</f>
        <v/>
      </c>
      <c r="S3091">
        <f>IFERROR(O3091/N3091,0)</f>
        <v/>
      </c>
      <c r="T3091" t="n">
        <v>0</v>
      </c>
      <c r="V3091" t="n">
        <v>0</v>
      </c>
    </row>
    <row r="3092">
      <c r="A3092">
        <f>Skills!A17</f>
        <v/>
      </c>
      <c r="B3092">
        <f>Skills!B17</f>
        <v/>
      </c>
      <c r="C3092">
        <f>Inputs!$B$3&gt;=66</f>
        <v/>
      </c>
      <c r="D3092">
        <f>IF(Skills!C17=1,60+Inputs!$B$25+Inputs!$B$29,IF(Skills!C17=2,90+Inputs!$B$26+Inputs!$B$29,IF(Skills!C17=3,120+Inputs!$B$27+Inputs!$B$29,MAX(0,(Inputs!$B$3-100)*3)+Inputs!$B$28+Inputs!$B$29)))</f>
        <v/>
      </c>
      <c r="E3092">
        <f>INDEX(FactorTable!$B$2:$Y$301, MATCH(ROUND(MIN(300,MAX(1,D3092)),0), FactorTable!$A$2:$A$301,0), Skills!M17+1)</f>
        <v/>
      </c>
      <c r="F3092">
        <f>IF(Skills!N17=TRUE,(Skills!L17/10)*(E3092/1000),Skills!L17/10)+Skills!O17</f>
        <v/>
      </c>
      <c r="G3092">
        <f>Skills!G17*IF(Skills!H17&gt;0,Skills!I17/Skills!H17,1)</f>
        <v/>
      </c>
      <c r="H3092">
        <f>1-(1-Skills!J17/100)^Skills!K17</f>
        <v/>
      </c>
      <c r="I3092" t="inlineStr">
        <is>
          <t>1</t>
        </is>
      </c>
      <c r="J3092" t="inlineStr"/>
      <c r="K3092" t="inlineStr"/>
      <c r="L3092" t="inlineStr"/>
      <c r="M3092" t="inlineStr"/>
      <c r="N3092" t="inlineStr"/>
      <c r="O3092">
        <f>(1-Summary!$B$11)*T3092+Summary!$B$11*V3092</f>
        <v/>
      </c>
      <c r="P3092">
        <f>IF(B3118=0,0,O3092/B3118)</f>
        <v/>
      </c>
      <c r="Q3092" t="n">
        <v>0</v>
      </c>
      <c r="R3092" t="n">
        <v>0</v>
      </c>
      <c r="S3092">
        <f>IFERROR(O3092/N3092,0)</f>
        <v/>
      </c>
      <c r="T3092" t="n">
        <v>0</v>
      </c>
      <c r="V3092" t="n">
        <v>0</v>
      </c>
    </row>
    <row r="3093">
      <c r="A3093">
        <f>Skills!A18</f>
        <v/>
      </c>
      <c r="B3093">
        <f>Skills!B18</f>
        <v/>
      </c>
      <c r="C3093">
        <f>Inputs!$B$3&gt;=72</f>
        <v/>
      </c>
      <c r="D3093">
        <f>IF(Skills!C18=1,60+Inputs!$B$25+Inputs!$B$29,IF(Skills!C18=2,90+Inputs!$B$26+Inputs!$B$29,IF(Skills!C18=3,120+Inputs!$B$27+Inputs!$B$29,MAX(0,(Inputs!$B$3-100)*3)+Inputs!$B$28+Inputs!$B$29)))</f>
        <v/>
      </c>
      <c r="E3093">
        <f>INDEX(FactorTable!$B$2:$Y$301, MATCH(ROUND(MIN(300,MAX(1,D3093)),0), FactorTable!$A$2:$A$301,0), Skills!M18+1)</f>
        <v/>
      </c>
      <c r="F3093">
        <f>IF(Skills!N18=TRUE,(Skills!L18/10)*(E3093/1000),Skills!L18/10)+Skills!O18</f>
        <v/>
      </c>
      <c r="G3093">
        <f>Skills!G18*IF(Skills!H18&gt;0,Skills!I18/Skills!H18,1)</f>
        <v/>
      </c>
      <c r="H3093">
        <f>1-(1-Skills!J18/100)^Skills!K18</f>
        <v/>
      </c>
      <c r="I3093" t="inlineStr">
        <is>
          <t>1</t>
        </is>
      </c>
      <c r="J3093" t="inlineStr"/>
      <c r="K3093" t="inlineStr"/>
      <c r="L3093" t="inlineStr"/>
      <c r="M3093" t="inlineStr"/>
      <c r="N3093" t="inlineStr"/>
      <c r="O3093">
        <f>(1-Summary!$B$11)*T3093+Summary!$B$11*V3093</f>
        <v/>
      </c>
      <c r="P3093">
        <f>IF(B3118=0,0,O3093/B3118)</f>
        <v/>
      </c>
      <c r="Q3093" t="n">
        <v>0</v>
      </c>
      <c r="R3093" t="n">
        <v>0</v>
      </c>
      <c r="S3093">
        <f>IFERROR(O3093/N3093,0)</f>
        <v/>
      </c>
      <c r="T3093" t="n">
        <v>0</v>
      </c>
      <c r="V3093" t="n">
        <v>0</v>
      </c>
    </row>
    <row r="3094">
      <c r="A3094">
        <f>Skills!A19</f>
        <v/>
      </c>
      <c r="B3094">
        <f>Skills!B19</f>
        <v/>
      </c>
      <c r="C3094">
        <f>TRUE</f>
        <v/>
      </c>
      <c r="D3094">
        <f>IF(Skills!C19=1,60+Inputs!$B$25+Inputs!$B$29,IF(Skills!C19=2,90+Inputs!$B$26+Inputs!$B$29,IF(Skills!C19=3,120+Inputs!$B$27+Inputs!$B$29,MAX(0,(Inputs!$B$3-100)*3)+Inputs!$B$28+Inputs!$B$29)))</f>
        <v/>
      </c>
      <c r="E3094">
        <f>INDEX(FactorTable!$B$2:$Y$301, MATCH(ROUND(MIN(300,MAX(1,D3094)),0), FactorTable!$A$2:$A$301,0), Skills!M19+1)</f>
        <v/>
      </c>
      <c r="F3094">
        <f>IF(Skills!N19=TRUE,(Skills!L19/10)*(E3094/1000),Skills!L19/10)+Skills!O19</f>
        <v/>
      </c>
      <c r="G3094">
        <f>Skills!G19*IF(Skills!H19&gt;0,Skills!I19/Skills!H19,1)</f>
        <v/>
      </c>
      <c r="H3094">
        <f>1-(1-Skills!J19/100)^Skills!K19</f>
        <v/>
      </c>
      <c r="I3094" t="inlineStr">
        <is>
          <t>1</t>
        </is>
      </c>
      <c r="J3094" t="inlineStr"/>
      <c r="K3094" t="inlineStr"/>
      <c r="L3094" t="inlineStr"/>
      <c r="M3094" t="inlineStr"/>
      <c r="N3094" t="inlineStr"/>
      <c r="O3094">
        <f>(1-Summary!$B$11)*T3094+Summary!$B$11*V3094</f>
        <v/>
      </c>
      <c r="P3094">
        <f>IF(B3118=0,0,O3094/B3118)</f>
        <v/>
      </c>
      <c r="Q3094">
        <f>IFERROR(1/(IF(Inputs!$B$38="pvp",15,MAX(0.1,Skills!D19-IF(Skills!E19=TRUE,2.0,0)))*(1-IF(AND(ArtifactsInput!$M$27,Inputs!$B$4="Chapter Hunt"),CHOOSE(ArtifactsInput!$N$27+1,20,24,28,32,36,40),0)/100)),0)</f>
        <v/>
      </c>
      <c r="R3094">
        <f>IF(AND(Inputs!$B$38&lt;&gt;"pvp",Inputs!$B$43&gt;0),IF(Inputs!$B$43&lt;=0,0,(INT(Inputs!$B$43/(IF(Inputs!$B$38="pvp",15,MAX(0.1,Skills!D19-IF(Skills!E19=TRUE,2.0,0)))*(1-IF(AND(ArtifactsInput!$M$27,Inputs!$B$4="Chapter Hunt"),CHOOSE(ArtifactsInput!$N$27+1,20,24,28,32,36,40),0)/100)))+1)),0)</f>
        <v/>
      </c>
      <c r="S3094">
        <f>IFERROR(O3094/N3094,0)</f>
        <v/>
      </c>
      <c r="T3094" t="n">
        <v>0</v>
      </c>
      <c r="V3094" t="n">
        <v>0</v>
      </c>
    </row>
    <row r="3095">
      <c r="A3095">
        <f>Skills!A20</f>
        <v/>
      </c>
      <c r="B3095">
        <f>Skills!B20</f>
        <v/>
      </c>
      <c r="C3095">
        <f>Inputs!$B$3&gt;=15</f>
        <v/>
      </c>
      <c r="D3095">
        <f>IF(Skills!C20=1,60+Inputs!$B$25+Inputs!$B$29,IF(Skills!C20=2,90+Inputs!$B$26+Inputs!$B$29,IF(Skills!C20=3,120+Inputs!$B$27+Inputs!$B$29,MAX(0,(Inputs!$B$3-100)*3)+Inputs!$B$28+Inputs!$B$29)))</f>
        <v/>
      </c>
      <c r="E3095">
        <f>INDEX(FactorTable!$B$2:$Y$301, MATCH(ROUND(MIN(300,MAX(1,D3095)),0), FactorTable!$A$2:$A$301,0), Skills!M20+1)</f>
        <v/>
      </c>
      <c r="F3095">
        <f>IF(Skills!N20=TRUE,(Skills!L20/10)*(E3095/1000),Skills!L20/10)+Skills!O20</f>
        <v/>
      </c>
      <c r="G3095">
        <f>Skills!G20*IF(Skills!H20&gt;0,Skills!I20/Skills!H20,1)</f>
        <v/>
      </c>
      <c r="H3095">
        <f>1-(1-Skills!J20/100)^Skills!K20</f>
        <v/>
      </c>
      <c r="I3095" t="inlineStr">
        <is>
          <t>1</t>
        </is>
      </c>
      <c r="J3095" t="inlineStr"/>
      <c r="K3095" t="inlineStr"/>
      <c r="L3095" t="inlineStr"/>
      <c r="M3095" t="inlineStr"/>
      <c r="N3095" t="inlineStr"/>
      <c r="O3095">
        <f>(1-Summary!$B$11)*T3095+Summary!$B$11*V3095</f>
        <v/>
      </c>
      <c r="P3095">
        <f>IF(B3118=0,0,O3095/B3118)</f>
        <v/>
      </c>
      <c r="Q3095" t="n">
        <v>0</v>
      </c>
      <c r="R3095" t="n">
        <v>0</v>
      </c>
      <c r="S3095">
        <f>IFERROR(O3095/N3095,0)</f>
        <v/>
      </c>
      <c r="T3095" t="n">
        <v>0</v>
      </c>
      <c r="V3095" t="n">
        <v>0</v>
      </c>
    </row>
    <row r="3096">
      <c r="A3096">
        <f>Skills!A21</f>
        <v/>
      </c>
      <c r="B3096">
        <f>Skills!B21</f>
        <v/>
      </c>
      <c r="C3096">
        <f>Inputs!$B$3&gt;=10</f>
        <v/>
      </c>
      <c r="D3096">
        <f>IF(Skills!C21=1,60+Inputs!$B$25+Inputs!$B$29,IF(Skills!C21=2,90+Inputs!$B$26+Inputs!$B$29,IF(Skills!C21=3,120+Inputs!$B$27+Inputs!$B$29,MAX(0,(Inputs!$B$3-100)*3)+Inputs!$B$28+Inputs!$B$29)))</f>
        <v/>
      </c>
      <c r="E3096">
        <f>INDEX(FactorTable!$B$2:$Y$301, MATCH(ROUND(MIN(300,MAX(1,D3096)),0), FactorTable!$A$2:$A$301,0), Skills!M21+1)</f>
        <v/>
      </c>
      <c r="F3096">
        <f>IF(Skills!N21=TRUE,(Skills!L21/10)*(E3096/1000),Skills!L21/10)+Skills!O21</f>
        <v/>
      </c>
      <c r="G3096">
        <f>Skills!G21*IF(Skills!H21&gt;0,Skills!I21/Skills!H21,1)</f>
        <v/>
      </c>
      <c r="H3096">
        <f>1-(1-Skills!J21/100)^Skills!K21</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Skills!A22</f>
        <v/>
      </c>
      <c r="B3097">
        <f>Skills!B22</f>
        <v/>
      </c>
      <c r="C3097">
        <f>Inputs!$B$3&gt;=33</f>
        <v/>
      </c>
      <c r="D3097">
        <f>IF(Skills!C22=1,60+Inputs!$B$25+Inputs!$B$29,IF(Skills!C22=2,90+Inputs!$B$26+Inputs!$B$29,IF(Skills!C22=3,120+Inputs!$B$27+Inputs!$B$29,MAX(0,(Inputs!$B$3-100)*3)+Inputs!$B$28+Inputs!$B$29)))</f>
        <v/>
      </c>
      <c r="E3097">
        <f>INDEX(FactorTable!$B$2:$Y$301, MATCH(ROUND(MIN(300,MAX(1,D3097)),0), FactorTable!$A$2:$A$301,0), Skills!M22+1)</f>
        <v/>
      </c>
      <c r="F3097">
        <f>IF(Skills!N22=TRUE,(Skills!L22/10)*(E3097/1000),Skills!L22/10)+Skills!O22</f>
        <v/>
      </c>
      <c r="G3097">
        <f>Skills!G22*IF(Skills!H22&gt;0,Skills!I22/Skills!H22,1)</f>
        <v/>
      </c>
      <c r="H3097">
        <f>1-(1-Skills!J22/100)^Skills!K22</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Skills!A23</f>
        <v/>
      </c>
      <c r="B3098">
        <f>Skills!B23</f>
        <v/>
      </c>
      <c r="C3098">
        <f>Inputs!$B$3&gt;=38</f>
        <v/>
      </c>
      <c r="D3098">
        <f>IF(Skills!C23=1,60+Inputs!$B$25+Inputs!$B$29,IF(Skills!C23=2,90+Inputs!$B$26+Inputs!$B$29,IF(Skills!C23=3,120+Inputs!$B$27+Inputs!$B$29,MAX(0,(Inputs!$B$3-100)*3)+Inputs!$B$28+Inputs!$B$29)))</f>
        <v/>
      </c>
      <c r="E3098">
        <f>INDEX(FactorTable!$B$2:$Y$301, MATCH(ROUND(MIN(300,MAX(1,D3098)),0), FactorTable!$A$2:$A$301,0), Skills!M23+1)</f>
        <v/>
      </c>
      <c r="F3098">
        <f>IF(Skills!N23=TRUE,(Skills!L23/10)*(E3098/1000),Skills!L23/10)+Skills!O23</f>
        <v/>
      </c>
      <c r="G3098">
        <f>Skills!G23*IF(Skills!H23&gt;0,Skills!I23/Skills!H23,1)</f>
        <v/>
      </c>
      <c r="H3098">
        <f>1-(1-Skills!J23/100)^Skills!K23</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Skills!A24</f>
        <v/>
      </c>
      <c r="B3099">
        <f>Skills!B24</f>
        <v/>
      </c>
      <c r="C3099">
        <f>Inputs!$B$3&gt;=43</f>
        <v/>
      </c>
      <c r="D3099">
        <f>IF(Skills!C24=1,60+Inputs!$B$25+Inputs!$B$29,IF(Skills!C24=2,90+Inputs!$B$26+Inputs!$B$29,IF(Skills!C24=3,120+Inputs!$B$27+Inputs!$B$29,MAX(0,(Inputs!$B$3-100)*3)+Inputs!$B$28+Inputs!$B$29)))</f>
        <v/>
      </c>
      <c r="E3099">
        <f>INDEX(FactorTable!$B$2:$Y$301, MATCH(ROUND(MIN(300,MAX(1,D3099)),0), FactorTable!$A$2:$A$301,0), Skills!M24+1)</f>
        <v/>
      </c>
      <c r="F3099">
        <f>IF(Skills!N24=TRUE,(Skills!L24/10)*(E3099/1000),Skills!L24/10)+Skills!O24</f>
        <v/>
      </c>
      <c r="G3099">
        <f>Skills!G24*IF(Skills!H24&gt;0,Skills!I24/Skills!H24,1)</f>
        <v/>
      </c>
      <c r="H3099">
        <f>1-(1-Skills!J24/100)^Skills!K24</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Skills!A25</f>
        <v/>
      </c>
      <c r="B3100">
        <f>Skills!B25</f>
        <v/>
      </c>
      <c r="C3100">
        <f>Inputs!$B$3&gt;=75</f>
        <v/>
      </c>
      <c r="D3100">
        <f>IF(Skills!C25=1,60+Inputs!$B$25+Inputs!$B$29,IF(Skills!C25=2,90+Inputs!$B$26+Inputs!$B$29,IF(Skills!C25=3,120+Inputs!$B$27+Inputs!$B$29,MAX(0,(Inputs!$B$3-100)*3)+Inputs!$B$28+Inputs!$B$29)))</f>
        <v/>
      </c>
      <c r="E3100">
        <f>INDEX(FactorTable!$B$2:$Y$301, MATCH(ROUND(MIN(300,MAX(1,D3100)),0), FactorTable!$A$2:$A$301,0), Skills!M25+1)</f>
        <v/>
      </c>
      <c r="F3100">
        <f>IF(Skills!N25=TRUE,(Skills!L25/10)*(E3100/1000),Skills!L25/10)+Skills!O25</f>
        <v/>
      </c>
      <c r="G3100">
        <f>Skills!G25*IF(Skills!H25&gt;0,Skills!I25/Skills!H25,1)</f>
        <v/>
      </c>
      <c r="H3100">
        <f>1-(1-Skills!J25/100)^Skills!K25</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Skills!A26</f>
        <v/>
      </c>
      <c r="B3101">
        <f>Skills!B26</f>
        <v/>
      </c>
      <c r="C3101">
        <f>Inputs!$B$3&gt;=125</f>
        <v/>
      </c>
      <c r="D3101">
        <f>IF(Skills!C26=1,60+Inputs!$B$25+Inputs!$B$29,IF(Skills!C26=2,90+Inputs!$B$26+Inputs!$B$29,IF(Skills!C26=3,120+Inputs!$B$27+Inputs!$B$29,MAX(0,(Inputs!$B$3-100)*3)+Inputs!$B$28+Inputs!$B$29)))</f>
        <v/>
      </c>
      <c r="E3101">
        <f>INDEX(FactorTable!$B$2:$Y$301, MATCH(ROUND(MIN(300,MAX(1,D3101)),0), FactorTable!$A$2:$A$301,0), Skills!M26+1)</f>
        <v/>
      </c>
      <c r="F3101">
        <f>IF(Skills!N26=TRUE,(Skills!L26/10)*(E3101/1000),Skills!L26/10)+Skills!O26</f>
        <v/>
      </c>
      <c r="G3101">
        <f>Skills!G26*IF(Skills!H26&gt;0,Skills!I26/Skills!H26,1)</f>
        <v/>
      </c>
      <c r="H3101">
        <f>1-(1-Skills!J26/100)^Skills!K26</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Skills!A27</f>
        <v/>
      </c>
      <c r="B3102">
        <f>Skills!B27</f>
        <v/>
      </c>
      <c r="C3102">
        <f>Inputs!$B$3&gt;=125</f>
        <v/>
      </c>
      <c r="D3102">
        <f>IF(Skills!C27=1,60+Inputs!$B$25+Inputs!$B$29,IF(Skills!C27=2,90+Inputs!$B$26+Inputs!$B$29,IF(Skills!C27=3,120+Inputs!$B$27+Inputs!$B$29,MAX(0,(Inputs!$B$3-100)*3)+Inputs!$B$28+Inputs!$B$29)))</f>
        <v/>
      </c>
      <c r="E3102">
        <f>INDEX(FactorTable!$B$2:$Y$301, MATCH(ROUND(MIN(300,MAX(1,D3102)),0), FactorTable!$A$2:$A$301,0), Skills!M27+1)</f>
        <v/>
      </c>
      <c r="F3102">
        <f>IF(Skills!N27=TRUE,(Skills!L27/10)*(E3102/1000),Skills!L27/10)+Skills!O27</f>
        <v/>
      </c>
      <c r="G3102">
        <f>Skills!G27*IF(Skills!H27&gt;0,Skills!I27/Skills!H27,1)</f>
        <v/>
      </c>
      <c r="H3102">
        <f>1-(1-Skills!J27/100)^Skills!K27</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Skills!A28</f>
        <v/>
      </c>
      <c r="B3103">
        <f>Skills!B28</f>
        <v/>
      </c>
      <c r="C3103">
        <f>Inputs!$B$3&gt;=120</f>
        <v/>
      </c>
      <c r="D3103">
        <f>IF(Skills!C28=1,60+Inputs!$B$25+Inputs!$B$29,IF(Skills!C28=2,90+Inputs!$B$26+Inputs!$B$29,IF(Skills!C28=3,120+Inputs!$B$27+Inputs!$B$29,MAX(0,(Inputs!$B$3-100)*3)+Inputs!$B$28+Inputs!$B$29)))</f>
        <v/>
      </c>
      <c r="E3103">
        <f>INDEX(FactorTable!$B$2:$Y$301, MATCH(ROUND(MIN(300,MAX(1,D3103)),0), FactorTable!$A$2:$A$301,0), Skills!M28+1)</f>
        <v/>
      </c>
      <c r="F3103">
        <f>IF(Skills!N28=TRUE,(Skills!L28/10)*(E3103/1000),Skills!L28/10)+Skills!O28</f>
        <v/>
      </c>
      <c r="G3103">
        <f>Skills!G28*IF(Skills!H28&gt;0,Skills!I28/Skills!H28,1)</f>
        <v/>
      </c>
      <c r="H3103">
        <f>1-(1-Skills!J28/100)^Skills!K28</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Skills!A29</f>
        <v/>
      </c>
      <c r="B3104">
        <f>Skills!B29</f>
        <v/>
      </c>
      <c r="C3104">
        <f>Inputs!$B$3&gt;=120</f>
        <v/>
      </c>
      <c r="D3104">
        <f>IF(Skills!C29=1,60+Inputs!$B$25+Inputs!$B$29,IF(Skills!C29=2,90+Inputs!$B$26+Inputs!$B$29,IF(Skills!C29=3,120+Inputs!$B$27+Inputs!$B$29,MAX(0,(Inputs!$B$3-100)*3)+Inputs!$B$28+Inputs!$B$29)))</f>
        <v/>
      </c>
      <c r="E3104">
        <f>INDEX(FactorTable!$B$2:$Y$301, MATCH(ROUND(MIN(300,MAX(1,D3104)),0), FactorTable!$A$2:$A$301,0), Skills!M29+1)</f>
        <v/>
      </c>
      <c r="F3104">
        <f>IF(Skills!N29=TRUE,(Skills!L29/10)*(E3104/1000),Skills!L29/10)+Skills!O29</f>
        <v/>
      </c>
      <c r="G3104">
        <f>Skills!G29*IF(Skills!H29&gt;0,Skills!I29/Skills!H29,1)</f>
        <v/>
      </c>
      <c r="H3104">
        <f>1-(1-Skills!J29/100)^Skills!K29</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Skills!A30</f>
        <v/>
      </c>
      <c r="B3105">
        <f>Skills!B30</f>
        <v/>
      </c>
      <c r="C3105">
        <f>Inputs!$B$3&gt;=45</f>
        <v/>
      </c>
      <c r="D3105">
        <f>IF(Skills!C30=1,60+Inputs!$B$25+Inputs!$B$29,IF(Skills!C30=2,90+Inputs!$B$26+Inputs!$B$29,IF(Skills!C30=3,120+Inputs!$B$27+Inputs!$B$29,MAX(0,(Inputs!$B$3-100)*3)+Inputs!$B$28+Inputs!$B$29)))</f>
        <v/>
      </c>
      <c r="E3105">
        <f>INDEX(FactorTable!$B$2:$Y$301, MATCH(ROUND(MIN(300,MAX(1,D3105)),0), FactorTable!$A$2:$A$301,0), Skills!M30+1)</f>
        <v/>
      </c>
      <c r="F3105">
        <f>IF(Skills!N30=TRUE,(Skills!L30/10)*(E3105/1000),Skills!L30/10)+Skills!O30</f>
        <v/>
      </c>
      <c r="G3105">
        <f>Skills!G30*IF(Skills!H30&gt;0,Skills!I30/Skills!H30,1)</f>
        <v/>
      </c>
      <c r="H3105">
        <f>1-(1-Skills!J30/100)^Skills!K30</f>
        <v/>
      </c>
      <c r="I3105" t="inlineStr">
        <is>
          <t>1</t>
        </is>
      </c>
      <c r="J3105" t="inlineStr"/>
      <c r="K3105" t="inlineStr"/>
      <c r="L3105" t="inlineStr"/>
      <c r="M3105" t="inlineStr"/>
      <c r="N3105" t="inlineStr"/>
      <c r="O3105">
        <f>(1-Summary!$B$11)*T3105+Summary!$B$11*V3105</f>
        <v/>
      </c>
      <c r="P3105">
        <f>IF(B3118=0,0,O3105/B3118)</f>
        <v/>
      </c>
      <c r="Q3105" t="n">
        <v>0</v>
      </c>
      <c r="R3105" t="n">
        <v>0</v>
      </c>
      <c r="S3105">
        <f>IFERROR(O3105/N3105,0)</f>
        <v/>
      </c>
      <c r="T3105" t="n">
        <v>0</v>
      </c>
      <c r="V3105" t="n">
        <v>0</v>
      </c>
    </row>
    <row r="3107">
      <c r="A3107" t="inlineStr">
        <is>
          <t>Attack% Bucket Multiplier</t>
        </is>
      </c>
      <c r="B3107">
        <f>(1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f>(C3091=TRUE)*20*IF(AND(Inputs!$B$38&lt;&gt;"pvp",Inputs!$B$43&gt;0),(((R3091-1)*(Skills!T16*(1+Inputs!$B$34/100))+MIN((Skills!T16*(1+Inputs!$B$34/100)),MAX(0,Inputs!$B$43-((R3091-1)*Skills!D16))))/Inputs!$B$43),IF(Inputs!$B$38="pvp",MIN((Skills!T16*(1+Inputs!$B$34/100)),15)/15,(Skills!T16*(1+Inputs!$B$34/100))/Skills!D16))</f>
        <v/>
      </c>
    </row>
    <row r="3109">
      <c r="A3109" t="inlineStr">
        <is>
          <t>Attack Speed Buff Bonus %</t>
        </is>
      </c>
      <c r="B3109">
        <f>((C3094=TRUE)*F3094*IF(AND(Inputs!$B$38&lt;&gt;"pvp",Inputs!$B$43&gt;0),(((R3094-1)*(Skills!T19*(1+Inputs!$B$34/100))+MIN((Skills!T19*(1+Inputs!$B$34/100)),MAX(0,Inputs!$B$43-((R3094-1)*Skills!D19))))/Inputs!$B$43),IF(Inputs!$B$38="pvp",MIN((Skills!T19*(1+Inputs!$B$34/100)),15)/15,(Skills!T19*(1+Inputs!$B$34/100))/Skills!D19)))</f>
        <v/>
      </c>
    </row>
    <row r="3110">
      <c r="A3110" t="inlineStr">
        <is>
          <t>Actions Per Second</t>
        </is>
      </c>
      <c r="B3110">
        <f>1+MIN(150,150*(1-(1-(Inputs!$B$11+((C3096=TRUE)*(F3096-Calc!F21))+((C3097=TRUE)*(F3097-Calc!F22)))/150)*(1-B3109/150)))/100</f>
        <v/>
      </c>
    </row>
    <row r="3111">
      <c r="A3111" t="inlineStr">
        <is>
          <t>Skill + Buff Cast Rate</t>
        </is>
      </c>
      <c r="B3111">
        <f>IF(AND(Inputs!$B$38&lt;&gt;"pvp",Inputs!$B$43&gt;0),SUMPRODUCT((Skills!E2:E30=TRUE)*(C3077:C3105=TRUE)*R3077:R3105*Skills!F2:F30)/Inputs!$B$43,SUMPRODUCT((Skills!E2:E30=TRUE)*(C3077:C3105=TRUE)*Q3077:Q3105*Skills!F2:F30))</f>
        <v/>
      </c>
    </row>
    <row r="3112">
      <c r="A3112" t="inlineStr">
        <is>
          <t>Arrow Stream Casts Per Second</t>
        </is>
      </c>
      <c r="B3112">
        <f>MAX(0,B3110-B3111)</f>
        <v/>
      </c>
    </row>
    <row r="3113">
      <c r="A3113" t="inlineStr">
        <is>
          <t>Global Critical Damage Bonus % (Sharp Eyes + Concentration)</t>
        </is>
      </c>
      <c r="B3113">
        <f>(C3091=TRUE)*F3091*IF(AND(Inputs!$B$38&lt;&gt;"pvp",Inputs!$B$43&gt;0),(((R3091-1)*(Skills!T16*(1+Inputs!$B$34/100))+MIN((Skills!T16*(1+Inputs!$B$34/100)),MAX(0,Inputs!$B$43-((R3091-1)*Skills!D16))))/Inputs!$B$43),IF(Inputs!$B$38="pvp",MIN((Skills!T16*(1+Inputs!$B$34/100)),15)/15,(Skills!T16*(1+Inputs!$B$34/100))/Skills!D16))+(C3092=TRUE)*30</f>
        <v/>
      </c>
    </row>
    <row r="3114">
      <c r="A3114" t="inlineStr">
        <is>
          <t>Global Final Damage Bonus % (Mortal Blow)</t>
        </is>
      </c>
      <c r="B3114">
        <f>(C3093=TRUE)*F3093</f>
        <v/>
      </c>
    </row>
    <row r="3115">
      <c r="A3115" t="inlineStr">
        <is>
          <t>Buff-Casting Startup Delay (s, fixed-duration only)</t>
        </is>
      </c>
      <c r="B3115">
        <f>IF(AND(Inputs!$B$38&lt;&gt;"pvp",Inputs!$B$43&gt;0),SUMPRODUCT((Skills!T2:T30&gt;0)*(Skills!E2:E30=TRUE)*(C3077:C3105=TRUE))/B3110,0)</f>
        <v/>
      </c>
    </row>
    <row r="3116">
      <c r="A3116" t="inlineStr">
        <is>
          <t>Boss-Only Total DPS (this block's swept value)</t>
        </is>
      </c>
      <c r="B3116">
        <f>SUM(T3077:T3105)</f>
        <v/>
      </c>
    </row>
    <row r="3117">
      <c r="A3117" t="inlineStr">
        <is>
          <t>Normal-Only Total DPS (this block's swept value)</t>
        </is>
      </c>
      <c r="B3117">
        <f>SUM(V3077:V3105)</f>
        <v/>
      </c>
    </row>
    <row r="3118">
      <c r="A3118" s="6" t="inlineStr">
        <is>
          <t>TOTAL DPS</t>
        </is>
      </c>
      <c r="B3118" s="6">
        <f>SUM(O3077:O3105)</f>
        <v/>
      </c>
    </row>
    <row r="3121">
      <c r="A3121" s="6" t="inlineStr">
        <is>
          <t>Stat: CDR = 2.5s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3145=TRUE)*(F3145-Calc!F24)),(Inputs!$B$23+((C3150=TRUE)*(F3150-Calc!F29))+(IF(ArtifactsInput!$M$15,CHOOSE(ArtifactsInput!$N$15+1,25,30,35,40,45,50)/100*(Inputs!$B$11-Inputs!$B$11),0))))/100+(Inputs!$B$23+((C3150=TRUE)*(F3150-Calc!F29))+(IF(ArtifactsInput!$M$15,CHOOSE(ArtifactsInput!$N$15+1,25,30,35,40,45,50)/100*(Inputs!$B$11-Inputs!$B$11),0)))/100)/2</f>
        <v/>
      </c>
      <c r="M3123">
        <f>L3123*(1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IF(B3164=0,0,O3123/B3164)</f>
        <v/>
      </c>
      <c r="Q3123" t="n">
        <v>0</v>
      </c>
      <c r="R3123" t="n">
        <v>0</v>
      </c>
      <c r="S3123">
        <f>IFERROR(O3123/N3123,0)</f>
        <v/>
      </c>
      <c r="T3123">
        <f>IF(C3123,(Skills!G2*N3123*B3158)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3123*(1-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IF(C3123,(Skills!G2*N3123*B3158)*IF(Inputs!$B$38="pvp",1,(1+(Inputs!$B$21+Skills!Q2+(IF(ArtifactsInput!$M$33,CHOOSE(ArtifactsInput!$N$33+1,30,36,42,48,54,60),0))+(IF(AND(ArtifactsInput!$M$35,Inputs!$B$4&lt;&gt;"Chapter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Inputs!$B$3&gt;=50</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t="inlineStr"/>
      <c r="H3124" t="inlineStr"/>
      <c r="I3124" t="inlineStr">
        <is>
          <t>1</t>
        </is>
      </c>
      <c r="J3124" t="inlineStr"/>
      <c r="K3124" t="inlineStr"/>
      <c r="L3124" t="inlineStr"/>
      <c r="M3124" t="inlineStr"/>
      <c r="N3124" t="inlineStr"/>
      <c r="O3124" t="inlineStr"/>
      <c r="P3124" t="inlineStr"/>
      <c r="Q3124" t="inlineStr"/>
      <c r="R3124" t="inlineStr"/>
      <c r="S3124" t="inlineStr"/>
      <c r="T3124" t="inlineStr"/>
      <c r="U3124">
        <f>INDEX(FactorTable!$B$2:$Y$301, MATCH(ROUND(MIN(300,MAX(1,U3123)),0), FactorTable!$A$2:$A$301,0), 22)</f>
        <v/>
      </c>
      <c r="V3124" t="inlineStr"/>
    </row>
    <row r="3125">
      <c r="A3125">
        <f>Skills!A4</f>
        <v/>
      </c>
      <c r="B3125">
        <f>Skills!B4</f>
        <v/>
      </c>
      <c r="C3125">
        <f>Inputs!$B$3&gt;=105</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t="inlineStr"/>
      <c r="H3125" t="inlineStr"/>
      <c r="I3125" t="inlineStr">
        <is>
          <t>1</t>
        </is>
      </c>
      <c r="J3125" t="inlineStr"/>
      <c r="K3125" t="inlineStr"/>
      <c r="L3125" t="inlineStr"/>
      <c r="M3125" t="inlineStr"/>
      <c r="N3125" t="inlineStr"/>
      <c r="O3125" t="inlineStr"/>
      <c r="P3125" t="inlineStr"/>
      <c r="Q3125" t="inlineStr"/>
      <c r="R3125" t="inlineStr"/>
      <c r="S3125" t="inlineStr"/>
      <c r="T3125" t="inlineStr"/>
      <c r="U3125">
        <f>290*U3124/1000</f>
        <v/>
      </c>
      <c r="V3125" t="inlineStr"/>
    </row>
    <row r="3126">
      <c r="A3126">
        <f>Skills!A5</f>
        <v/>
      </c>
      <c r="B3126">
        <f>Skills!B5</f>
        <v/>
      </c>
      <c r="C3126">
        <f>Inputs!$B$3&gt;=35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3131=TRUE,F3131,0)/100)*(1+(IF(Skills!A5="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3145=TRUE)*(F3145-Calc!F24)),(Inputs!$B$23+((C3150=TRUE)*(F3150-Calc!F29))+(IF(ArtifactsInput!$M$15,CHOOSE(ArtifactsInput!$N$15+1,25,30,35,40,45,50)/100*(Inputs!$B$11-Inputs!$B$11),0))))/100+(Inputs!$B$23+((C3150=TRUE)*(F3150-Calc!F29))+(IF(ArtifactsInput!$M$15,CHOOSE(ArtifactsInput!$N$15+1,25,30,35,40,45,50)/100*(Inputs!$B$11-Inputs!$B$11),0)))/100)/2</f>
        <v/>
      </c>
      <c r="M3126">
        <f>L3126*(1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IF(B3164=0,0,O3126/B3164)</f>
        <v/>
      </c>
      <c r="Q3126">
        <f>IFERROR(1/(IF(Inputs!$B$38="pvp",15,MAX(0.1,Skills!D5-IF(Skills!E5=TRUE,2.5,0)))*(1-IF(AND(ArtifactsInput!$M$27,Inputs!$B$4="Chapter Hunt"),CHOOSE(ArtifactsInput!$N$27+1,20,24,28,32,36,40),0)/100)),0)</f>
        <v/>
      </c>
      <c r="R3126">
        <f>IF(AND(Inputs!$B$38&lt;&gt;"pvp",Inputs!$B$43&gt;0),IF(MAX(0,Inputs!$B$43-B3161)&lt;=0,0,(INT(MAX(0,Inputs!$B$43-B3161)/(IF(Inputs!$B$38="pvp",15,MAX(0.1,Skills!D5-IF(Skills!E5=TRUE,2.5,0)))*(1-IF(AND(ArtifactsInput!$M$27,Inputs!$B$4="Chapter Hunt"),CHOOSE(ArtifactsInput!$N$27+1,20,24,28,32,36,40),0)/100)))+1)),0)</f>
        <v/>
      </c>
      <c r="S3126">
        <f>IFERROR(O3126/N3126,0)</f>
        <v/>
      </c>
      <c r="T3126">
        <f>IF(C3126,(H3126*N3126*IF(AND(Inputs!$B$38&lt;&gt;"pvp",Inputs!$B$43&gt;0),((Skills!G5*((R3126-1)*IF(Skills!H5&gt;0,Skills!I5/Skills!H5,1)+IF(Skills!H5&gt;0,MIN(Skills!I5,MAX(0,MAX(0,Inputs!$B$43-B3161)-((R3126-1)*(IF(Inputs!$B$38="pvp",15,MAX(0.1,Skills!D5-IF(Skills!E5=TRUE,2.5,0)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3126*(1-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3161)-((R3126-1)*(IF(Inputs!$B$38="pvp",15,MAX(0.1,Skills!D5-IF(Skills!E5=TRUE,2.5,0)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Inputs!$B$3&gt;=40</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3128=TRUE,F3128,0)/100)*(1+(IF(Skills!A6="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3145=TRUE)*(F3145-Calc!F24)),(Inputs!$B$23+((C3150=TRUE)*(F3150-Calc!F29))+(IF(ArtifactsInput!$M$15,CHOOSE(ArtifactsInput!$N$15+1,25,30,35,40,45,50)/100*(Inputs!$B$11-Inputs!$B$11),0))))/100+(Inputs!$B$23+((C3150=TRUE)*(F3150-Calc!F29))+(IF(ArtifactsInput!$M$15,CHOOSE(ArtifactsInput!$N$15+1,25,30,35,40,45,50)/100*(Inputs!$B$11-Inputs!$B$11),0)))/100)/2</f>
        <v/>
      </c>
      <c r="M3127">
        <f>L3127*(1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IF(B3164=0,0,O3127/B3164)</f>
        <v/>
      </c>
      <c r="Q3127">
        <f>IFERROR(1/(IF(Inputs!$B$38="pvp",15,MAX(0.1,Skills!D6-IF(Skills!E6=TRUE,2.5,0)))*(1-IF(AND(ArtifactsInput!$M$27,Inputs!$B$4="Chapter Hunt"),CHOOSE(ArtifactsInput!$N$27+1,20,24,28,32,36,40),0)/100)),0)</f>
        <v/>
      </c>
      <c r="R3127">
        <f>IF(AND(Inputs!$B$38&lt;&gt;"pvp",Inputs!$B$43&gt;0),IF(MAX(0,Inputs!$B$43-B3161)&lt;=0,0,(INT(MAX(0,Inputs!$B$43-B3161)/(IF(Inputs!$B$38="pvp",15,MAX(0.1,Skills!D6-IF(Skills!E6=TRUE,2.5,0)))*(1-IF(AND(ArtifactsInput!$M$27,Inputs!$B$4="Chapter Hunt"),CHOOSE(ArtifactsInput!$N$27+1,20,24,28,32,36,40),0)/100)))+1)),0)</f>
        <v/>
      </c>
      <c r="S3127">
        <f>IFERROR(O3127/N3127,0)</f>
        <v/>
      </c>
      <c r="T3127">
        <f>IF(C3127,(H3127*N3127*IF(AND(Inputs!$B$38&lt;&gt;"pvp",Inputs!$B$43&gt;0),((Skills!G6*((R3127-1)*IF(Skills!H6&gt;0,Skills!I6/Skills!H6,1)+IF(Skills!H6&gt;0,MIN(Skills!I6,MAX(0,MAX(0,Inputs!$B$43-B3161)-((R3127-1)*(IF(Inputs!$B$38="pvp",15,MAX(0.1,Skills!D6-IF(Skills!E6=TRUE,2.5,0)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3127*(1-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3161)-((R3127-1)*(IF(Inputs!$B$38="pvp",15,MAX(0.1,Skills!D6-IF(Skills!E6=TRUE,2.5,0)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Inputs!$B$3&gt;=107</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t="inlineStr"/>
      <c r="H3128" t="inlineStr"/>
      <c r="I3128" t="inlineStr">
        <is>
          <t>1</t>
        </is>
      </c>
      <c r="J3128" t="inlineStr"/>
      <c r="K3128" t="inlineStr"/>
      <c r="L3128" t="inlineStr"/>
      <c r="M3128" t="inlineStr"/>
      <c r="N3128" t="inlineStr"/>
      <c r="O3128" t="inlineStr"/>
      <c r="P3128" t="inlineStr"/>
      <c r="Q3128" t="inlineStr"/>
      <c r="R3128" t="inlineStr"/>
      <c r="S3128" t="inlineStr"/>
      <c r="T3128" t="inlineStr"/>
      <c r="V3128" t="inlineStr"/>
    </row>
    <row r="3129">
      <c r="A3129">
        <f>Skills!A8</f>
        <v/>
      </c>
      <c r="B3129">
        <f>Skills!B8</f>
        <v/>
      </c>
      <c r="C3129">
        <f>Inputs!$B$3&gt;=69</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3131=TRUE,F3131,0)/100)*(1+(IF(Skills!A8="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3145=TRUE)*(F3145-Calc!F24)),(Inputs!$B$23+((C3150=TRUE)*(F3150-Calc!F29))+(IF(ArtifactsInput!$M$15,CHOOSE(ArtifactsInput!$N$15+1,25,30,35,40,45,50)/100*(Inputs!$B$11-Inputs!$B$11),0))))/100+(Inputs!$B$23+((C3150=TRUE)*(F3150-Calc!F29))+(IF(ArtifactsInput!$M$15,CHOOSE(ArtifactsInput!$N$15+1,25,30,35,40,45,50)/100*(Inputs!$B$11-Inputs!$B$11),0)))/100)/2</f>
        <v/>
      </c>
      <c r="M3129">
        <f>L3129*(1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IF(B3164=0,0,O3129/B3164)</f>
        <v/>
      </c>
      <c r="Q3129">
        <f>IFERROR(1/(IF(Inputs!$B$38="pvp",15,MAX(0.1,Skills!D8-IF(Skills!E8=TRUE,2.5,0)))*(1-IF(AND(ArtifactsInput!$M$27,Inputs!$B$4="Chapter Hunt"),CHOOSE(ArtifactsInput!$N$27+1,20,24,28,32,36,40),0)/100)),0)</f>
        <v/>
      </c>
      <c r="R3129">
        <f>IF(AND(Inputs!$B$38&lt;&gt;"pvp",Inputs!$B$43&gt;0),IF(MAX(0,Inputs!$B$43-B3161)&lt;=0,0,(INT(MAX(0,Inputs!$B$43-B3161)/(IF(Inputs!$B$38="pvp",15,MAX(0.1,Skills!D8-IF(Skills!E8=TRUE,2.5,0)))*(1-IF(AND(ArtifactsInput!$M$27,Inputs!$B$4="Chapter Hunt"),CHOOSE(ArtifactsInput!$N$27+1,20,24,28,32,36,40),0)/100)))+1)),0)</f>
        <v/>
      </c>
      <c r="S3129">
        <f>IFERROR(O3129/N3129,0)</f>
        <v/>
      </c>
      <c r="T3129">
        <f>IF(C3129,(H3129*N3129*IF(AND(Inputs!$B$38&lt;&gt;"pvp",Inputs!$B$43&gt;0),((Skills!G8*((R3129-1)*IF(Skills!H8&gt;0,Skills!I8/Skills!H8,1)+IF(Skills!H8&gt;0,MIN(Skills!I8,MAX(0,MAX(0,Inputs!$B$43-B3161)-((R3129-1)*(IF(Inputs!$B$38="pvp",15,MAX(0.1,Skills!D8-IF(Skills!E8=TRUE,2.5,0)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3129*(1-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3161)-((R3129-1)*(IF(Inputs!$B$38="pvp",15,MAX(0.1,Skills!D8-IF(Skills!E8=TRUE,2.5,0)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Inputs!$B$3&gt;=63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3131=TRUE,F3131,0)/100)*(1+(IF(Skills!A9="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3145=TRUE)*(F3145-Calc!F24)),(Inputs!$B$23+((C3150=TRUE)*(F3150-Calc!F29))+(IF(ArtifactsInput!$M$15,CHOOSE(ArtifactsInput!$N$15+1,25,30,35,40,45,50)/100*(Inputs!$B$11-Inputs!$B$11),0))))/100+(Inputs!$B$23+((C3150=TRUE)*(F3150-Calc!F29))+(IF(ArtifactsInput!$M$15,CHOOSE(ArtifactsInput!$N$15+1,25,30,35,40,45,50)/100*(Inputs!$B$11-Inputs!$B$11),0)))/100)/2</f>
        <v/>
      </c>
      <c r="M3130">
        <f>L3130*(1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IF(B3164=0,0,O3130/B3164)</f>
        <v/>
      </c>
      <c r="Q3130">
        <f>IFERROR(1/(IF(Inputs!$B$38="pvp",15,MAX(0.1,Skills!D9-IF(Skills!E9=TRUE,2.5,0)))*(1-IF(AND(ArtifactsInput!$M$27,Inputs!$B$4="Chapter Hunt"),CHOOSE(ArtifactsInput!$N$27+1,20,24,28,32,36,40),0)/100)),0)</f>
        <v/>
      </c>
      <c r="R3130">
        <f>IF(AND(Inputs!$B$38&lt;&gt;"pvp",Inputs!$B$43&gt;0),IF(MAX(0,Inputs!$B$43-B3161)&lt;=0,0,(INT(MAX(0,Inputs!$B$43-B3161)/(IF(Inputs!$B$38="pvp",15,MAX(0.1,Skills!D9-IF(Skills!E9=TRUE,2.5,0)))*(1-IF(AND(ArtifactsInput!$M$27,Inputs!$B$4="Chapter Hunt"),CHOOSE(ArtifactsInput!$N$27+1,20,24,28,32,36,40),0)/100)))+1)),0)</f>
        <v/>
      </c>
      <c r="S3130">
        <f>IFERROR(O3130/N3130,0)</f>
        <v/>
      </c>
      <c r="T3130">
        <f>IF(C3130,(H3130*N3130*IF(AND(Inputs!$B$38&lt;&gt;"pvp",Inputs!$B$43&gt;0),((Skills!G9*((R3130-1)*IF(Skills!H9&gt;0,Skills!I9/Skills!H9,1)+IF(Skills!H9&gt;0,MIN(Skills!I9,MAX(0,MAX(0,Inputs!$B$43-B3161)-((R3130-1)*(IF(Inputs!$B$38="pvp",15,MAX(0.1,Skills!D9-IF(Skills!E9=TRUE,2.5,0)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3130*(1-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3161)-((R3130-1)*(IF(Inputs!$B$38="pvp",15,MAX(0.1,Skills!D9-IF(Skills!E9=TRUE,2.5,0)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Inputs!$B$3&gt;=100</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t="inlineStr"/>
      <c r="H3131" t="inlineStr"/>
      <c r="I3131" t="inlineStr">
        <is>
          <t>1</t>
        </is>
      </c>
      <c r="J3131" t="inlineStr"/>
      <c r="K3131" t="inlineStr"/>
      <c r="L3131" t="inlineStr"/>
      <c r="M3131" t="inlineStr"/>
      <c r="N3131" t="inlineStr"/>
      <c r="O3131" t="inlineStr"/>
      <c r="P3131" t="inlineStr"/>
      <c r="Q3131" t="inlineStr"/>
      <c r="R3131" t="inlineStr"/>
      <c r="S3131" t="inlineStr"/>
      <c r="T3131" t="inlineStr"/>
      <c r="V3131" t="inlineStr"/>
    </row>
    <row r="3132">
      <c r="A3132">
        <f>Skills!A11</f>
        <v/>
      </c>
      <c r="B3132">
        <f>Skills!B11</f>
        <v/>
      </c>
      <c r="C3132">
        <f>Inputs!$B$3&gt;=60</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3133=TRUE,F3133,0)/100)*(1+(IF(Skills!A11="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3145=TRUE)*(F3145-Calc!F24)),(Inputs!$B$23+((C3150=TRUE)*(F3150-Calc!F29))+(IF(ArtifactsInput!$M$15,CHOOSE(ArtifactsInput!$N$15+1,25,30,35,40,45,50)/100*(Inputs!$B$11-Inputs!$B$11),0))))/100+(Inputs!$B$23+((C3150=TRUE)*(F3150-Calc!F29))+(IF(ArtifactsInput!$M$15,CHOOSE(ArtifactsInput!$N$15+1,25,30,35,40,45,50)/100*(Inputs!$B$11-Inputs!$B$11),0)))/100)/2</f>
        <v/>
      </c>
      <c r="M3132">
        <f>L3132*(1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IF(B3164=0,0,O3132/B3164)</f>
        <v/>
      </c>
      <c r="Q3132">
        <f>IFERROR(1/(IF(Inputs!$B$38="pvp",15,MAX(0.1,Skills!D11-IF(Skills!E11=TRUE,2.5,0)))*(1-IF(AND(ArtifactsInput!$M$27,Inputs!$B$4="Chapter Hunt"),CHOOSE(ArtifactsInput!$N$27+1,20,24,28,32,36,40),0)/100)),0)</f>
        <v/>
      </c>
      <c r="R3132">
        <f>IF(AND(Inputs!$B$38&lt;&gt;"pvp",Inputs!$B$43&gt;0),IF(MAX(0,Inputs!$B$43-B3161)&lt;=0,0,(INT(MAX(0,Inputs!$B$43-B3161)/(IF(Inputs!$B$38="pvp",15,MAX(0.1,Skills!D11-IF(Skills!E11=TRUE,2.5,0)))*(1-IF(AND(ArtifactsInput!$M$27,Inputs!$B$4="Chapter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3161)-((R3132-1)*(IF(Inputs!$B$38="pvp",15,MAX(0.1,Skills!D11-IF(Skills!E11=TRUE,2.5,0)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3132*(1-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3161)-((R3132-1)*(IF(Inputs!$B$38="pvp",15,MAX(0.1,Skills!D11-IF(Skills!E11=TRUE,2.5,0)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t="inlineStr"/>
      <c r="H3133" t="inlineStr"/>
      <c r="I3133" t="inlineStr">
        <is>
          <t>1</t>
        </is>
      </c>
      <c r="J3133" t="inlineStr"/>
      <c r="K3133" t="inlineStr"/>
      <c r="L3133" t="inlineStr"/>
      <c r="M3133" t="inlineStr"/>
      <c r="N3133" t="inlineStr"/>
      <c r="O3133" t="inlineStr"/>
      <c r="P3133" t="inlineStr"/>
      <c r="Q3133" t="inlineStr"/>
      <c r="R3133" t="inlineStr"/>
      <c r="S3133" t="inlineStr"/>
      <c r="T3133" t="inlineStr"/>
      <c r="V3133" t="inlineStr"/>
    </row>
    <row r="3134">
      <c r="A3134">
        <f>Skills!A13</f>
        <v/>
      </c>
      <c r="B3134">
        <f>Skills!B13</f>
        <v/>
      </c>
      <c r="C3134">
        <f>Inputs!$B$3&gt;=74</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t="inlineStr"/>
      <c r="K3134" t="inlineStr"/>
      <c r="L3134" t="inlineStr"/>
      <c r="M3134" t="inlineStr"/>
      <c r="N3134" t="inlineStr"/>
      <c r="O3134">
        <f>(1-Summary!$B$11)*T3134+Summary!$B$11*V3134</f>
        <v/>
      </c>
      <c r="P3134">
        <f>IF(B3164=0,0,O3134/B3164)</f>
        <v/>
      </c>
      <c r="Q3134" t="n">
        <v>0</v>
      </c>
      <c r="R3134" t="n">
        <v>0</v>
      </c>
      <c r="S3134">
        <f>IFERROR(O3134/N3134,0)</f>
        <v/>
      </c>
      <c r="T3134" t="n">
        <v>0</v>
      </c>
      <c r="V3134" t="n">
        <v>0</v>
      </c>
    </row>
    <row r="3135">
      <c r="A3135">
        <f>Skills!A14</f>
        <v/>
      </c>
      <c r="B3135">
        <f>Skills!B14</f>
        <v/>
      </c>
      <c r="C3135">
        <f>Inputs!$B$3&gt;=74</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t="inlineStr"/>
      <c r="K3135" t="inlineStr"/>
      <c r="L3135" t="inlineStr"/>
      <c r="M3135" t="inlineStr"/>
      <c r="N3135" t="inlineStr"/>
      <c r="O3135">
        <f>(1-Summary!$B$11)*T3135+Summary!$B$11*V3135</f>
        <v/>
      </c>
      <c r="P3135">
        <f>IF(B3164=0,0,O3135/B3164)</f>
        <v/>
      </c>
      <c r="Q3135" t="n">
        <v>0</v>
      </c>
      <c r="R3135" t="n">
        <v>0</v>
      </c>
      <c r="S3135">
        <f>IFERROR(O3135/N3135,0)</f>
        <v/>
      </c>
      <c r="T3135" t="n">
        <v>0</v>
      </c>
      <c r="V3135" t="n">
        <v>0</v>
      </c>
    </row>
    <row r="3136">
      <c r="A3136">
        <f>Skills!A15</f>
        <v/>
      </c>
      <c r="B3136">
        <f>Skills!B15</f>
        <v/>
      </c>
      <c r="C3136">
        <f>Inputs!$B$3&gt;=117</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f>Skills!G15*IF(Skills!H15&gt;0,Skills!I15/Skills!H15,1)</f>
        <v/>
      </c>
      <c r="H3136">
        <f>1-(1-Skills!J15/100)^Skills!K15</f>
        <v/>
      </c>
      <c r="I3136" t="inlineStr">
        <is>
          <t>1</t>
        </is>
      </c>
      <c r="J3136" t="inlineStr"/>
      <c r="K3136" t="inlineStr"/>
      <c r="L3136" t="inlineStr"/>
      <c r="M3136" t="inlineStr"/>
      <c r="N3136" t="inlineStr"/>
      <c r="O3136">
        <f>(1-Summary!$B$11)*T3136+Summary!$B$11*V3136</f>
        <v/>
      </c>
      <c r="P3136">
        <f>IF(B3164=0,0,O3136/B3164)</f>
        <v/>
      </c>
      <c r="Q3136">
        <f>IFERROR(1/(IF(Inputs!$B$38="pvp",15,MAX(0.1,Skills!D15-IF(Skills!E15=TRUE,2.5,0)))*(1-IF(AND(ArtifactsInput!$M$27,Inputs!$B$4="Chapter Hunt"),CHOOSE(ArtifactsInput!$N$27+1,20,24,28,32,36,40),0)/100)),0)</f>
        <v/>
      </c>
      <c r="R3136">
        <f>IF(AND(Inputs!$B$38&lt;&gt;"pvp",Inputs!$B$43&gt;0),IF(Inputs!$B$43&lt;=0,0,(INT(Inputs!$B$43/(IF(Inputs!$B$38="pvp",15,MAX(0.1,Skills!D15-IF(Skills!E15=TRUE,2.5,0)))*(1-IF(AND(ArtifactsInput!$M$27,Inputs!$B$4="Chapter Hunt"),CHOOSE(ArtifactsInput!$N$27+1,20,24,28,32,36,40),0)/100)))+1)),0)</f>
        <v/>
      </c>
      <c r="S3136">
        <f>IFERROR(O3136/N3136,0)</f>
        <v/>
      </c>
      <c r="T3136" t="n">
        <v>0</v>
      </c>
      <c r="V3136" t="n">
        <v>0</v>
      </c>
    </row>
    <row r="3137">
      <c r="A3137">
        <f>Skills!A16</f>
        <v/>
      </c>
      <c r="B3137">
        <f>Skills!B16</f>
        <v/>
      </c>
      <c r="C3137">
        <f>Inputs!$B$3&gt;=115</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f>Skills!G16*IF(Skills!H16&gt;0,Skills!I16/Skills!H16,1)</f>
        <v/>
      </c>
      <c r="H3137">
        <f>1-(1-Skills!J16/100)^Skills!K16</f>
        <v/>
      </c>
      <c r="I3137" t="inlineStr">
        <is>
          <t>1</t>
        </is>
      </c>
      <c r="J3137" t="inlineStr"/>
      <c r="K3137" t="inlineStr"/>
      <c r="L3137" t="inlineStr"/>
      <c r="M3137" t="inlineStr"/>
      <c r="N3137" t="inlineStr"/>
      <c r="O3137">
        <f>(1-Summary!$B$11)*T3137+Summary!$B$11*V3137</f>
        <v/>
      </c>
      <c r="P3137">
        <f>IF(B3164=0,0,O3137/B3164)</f>
        <v/>
      </c>
      <c r="Q3137">
        <f>IFERROR(1/(IF(Inputs!$B$38="pvp",15,MAX(0.1,Skills!D16-IF(Skills!E16=TRUE,2.5,0)))*(1-IF(AND(ArtifactsInput!$M$27,Inputs!$B$4="Chapter Hunt"),CHOOSE(ArtifactsInput!$N$27+1,20,24,28,32,36,40),0)/100)),0)</f>
        <v/>
      </c>
      <c r="R3137">
        <f>IF(AND(Inputs!$B$38&lt;&gt;"pvp",Inputs!$B$43&gt;0),IF(Inputs!$B$43&lt;=0,0,(INT(Inputs!$B$43/(IF(Inputs!$B$38="pvp",15,MAX(0.1,Skills!D16-IF(Skills!E16=TRUE,2.5,0)))*(1-IF(AND(ArtifactsInput!$M$27,Inputs!$B$4="Chapter Hunt"),CHOOSE(ArtifactsInput!$N$27+1,20,24,28,32,36,40),0)/100)))+1)),0)</f>
        <v/>
      </c>
      <c r="S3137">
        <f>IFERROR(O3137/N3137,0)</f>
        <v/>
      </c>
      <c r="T3137" t="n">
        <v>0</v>
      </c>
      <c r="V3137" t="n">
        <v>0</v>
      </c>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IF(B3164=0,0,O3138/B3164)</f>
        <v/>
      </c>
      <c r="Q3138" t="n">
        <v>0</v>
      </c>
      <c r="R3138" t="n">
        <v>0</v>
      </c>
      <c r="S3138">
        <f>IFERROR(O3138/N3138,0)</f>
        <v/>
      </c>
      <c r="T3138" t="n">
        <v>0</v>
      </c>
      <c r="V3138" t="n">
        <v>0</v>
      </c>
    </row>
    <row r="3139">
      <c r="A3139">
        <f>Skills!A18</f>
        <v/>
      </c>
      <c r="B3139">
        <f>Skills!B18</f>
        <v/>
      </c>
      <c r="C3139">
        <f>Inputs!$B$3&gt;=72</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IF(B3164=0,0,O3139/B3164)</f>
        <v/>
      </c>
      <c r="Q3139" t="n">
        <v>0</v>
      </c>
      <c r="R3139" t="n">
        <v>0</v>
      </c>
      <c r="S3139">
        <f>IFERROR(O3139/N3139,0)</f>
        <v/>
      </c>
      <c r="T3139" t="n">
        <v>0</v>
      </c>
      <c r="V3139" t="n">
        <v>0</v>
      </c>
    </row>
    <row r="3140">
      <c r="A3140">
        <f>Skills!A19</f>
        <v/>
      </c>
      <c r="B3140">
        <f>Skills!B19</f>
        <v/>
      </c>
      <c r="C3140">
        <f>TRUE</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IF(B3164=0,0,O3140/B3164)</f>
        <v/>
      </c>
      <c r="Q3140">
        <f>IFERROR(1/(IF(Inputs!$B$38="pvp",15,MAX(0.1,Skills!D19-IF(Skills!E19=TRUE,2.5,0)))*(1-IF(AND(ArtifactsInput!$M$27,Inputs!$B$4="Chapter Hunt"),CHOOSE(ArtifactsInput!$N$27+1,20,24,28,32,36,40),0)/100)),0)</f>
        <v/>
      </c>
      <c r="R3140">
        <f>IF(AND(Inputs!$B$38&lt;&gt;"pvp",Inputs!$B$43&gt;0),IF(Inputs!$B$43&lt;=0,0,(INT(Inputs!$B$43/(IF(Inputs!$B$38="pvp",15,MAX(0.1,Skills!D19-IF(Skills!E19=TRUE,2.5,0)))*(1-IF(AND(ArtifactsInput!$M$27,Inputs!$B$4="Chapter Hunt"),CHOOSE(ArtifactsInput!$N$27+1,20,24,28,32,36,40),0)/100)))+1)),0)</f>
        <v/>
      </c>
      <c r="S3140">
        <f>IFERROR(O3140/N3140,0)</f>
        <v/>
      </c>
      <c r="T3140" t="n">
        <v>0</v>
      </c>
      <c r="V3140" t="n">
        <v>0</v>
      </c>
    </row>
    <row r="3141">
      <c r="A3141">
        <f>Skills!A20</f>
        <v/>
      </c>
      <c r="B3141">
        <f>Skills!B20</f>
        <v/>
      </c>
      <c r="C3141">
        <f>Inputs!$B$3&gt;=15</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IF(B3164=0,0,O3141/B3164)</f>
        <v/>
      </c>
      <c r="Q3141" t="n">
        <v>0</v>
      </c>
      <c r="R3141" t="n">
        <v>0</v>
      </c>
      <c r="S3141">
        <f>IFERROR(O3141/N3141,0)</f>
        <v/>
      </c>
      <c r="T3141" t="n">
        <v>0</v>
      </c>
      <c r="V3141" t="n">
        <v>0</v>
      </c>
    </row>
    <row r="3142">
      <c r="A3142">
        <f>Skills!A21</f>
        <v/>
      </c>
      <c r="B3142">
        <f>Skills!B21</f>
        <v/>
      </c>
      <c r="C3142">
        <f>Inputs!$B$3&gt;=10</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IF(B3164=0,0,O3142/B3164)</f>
        <v/>
      </c>
      <c r="Q3142" t="n">
        <v>0</v>
      </c>
      <c r="R3142" t="n">
        <v>0</v>
      </c>
      <c r="S3142">
        <f>IFERROR(O3142/N3142,0)</f>
        <v/>
      </c>
      <c r="T3142" t="n">
        <v>0</v>
      </c>
      <c r="V3142" t="n">
        <v>0</v>
      </c>
    </row>
    <row r="3143">
      <c r="A3143">
        <f>Skills!A22</f>
        <v/>
      </c>
      <c r="B3143">
        <f>Skills!B22</f>
        <v/>
      </c>
      <c r="C3143">
        <f>Inputs!$B$3&gt;=33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IF(B3164=0,0,O3143/B3164)</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IF(B3164=0,0,O3144/B3164)</f>
        <v/>
      </c>
      <c r="Q3144" t="n">
        <v>0</v>
      </c>
      <c r="R3144" t="n">
        <v>0</v>
      </c>
      <c r="S3144">
        <f>IFERROR(O3144/N3144,0)</f>
        <v/>
      </c>
      <c r="T3144" t="n">
        <v>0</v>
      </c>
      <c r="V3144" t="n">
        <v>0</v>
      </c>
    </row>
    <row r="3145">
      <c r="A3145">
        <f>Skills!A24</f>
        <v/>
      </c>
      <c r="B3145">
        <f>Skills!B24</f>
        <v/>
      </c>
      <c r="C3145">
        <f>Inputs!$B$3&gt;=43</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IF(B3164=0,0,O3145/B3164)</f>
        <v/>
      </c>
      <c r="Q3145" t="n">
        <v>0</v>
      </c>
      <c r="R3145" t="n">
        <v>0</v>
      </c>
      <c r="S3145">
        <f>IFERROR(O3145/N3145,0)</f>
        <v/>
      </c>
      <c r="T3145" t="n">
        <v>0</v>
      </c>
      <c r="V3145" t="n">
        <v>0</v>
      </c>
    </row>
    <row r="3146">
      <c r="A3146">
        <f>Skills!A25</f>
        <v/>
      </c>
      <c r="B3146">
        <f>Skills!B25</f>
        <v/>
      </c>
      <c r="C3146">
        <f>Inputs!$B$3&gt;=75</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IF(B3164=0,0,O3146/B3164)</f>
        <v/>
      </c>
      <c r="Q3146" t="n">
        <v>0</v>
      </c>
      <c r="R3146" t="n">
        <v>0</v>
      </c>
      <c r="S3146">
        <f>IFERROR(O3146/N3146,0)</f>
        <v/>
      </c>
      <c r="T3146" t="n">
        <v>0</v>
      </c>
      <c r="V3146" t="n">
        <v>0</v>
      </c>
    </row>
    <row r="3147">
      <c r="A3147">
        <f>Skills!A26</f>
        <v/>
      </c>
      <c r="B3147">
        <f>Skills!B26</f>
        <v/>
      </c>
      <c r="C3147">
        <f>Inputs!$B$3&gt;=125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IF(B3164=0,0,O3147/B3164)</f>
        <v/>
      </c>
      <c r="Q3147" t="n">
        <v>0</v>
      </c>
      <c r="R3147" t="n">
        <v>0</v>
      </c>
      <c r="S3147">
        <f>IFERROR(O3147/N3147,0)</f>
        <v/>
      </c>
      <c r="T3147" t="n">
        <v>0</v>
      </c>
      <c r="V3147" t="n">
        <v>0</v>
      </c>
    </row>
    <row r="3148">
      <c r="A3148">
        <f>Skills!A27</f>
        <v/>
      </c>
      <c r="B3148">
        <f>Skills!B27</f>
        <v/>
      </c>
      <c r="C3148">
        <f>Inputs!$B$3&gt;=125</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IF(B3164=0,0,O3148/B3164)</f>
        <v/>
      </c>
      <c r="Q3148" t="n">
        <v>0</v>
      </c>
      <c r="R3148" t="n">
        <v>0</v>
      </c>
      <c r="S3148">
        <f>IFERROR(O3148/N3148,0)</f>
        <v/>
      </c>
      <c r="T3148" t="n">
        <v>0</v>
      </c>
      <c r="V3148" t="n">
        <v>0</v>
      </c>
    </row>
    <row r="3149">
      <c r="A3149">
        <f>Skills!A28</f>
        <v/>
      </c>
      <c r="B3149">
        <f>Skills!B28</f>
        <v/>
      </c>
      <c r="C3149">
        <f>Inputs!$B$3&gt;=120</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IF(B3164=0,0,O3149/B3164)</f>
        <v/>
      </c>
      <c r="Q3149" t="n">
        <v>0</v>
      </c>
      <c r="R3149" t="n">
        <v>0</v>
      </c>
      <c r="S3149">
        <f>IFERROR(O3149/N3149,0)</f>
        <v/>
      </c>
      <c r="T3149" t="n">
        <v>0</v>
      </c>
      <c r="V3149" t="n">
        <v>0</v>
      </c>
    </row>
    <row r="3150">
      <c r="A3150">
        <f>Skills!A29</f>
        <v/>
      </c>
      <c r="B3150">
        <f>Skills!B29</f>
        <v/>
      </c>
      <c r="C3150">
        <f>Inputs!$B$3&gt;=120</f>
        <v/>
      </c>
      <c r="D3150">
        <f>IF(Skills!C29=1,60+Inputs!$B$25+Inputs!$B$29,IF(Skills!C29=2,90+Inputs!$B$26+Inputs!$B$29,IF(Skills!C29=3,120+Inputs!$B$27+Inputs!$B$29,MAX(0,(Inputs!$B$3-100)*3)+Inputs!$B$28+Inputs!$B$29)))</f>
        <v/>
      </c>
      <c r="E3150">
        <f>INDEX(FactorTable!$B$2:$Y$301, MATCH(ROUND(MIN(300,MAX(1,D3150)),0), FactorTable!$A$2:$A$301,0), Skills!M29+1)</f>
        <v/>
      </c>
      <c r="F3150">
        <f>IF(Skills!N29=TRUE,(Skills!L29/10)*(E3150/1000),Skills!L29/10)+Skills!O29</f>
        <v/>
      </c>
      <c r="G3150">
        <f>Skills!G29*IF(Skills!H29&gt;0,Skills!I29/Skills!H29,1)</f>
        <v/>
      </c>
      <c r="H3150">
        <f>1-(1-Skills!J29/100)^Skills!K29</f>
        <v/>
      </c>
      <c r="I3150" t="inlineStr">
        <is>
          <t>1</t>
        </is>
      </c>
      <c r="J3150" t="inlineStr"/>
      <c r="K3150" t="inlineStr"/>
      <c r="L3150" t="inlineStr"/>
      <c r="M3150" t="inlineStr"/>
      <c r="N3150" t="inlineStr"/>
      <c r="O3150">
        <f>(1-Summary!$B$11)*T3150+Summary!$B$11*V3150</f>
        <v/>
      </c>
      <c r="P3150">
        <f>IF(B3164=0,0,O3150/B3164)</f>
        <v/>
      </c>
      <c r="Q3150" t="n">
        <v>0</v>
      </c>
      <c r="R3150" t="n">
        <v>0</v>
      </c>
      <c r="S3150">
        <f>IFERROR(O3150/N3150,0)</f>
        <v/>
      </c>
      <c r="T3150" t="n">
        <v>0</v>
      </c>
      <c r="V3150" t="n">
        <v>0</v>
      </c>
    </row>
    <row r="3151">
      <c r="A3151">
        <f>Skills!A30</f>
        <v/>
      </c>
      <c r="B3151">
        <f>Skills!B30</f>
        <v/>
      </c>
      <c r="C3151">
        <f>Inputs!$B$3&gt;=45</f>
        <v/>
      </c>
      <c r="D3151">
        <f>IF(Skills!C30=1,60+Inputs!$B$25+Inputs!$B$29,IF(Skills!C30=2,90+Inputs!$B$26+Inputs!$B$29,IF(Skills!C30=3,120+Inputs!$B$27+Inputs!$B$29,MAX(0,(Inputs!$B$3-100)*3)+Inputs!$B$28+Inputs!$B$29)))</f>
        <v/>
      </c>
      <c r="E3151">
        <f>INDEX(FactorTable!$B$2:$Y$301, MATCH(ROUND(MIN(300,MAX(1,D3151)),0), FactorTable!$A$2:$A$301,0), Skills!M30+1)</f>
        <v/>
      </c>
      <c r="F3151">
        <f>IF(Skills!N30=TRUE,(Skills!L30/10)*(E3151/1000),Skills!L30/10)+Skills!O30</f>
        <v/>
      </c>
      <c r="G3151">
        <f>Skills!G30*IF(Skills!H30&gt;0,Skills!I30/Skills!H30,1)</f>
        <v/>
      </c>
      <c r="H3151">
        <f>1-(1-Skills!J30/100)^Skills!K30</f>
        <v/>
      </c>
      <c r="I3151" t="inlineStr">
        <is>
          <t>1</t>
        </is>
      </c>
      <c r="J3151" t="inlineStr"/>
      <c r="K3151" t="inlineStr"/>
      <c r="L3151" t="inlineStr"/>
      <c r="M3151" t="inlineStr"/>
      <c r="N3151" t="inlineStr"/>
      <c r="O3151">
        <f>(1-Summary!$B$11)*T3151+Summary!$B$11*V3151</f>
        <v/>
      </c>
      <c r="P3151">
        <f>IF(B3164=0,0,O3151/B3164)</f>
        <v/>
      </c>
      <c r="Q3151" t="n">
        <v>0</v>
      </c>
      <c r="R3151" t="n">
        <v>0</v>
      </c>
      <c r="S3151">
        <f>IFERROR(O3151/N3151,0)</f>
        <v/>
      </c>
      <c r="T3151" t="n">
        <v>0</v>
      </c>
      <c r="V3151" t="n">
        <v>0</v>
      </c>
    </row>
    <row r="3153">
      <c r="A3153" t="inlineStr">
        <is>
          <t>Attack% Bucket Multiplier</t>
        </is>
      </c>
      <c r="B3153">
        <f>(1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4">
      <c r="A3154" t="inlineStr">
        <is>
          <t>Global Crit Rate Bonus %</t>
        </is>
      </c>
      <c r="B3154">
        <f>(C3137=TRUE)*20*IF(AND(Inputs!$B$38&lt;&gt;"pvp",Inputs!$B$43&gt;0),(((R3137-1)*(Skills!T16*(1+Inputs!$B$34/100))+MIN((Skills!T16*(1+Inputs!$B$34/100)),MAX(0,Inputs!$B$43-((R3137-1)*Skills!D16))))/Inputs!$B$43),IF(Inputs!$B$38="pvp",MIN((Skills!T16*(1+Inputs!$B$34/100)),15)/15,(Skills!T16*(1+Inputs!$B$34/100))/Skills!D16))</f>
        <v/>
      </c>
    </row>
    <row r="3155">
      <c r="A3155" t="inlineStr">
        <is>
          <t>Attack Speed Buff Bonus %</t>
        </is>
      </c>
      <c r="B3155">
        <f>((C3140=TRUE)*F3140*IF(AND(Inputs!$B$38&lt;&gt;"pvp",Inputs!$B$43&gt;0),(((R3140-1)*(Skills!T19*(1+Inputs!$B$34/100))+MIN((Skills!T19*(1+Inputs!$B$34/100)),MAX(0,Inputs!$B$43-((R3140-1)*Skills!D19))))/Inputs!$B$43),IF(Inputs!$B$38="pvp",MIN((Skills!T19*(1+Inputs!$B$34/100)),15)/15,(Skills!T19*(1+Inputs!$B$34/100))/Skills!D19)))</f>
        <v/>
      </c>
    </row>
    <row r="3156">
      <c r="A3156" t="inlineStr">
        <is>
          <t>Actions Per Second</t>
        </is>
      </c>
      <c r="B3156">
        <f>1+MIN(150,150*(1-(1-(Inputs!$B$11+((C3142=TRUE)*(F3142-Calc!F21))+((C3143=TRUE)*(F3143-Calc!F22)))/150)*(1-B3155/150)))/100</f>
        <v/>
      </c>
    </row>
    <row r="3157">
      <c r="A3157" t="inlineStr">
        <is>
          <t>Skill + Buff Cast Rate</t>
        </is>
      </c>
      <c r="B3157">
        <f>IF(AND(Inputs!$B$38&lt;&gt;"pvp",Inputs!$B$43&gt;0),SUMPRODUCT((Skills!E2:E30=TRUE)*(C3123:C3151=TRUE)*R3123:R3151*Skills!F2:F30)/Inputs!$B$43,SUMPRODUCT((Skills!E2:E30=TRUE)*(C3123:C3151=TRUE)*Q3123:Q3151*Skills!F2:F30))</f>
        <v/>
      </c>
    </row>
    <row r="3158">
      <c r="A3158" t="inlineStr">
        <is>
          <t>Arrow Stream Casts Per Second</t>
        </is>
      </c>
      <c r="B3158">
        <f>MAX(0,B3156-B3157)</f>
        <v/>
      </c>
    </row>
    <row r="3159">
      <c r="A3159" t="inlineStr">
        <is>
          <t>Global Critical Damage Bonus % (Sharp Eyes + Concentration)</t>
        </is>
      </c>
      <c r="B3159">
        <f>(C3137=TRUE)*F3137*IF(AND(Inputs!$B$38&lt;&gt;"pvp",Inputs!$B$43&gt;0),(((R3137-1)*(Skills!T16*(1+Inputs!$B$34/100))+MIN((Skills!T16*(1+Inputs!$B$34/100)),MAX(0,Inputs!$B$43-((R3137-1)*Skills!D16))))/Inputs!$B$43),IF(Inputs!$B$38="pvp",MIN((Skills!T16*(1+Inputs!$B$34/100)),15)/15,(Skills!T16*(1+Inputs!$B$34/100))/Skills!D16))+(C3138=TRUE)*30</f>
        <v/>
      </c>
    </row>
    <row r="3160">
      <c r="A3160" t="inlineStr">
        <is>
          <t>Global Final Damage Bonus % (Mortal Blow)</t>
        </is>
      </c>
      <c r="B3160">
        <f>(C3139=TRUE)*F3139</f>
        <v/>
      </c>
    </row>
    <row r="3161">
      <c r="A3161" t="inlineStr">
        <is>
          <t>Buff-Casting Startup Delay (s, fixed-duration only)</t>
        </is>
      </c>
      <c r="B3161">
        <f>IF(AND(Inputs!$B$38&lt;&gt;"pvp",Inputs!$B$43&gt;0),SUMPRODUCT((Skills!T2:T30&gt;0)*(Skills!E2:E30=TRUE)*(C3123:C3151=TRUE))/B3156,0)</f>
        <v/>
      </c>
    </row>
    <row r="3162">
      <c r="A3162" t="inlineStr">
        <is>
          <t>Boss-Only Total DPS (this block's swept value)</t>
        </is>
      </c>
      <c r="B3162">
        <f>SUM(T3123:T3151)</f>
        <v/>
      </c>
    </row>
    <row r="3163">
      <c r="A3163" t="inlineStr">
        <is>
          <t>Normal-Only Total DPS (this block's swept value)</t>
        </is>
      </c>
      <c r="B3163">
        <f>SUM(V3123:V3151)</f>
        <v/>
      </c>
    </row>
    <row r="3164">
      <c r="A3164" s="6" t="inlineStr">
        <is>
          <t>TOTAL DPS</t>
        </is>
      </c>
      <c r="B3164" s="6">
        <f>SUM(O3123:O3151)</f>
        <v/>
      </c>
    </row>
    <row r="3167">
      <c r="A3167" s="6" t="inlineStr">
        <is>
          <t>Stat: CDR = 3.0s</t>
        </is>
      </c>
    </row>
    <row r="3168">
      <c r="A3168" s="5" t="inlineStr">
        <is>
          <t>Key</t>
        </is>
      </c>
      <c r="B3168" s="5" t="inlineStr">
        <is>
          <t>Name</t>
        </is>
      </c>
      <c r="C3168" s="5" t="inlineStr">
        <is>
          <t>Unlocked</t>
        </is>
      </c>
      <c r="D3168" s="5" t="inlineStr">
        <is>
          <t>InputLevel</t>
        </is>
      </c>
      <c r="E3168" s="5" t="inlineStr">
        <is>
          <t>Factor</t>
        </is>
      </c>
      <c r="F3168" s="5" t="inlineStr">
        <is>
          <t>CoefficientPercent</t>
        </is>
      </c>
      <c r="G3168" s="5" t="inlineStr">
        <is>
          <t>EffectiveHits</t>
        </is>
      </c>
      <c r="H3168" s="5" t="inlineStr">
        <is>
          <t>ProcProbability</t>
        </is>
      </c>
      <c r="I3168" s="5" t="inlineStr">
        <is>
          <t>MapleHeroMultiplier</t>
        </is>
      </c>
      <c r="J3168" s="5" t="inlineStr">
        <is>
          <t>BaseDamage</t>
        </is>
      </c>
      <c r="K3168" s="5" t="inlineStr">
        <is>
          <t>BaseHitDamage</t>
        </is>
      </c>
      <c r="L3168" s="5" t="inlineStr">
        <is>
          <t>NonCritAvg</t>
        </is>
      </c>
      <c r="M3168" s="5" t="inlineStr">
        <is>
          <t>CritAvg</t>
        </is>
      </c>
      <c r="N3168" s="5" t="inlineStr">
        <is>
          <t>ExpectedDamage(perHit)</t>
        </is>
      </c>
      <c r="O3168" s="5" t="inlineStr">
        <is>
          <t>DPS</t>
        </is>
      </c>
      <c r="P3168" s="5" t="inlineStr">
        <is>
          <t>% of Total</t>
        </is>
      </c>
      <c r="Q3168" s="5" t="inlineStr">
        <is>
          <t>InvCooldown</t>
        </is>
      </c>
      <c r="R3168" s="5" t="inlineStr">
        <is>
          <t>CastsInFight</t>
        </is>
      </c>
      <c r="S3168" s="5" t="inlineStr">
        <is>
          <t>HitRate(perSec)</t>
        </is>
      </c>
      <c r="U3168" t="inlineStr">
        <is>
          <t>helpers</t>
        </is>
      </c>
    </row>
    <row r="3169">
      <c r="A3169">
        <f>Skills!A2</f>
        <v/>
      </c>
      <c r="B3169">
        <f>Skills!B2</f>
        <v/>
      </c>
      <c r="C3169">
        <f>Inputs!$B$3&gt;=100</f>
        <v/>
      </c>
      <c r="D3169" t="inlineStr"/>
      <c r="E3169" t="inlineStr"/>
      <c r="F3169">
        <f>U3171+Skills!O2</f>
        <v/>
      </c>
      <c r="G3169">
        <f>Skills!G2*IF(Skills!H2&gt;0,Skills!I2/Skills!H2,1)</f>
        <v/>
      </c>
      <c r="H3169">
        <f>1-(1-Skills!J2/100)^Skills!K2</f>
        <v/>
      </c>
      <c r="I3169" t="inlineStr">
        <is>
          <t>1</t>
        </is>
      </c>
      <c r="J3169">
        <f>((Inputs!$B$6*(1+Inputs!$B$7/100))+(((Inputs!$B$12*(1+Inputs!$B$13/100))-(Inputs!$B$12*(1+Inputs!$B$13/100)))+0.25*(Inputs!$B$14-Inputs!$B$14))*(1+Inputs!$B$7/100))*(F3169/100)</f>
        <v/>
      </c>
      <c r="K3169">
        <f>J3169*(1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3191=TRUE)*(F3191-Calc!F24)),(Inputs!$B$23+((C3196=TRUE)*(F3196-Calc!F29))+(IF(ArtifactsInput!$M$15,CHOOSE(ArtifactsInput!$N$15+1,25,30,35,40,45,50)/100*(Inputs!$B$11-Inputs!$B$11),0))))/100+(Inputs!$B$23+((C3196=TRUE)*(F3196-Calc!F29))+(IF(ArtifactsInput!$M$15,CHOOSE(ArtifactsInput!$N$15+1,25,30,35,40,45,50)/100*(Inputs!$B$11-Inputs!$B$11),0)))/100)/2</f>
        <v/>
      </c>
      <c r="M3169">
        <f>L3169*(1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IF(B3210=0,0,O3169/B3210)</f>
        <v/>
      </c>
      <c r="Q3169" t="n">
        <v>0</v>
      </c>
      <c r="R3169" t="n">
        <v>0</v>
      </c>
      <c r="S3169">
        <f>IFERROR(O3169/N3169,0)</f>
        <v/>
      </c>
      <c r="T3169">
        <f>IF(C3169,(Skills!G2*N3169*B3204)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3169*(1-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MAX(0,(Inputs!$B$3-100)*3)+Inputs!$B$28+Inputs!$B$29</f>
        <v/>
      </c>
      <c r="V3169">
        <f>IF(C3169,(Skills!G2*N3169*B3204)*IF(Inputs!$B$38="pvp",1,(1+(Inputs!$B$21+Skills!Q2+(IF(ArtifactsInput!$M$33,CHOOSE(ArtifactsInput!$N$33+1,30,36,42,48,54,60),0))+(IF(AND(ArtifactsInput!$M$35,Inputs!$B$4&lt;&gt;"Chapter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Skills!A3</f>
        <v/>
      </c>
      <c r="B3170">
        <f>Skills!B3</f>
        <v/>
      </c>
      <c r="C3170">
        <f>Inputs!$B$3&gt;=50</f>
        <v/>
      </c>
      <c r="D3170">
        <f>IF(Skills!C3=1,60+Inputs!$B$25+Inputs!$B$29,IF(Skills!C3=2,90+Inputs!$B$26+Inputs!$B$29,IF(Skills!C3=3,120+Inputs!$B$27+Inputs!$B$29,MAX(0,(Inputs!$B$3-100)*3)+Inputs!$B$28+Inputs!$B$29)))</f>
        <v/>
      </c>
      <c r="E3170">
        <f>INDEX(FactorTable!$B$2:$Y$301, MATCH(ROUND(MIN(300,MAX(1,D3170)),0), FactorTable!$A$2:$A$301,0), Skills!M3+1)</f>
        <v/>
      </c>
      <c r="F3170">
        <f>IF(Skills!N3=TRUE,(Skills!L3/10)*(E3170/1000),Skills!L3/10)+Skills!O3</f>
        <v/>
      </c>
      <c r="G3170" t="inlineStr"/>
      <c r="H3170" t="inlineStr"/>
      <c r="I3170" t="inlineStr">
        <is>
          <t>1</t>
        </is>
      </c>
      <c r="J3170" t="inlineStr"/>
      <c r="K3170" t="inlineStr"/>
      <c r="L3170" t="inlineStr"/>
      <c r="M3170" t="inlineStr"/>
      <c r="N3170" t="inlineStr"/>
      <c r="O3170" t="inlineStr"/>
      <c r="P3170" t="inlineStr"/>
      <c r="Q3170" t="inlineStr"/>
      <c r="R3170" t="inlineStr"/>
      <c r="S3170" t="inlineStr"/>
      <c r="T3170" t="inlineStr"/>
      <c r="U3170">
        <f>INDEX(FactorTable!$B$2:$Y$301, MATCH(ROUND(MIN(300,MAX(1,U3169)),0), FactorTable!$A$2:$A$301,0), 22)</f>
        <v/>
      </c>
      <c r="V3170" t="inlineStr"/>
    </row>
    <row r="3171">
      <c r="A3171">
        <f>Skills!A4</f>
        <v/>
      </c>
      <c r="B3171">
        <f>Skills!B4</f>
        <v/>
      </c>
      <c r="C3171">
        <f>Inputs!$B$3&gt;=105</f>
        <v/>
      </c>
      <c r="D3171">
        <f>IF(Skills!C4=1,60+Inputs!$B$25+Inputs!$B$29,IF(Skills!C4=2,90+Inputs!$B$26+Inputs!$B$29,IF(Skills!C4=3,120+Inputs!$B$27+Inputs!$B$29,MAX(0,(Inputs!$B$3-100)*3)+Inputs!$B$28+Inputs!$B$29)))</f>
        <v/>
      </c>
      <c r="E3171">
        <f>INDEX(FactorTable!$B$2:$Y$301, MATCH(ROUND(MIN(300,MAX(1,D3171)),0), FactorTable!$A$2:$A$301,0), Skills!M4+1)</f>
        <v/>
      </c>
      <c r="F3171">
        <f>IF(Skills!N4=TRUE,(Skills!L4/10)*(E3171/1000),Skills!L4/10)+Skills!O4</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U3171">
        <f>290*U3170/1000</f>
        <v/>
      </c>
      <c r="V3171" t="inlineStr"/>
    </row>
    <row r="3172">
      <c r="A3172">
        <f>Skills!A5</f>
        <v/>
      </c>
      <c r="B3172">
        <f>Skills!B5</f>
        <v/>
      </c>
      <c r="C3172">
        <f>Inputs!$B$3&gt;=35</f>
        <v/>
      </c>
      <c r="D3172">
        <f>IF(Skills!C5=1,60+Inputs!$B$25+Inputs!$B$29,IF(Skills!C5=2,90+Inputs!$B$26+Inputs!$B$29,IF(Skills!C5=3,120+Inputs!$B$27+Inputs!$B$29,MAX(0,(Inputs!$B$3-100)*3)+Inputs!$B$28+Inputs!$B$29)))</f>
        <v/>
      </c>
      <c r="E3172">
        <f>INDEX(FactorTable!$B$2:$Y$301, MATCH(ROUND(MIN(300,MAX(1,D3172)),0), FactorTable!$A$2:$A$301,0), Skills!M5+1)</f>
        <v/>
      </c>
      <c r="F3172">
        <f>IF(Skills!N5=TRUE,(Skills!L5/10)*(E3172/1000),Skills!L5/10)+Skills!O5</f>
        <v/>
      </c>
      <c r="G3172">
        <f>Skills!G5*IF(Skills!H5&gt;0,Skills!I5/Skills!H5,1)</f>
        <v/>
      </c>
      <c r="H3172">
        <f>1-(1-Skills!J5/100)^Skills!K5</f>
        <v/>
      </c>
      <c r="I3172" t="inlineStr">
        <is>
          <t>1</t>
        </is>
      </c>
      <c r="J3172">
        <f>((Inputs!$B$6*(1+Inputs!$B$7/100))+(((Inputs!$B$12*(1+Inputs!$B$13/100))-(Inputs!$B$12*(1+Inputs!$B$13/100)))+0.25*(Inputs!$B$14-Inputs!$B$14))*(1+Inputs!$B$7/100))*(F3172/100)</f>
        <v/>
      </c>
      <c r="K3172">
        <f>J3172*(1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3177=TRUE,F3177,0)/100)*(1+(IF(Skills!A5="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3191=TRUE)*(F3191-Calc!F24)),(Inputs!$B$23+((C3196=TRUE)*(F3196-Calc!F29))+(IF(ArtifactsInput!$M$15,CHOOSE(ArtifactsInput!$N$15+1,25,30,35,40,45,50)/100*(Inputs!$B$11-Inputs!$B$11),0))))/100+(Inputs!$B$23+((C3196=TRUE)*(F3196-Calc!F29))+(IF(ArtifactsInput!$M$15,CHOOSE(ArtifactsInput!$N$15+1,25,30,35,40,45,50)/100*(Inputs!$B$11-Inputs!$B$11),0)))/100)/2</f>
        <v/>
      </c>
      <c r="M3172">
        <f>L3172*(1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IF(B3210=0,0,O3172/B3210)</f>
        <v/>
      </c>
      <c r="Q3172">
        <f>IFERROR(1/(IF(Inputs!$B$38="pvp",15,MAX(0.1,Skills!D5-IF(Skills!E5=TRUE,3.0,0)))*(1-IF(AND(ArtifactsInput!$M$27,Inputs!$B$4="Chapter Hunt"),CHOOSE(ArtifactsInput!$N$27+1,20,24,28,32,36,40),0)/100)),0)</f>
        <v/>
      </c>
      <c r="R3172">
        <f>IF(AND(Inputs!$B$38&lt;&gt;"pvp",Inputs!$B$43&gt;0),IF(MAX(0,Inputs!$B$43-B3207)&lt;=0,0,(INT(MAX(0,Inputs!$B$43-B3207)/(IF(Inputs!$B$38="pvp",15,MAX(0.1,Skills!D5-IF(Skills!E5=TRUE,3.0,0)))*(1-IF(AND(ArtifactsInput!$M$27,Inputs!$B$4="Chapter Hunt"),CHOOSE(ArtifactsInput!$N$27+1,20,24,28,32,36,40),0)/100)))+1)),0)</f>
        <v/>
      </c>
      <c r="S3172">
        <f>IFERROR(O3172/N3172,0)</f>
        <v/>
      </c>
      <c r="T3172">
        <f>IF(C3172,(H3172*N3172*IF(AND(Inputs!$B$38&lt;&gt;"pvp",Inputs!$B$43&gt;0),((Skills!G5*((R3172-1)*IF(Skills!H5&gt;0,Skills!I5/Skills!H5,1)+IF(Skills!H5&gt;0,MIN(Skills!I5,MAX(0,MAX(0,Inputs!$B$43-B3207)-((R3172-1)*(IF(Inputs!$B$38="pvp",15,MAX(0.1,Skills!D5-IF(Skills!E5=TRUE,3.0,0)))*(1-IF(AND(ArtifactsInput!$M$27,Inputs!$B$4="Chapter Hunt"),CHOOSE(ArtifactsInput!$N$27+1,20,24,28,32,36,40),0)/100)))))/Skills!H5,1)))/Inputs!$B$43),G3172*Q3172)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3172*(1-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5*((R3172-1)*IF(Skills!H5&gt;0,Skills!I5/Skills!H5,1)+IF(Skills!H5&gt;0,MIN(Skills!I5,MAX(0,MAX(0,Inputs!$B$43-B3207)-((R3172-1)*(IF(Inputs!$B$38="pvp",15,MAX(0.1,Skills!D5-IF(Skills!E5=TRUE,3.0,0)))*(1-IF(AND(ArtifactsInput!$M$27,Inputs!$B$4="Chapter Hunt"),CHOOSE(ArtifactsInput!$N$27+1,20,24,28,32,36,40),0)/100)))))/Skills!H5,1)))/Inputs!$B$43),G3172*Q3172))*IF(Inputs!$B$38="pvp",1,(1+(Inputs!$B$21+Skills!Q5+(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Skills!A6</f>
        <v/>
      </c>
      <c r="B3173">
        <f>Skills!B6</f>
        <v/>
      </c>
      <c r="C3173">
        <f>Inputs!$B$3&gt;=40</f>
        <v/>
      </c>
      <c r="D3173">
        <f>IF(Skills!C6=1,60+Inputs!$B$25+Inputs!$B$29,IF(Skills!C6=2,90+Inputs!$B$26+Inputs!$B$29,IF(Skills!C6=3,120+Inputs!$B$27+Inputs!$B$29,MAX(0,(Inputs!$B$3-100)*3)+Inputs!$B$28+Inputs!$B$29)))</f>
        <v/>
      </c>
      <c r="E3173">
        <f>INDEX(FactorTable!$B$2:$Y$301, MATCH(ROUND(MIN(300,MAX(1,D3173)),0), FactorTable!$A$2:$A$301,0), Skills!M6+1)</f>
        <v/>
      </c>
      <c r="F3173">
        <f>IF(Skills!N6=TRUE,(Skills!L6/10)*(E3173/1000),Skills!L6/10)+Skills!O6</f>
        <v/>
      </c>
      <c r="G3173">
        <f>Skills!G6*IF(Skills!H6&gt;0,Skills!I6/Skills!H6,1)</f>
        <v/>
      </c>
      <c r="H3173">
        <f>1-(1-Skills!J6/100)^Skills!K6</f>
        <v/>
      </c>
      <c r="I3173" t="inlineStr">
        <is>
          <t>1</t>
        </is>
      </c>
      <c r="J3173">
        <f>((Inputs!$B$6*(1+Inputs!$B$7/100))+(((Inputs!$B$12*(1+Inputs!$B$13/100))-(Inputs!$B$12*(1+Inputs!$B$13/100)))+0.25*(Inputs!$B$14-Inputs!$B$14))*(1+Inputs!$B$7/100))*(F3173/100)</f>
        <v/>
      </c>
      <c r="K3173">
        <f>J3173*(1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3174=TRUE,F3174,0)/100)*(1+(IF(Skills!A6="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3191=TRUE)*(F3191-Calc!F24)),(Inputs!$B$23+((C3196=TRUE)*(F3196-Calc!F29))+(IF(ArtifactsInput!$M$15,CHOOSE(ArtifactsInput!$N$15+1,25,30,35,40,45,50)/100*(Inputs!$B$11-Inputs!$B$11),0))))/100+(Inputs!$B$23+((C3196=TRUE)*(F3196-Calc!F29))+(IF(ArtifactsInput!$M$15,CHOOSE(ArtifactsInput!$N$15+1,25,30,35,40,45,50)/100*(Inputs!$B$11-Inputs!$B$11),0)))/100)/2</f>
        <v/>
      </c>
      <c r="M3173">
        <f>L3173*(1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IF(B3210=0,0,O3173/B3210)</f>
        <v/>
      </c>
      <c r="Q3173">
        <f>IFERROR(1/(IF(Inputs!$B$38="pvp",15,MAX(0.1,Skills!D6-IF(Skills!E6=TRUE,3.0,0)))*(1-IF(AND(ArtifactsInput!$M$27,Inputs!$B$4="Chapter Hunt"),CHOOSE(ArtifactsInput!$N$27+1,20,24,28,32,36,40),0)/100)),0)</f>
        <v/>
      </c>
      <c r="R3173">
        <f>IF(AND(Inputs!$B$38&lt;&gt;"pvp",Inputs!$B$43&gt;0),IF(MAX(0,Inputs!$B$43-B3207)&lt;=0,0,(INT(MAX(0,Inputs!$B$43-B3207)/(IF(Inputs!$B$38="pvp",15,MAX(0.1,Skills!D6-IF(Skills!E6=TRUE,3.0,0)))*(1-IF(AND(ArtifactsInput!$M$27,Inputs!$B$4="Chapter Hunt"),CHOOSE(ArtifactsInput!$N$27+1,20,24,28,32,36,40),0)/100)))+1)),0)</f>
        <v/>
      </c>
      <c r="S3173">
        <f>IFERROR(O3173/N3173,0)</f>
        <v/>
      </c>
      <c r="T3173">
        <f>IF(C3173,(H3173*N3173*IF(AND(Inputs!$B$38&lt;&gt;"pvp",Inputs!$B$43&gt;0),((Skills!G6*((R3173-1)*IF(Skills!H6&gt;0,Skills!I6/Skills!H6,1)+IF(Skills!H6&gt;0,MIN(Skills!I6,MAX(0,MAX(0,Inputs!$B$43-B3207)-((R3173-1)*(IF(Inputs!$B$38="pvp",15,MAX(0.1,Skills!D6-IF(Skills!E6=TRUE,3.0,0)))*(1-IF(AND(ArtifactsInput!$M$27,Inputs!$B$4="Chapter Hunt"),CHOOSE(ArtifactsInput!$N$27+1,20,24,28,32,36,40),0)/100)))))/Skills!H6,1)))/Inputs!$B$43),G3173*Q3173)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3173*(1-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6*((R3173-1)*IF(Skills!H6&gt;0,Skills!I6/Skills!H6,1)+IF(Skills!H6&gt;0,MIN(Skills!I6,MAX(0,MAX(0,Inputs!$B$43-B3207)-((R3173-1)*(IF(Inputs!$B$38="pvp",15,MAX(0.1,Skills!D6-IF(Skills!E6=TRUE,3.0,0)))*(1-IF(AND(ArtifactsInput!$M$27,Inputs!$B$4="Chapter Hunt"),CHOOSE(ArtifactsInput!$N$27+1,20,24,28,32,36,40),0)/100)))))/Skills!H6,1)))/Inputs!$B$43),G3173*Q3173))*IF(Inputs!$B$38="pvp",1,(1+(Inputs!$B$21+Skills!Q6+(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Skills!A7</f>
        <v/>
      </c>
      <c r="B3174">
        <f>Skills!B7</f>
        <v/>
      </c>
      <c r="C3174">
        <f>Inputs!$B$3&gt;=107</f>
        <v/>
      </c>
      <c r="D3174">
        <f>IF(Skills!C7=1,60+Inputs!$B$25+Inputs!$B$29,IF(Skills!C7=2,90+Inputs!$B$26+Inputs!$B$29,IF(Skills!C7=3,120+Inputs!$B$27+Inputs!$B$29,MAX(0,(Inputs!$B$3-100)*3)+Inputs!$B$28+Inputs!$B$29)))</f>
        <v/>
      </c>
      <c r="E3174">
        <f>INDEX(FactorTable!$B$2:$Y$301, MATCH(ROUND(MIN(300,MAX(1,D3174)),0), FactorTable!$A$2:$A$301,0), Skills!M7+1)</f>
        <v/>
      </c>
      <c r="F3174">
        <f>IF(Skills!N7=TRUE,(Skills!L7/10)*(E3174/1000),Skills!L7/10)+Skills!O7</f>
        <v/>
      </c>
      <c r="G3174" t="inlineStr"/>
      <c r="H3174" t="inlineStr"/>
      <c r="I3174" t="inlineStr">
        <is>
          <t>1</t>
        </is>
      </c>
      <c r="J3174" t="inlineStr"/>
      <c r="K3174" t="inlineStr"/>
      <c r="L3174" t="inlineStr"/>
      <c r="M3174" t="inlineStr"/>
      <c r="N3174" t="inlineStr"/>
      <c r="O3174" t="inlineStr"/>
      <c r="P3174" t="inlineStr"/>
      <c r="Q3174" t="inlineStr"/>
      <c r="R3174" t="inlineStr"/>
      <c r="S3174" t="inlineStr"/>
      <c r="T3174" t="inlineStr"/>
      <c r="V3174" t="inlineStr"/>
    </row>
    <row r="3175">
      <c r="A3175">
        <f>Skills!A8</f>
        <v/>
      </c>
      <c r="B3175">
        <f>Skills!B8</f>
        <v/>
      </c>
      <c r="C3175">
        <f>Inputs!$B$3&gt;=69</f>
        <v/>
      </c>
      <c r="D3175">
        <f>IF(Skills!C8=1,60+Inputs!$B$25+Inputs!$B$29,IF(Skills!C8=2,90+Inputs!$B$26+Inputs!$B$29,IF(Skills!C8=3,120+Inputs!$B$27+Inputs!$B$29,MAX(0,(Inputs!$B$3-100)*3)+Inputs!$B$28+Inputs!$B$29)))</f>
        <v/>
      </c>
      <c r="E3175">
        <f>INDEX(FactorTable!$B$2:$Y$301, MATCH(ROUND(MIN(300,MAX(1,D3175)),0), FactorTable!$A$2:$A$301,0), Skills!M8+1)</f>
        <v/>
      </c>
      <c r="F3175">
        <f>IF(Skills!N8=TRUE,(Skills!L8/10)*(E3175/1000),Skills!L8/10)+Skills!O8</f>
        <v/>
      </c>
      <c r="G3175">
        <f>Skills!G8*IF(Skills!H8&gt;0,Skills!I8/Skills!H8,1)</f>
        <v/>
      </c>
      <c r="H3175">
        <f>1-(1-Skills!J8/100)^Skills!K8</f>
        <v/>
      </c>
      <c r="I3175" t="inlineStr">
        <is>
          <t>1</t>
        </is>
      </c>
      <c r="J3175">
        <f>((Inputs!$B$6*(1+Inputs!$B$7/100))+(((Inputs!$B$12*(1+Inputs!$B$13/100))-(Inputs!$B$12*(1+Inputs!$B$13/100)))+0.25*(Inputs!$B$14-Inputs!$B$14))*(1+Inputs!$B$7/100))*(F3175/100)</f>
        <v/>
      </c>
      <c r="K3175">
        <f>J3175*(1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3177=TRUE,F3177,0)/100)*(1+(IF(Skills!A8="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3191=TRUE)*(F3191-Calc!F24)),(Inputs!$B$23+((C3196=TRUE)*(F3196-Calc!F29))+(IF(ArtifactsInput!$M$15,CHOOSE(ArtifactsInput!$N$15+1,25,30,35,40,45,50)/100*(Inputs!$B$11-Inputs!$B$11),0))))/100+(Inputs!$B$23+((C3196=TRUE)*(F3196-Calc!F29))+(IF(ArtifactsInput!$M$15,CHOOSE(ArtifactsInput!$N$15+1,25,30,35,40,45,50)/100*(Inputs!$B$11-Inputs!$B$11),0)))/100)/2</f>
        <v/>
      </c>
      <c r="M3175">
        <f>L3175*(1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IF(B3210=0,0,O3175/B3210)</f>
        <v/>
      </c>
      <c r="Q3175">
        <f>IFERROR(1/(IF(Inputs!$B$38="pvp",15,MAX(0.1,Skills!D8-IF(Skills!E8=TRUE,3.0,0)))*(1-IF(AND(ArtifactsInput!$M$27,Inputs!$B$4="Chapter Hunt"),CHOOSE(ArtifactsInput!$N$27+1,20,24,28,32,36,40),0)/100)),0)</f>
        <v/>
      </c>
      <c r="R3175">
        <f>IF(AND(Inputs!$B$38&lt;&gt;"pvp",Inputs!$B$43&gt;0),IF(MAX(0,Inputs!$B$43-B3207)&lt;=0,0,(INT(MAX(0,Inputs!$B$43-B3207)/(IF(Inputs!$B$38="pvp",15,MAX(0.1,Skills!D8-IF(Skills!E8=TRUE,3.0,0)))*(1-IF(AND(ArtifactsInput!$M$27,Inputs!$B$4="Chapter Hunt"),CHOOSE(ArtifactsInput!$N$27+1,20,24,28,32,36,40),0)/100)))+1)),0)</f>
        <v/>
      </c>
      <c r="S3175">
        <f>IFERROR(O3175/N3175,0)</f>
        <v/>
      </c>
      <c r="T3175">
        <f>IF(C3175,(H3175*N3175*IF(AND(Inputs!$B$38&lt;&gt;"pvp",Inputs!$B$43&gt;0),((Skills!G8*((R3175-1)*IF(Skills!H8&gt;0,Skills!I8/Skills!H8,1)+IF(Skills!H8&gt;0,MIN(Skills!I8,MAX(0,MAX(0,Inputs!$B$43-B3207)-((R3175-1)*(IF(Inputs!$B$38="pvp",15,MAX(0.1,Skills!D8-IF(Skills!E8=TRUE,3.0,0)))*(1-IF(AND(ArtifactsInput!$M$27,Inputs!$B$4="Chapter Hunt"),CHOOSE(ArtifactsInput!$N$27+1,20,24,28,32,36,40),0)/100)))))/Skills!H8,1)))/Inputs!$B$43),G3175*Q3175)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3175*(1-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8*((R3175-1)*IF(Skills!H8&gt;0,Skills!I8/Skills!H8,1)+IF(Skills!H8&gt;0,MIN(Skills!I8,MAX(0,MAX(0,Inputs!$B$43-B3207)-((R3175-1)*(IF(Inputs!$B$38="pvp",15,MAX(0.1,Skills!D8-IF(Skills!E8=TRUE,3.0,0)))*(1-IF(AND(ArtifactsInput!$M$27,Inputs!$B$4="Chapter Hunt"),CHOOSE(ArtifactsInput!$N$27+1,20,24,28,32,36,40),0)/100)))))/Skills!H8,1)))/Inputs!$B$43),G3175*Q3175))*IF(Inputs!$B$38="pvp",1,(1+(Inputs!$B$21+Skills!Q8+(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Skills!A9</f>
        <v/>
      </c>
      <c r="B3176">
        <f>Skills!B9</f>
        <v/>
      </c>
      <c r="C3176">
        <f>Inputs!$B$3&gt;=63</f>
        <v/>
      </c>
      <c r="D3176">
        <f>IF(Skills!C9=1,60+Inputs!$B$25+Inputs!$B$29,IF(Skills!C9=2,90+Inputs!$B$26+Inputs!$B$29,IF(Skills!C9=3,120+Inputs!$B$27+Inputs!$B$29,MAX(0,(Inputs!$B$3-100)*3)+Inputs!$B$28+Inputs!$B$29)))</f>
        <v/>
      </c>
      <c r="E3176">
        <f>INDEX(FactorTable!$B$2:$Y$301, MATCH(ROUND(MIN(300,MAX(1,D3176)),0), FactorTable!$A$2:$A$301,0), Skills!M9+1)</f>
        <v/>
      </c>
      <c r="F3176">
        <f>IF(Skills!N9=TRUE,(Skills!L9/10)*(E3176/1000),Skills!L9/10)+Skills!O9</f>
        <v/>
      </c>
      <c r="G3176">
        <f>Skills!G9*IF(Skills!H9&gt;0,Skills!I9/Skills!H9,1)</f>
        <v/>
      </c>
      <c r="H3176">
        <f>1-(1-Skills!J9/100)^Skills!K9</f>
        <v/>
      </c>
      <c r="I3176" t="inlineStr">
        <is>
          <t>1</t>
        </is>
      </c>
      <c r="J3176">
        <f>((Inputs!$B$6*(1+Inputs!$B$7/100))+(((Inputs!$B$12*(1+Inputs!$B$13/100))-(Inputs!$B$12*(1+Inputs!$B$13/100)))+0.25*(Inputs!$B$14-Inputs!$B$14))*(1+Inputs!$B$7/100))*(F3176/100)</f>
        <v/>
      </c>
      <c r="K3176">
        <f>J3176*(1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3177=TRUE,F3177,0)/100)*(1+(IF(Skills!A9="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3191=TRUE)*(F3191-Calc!F24)),(Inputs!$B$23+((C3196=TRUE)*(F3196-Calc!F29))+(IF(ArtifactsInput!$M$15,CHOOSE(ArtifactsInput!$N$15+1,25,30,35,40,45,50)/100*(Inputs!$B$11-Inputs!$B$11),0))))/100+(Inputs!$B$23+((C3196=TRUE)*(F3196-Calc!F29))+(IF(ArtifactsInput!$M$15,CHOOSE(ArtifactsInput!$N$15+1,25,30,35,40,45,50)/100*(Inputs!$B$11-Inputs!$B$11),0)))/100)/2</f>
        <v/>
      </c>
      <c r="M3176">
        <f>L3176*(1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IF(B3210=0,0,O3176/B3210)</f>
        <v/>
      </c>
      <c r="Q3176">
        <f>IFERROR(1/(IF(Inputs!$B$38="pvp",15,MAX(0.1,Skills!D9-IF(Skills!E9=TRUE,3.0,0)))*(1-IF(AND(ArtifactsInput!$M$27,Inputs!$B$4="Chapter Hunt"),CHOOSE(ArtifactsInput!$N$27+1,20,24,28,32,36,40),0)/100)),0)</f>
        <v/>
      </c>
      <c r="R3176">
        <f>IF(AND(Inputs!$B$38&lt;&gt;"pvp",Inputs!$B$43&gt;0),IF(MAX(0,Inputs!$B$43-B3207)&lt;=0,0,(INT(MAX(0,Inputs!$B$43-B3207)/(IF(Inputs!$B$38="pvp",15,MAX(0.1,Skills!D9-IF(Skills!E9=TRUE,3.0,0)))*(1-IF(AND(ArtifactsInput!$M$27,Inputs!$B$4="Chapter Hunt"),CHOOSE(ArtifactsInput!$N$27+1,20,24,28,32,36,40),0)/100)))+1)),0)</f>
        <v/>
      </c>
      <c r="S3176">
        <f>IFERROR(O3176/N3176,0)</f>
        <v/>
      </c>
      <c r="T3176">
        <f>IF(C3176,(H3176*N3176*IF(AND(Inputs!$B$38&lt;&gt;"pvp",Inputs!$B$43&gt;0),((Skills!G9*((R3176-1)*IF(Skills!H9&gt;0,Skills!I9/Skills!H9,1)+IF(Skills!H9&gt;0,MIN(Skills!I9,MAX(0,MAX(0,Inputs!$B$43-B3207)-((R3176-1)*(IF(Inputs!$B$38="pvp",15,MAX(0.1,Skills!D9-IF(Skills!E9=TRUE,3.0,0)))*(1-IF(AND(ArtifactsInput!$M$27,Inputs!$B$4="Chapter Hunt"),CHOOSE(ArtifactsInput!$N$27+1,20,24,28,32,36,40),0)/100)))))/Skills!H9,1)))/Inputs!$B$43),G3176*Q3176)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3176*(1-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9*((R3176-1)*IF(Skills!H9&gt;0,Skills!I9/Skills!H9,1)+IF(Skills!H9&gt;0,MIN(Skills!I9,MAX(0,MAX(0,Inputs!$B$43-B3207)-((R3176-1)*(IF(Inputs!$B$38="pvp",15,MAX(0.1,Skills!D9-IF(Skills!E9=TRUE,3.0,0)))*(1-IF(AND(ArtifactsInput!$M$27,Inputs!$B$4="Chapter Hunt"),CHOOSE(ArtifactsInput!$N$27+1,20,24,28,32,36,40),0)/100)))))/Skills!H9,1)))/Inputs!$B$43),G3176*Q3176))*IF(Inputs!$B$38="pvp",1,(1+(Inputs!$B$21+Skills!Q9+(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Skills!A10</f>
        <v/>
      </c>
      <c r="B3177">
        <f>Skills!B10</f>
        <v/>
      </c>
      <c r="C3177">
        <f>Inputs!$B$3&gt;=100</f>
        <v/>
      </c>
      <c r="D3177">
        <f>IF(Skills!C10=1,60+Inputs!$B$25+Inputs!$B$29,IF(Skills!C10=2,90+Inputs!$B$26+Inputs!$B$29,IF(Skills!C10=3,120+Inputs!$B$27+Inputs!$B$29,MAX(0,(Inputs!$B$3-100)*3)+Inputs!$B$28+Inputs!$B$29)))</f>
        <v/>
      </c>
      <c r="E3177">
        <f>INDEX(FactorTable!$B$2:$Y$301, MATCH(ROUND(MIN(300,MAX(1,D3177)),0), FactorTable!$A$2:$A$301,0), Skills!M10+1)</f>
        <v/>
      </c>
      <c r="F3177">
        <f>IF(Skills!N10=TRUE,(Skills!L10/10)*(E3177/1000),Skills!L10/10)+Skills!O10</f>
        <v/>
      </c>
      <c r="G3177" t="inlineStr"/>
      <c r="H3177" t="inlineStr"/>
      <c r="I3177" t="inlineStr">
        <is>
          <t>1</t>
        </is>
      </c>
      <c r="J3177" t="inlineStr"/>
      <c r="K3177" t="inlineStr"/>
      <c r="L3177" t="inlineStr"/>
      <c r="M3177" t="inlineStr"/>
      <c r="N3177" t="inlineStr"/>
      <c r="O3177" t="inlineStr"/>
      <c r="P3177" t="inlineStr"/>
      <c r="Q3177" t="inlineStr"/>
      <c r="R3177" t="inlineStr"/>
      <c r="S3177" t="inlineStr"/>
      <c r="T3177" t="inlineStr"/>
      <c r="V3177" t="inlineStr"/>
    </row>
    <row r="3178">
      <c r="A3178">
        <f>Skills!A11</f>
        <v/>
      </c>
      <c r="B3178">
        <f>Skills!B11</f>
        <v/>
      </c>
      <c r="C3178">
        <f>Inputs!$B$3&gt;=60</f>
        <v/>
      </c>
      <c r="D3178">
        <f>IF(Skills!C11=1,60+Inputs!$B$25+Inputs!$B$29,IF(Skills!C11=2,90+Inputs!$B$26+Inputs!$B$29,IF(Skills!C11=3,120+Inputs!$B$27+Inputs!$B$29,MAX(0,(Inputs!$B$3-100)*3)+Inputs!$B$28+Inputs!$B$29)))</f>
        <v/>
      </c>
      <c r="E3178">
        <f>INDEX(FactorTable!$B$2:$Y$301, MATCH(ROUND(MIN(300,MAX(1,D3178)),0), FactorTable!$A$2:$A$301,0), Skills!M11+1)</f>
        <v/>
      </c>
      <c r="F3178">
        <f>IF(Skills!N11=TRUE,(Skills!L11/10)*(E3178/1000),Skills!L11/10)+Skills!O11</f>
        <v/>
      </c>
      <c r="G3178">
        <f>Skills!G11*IF(Skills!H11&gt;0,Skills!I11/Skills!H11,1)</f>
        <v/>
      </c>
      <c r="H3178">
        <f>1-(1-Skills!J11/100)^Skills!K11</f>
        <v/>
      </c>
      <c r="I3178" t="inlineStr">
        <is>
          <t>1</t>
        </is>
      </c>
      <c r="J3178">
        <f>((Inputs!$B$6*(1+Inputs!$B$7/100))+(((Inputs!$B$12*(1+Inputs!$B$13/100))-(Inputs!$B$12*(1+Inputs!$B$13/100)))+0.25*(Inputs!$B$14-Inputs!$B$14))*(1+Inputs!$B$7/100))*(F3178/100)</f>
        <v/>
      </c>
      <c r="K3178">
        <f>J3178*(1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3179=TRUE,F3179,0)/100)*(1+(IF(Skills!A11="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3191=TRUE)*(F3191-Calc!F24)),(Inputs!$B$23+((C3196=TRUE)*(F3196-Calc!F29))+(IF(ArtifactsInput!$M$15,CHOOSE(ArtifactsInput!$N$15+1,25,30,35,40,45,50)/100*(Inputs!$B$11-Inputs!$B$11),0))))/100+(Inputs!$B$23+((C3196=TRUE)*(F3196-Calc!F29))+(IF(ArtifactsInput!$M$15,CHOOSE(ArtifactsInput!$N$15+1,25,30,35,40,45,50)/100*(Inputs!$B$11-Inputs!$B$11),0)))/100)/2</f>
        <v/>
      </c>
      <c r="M3178">
        <f>L3178*(1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IF(B3210=0,0,O3178/B3210)</f>
        <v/>
      </c>
      <c r="Q3178">
        <f>IFERROR(1/(IF(Inputs!$B$38="pvp",15,MAX(0.1,Skills!D11-IF(Skills!E11=TRUE,3.0,0)))*(1-IF(AND(ArtifactsInput!$M$27,Inputs!$B$4="Chapter Hunt"),CHOOSE(ArtifactsInput!$N$27+1,20,24,28,32,36,40),0)/100)),0)</f>
        <v/>
      </c>
      <c r="R3178">
        <f>IF(AND(Inputs!$B$38&lt;&gt;"pvp",Inputs!$B$43&gt;0),IF(MAX(0,Inputs!$B$43-B3207)&lt;=0,0,(INT(MAX(0,Inputs!$B$43-B3207)/(IF(Inputs!$B$38="pvp",15,MAX(0.1,Skills!D11-IF(Skills!E11=TRUE,3.0,0)))*(1-IF(AND(ArtifactsInput!$M$27,Inputs!$B$4="Chapter Hunt"),CHOOSE(ArtifactsInput!$N$27+1,20,24,28,32,36,40),0)/100)))+1)),0)</f>
        <v/>
      </c>
      <c r="S3178">
        <f>IFERROR(O3178/N3178,0)</f>
        <v/>
      </c>
      <c r="T3178">
        <f>IF(C3178,(H3178*N3178*IF(AND(Inputs!$B$38&lt;&gt;"pvp",Inputs!$B$43&gt;0),((Skills!G11*((R3178-1)*IF(Skills!H11&gt;0,Skills!I11/Skills!H11,1)+IF(Skills!H11&gt;0,MIN(Skills!I11,MAX(0,MAX(0,Inputs!$B$43-B3207)-((R3178-1)*(IF(Inputs!$B$38="pvp",15,MAX(0.1,Skills!D11-IF(Skills!E11=TRUE,3.0,0)))*(1-IF(AND(ArtifactsInput!$M$27,Inputs!$B$4="Chapter Hunt"),CHOOSE(ArtifactsInput!$N$27+1,20,24,28,32,36,40),0)/100)))))/Skills!H11,1)))/Inputs!$B$43),G3178*Q3178)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3178*(1-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11*((R3178-1)*IF(Skills!H11&gt;0,Skills!I11/Skills!H11,1)+IF(Skills!H11&gt;0,MIN(Skills!I11,MAX(0,MAX(0,Inputs!$B$43-B3207)-((R3178-1)*(IF(Inputs!$B$38="pvp",15,MAX(0.1,Skills!D11-IF(Skills!E11=TRUE,3.0,0)))*(1-IF(AND(ArtifactsInput!$M$27,Inputs!$B$4="Chapter Hunt"),CHOOSE(ArtifactsInput!$N$27+1,20,24,28,32,36,40),0)/100)))))/Skills!H11,1)))/Inputs!$B$43),G3178*Q3178))*IF(Inputs!$B$38="pvp",1,(1+(Inputs!$B$21+Skills!Q11+(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Skills!A12</f>
        <v/>
      </c>
      <c r="B3179">
        <f>Skills!B12</f>
        <v/>
      </c>
      <c r="C3179">
        <f>Inputs!$B$3&gt;=110</f>
        <v/>
      </c>
      <c r="D3179">
        <f>IF(Skills!C12=1,60+Inputs!$B$25+Inputs!$B$29,IF(Skills!C12=2,90+Inputs!$B$26+Inputs!$B$29,IF(Skills!C12=3,120+Inputs!$B$27+Inputs!$B$29,MAX(0,(Inputs!$B$3-100)*3)+Inputs!$B$28+Inputs!$B$29)))</f>
        <v/>
      </c>
      <c r="E3179">
        <f>INDEX(FactorTable!$B$2:$Y$301, MATCH(ROUND(MIN(300,MAX(1,D3179)),0), FactorTable!$A$2:$A$301,0), Skills!M12+1)</f>
        <v/>
      </c>
      <c r="F3179">
        <f>IF(Skills!N12=TRUE,(Skills!L12/10)*(E3179/1000),Skills!L12/10)+Skills!O12</f>
        <v/>
      </c>
      <c r="G3179" t="inlineStr"/>
      <c r="H3179" t="inlineStr"/>
      <c r="I3179" t="inlineStr">
        <is>
          <t>1</t>
        </is>
      </c>
      <c r="J3179" t="inlineStr"/>
      <c r="K3179" t="inlineStr"/>
      <c r="L3179" t="inlineStr"/>
      <c r="M3179" t="inlineStr"/>
      <c r="N3179" t="inlineStr"/>
      <c r="O3179" t="inlineStr"/>
      <c r="P3179" t="inlineStr"/>
      <c r="Q3179" t="inlineStr"/>
      <c r="R3179" t="inlineStr"/>
      <c r="S3179" t="inlineStr"/>
      <c r="T3179" t="inlineStr"/>
      <c r="V3179" t="inlineStr"/>
    </row>
    <row r="3180">
      <c r="A3180">
        <f>Skills!A13</f>
        <v/>
      </c>
      <c r="B3180">
        <f>Skills!B13</f>
        <v/>
      </c>
      <c r="C3180">
        <f>Inputs!$B$3&gt;=74</f>
        <v/>
      </c>
      <c r="D3180">
        <f>IF(Skills!C13=1,60+Inputs!$B$25+Inputs!$B$29,IF(Skills!C13=2,90+Inputs!$B$26+Inputs!$B$29,IF(Skills!C13=3,120+Inputs!$B$27+Inputs!$B$29,MAX(0,(Inputs!$B$3-100)*3)+Inputs!$B$28+Inputs!$B$29)))</f>
        <v/>
      </c>
      <c r="E3180">
        <f>INDEX(FactorTable!$B$2:$Y$301, MATCH(ROUND(MIN(300,MAX(1,D3180)),0), FactorTable!$A$2:$A$301,0), Skills!M13+1)</f>
        <v/>
      </c>
      <c r="F3180">
        <f>IF(Skills!N13=TRUE,(Skills!L13/10)*(E3180/1000),Skills!L13/10)+Skills!O13</f>
        <v/>
      </c>
      <c r="G3180">
        <f>Skills!G13*IF(Skills!H13&gt;0,Skills!I13/Skills!H13,1)</f>
        <v/>
      </c>
      <c r="H3180">
        <f>1-(1-Skills!J13/100)^Skills!K13</f>
        <v/>
      </c>
      <c r="I3180" t="inlineStr">
        <is>
          <t>1</t>
        </is>
      </c>
      <c r="J3180" t="inlineStr"/>
      <c r="K3180" t="inlineStr"/>
      <c r="L3180" t="inlineStr"/>
      <c r="M3180" t="inlineStr"/>
      <c r="N3180" t="inlineStr"/>
      <c r="O3180">
        <f>(1-Summary!$B$11)*T3180+Summary!$B$11*V3180</f>
        <v/>
      </c>
      <c r="P3180">
        <f>IF(B3210=0,0,O3180/B3210)</f>
        <v/>
      </c>
      <c r="Q3180" t="n">
        <v>0</v>
      </c>
      <c r="R3180" t="n">
        <v>0</v>
      </c>
      <c r="S3180">
        <f>IFERROR(O3180/N3180,0)</f>
        <v/>
      </c>
      <c r="T3180" t="n">
        <v>0</v>
      </c>
      <c r="V3180" t="n">
        <v>0</v>
      </c>
    </row>
    <row r="3181">
      <c r="A3181">
        <f>Skills!A14</f>
        <v/>
      </c>
      <c r="B3181">
        <f>Skills!B14</f>
        <v/>
      </c>
      <c r="C3181">
        <f>Inputs!$B$3&gt;=74</f>
        <v/>
      </c>
      <c r="D3181">
        <f>IF(Skills!C14=1,60+Inputs!$B$25+Inputs!$B$29,IF(Skills!C14=2,90+Inputs!$B$26+Inputs!$B$29,IF(Skills!C14=3,120+Inputs!$B$27+Inputs!$B$29,MAX(0,(Inputs!$B$3-100)*3)+Inputs!$B$28+Inputs!$B$29)))</f>
        <v/>
      </c>
      <c r="E3181">
        <f>INDEX(FactorTable!$B$2:$Y$301, MATCH(ROUND(MIN(300,MAX(1,D3181)),0), FactorTable!$A$2:$A$301,0), Skills!M14+1)</f>
        <v/>
      </c>
      <c r="F3181">
        <f>IF(Skills!N14=TRUE,(Skills!L14/10)*(E3181/1000),Skills!L14/10)+Skills!O14</f>
        <v/>
      </c>
      <c r="G3181">
        <f>Skills!G14*IF(Skills!H14&gt;0,Skills!I14/Skills!H14,1)</f>
        <v/>
      </c>
      <c r="H3181">
        <f>1-(1-Skills!J14/100)^Skills!K14</f>
        <v/>
      </c>
      <c r="I3181" t="inlineStr">
        <is>
          <t>1</t>
        </is>
      </c>
      <c r="J3181" t="inlineStr"/>
      <c r="K3181" t="inlineStr"/>
      <c r="L3181" t="inlineStr"/>
      <c r="M3181" t="inlineStr"/>
      <c r="N3181" t="inlineStr"/>
      <c r="O3181">
        <f>(1-Summary!$B$11)*T3181+Summary!$B$11*V3181</f>
        <v/>
      </c>
      <c r="P3181">
        <f>IF(B3210=0,0,O3181/B3210)</f>
        <v/>
      </c>
      <c r="Q3181" t="n">
        <v>0</v>
      </c>
      <c r="R3181" t="n">
        <v>0</v>
      </c>
      <c r="S3181">
        <f>IFERROR(O3181/N3181,0)</f>
        <v/>
      </c>
      <c r="T3181" t="n">
        <v>0</v>
      </c>
      <c r="V3181" t="n">
        <v>0</v>
      </c>
    </row>
    <row r="3182">
      <c r="A3182">
        <f>Skills!A15</f>
        <v/>
      </c>
      <c r="B3182">
        <f>Skills!B15</f>
        <v/>
      </c>
      <c r="C3182">
        <f>Inputs!$B$3&gt;=117</f>
        <v/>
      </c>
      <c r="D3182">
        <f>IF(Skills!C15=1,60+Inputs!$B$25+Inputs!$B$29,IF(Skills!C15=2,90+Inputs!$B$26+Inputs!$B$29,IF(Skills!C15=3,120+Inputs!$B$27+Inputs!$B$29,MAX(0,(Inputs!$B$3-100)*3)+Inputs!$B$28+Inputs!$B$29)))</f>
        <v/>
      </c>
      <c r="E3182">
        <f>INDEX(FactorTable!$B$2:$Y$301, MATCH(ROUND(MIN(300,MAX(1,D3182)),0), FactorTable!$A$2:$A$301,0), Skills!M15+1)</f>
        <v/>
      </c>
      <c r="F3182">
        <f>IF(Skills!N15=TRUE,(Skills!L15/10)*(E3182/1000),Skills!L15/10)+Skills!O15</f>
        <v/>
      </c>
      <c r="G3182">
        <f>Skills!G15*IF(Skills!H15&gt;0,Skills!I15/Skills!H15,1)</f>
        <v/>
      </c>
      <c r="H3182">
        <f>1-(1-Skills!J15/100)^Skills!K15</f>
        <v/>
      </c>
      <c r="I3182" t="inlineStr">
        <is>
          <t>1</t>
        </is>
      </c>
      <c r="J3182" t="inlineStr"/>
      <c r="K3182" t="inlineStr"/>
      <c r="L3182" t="inlineStr"/>
      <c r="M3182" t="inlineStr"/>
      <c r="N3182" t="inlineStr"/>
      <c r="O3182">
        <f>(1-Summary!$B$11)*T3182+Summary!$B$11*V3182</f>
        <v/>
      </c>
      <c r="P3182">
        <f>IF(B3210=0,0,O3182/B3210)</f>
        <v/>
      </c>
      <c r="Q3182">
        <f>IFERROR(1/(IF(Inputs!$B$38="pvp",15,MAX(0.1,Skills!D15-IF(Skills!E15=TRUE,3.0,0)))*(1-IF(AND(ArtifactsInput!$M$27,Inputs!$B$4="Chapter Hunt"),CHOOSE(ArtifactsInput!$N$27+1,20,24,28,32,36,40),0)/100)),0)</f>
        <v/>
      </c>
      <c r="R3182">
        <f>IF(AND(Inputs!$B$38&lt;&gt;"pvp",Inputs!$B$43&gt;0),IF(Inputs!$B$43&lt;=0,0,(INT(Inputs!$B$43/(IF(Inputs!$B$38="pvp",15,MAX(0.1,Skills!D15-IF(Skills!E15=TRUE,3.0,0)))*(1-IF(AND(ArtifactsInput!$M$27,Inputs!$B$4="Chapter Hunt"),CHOOSE(ArtifactsInput!$N$27+1,20,24,28,32,36,40),0)/100)))+1)),0)</f>
        <v/>
      </c>
      <c r="S3182">
        <f>IFERROR(O3182/N3182,0)</f>
        <v/>
      </c>
      <c r="T3182" t="n">
        <v>0</v>
      </c>
      <c r="V3182" t="n">
        <v>0</v>
      </c>
    </row>
    <row r="3183">
      <c r="A3183">
        <f>Skills!A16</f>
        <v/>
      </c>
      <c r="B3183">
        <f>Skills!B16</f>
        <v/>
      </c>
      <c r="C3183">
        <f>Inputs!$B$3&gt;=115</f>
        <v/>
      </c>
      <c r="D3183">
        <f>IF(Skills!C16=1,60+Inputs!$B$25+Inputs!$B$29,IF(Skills!C16=2,90+Inputs!$B$26+Inputs!$B$29,IF(Skills!C16=3,120+Inputs!$B$27+Inputs!$B$29,MAX(0,(Inputs!$B$3-100)*3)+Inputs!$B$28+Inputs!$B$29)))</f>
        <v/>
      </c>
      <c r="E3183">
        <f>INDEX(FactorTable!$B$2:$Y$301, MATCH(ROUND(MIN(300,MAX(1,D3183)),0), FactorTable!$A$2:$A$301,0), Skills!M16+1)</f>
        <v/>
      </c>
      <c r="F3183">
        <f>IF(Skills!N16=TRUE,(Skills!L16/10)*(E3183/1000),Skills!L16/10)+Skills!O16</f>
        <v/>
      </c>
      <c r="G3183">
        <f>Skills!G16*IF(Skills!H16&gt;0,Skills!I16/Skills!H16,1)</f>
        <v/>
      </c>
      <c r="H3183">
        <f>1-(1-Skills!J16/100)^Skills!K16</f>
        <v/>
      </c>
      <c r="I3183" t="inlineStr">
        <is>
          <t>1</t>
        </is>
      </c>
      <c r="J3183" t="inlineStr"/>
      <c r="K3183" t="inlineStr"/>
      <c r="L3183" t="inlineStr"/>
      <c r="M3183" t="inlineStr"/>
      <c r="N3183" t="inlineStr"/>
      <c r="O3183">
        <f>(1-Summary!$B$11)*T3183+Summary!$B$11*V3183</f>
        <v/>
      </c>
      <c r="P3183">
        <f>IF(B3210=0,0,O3183/B3210)</f>
        <v/>
      </c>
      <c r="Q3183">
        <f>IFERROR(1/(IF(Inputs!$B$38="pvp",15,MAX(0.1,Skills!D16-IF(Skills!E16=TRUE,3.0,0)))*(1-IF(AND(ArtifactsInput!$M$27,Inputs!$B$4="Chapter Hunt"),CHOOSE(ArtifactsInput!$N$27+1,20,24,28,32,36,40),0)/100)),0)</f>
        <v/>
      </c>
      <c r="R3183">
        <f>IF(AND(Inputs!$B$38&lt;&gt;"pvp",Inputs!$B$43&gt;0),IF(Inputs!$B$43&lt;=0,0,(INT(Inputs!$B$43/(IF(Inputs!$B$38="pvp",15,MAX(0.1,Skills!D16-IF(Skills!E16=TRUE,3.0,0)))*(1-IF(AND(ArtifactsInput!$M$27,Inputs!$B$4="Chapter Hunt"),CHOOSE(ArtifactsInput!$N$27+1,20,24,28,32,36,40),0)/100)))+1)),0)</f>
        <v/>
      </c>
      <c r="S3183">
        <f>IFERROR(O3183/N3183,0)</f>
        <v/>
      </c>
      <c r="T3183" t="n">
        <v>0</v>
      </c>
      <c r="V3183" t="n">
        <v>0</v>
      </c>
    </row>
    <row r="3184">
      <c r="A3184">
        <f>Skills!A17</f>
        <v/>
      </c>
      <c r="B3184">
        <f>Skills!B17</f>
        <v/>
      </c>
      <c r="C3184">
        <f>Inputs!$B$3&gt;=66</f>
        <v/>
      </c>
      <c r="D3184">
        <f>IF(Skills!C17=1,60+Inputs!$B$25+Inputs!$B$29,IF(Skills!C17=2,90+Inputs!$B$26+Inputs!$B$29,IF(Skills!C17=3,120+Inputs!$B$27+Inputs!$B$29,MAX(0,(Inputs!$B$3-100)*3)+Inputs!$B$28+Inputs!$B$29)))</f>
        <v/>
      </c>
      <c r="E3184">
        <f>INDEX(FactorTable!$B$2:$Y$301, MATCH(ROUND(MIN(300,MAX(1,D3184)),0), FactorTable!$A$2:$A$301,0), Skills!M17+1)</f>
        <v/>
      </c>
      <c r="F3184">
        <f>IF(Skills!N17=TRUE,(Skills!L17/10)*(E3184/1000),Skills!L17/10)+Skills!O17</f>
        <v/>
      </c>
      <c r="G3184">
        <f>Skills!G17*IF(Skills!H17&gt;0,Skills!I17/Skills!H17,1)</f>
        <v/>
      </c>
      <c r="H3184">
        <f>1-(1-Skills!J17/100)^Skills!K17</f>
        <v/>
      </c>
      <c r="I3184" t="inlineStr">
        <is>
          <t>1</t>
        </is>
      </c>
      <c r="J3184" t="inlineStr"/>
      <c r="K3184" t="inlineStr"/>
      <c r="L3184" t="inlineStr"/>
      <c r="M3184" t="inlineStr"/>
      <c r="N3184" t="inlineStr"/>
      <c r="O3184">
        <f>(1-Summary!$B$11)*T3184+Summary!$B$11*V3184</f>
        <v/>
      </c>
      <c r="P3184">
        <f>IF(B3210=0,0,O3184/B3210)</f>
        <v/>
      </c>
      <c r="Q3184" t="n">
        <v>0</v>
      </c>
      <c r="R3184" t="n">
        <v>0</v>
      </c>
      <c r="S3184">
        <f>IFERROR(O3184/N3184,0)</f>
        <v/>
      </c>
      <c r="T3184" t="n">
        <v>0</v>
      </c>
      <c r="V3184" t="n">
        <v>0</v>
      </c>
    </row>
    <row r="3185">
      <c r="A3185">
        <f>Skills!A18</f>
        <v/>
      </c>
      <c r="B3185">
        <f>Skills!B18</f>
        <v/>
      </c>
      <c r="C3185">
        <f>Inputs!$B$3&gt;=72</f>
        <v/>
      </c>
      <c r="D3185">
        <f>IF(Skills!C18=1,60+Inputs!$B$25+Inputs!$B$29,IF(Skills!C18=2,90+Inputs!$B$26+Inputs!$B$29,IF(Skills!C18=3,120+Inputs!$B$27+Inputs!$B$29,MAX(0,(Inputs!$B$3-100)*3)+Inputs!$B$28+Inputs!$B$29)))</f>
        <v/>
      </c>
      <c r="E3185">
        <f>INDEX(FactorTable!$B$2:$Y$301, MATCH(ROUND(MIN(300,MAX(1,D3185)),0), FactorTable!$A$2:$A$301,0), Skills!M18+1)</f>
        <v/>
      </c>
      <c r="F3185">
        <f>IF(Skills!N18=TRUE,(Skills!L18/10)*(E3185/1000),Skills!L18/10)+Skills!O18</f>
        <v/>
      </c>
      <c r="G3185">
        <f>Skills!G18*IF(Skills!H18&gt;0,Skills!I18/Skills!H18,1)</f>
        <v/>
      </c>
      <c r="H3185">
        <f>1-(1-Skills!J18/100)^Skills!K18</f>
        <v/>
      </c>
      <c r="I3185" t="inlineStr">
        <is>
          <t>1</t>
        </is>
      </c>
      <c r="J3185" t="inlineStr"/>
      <c r="K3185" t="inlineStr"/>
      <c r="L3185" t="inlineStr"/>
      <c r="M3185" t="inlineStr"/>
      <c r="N3185" t="inlineStr"/>
      <c r="O3185">
        <f>(1-Summary!$B$11)*T3185+Summary!$B$11*V3185</f>
        <v/>
      </c>
      <c r="P3185">
        <f>IF(B3210=0,0,O3185/B3210)</f>
        <v/>
      </c>
      <c r="Q3185" t="n">
        <v>0</v>
      </c>
      <c r="R3185" t="n">
        <v>0</v>
      </c>
      <c r="S3185">
        <f>IFERROR(O3185/N3185,0)</f>
        <v/>
      </c>
      <c r="T3185" t="n">
        <v>0</v>
      </c>
      <c r="V3185" t="n">
        <v>0</v>
      </c>
    </row>
    <row r="3186">
      <c r="A3186">
        <f>Skills!A19</f>
        <v/>
      </c>
      <c r="B3186">
        <f>Skills!B19</f>
        <v/>
      </c>
      <c r="C3186">
        <f>TRUE</f>
        <v/>
      </c>
      <c r="D3186">
        <f>IF(Skills!C19=1,60+Inputs!$B$25+Inputs!$B$29,IF(Skills!C19=2,90+Inputs!$B$26+Inputs!$B$29,IF(Skills!C19=3,120+Inputs!$B$27+Inputs!$B$29,MAX(0,(Inputs!$B$3-100)*3)+Inputs!$B$28+Inputs!$B$29)))</f>
        <v/>
      </c>
      <c r="E3186">
        <f>INDEX(FactorTable!$B$2:$Y$301, MATCH(ROUND(MIN(300,MAX(1,D3186)),0), FactorTable!$A$2:$A$301,0), Skills!M19+1)</f>
        <v/>
      </c>
      <c r="F3186">
        <f>IF(Skills!N19=TRUE,(Skills!L19/10)*(E3186/1000),Skills!L19/10)+Skills!O19</f>
        <v/>
      </c>
      <c r="G3186">
        <f>Skills!G19*IF(Skills!H19&gt;0,Skills!I19/Skills!H19,1)</f>
        <v/>
      </c>
      <c r="H3186">
        <f>1-(1-Skills!J19/100)^Skills!K19</f>
        <v/>
      </c>
      <c r="I3186" t="inlineStr">
        <is>
          <t>1</t>
        </is>
      </c>
      <c r="J3186" t="inlineStr"/>
      <c r="K3186" t="inlineStr"/>
      <c r="L3186" t="inlineStr"/>
      <c r="M3186" t="inlineStr"/>
      <c r="N3186" t="inlineStr"/>
      <c r="O3186">
        <f>(1-Summary!$B$11)*T3186+Summary!$B$11*V3186</f>
        <v/>
      </c>
      <c r="P3186">
        <f>IF(B3210=0,0,O3186/B3210)</f>
        <v/>
      </c>
      <c r="Q3186">
        <f>IFERROR(1/(IF(Inputs!$B$38="pvp",15,MAX(0.1,Skills!D19-IF(Skills!E19=TRUE,3.0,0)))*(1-IF(AND(ArtifactsInput!$M$27,Inputs!$B$4="Chapter Hunt"),CHOOSE(ArtifactsInput!$N$27+1,20,24,28,32,36,40),0)/100)),0)</f>
        <v/>
      </c>
      <c r="R3186">
        <f>IF(AND(Inputs!$B$38&lt;&gt;"pvp",Inputs!$B$43&gt;0),IF(Inputs!$B$43&lt;=0,0,(INT(Inputs!$B$43/(IF(Inputs!$B$38="pvp",15,MAX(0.1,Skills!D19-IF(Skills!E19=TRUE,3.0,0)))*(1-IF(AND(ArtifactsInput!$M$27,Inputs!$B$4="Chapter Hunt"),CHOOSE(ArtifactsInput!$N$27+1,20,24,28,32,36,40),0)/100)))+1)),0)</f>
        <v/>
      </c>
      <c r="S3186">
        <f>IFERROR(O3186/N3186,0)</f>
        <v/>
      </c>
      <c r="T3186" t="n">
        <v>0</v>
      </c>
      <c r="V3186" t="n">
        <v>0</v>
      </c>
    </row>
    <row r="3187">
      <c r="A3187">
        <f>Skills!A20</f>
        <v/>
      </c>
      <c r="B3187">
        <f>Skills!B20</f>
        <v/>
      </c>
      <c r="C3187">
        <f>Inputs!$B$3&gt;=15</f>
        <v/>
      </c>
      <c r="D3187">
        <f>IF(Skills!C20=1,60+Inputs!$B$25+Inputs!$B$29,IF(Skills!C20=2,90+Inputs!$B$26+Inputs!$B$29,IF(Skills!C20=3,120+Inputs!$B$27+Inputs!$B$29,MAX(0,(Inputs!$B$3-100)*3)+Inputs!$B$28+Inputs!$B$29)))</f>
        <v/>
      </c>
      <c r="E3187">
        <f>INDEX(FactorTable!$B$2:$Y$301, MATCH(ROUND(MIN(300,MAX(1,D3187)),0), FactorTable!$A$2:$A$301,0), Skills!M20+1)</f>
        <v/>
      </c>
      <c r="F3187">
        <f>IF(Skills!N20=TRUE,(Skills!L20/10)*(E3187/1000),Skills!L20/10)+Skills!O20</f>
        <v/>
      </c>
      <c r="G3187">
        <f>Skills!G20*IF(Skills!H20&gt;0,Skills!I20/Skills!H20,1)</f>
        <v/>
      </c>
      <c r="H3187">
        <f>1-(1-Skills!J20/100)^Skills!K20</f>
        <v/>
      </c>
      <c r="I3187" t="inlineStr">
        <is>
          <t>1</t>
        </is>
      </c>
      <c r="J3187" t="inlineStr"/>
      <c r="K3187" t="inlineStr"/>
      <c r="L3187" t="inlineStr"/>
      <c r="M3187" t="inlineStr"/>
      <c r="N3187" t="inlineStr"/>
      <c r="O3187">
        <f>(1-Summary!$B$11)*T3187+Summary!$B$11*V3187</f>
        <v/>
      </c>
      <c r="P3187">
        <f>IF(B3210=0,0,O3187/B3210)</f>
        <v/>
      </c>
      <c r="Q3187" t="n">
        <v>0</v>
      </c>
      <c r="R3187" t="n">
        <v>0</v>
      </c>
      <c r="S3187">
        <f>IFERROR(O3187/N3187,0)</f>
        <v/>
      </c>
      <c r="T3187" t="n">
        <v>0</v>
      </c>
      <c r="V3187" t="n">
        <v>0</v>
      </c>
    </row>
    <row r="3188">
      <c r="A3188">
        <f>Skills!A21</f>
        <v/>
      </c>
      <c r="B3188">
        <f>Skills!B21</f>
        <v/>
      </c>
      <c r="C3188">
        <f>Inputs!$B$3&gt;=10</f>
        <v/>
      </c>
      <c r="D3188">
        <f>IF(Skills!C21=1,60+Inputs!$B$25+Inputs!$B$29,IF(Skills!C21=2,90+Inputs!$B$26+Inputs!$B$29,IF(Skills!C21=3,120+Inputs!$B$27+Inputs!$B$29,MAX(0,(Inputs!$B$3-100)*3)+Inputs!$B$28+Inputs!$B$29)))</f>
        <v/>
      </c>
      <c r="E3188">
        <f>INDEX(FactorTable!$B$2:$Y$301, MATCH(ROUND(MIN(300,MAX(1,D3188)),0), FactorTable!$A$2:$A$301,0), Skills!M21+1)</f>
        <v/>
      </c>
      <c r="F3188">
        <f>IF(Skills!N21=TRUE,(Skills!L21/10)*(E3188/1000),Skills!L21/10)+Skills!O21</f>
        <v/>
      </c>
      <c r="G3188">
        <f>Skills!G21*IF(Skills!H21&gt;0,Skills!I21/Skills!H21,1)</f>
        <v/>
      </c>
      <c r="H3188">
        <f>1-(1-Skills!J21/100)^Skills!K21</f>
        <v/>
      </c>
      <c r="I3188" t="inlineStr">
        <is>
          <t>1</t>
        </is>
      </c>
      <c r="J3188" t="inlineStr"/>
      <c r="K3188" t="inlineStr"/>
      <c r="L3188" t="inlineStr"/>
      <c r="M3188" t="inlineStr"/>
      <c r="N3188" t="inlineStr"/>
      <c r="O3188">
        <f>(1-Summary!$B$11)*T3188+Summary!$B$11*V3188</f>
        <v/>
      </c>
      <c r="P3188">
        <f>IF(B3210=0,0,O3188/B3210)</f>
        <v/>
      </c>
      <c r="Q3188" t="n">
        <v>0</v>
      </c>
      <c r="R3188" t="n">
        <v>0</v>
      </c>
      <c r="S3188">
        <f>IFERROR(O3188/N3188,0)</f>
        <v/>
      </c>
      <c r="T3188" t="n">
        <v>0</v>
      </c>
      <c r="V3188" t="n">
        <v>0</v>
      </c>
    </row>
    <row r="3189">
      <c r="A3189">
        <f>Skills!A22</f>
        <v/>
      </c>
      <c r="B3189">
        <f>Skills!B22</f>
        <v/>
      </c>
      <c r="C3189">
        <f>Inputs!$B$3&gt;=33</f>
        <v/>
      </c>
      <c r="D3189">
        <f>IF(Skills!C22=1,60+Inputs!$B$25+Inputs!$B$29,IF(Skills!C22=2,90+Inputs!$B$26+Inputs!$B$29,IF(Skills!C22=3,120+Inputs!$B$27+Inputs!$B$29,MAX(0,(Inputs!$B$3-100)*3)+Inputs!$B$28+Inputs!$B$29)))</f>
        <v/>
      </c>
      <c r="E3189">
        <f>INDEX(FactorTable!$B$2:$Y$301, MATCH(ROUND(MIN(300,MAX(1,D3189)),0), FactorTable!$A$2:$A$301,0), Skills!M22+1)</f>
        <v/>
      </c>
      <c r="F3189">
        <f>IF(Skills!N22=TRUE,(Skills!L22/10)*(E3189/1000),Skills!L22/10)+Skills!O22</f>
        <v/>
      </c>
      <c r="G3189">
        <f>Skills!G22*IF(Skills!H22&gt;0,Skills!I22/Skills!H22,1)</f>
        <v/>
      </c>
      <c r="H3189">
        <f>1-(1-Skills!J22/100)^Skills!K22</f>
        <v/>
      </c>
      <c r="I3189" t="inlineStr">
        <is>
          <t>1</t>
        </is>
      </c>
      <c r="J3189" t="inlineStr"/>
      <c r="K3189" t="inlineStr"/>
      <c r="L3189" t="inlineStr"/>
      <c r="M3189" t="inlineStr"/>
      <c r="N3189" t="inlineStr"/>
      <c r="O3189">
        <f>(1-Summary!$B$11)*T3189+Summary!$B$11*V3189</f>
        <v/>
      </c>
      <c r="P3189">
        <f>IF(B3210=0,0,O3189/B3210)</f>
        <v/>
      </c>
      <c r="Q3189" t="n">
        <v>0</v>
      </c>
      <c r="R3189" t="n">
        <v>0</v>
      </c>
      <c r="S3189">
        <f>IFERROR(O3189/N3189,0)</f>
        <v/>
      </c>
      <c r="T3189" t="n">
        <v>0</v>
      </c>
      <c r="V3189" t="n">
        <v>0</v>
      </c>
    </row>
    <row r="3190">
      <c r="A3190">
        <f>Skills!A23</f>
        <v/>
      </c>
      <c r="B3190">
        <f>Skills!B23</f>
        <v/>
      </c>
      <c r="C3190">
        <f>Inputs!$B$3&gt;=38</f>
        <v/>
      </c>
      <c r="D3190">
        <f>IF(Skills!C23=1,60+Inputs!$B$25+Inputs!$B$29,IF(Skills!C23=2,90+Inputs!$B$26+Inputs!$B$29,IF(Skills!C23=3,120+Inputs!$B$27+Inputs!$B$29,MAX(0,(Inputs!$B$3-100)*3)+Inputs!$B$28+Inputs!$B$29)))</f>
        <v/>
      </c>
      <c r="E3190">
        <f>INDEX(FactorTable!$B$2:$Y$301, MATCH(ROUND(MIN(300,MAX(1,D3190)),0), FactorTable!$A$2:$A$301,0), Skills!M23+1)</f>
        <v/>
      </c>
      <c r="F3190">
        <f>IF(Skills!N23=TRUE,(Skills!L23/10)*(E3190/1000),Skills!L23/10)+Skills!O23</f>
        <v/>
      </c>
      <c r="G3190">
        <f>Skills!G23*IF(Skills!H23&gt;0,Skills!I23/Skills!H23,1)</f>
        <v/>
      </c>
      <c r="H3190">
        <f>1-(1-Skills!J23/100)^Skills!K23</f>
        <v/>
      </c>
      <c r="I3190" t="inlineStr">
        <is>
          <t>1</t>
        </is>
      </c>
      <c r="J3190" t="inlineStr"/>
      <c r="K3190" t="inlineStr"/>
      <c r="L3190" t="inlineStr"/>
      <c r="M3190" t="inlineStr"/>
      <c r="N3190" t="inlineStr"/>
      <c r="O3190">
        <f>(1-Summary!$B$11)*T3190+Summary!$B$11*V3190</f>
        <v/>
      </c>
      <c r="P3190">
        <f>IF(B3210=0,0,O3190/B3210)</f>
        <v/>
      </c>
      <c r="Q3190" t="n">
        <v>0</v>
      </c>
      <c r="R3190" t="n">
        <v>0</v>
      </c>
      <c r="S3190">
        <f>IFERROR(O3190/N3190,0)</f>
        <v/>
      </c>
      <c r="T3190" t="n">
        <v>0</v>
      </c>
      <c r="V3190" t="n">
        <v>0</v>
      </c>
    </row>
    <row r="3191">
      <c r="A3191">
        <f>Skills!A24</f>
        <v/>
      </c>
      <c r="B3191">
        <f>Skills!B24</f>
        <v/>
      </c>
      <c r="C3191">
        <f>Inputs!$B$3&gt;=43</f>
        <v/>
      </c>
      <c r="D3191">
        <f>IF(Skills!C24=1,60+Inputs!$B$25+Inputs!$B$29,IF(Skills!C24=2,90+Inputs!$B$26+Inputs!$B$29,IF(Skills!C24=3,120+Inputs!$B$27+Inputs!$B$29,MAX(0,(Inputs!$B$3-100)*3)+Inputs!$B$28+Inputs!$B$29)))</f>
        <v/>
      </c>
      <c r="E3191">
        <f>INDEX(FactorTable!$B$2:$Y$301, MATCH(ROUND(MIN(300,MAX(1,D3191)),0), FactorTable!$A$2:$A$301,0), Skills!M24+1)</f>
        <v/>
      </c>
      <c r="F3191">
        <f>IF(Skills!N24=TRUE,(Skills!L24/10)*(E3191/1000),Skills!L24/10)+Skills!O24</f>
        <v/>
      </c>
      <c r="G3191">
        <f>Skills!G24*IF(Skills!H24&gt;0,Skills!I24/Skills!H24,1)</f>
        <v/>
      </c>
      <c r="H3191">
        <f>1-(1-Skills!J24/100)^Skills!K24</f>
        <v/>
      </c>
      <c r="I3191" t="inlineStr">
        <is>
          <t>1</t>
        </is>
      </c>
      <c r="J3191" t="inlineStr"/>
      <c r="K3191" t="inlineStr"/>
      <c r="L3191" t="inlineStr"/>
      <c r="M3191" t="inlineStr"/>
      <c r="N3191" t="inlineStr"/>
      <c r="O3191">
        <f>(1-Summary!$B$11)*T3191+Summary!$B$11*V3191</f>
        <v/>
      </c>
      <c r="P3191">
        <f>IF(B3210=0,0,O3191/B3210)</f>
        <v/>
      </c>
      <c r="Q3191" t="n">
        <v>0</v>
      </c>
      <c r="R3191" t="n">
        <v>0</v>
      </c>
      <c r="S3191">
        <f>IFERROR(O3191/N3191,0)</f>
        <v/>
      </c>
      <c r="T3191" t="n">
        <v>0</v>
      </c>
      <c r="V3191" t="n">
        <v>0</v>
      </c>
    </row>
    <row r="3192">
      <c r="A3192">
        <f>Skills!A25</f>
        <v/>
      </c>
      <c r="B3192">
        <f>Skills!B25</f>
        <v/>
      </c>
      <c r="C3192">
        <f>Inputs!$B$3&gt;=75</f>
        <v/>
      </c>
      <c r="D3192">
        <f>IF(Skills!C25=1,60+Inputs!$B$25+Inputs!$B$29,IF(Skills!C25=2,90+Inputs!$B$26+Inputs!$B$29,IF(Skills!C25=3,120+Inputs!$B$27+Inputs!$B$29,MAX(0,(Inputs!$B$3-100)*3)+Inputs!$B$28+Inputs!$B$29)))</f>
        <v/>
      </c>
      <c r="E3192">
        <f>INDEX(FactorTable!$B$2:$Y$301, MATCH(ROUND(MIN(300,MAX(1,D3192)),0), FactorTable!$A$2:$A$301,0), Skills!M25+1)</f>
        <v/>
      </c>
      <c r="F3192">
        <f>IF(Skills!N25=TRUE,(Skills!L25/10)*(E3192/1000),Skills!L25/10)+Skills!O25</f>
        <v/>
      </c>
      <c r="G3192">
        <f>Skills!G25*IF(Skills!H25&gt;0,Skills!I25/Skills!H25,1)</f>
        <v/>
      </c>
      <c r="H3192">
        <f>1-(1-Skills!J25/100)^Skills!K25</f>
        <v/>
      </c>
      <c r="I3192" t="inlineStr">
        <is>
          <t>1</t>
        </is>
      </c>
      <c r="J3192" t="inlineStr"/>
      <c r="K3192" t="inlineStr"/>
      <c r="L3192" t="inlineStr"/>
      <c r="M3192" t="inlineStr"/>
      <c r="N3192" t="inlineStr"/>
      <c r="O3192">
        <f>(1-Summary!$B$11)*T3192+Summary!$B$11*V3192</f>
        <v/>
      </c>
      <c r="P3192">
        <f>IF(B3210=0,0,O3192/B3210)</f>
        <v/>
      </c>
      <c r="Q3192" t="n">
        <v>0</v>
      </c>
      <c r="R3192" t="n">
        <v>0</v>
      </c>
      <c r="S3192">
        <f>IFERROR(O3192/N3192,0)</f>
        <v/>
      </c>
      <c r="T3192" t="n">
        <v>0</v>
      </c>
      <c r="V3192" t="n">
        <v>0</v>
      </c>
    </row>
    <row r="3193">
      <c r="A3193">
        <f>Skills!A26</f>
        <v/>
      </c>
      <c r="B3193">
        <f>Skills!B26</f>
        <v/>
      </c>
      <c r="C3193">
        <f>Inputs!$B$3&gt;=125</f>
        <v/>
      </c>
      <c r="D3193">
        <f>IF(Skills!C26=1,60+Inputs!$B$25+Inputs!$B$29,IF(Skills!C26=2,90+Inputs!$B$26+Inputs!$B$29,IF(Skills!C26=3,120+Inputs!$B$27+Inputs!$B$29,MAX(0,(Inputs!$B$3-100)*3)+Inputs!$B$28+Inputs!$B$29)))</f>
        <v/>
      </c>
      <c r="E3193">
        <f>INDEX(FactorTable!$B$2:$Y$301, MATCH(ROUND(MIN(300,MAX(1,D3193)),0), FactorTable!$A$2:$A$301,0), Skills!M26+1)</f>
        <v/>
      </c>
      <c r="F3193">
        <f>IF(Skills!N26=TRUE,(Skills!L26/10)*(E3193/1000),Skills!L26/10)+Skills!O26</f>
        <v/>
      </c>
      <c r="G3193">
        <f>Skills!G26*IF(Skills!H26&gt;0,Skills!I26/Skills!H26,1)</f>
        <v/>
      </c>
      <c r="H3193">
        <f>1-(1-Skills!J26/100)^Skills!K26</f>
        <v/>
      </c>
      <c r="I3193" t="inlineStr">
        <is>
          <t>1</t>
        </is>
      </c>
      <c r="J3193" t="inlineStr"/>
      <c r="K3193" t="inlineStr"/>
      <c r="L3193" t="inlineStr"/>
      <c r="M3193" t="inlineStr"/>
      <c r="N3193" t="inlineStr"/>
      <c r="O3193">
        <f>(1-Summary!$B$11)*T3193+Summary!$B$11*V3193</f>
        <v/>
      </c>
      <c r="P3193">
        <f>IF(B3210=0,0,O3193/B3210)</f>
        <v/>
      </c>
      <c r="Q3193" t="n">
        <v>0</v>
      </c>
      <c r="R3193" t="n">
        <v>0</v>
      </c>
      <c r="S3193">
        <f>IFERROR(O3193/N3193,0)</f>
        <v/>
      </c>
      <c r="T3193" t="n">
        <v>0</v>
      </c>
      <c r="V3193" t="n">
        <v>0</v>
      </c>
    </row>
    <row r="3194">
      <c r="A3194">
        <f>Skills!A27</f>
        <v/>
      </c>
      <c r="B3194">
        <f>Skills!B27</f>
        <v/>
      </c>
      <c r="C3194">
        <f>Inputs!$B$3&gt;=125</f>
        <v/>
      </c>
      <c r="D3194">
        <f>IF(Skills!C27=1,60+Inputs!$B$25+Inputs!$B$29,IF(Skills!C27=2,90+Inputs!$B$26+Inputs!$B$29,IF(Skills!C27=3,120+Inputs!$B$27+Inputs!$B$29,MAX(0,(Inputs!$B$3-100)*3)+Inputs!$B$28+Inputs!$B$29)))</f>
        <v/>
      </c>
      <c r="E3194">
        <f>INDEX(FactorTable!$B$2:$Y$301, MATCH(ROUND(MIN(300,MAX(1,D3194)),0), FactorTable!$A$2:$A$301,0), Skills!M27+1)</f>
        <v/>
      </c>
      <c r="F3194">
        <f>IF(Skills!N27=TRUE,(Skills!L27/10)*(E3194/1000),Skills!L27/10)+Skills!O27</f>
        <v/>
      </c>
      <c r="G3194">
        <f>Skills!G27*IF(Skills!H27&gt;0,Skills!I27/Skills!H27,1)</f>
        <v/>
      </c>
      <c r="H3194">
        <f>1-(1-Skills!J27/100)^Skills!K27</f>
        <v/>
      </c>
      <c r="I3194" t="inlineStr">
        <is>
          <t>1</t>
        </is>
      </c>
      <c r="J3194" t="inlineStr"/>
      <c r="K3194" t="inlineStr"/>
      <c r="L3194" t="inlineStr"/>
      <c r="M3194" t="inlineStr"/>
      <c r="N3194" t="inlineStr"/>
      <c r="O3194">
        <f>(1-Summary!$B$11)*T3194+Summary!$B$11*V3194</f>
        <v/>
      </c>
      <c r="P3194">
        <f>IF(B3210=0,0,O3194/B3210)</f>
        <v/>
      </c>
      <c r="Q3194" t="n">
        <v>0</v>
      </c>
      <c r="R3194" t="n">
        <v>0</v>
      </c>
      <c r="S3194">
        <f>IFERROR(O3194/N3194,0)</f>
        <v/>
      </c>
      <c r="T3194" t="n">
        <v>0</v>
      </c>
      <c r="V3194" t="n">
        <v>0</v>
      </c>
    </row>
    <row r="3195">
      <c r="A3195">
        <f>Skills!A28</f>
        <v/>
      </c>
      <c r="B3195">
        <f>Skills!B28</f>
        <v/>
      </c>
      <c r="C3195">
        <f>Inputs!$B$3&gt;=120</f>
        <v/>
      </c>
      <c r="D3195">
        <f>IF(Skills!C28=1,60+Inputs!$B$25+Inputs!$B$29,IF(Skills!C28=2,90+Inputs!$B$26+Inputs!$B$29,IF(Skills!C28=3,120+Inputs!$B$27+Inputs!$B$29,MAX(0,(Inputs!$B$3-100)*3)+Inputs!$B$28+Inputs!$B$29)))</f>
        <v/>
      </c>
      <c r="E3195">
        <f>INDEX(FactorTable!$B$2:$Y$301, MATCH(ROUND(MIN(300,MAX(1,D3195)),0), FactorTable!$A$2:$A$301,0), Skills!M28+1)</f>
        <v/>
      </c>
      <c r="F3195">
        <f>IF(Skills!N28=TRUE,(Skills!L28/10)*(E3195/1000),Skills!L28/10)+Skills!O28</f>
        <v/>
      </c>
      <c r="G3195">
        <f>Skills!G28*IF(Skills!H28&gt;0,Skills!I28/Skills!H28,1)</f>
        <v/>
      </c>
      <c r="H3195">
        <f>1-(1-Skills!J28/100)^Skills!K28</f>
        <v/>
      </c>
      <c r="I3195" t="inlineStr">
        <is>
          <t>1</t>
        </is>
      </c>
      <c r="J3195" t="inlineStr"/>
      <c r="K3195" t="inlineStr"/>
      <c r="L3195" t="inlineStr"/>
      <c r="M3195" t="inlineStr"/>
      <c r="N3195" t="inlineStr"/>
      <c r="O3195">
        <f>(1-Summary!$B$11)*T3195+Summary!$B$11*V3195</f>
        <v/>
      </c>
      <c r="P3195">
        <f>IF(B3210=0,0,O3195/B3210)</f>
        <v/>
      </c>
      <c r="Q3195" t="n">
        <v>0</v>
      </c>
      <c r="R3195" t="n">
        <v>0</v>
      </c>
      <c r="S3195">
        <f>IFERROR(O3195/N3195,0)</f>
        <v/>
      </c>
      <c r="T3195" t="n">
        <v>0</v>
      </c>
      <c r="V3195" t="n">
        <v>0</v>
      </c>
    </row>
    <row r="3196">
      <c r="A3196">
        <f>Skills!A29</f>
        <v/>
      </c>
      <c r="B3196">
        <f>Skills!B29</f>
        <v/>
      </c>
      <c r="C3196">
        <f>Inputs!$B$3&gt;=120</f>
        <v/>
      </c>
      <c r="D3196">
        <f>IF(Skills!C29=1,60+Inputs!$B$25+Inputs!$B$29,IF(Skills!C29=2,90+Inputs!$B$26+Inputs!$B$29,IF(Skills!C29=3,120+Inputs!$B$27+Inputs!$B$29,MAX(0,(Inputs!$B$3-100)*3)+Inputs!$B$28+Inputs!$B$29)))</f>
        <v/>
      </c>
      <c r="E3196">
        <f>INDEX(FactorTable!$B$2:$Y$301, MATCH(ROUND(MIN(300,MAX(1,D3196)),0), FactorTable!$A$2:$A$301,0), Skills!M29+1)</f>
        <v/>
      </c>
      <c r="F3196">
        <f>IF(Skills!N29=TRUE,(Skills!L29/10)*(E3196/1000),Skills!L29/10)+Skills!O29</f>
        <v/>
      </c>
      <c r="G3196">
        <f>Skills!G29*IF(Skills!H29&gt;0,Skills!I29/Skills!H29,1)</f>
        <v/>
      </c>
      <c r="H3196">
        <f>1-(1-Skills!J29/100)^Skills!K29</f>
        <v/>
      </c>
      <c r="I3196" t="inlineStr">
        <is>
          <t>1</t>
        </is>
      </c>
      <c r="J3196" t="inlineStr"/>
      <c r="K3196" t="inlineStr"/>
      <c r="L3196" t="inlineStr"/>
      <c r="M3196" t="inlineStr"/>
      <c r="N3196" t="inlineStr"/>
      <c r="O3196">
        <f>(1-Summary!$B$11)*T3196+Summary!$B$11*V3196</f>
        <v/>
      </c>
      <c r="P3196">
        <f>IF(B3210=0,0,O3196/B3210)</f>
        <v/>
      </c>
      <c r="Q3196" t="n">
        <v>0</v>
      </c>
      <c r="R3196" t="n">
        <v>0</v>
      </c>
      <c r="S3196">
        <f>IFERROR(O3196/N3196,0)</f>
        <v/>
      </c>
      <c r="T3196" t="n">
        <v>0</v>
      </c>
      <c r="V3196" t="n">
        <v>0</v>
      </c>
    </row>
    <row r="3197">
      <c r="A3197">
        <f>Skills!A30</f>
        <v/>
      </c>
      <c r="B3197">
        <f>Skills!B30</f>
        <v/>
      </c>
      <c r="C3197">
        <f>Inputs!$B$3&gt;=45</f>
        <v/>
      </c>
      <c r="D3197">
        <f>IF(Skills!C30=1,60+Inputs!$B$25+Inputs!$B$29,IF(Skills!C30=2,90+Inputs!$B$26+Inputs!$B$29,IF(Skills!C30=3,120+Inputs!$B$27+Inputs!$B$29,MAX(0,(Inputs!$B$3-100)*3)+Inputs!$B$28+Inputs!$B$29)))</f>
        <v/>
      </c>
      <c r="E3197">
        <f>INDEX(FactorTable!$B$2:$Y$301, MATCH(ROUND(MIN(300,MAX(1,D3197)),0), FactorTable!$A$2:$A$301,0), Skills!M30+1)</f>
        <v/>
      </c>
      <c r="F3197">
        <f>IF(Skills!N30=TRUE,(Skills!L30/10)*(E3197/1000),Skills!L30/10)+Skills!O30</f>
        <v/>
      </c>
      <c r="G3197">
        <f>Skills!G30*IF(Skills!H30&gt;0,Skills!I30/Skills!H30,1)</f>
        <v/>
      </c>
      <c r="H3197">
        <f>1-(1-Skills!J30/100)^Skills!K30</f>
        <v/>
      </c>
      <c r="I3197" t="inlineStr">
        <is>
          <t>1</t>
        </is>
      </c>
      <c r="J3197" t="inlineStr"/>
      <c r="K3197" t="inlineStr"/>
      <c r="L3197" t="inlineStr"/>
      <c r="M3197" t="inlineStr"/>
      <c r="N3197" t="inlineStr"/>
      <c r="O3197">
        <f>(1-Summary!$B$11)*T3197+Summary!$B$11*V3197</f>
        <v/>
      </c>
      <c r="P3197">
        <f>IF(B3210=0,0,O3197/B3210)</f>
        <v/>
      </c>
      <c r="Q3197" t="n">
        <v>0</v>
      </c>
      <c r="R3197" t="n">
        <v>0</v>
      </c>
      <c r="S3197">
        <f>IFERROR(O3197/N3197,0)</f>
        <v/>
      </c>
      <c r="T3197" t="n">
        <v>0</v>
      </c>
      <c r="V3197" t="n">
        <v>0</v>
      </c>
    </row>
    <row r="3199">
      <c r="A3199" t="inlineStr">
        <is>
          <t>Attack% Bucket Multiplier</t>
        </is>
      </c>
      <c r="B3199">
        <f>(1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00">
      <c r="A3200" t="inlineStr">
        <is>
          <t>Global Crit Rate Bonus %</t>
        </is>
      </c>
      <c r="B3200">
        <f>(C3183=TRUE)*20*IF(AND(Inputs!$B$38&lt;&gt;"pvp",Inputs!$B$43&gt;0),(((R3183-1)*(Skills!T16*(1+Inputs!$B$34/100))+MIN((Skills!T16*(1+Inputs!$B$34/100)),MAX(0,Inputs!$B$43-((R3183-1)*Skills!D16))))/Inputs!$B$43),IF(Inputs!$B$38="pvp",MIN((Skills!T16*(1+Inputs!$B$34/100)),15)/15,(Skills!T16*(1+Inputs!$B$34/100))/Skills!D16))</f>
        <v/>
      </c>
    </row>
    <row r="3201">
      <c r="A3201" t="inlineStr">
        <is>
          <t>Attack Speed Buff Bonus %</t>
        </is>
      </c>
      <c r="B3201">
        <f>((C3186=TRUE)*F3186*IF(AND(Inputs!$B$38&lt;&gt;"pvp",Inputs!$B$43&gt;0),(((R3186-1)*(Skills!T19*(1+Inputs!$B$34/100))+MIN((Skills!T19*(1+Inputs!$B$34/100)),MAX(0,Inputs!$B$43-((R3186-1)*Skills!D19))))/Inputs!$B$43),IF(Inputs!$B$38="pvp",MIN((Skills!T19*(1+Inputs!$B$34/100)),15)/15,(Skills!T19*(1+Inputs!$B$34/100))/Skills!D19)))</f>
        <v/>
      </c>
    </row>
    <row r="3202">
      <c r="A3202" t="inlineStr">
        <is>
          <t>Actions Per Second</t>
        </is>
      </c>
      <c r="B3202">
        <f>1+MIN(150,150*(1-(1-(Inputs!$B$11+((C3188=TRUE)*(F3188-Calc!F21))+((C3189=TRUE)*(F3189-Calc!F22)))/150)*(1-B3201/150)))/100</f>
        <v/>
      </c>
    </row>
    <row r="3203">
      <c r="A3203" t="inlineStr">
        <is>
          <t>Skill + Buff Cast Rate</t>
        </is>
      </c>
      <c r="B3203">
        <f>IF(AND(Inputs!$B$38&lt;&gt;"pvp",Inputs!$B$43&gt;0),SUMPRODUCT((Skills!E2:E30=TRUE)*(C3169:C3197=TRUE)*R3169:R3197*Skills!F2:F30)/Inputs!$B$43,SUMPRODUCT((Skills!E2:E30=TRUE)*(C3169:C3197=TRUE)*Q3169:Q3197*Skills!F2:F30))</f>
        <v/>
      </c>
    </row>
    <row r="3204">
      <c r="A3204" t="inlineStr">
        <is>
          <t>Arrow Stream Casts Per Second</t>
        </is>
      </c>
      <c r="B3204">
        <f>MAX(0,B3202-B3203)</f>
        <v/>
      </c>
    </row>
    <row r="3205">
      <c r="A3205" t="inlineStr">
        <is>
          <t>Global Critical Damage Bonus % (Sharp Eyes + Concentration)</t>
        </is>
      </c>
      <c r="B3205">
        <f>(C3183=TRUE)*F3183*IF(AND(Inputs!$B$38&lt;&gt;"pvp",Inputs!$B$43&gt;0),(((R3183-1)*(Skills!T16*(1+Inputs!$B$34/100))+MIN((Skills!T16*(1+Inputs!$B$34/100)),MAX(0,Inputs!$B$43-((R3183-1)*Skills!D16))))/Inputs!$B$43),IF(Inputs!$B$38="pvp",MIN((Skills!T16*(1+Inputs!$B$34/100)),15)/15,(Skills!T16*(1+Inputs!$B$34/100))/Skills!D16))+(C3184=TRUE)*30</f>
        <v/>
      </c>
    </row>
    <row r="3206">
      <c r="A3206" t="inlineStr">
        <is>
          <t>Global Final Damage Bonus % (Mortal Blow)</t>
        </is>
      </c>
      <c r="B3206">
        <f>(C3185=TRUE)*F3185</f>
        <v/>
      </c>
    </row>
    <row r="3207">
      <c r="A3207" t="inlineStr">
        <is>
          <t>Buff-Casting Startup Delay (s, fixed-duration only)</t>
        </is>
      </c>
      <c r="B3207">
        <f>IF(AND(Inputs!$B$38&lt;&gt;"pvp",Inputs!$B$43&gt;0),SUMPRODUCT((Skills!T2:T30&gt;0)*(Skills!E2:E30=TRUE)*(C3169:C3197=TRUE))/B3202,0)</f>
        <v/>
      </c>
    </row>
    <row r="3208">
      <c r="A3208" t="inlineStr">
        <is>
          <t>Boss-Only Total DPS (this block's swept value)</t>
        </is>
      </c>
      <c r="B3208">
        <f>SUM(T3169:T3197)</f>
        <v/>
      </c>
    </row>
    <row r="3209">
      <c r="A3209" t="inlineStr">
        <is>
          <t>Normal-Only Total DPS (this block's swept value)</t>
        </is>
      </c>
      <c r="B3209">
        <f>SUM(V3169:V3197)</f>
        <v/>
      </c>
    </row>
    <row r="3210">
      <c r="A3210" s="6" t="inlineStr">
        <is>
          <t>TOTAL DPS</t>
        </is>
      </c>
      <c r="B3210" s="6">
        <f>SUM(O3169:O3197)</f>
        <v/>
      </c>
    </row>
    <row r="3213">
      <c r="A3213" s="6" t="inlineStr">
        <is>
          <t>Stat: CDR = 3.5s</t>
        </is>
      </c>
    </row>
    <row r="3214">
      <c r="A3214" s="5" t="inlineStr">
        <is>
          <t>Key</t>
        </is>
      </c>
      <c r="B3214" s="5" t="inlineStr">
        <is>
          <t>Name</t>
        </is>
      </c>
      <c r="C3214" s="5" t="inlineStr">
        <is>
          <t>Unlocked</t>
        </is>
      </c>
      <c r="D3214" s="5" t="inlineStr">
        <is>
          <t>InputLevel</t>
        </is>
      </c>
      <c r="E3214" s="5" t="inlineStr">
        <is>
          <t>Factor</t>
        </is>
      </c>
      <c r="F3214" s="5" t="inlineStr">
        <is>
          <t>CoefficientPercent</t>
        </is>
      </c>
      <c r="G3214" s="5" t="inlineStr">
        <is>
          <t>EffectiveHits</t>
        </is>
      </c>
      <c r="H3214" s="5" t="inlineStr">
        <is>
          <t>ProcProbability</t>
        </is>
      </c>
      <c r="I3214" s="5" t="inlineStr">
        <is>
          <t>MapleHeroMultiplier</t>
        </is>
      </c>
      <c r="J3214" s="5" t="inlineStr">
        <is>
          <t>BaseDamage</t>
        </is>
      </c>
      <c r="K3214" s="5" t="inlineStr">
        <is>
          <t>BaseHitDamage</t>
        </is>
      </c>
      <c r="L3214" s="5" t="inlineStr">
        <is>
          <t>NonCritAvg</t>
        </is>
      </c>
      <c r="M3214" s="5" t="inlineStr">
        <is>
          <t>CritAvg</t>
        </is>
      </c>
      <c r="N3214" s="5" t="inlineStr">
        <is>
          <t>ExpectedDamage(perHit)</t>
        </is>
      </c>
      <c r="O3214" s="5" t="inlineStr">
        <is>
          <t>DPS</t>
        </is>
      </c>
      <c r="P3214" s="5" t="inlineStr">
        <is>
          <t>% of Total</t>
        </is>
      </c>
      <c r="Q3214" s="5" t="inlineStr">
        <is>
          <t>InvCooldown</t>
        </is>
      </c>
      <c r="R3214" s="5" t="inlineStr">
        <is>
          <t>CastsInFight</t>
        </is>
      </c>
      <c r="S3214" s="5" t="inlineStr">
        <is>
          <t>HitRate(perSec)</t>
        </is>
      </c>
      <c r="U3214" t="inlineStr">
        <is>
          <t>helpers</t>
        </is>
      </c>
    </row>
    <row r="3215">
      <c r="A3215">
        <f>Skills!A2</f>
        <v/>
      </c>
      <c r="B3215">
        <f>Skills!B2</f>
        <v/>
      </c>
      <c r="C3215">
        <f>Inputs!$B$3&gt;=100</f>
        <v/>
      </c>
      <c r="D3215" t="inlineStr"/>
      <c r="E3215" t="inlineStr"/>
      <c r="F3215">
        <f>U3217+Skills!O2</f>
        <v/>
      </c>
      <c r="G3215">
        <f>Skills!G2*IF(Skills!H2&gt;0,Skills!I2/Skills!H2,1)</f>
        <v/>
      </c>
      <c r="H3215">
        <f>1-(1-Skills!J2/100)^Skills!K2</f>
        <v/>
      </c>
      <c r="I3215" t="inlineStr">
        <is>
          <t>1</t>
        </is>
      </c>
      <c r="J3215">
        <f>((Inputs!$B$6*(1+Inputs!$B$7/100))+(((Inputs!$B$12*(1+Inputs!$B$13/100))-(Inputs!$B$12*(1+Inputs!$B$13/100)))+0.25*(Inputs!$B$14-Inputs!$B$14))*(1+Inputs!$B$7/100))*(F3215/100)</f>
        <v/>
      </c>
      <c r="K3215">
        <f>J3215*(1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3237=TRUE)*(F3237-Calc!F24)),(Inputs!$B$23+((C3242=TRUE)*(F3242-Calc!F29))+(IF(ArtifactsInput!$M$15,CHOOSE(ArtifactsInput!$N$15+1,25,30,35,40,45,50)/100*(Inputs!$B$11-Inputs!$B$11),0))))/100+(Inputs!$B$23+((C3242=TRUE)*(F3242-Calc!F29))+(IF(ArtifactsInput!$M$15,CHOOSE(ArtifactsInput!$N$15+1,25,30,35,40,45,50)/100*(Inputs!$B$11-Inputs!$B$11),0)))/100)/2</f>
        <v/>
      </c>
      <c r="M3215">
        <f>L3215*(1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IF(B3256=0,0,O3215/B3256)</f>
        <v/>
      </c>
      <c r="Q3215" t="n">
        <v>0</v>
      </c>
      <c r="R3215" t="n">
        <v>0</v>
      </c>
      <c r="S3215">
        <f>IFERROR(O3215/N3215,0)</f>
        <v/>
      </c>
      <c r="T3215">
        <f>IF(C3215,(Skills!G2*N3215*B3250)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3215*(1-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5">
        <f>MAX(0,(Inputs!$B$3-100)*3)+Inputs!$B$28+Inputs!$B$29</f>
        <v/>
      </c>
      <c r="V3215">
        <f>IF(C3215,(Skills!G2*N3215*B3250)*IF(Inputs!$B$38="pvp",1,(1+(Inputs!$B$21+Skills!Q2+(IF(ArtifactsInput!$M$33,CHOOSE(ArtifactsInput!$N$33+1,30,36,42,48,54,60),0))+(IF(AND(ArtifactsInput!$M$35,Inputs!$B$4&lt;&gt;"Chapter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Skills!A3</f>
        <v/>
      </c>
      <c r="B3216">
        <f>Skills!B3</f>
        <v/>
      </c>
      <c r="C3216">
        <f>Inputs!$B$3&gt;=50</f>
        <v/>
      </c>
      <c r="D3216">
        <f>IF(Skills!C3=1,60+Inputs!$B$25+Inputs!$B$29,IF(Skills!C3=2,90+Inputs!$B$26+Inputs!$B$29,IF(Skills!C3=3,120+Inputs!$B$27+Inputs!$B$29,MAX(0,(Inputs!$B$3-100)*3)+Inputs!$B$28+Inputs!$B$29)))</f>
        <v/>
      </c>
      <c r="E3216">
        <f>INDEX(FactorTable!$B$2:$Y$301, MATCH(ROUND(MIN(300,MAX(1,D3216)),0), FactorTable!$A$2:$A$301,0), Skills!M3+1)</f>
        <v/>
      </c>
      <c r="F3216">
        <f>IF(Skills!N3=TRUE,(Skills!L3/10)*(E3216/1000),Skills!L3/10)+Skills!O3</f>
        <v/>
      </c>
      <c r="G3216" t="inlineStr"/>
      <c r="H3216" t="inlineStr"/>
      <c r="I3216" t="inlineStr">
        <is>
          <t>1</t>
        </is>
      </c>
      <c r="J3216" t="inlineStr"/>
      <c r="K3216" t="inlineStr"/>
      <c r="L3216" t="inlineStr"/>
      <c r="M3216" t="inlineStr"/>
      <c r="N3216" t="inlineStr"/>
      <c r="O3216" t="inlineStr"/>
      <c r="P3216" t="inlineStr"/>
      <c r="Q3216" t="inlineStr"/>
      <c r="R3216" t="inlineStr"/>
      <c r="S3216" t="inlineStr"/>
      <c r="T3216" t="inlineStr"/>
      <c r="U3216">
        <f>INDEX(FactorTable!$B$2:$Y$301, MATCH(ROUND(MIN(300,MAX(1,U3215)),0), FactorTable!$A$2:$A$301,0), 22)</f>
        <v/>
      </c>
      <c r="V3216" t="inlineStr"/>
    </row>
    <row r="3217">
      <c r="A3217">
        <f>Skills!A4</f>
        <v/>
      </c>
      <c r="B3217">
        <f>Skills!B4</f>
        <v/>
      </c>
      <c r="C3217">
        <f>Inputs!$B$3&gt;=105</f>
        <v/>
      </c>
      <c r="D3217">
        <f>IF(Skills!C4=1,60+Inputs!$B$25+Inputs!$B$29,IF(Skills!C4=2,90+Inputs!$B$26+Inputs!$B$29,IF(Skills!C4=3,120+Inputs!$B$27+Inputs!$B$29,MAX(0,(Inputs!$B$3-100)*3)+Inputs!$B$28+Inputs!$B$29)))</f>
        <v/>
      </c>
      <c r="E3217">
        <f>INDEX(FactorTable!$B$2:$Y$301, MATCH(ROUND(MIN(300,MAX(1,D3217)),0), FactorTable!$A$2:$A$301,0), Skills!M4+1)</f>
        <v/>
      </c>
      <c r="F3217">
        <f>IF(Skills!N4=TRUE,(Skills!L4/10)*(E3217/1000),Skills!L4/10)+Skills!O4</f>
        <v/>
      </c>
      <c r="G3217" t="inlineStr"/>
      <c r="H3217" t="inlineStr"/>
      <c r="I3217" t="inlineStr">
        <is>
          <t>1</t>
        </is>
      </c>
      <c r="J3217" t="inlineStr"/>
      <c r="K3217" t="inlineStr"/>
      <c r="L3217" t="inlineStr"/>
      <c r="M3217" t="inlineStr"/>
      <c r="N3217" t="inlineStr"/>
      <c r="O3217" t="inlineStr"/>
      <c r="P3217" t="inlineStr"/>
      <c r="Q3217" t="inlineStr"/>
      <c r="R3217" t="inlineStr"/>
      <c r="S3217" t="inlineStr"/>
      <c r="T3217" t="inlineStr"/>
      <c r="U3217">
        <f>290*U3216/1000</f>
        <v/>
      </c>
      <c r="V3217" t="inlineStr"/>
    </row>
    <row r="3218">
      <c r="A3218">
        <f>Skills!A5</f>
        <v/>
      </c>
      <c r="B3218">
        <f>Skills!B5</f>
        <v/>
      </c>
      <c r="C3218">
        <f>Inputs!$B$3&gt;=35</f>
        <v/>
      </c>
      <c r="D3218">
        <f>IF(Skills!C5=1,60+Inputs!$B$25+Inputs!$B$29,IF(Skills!C5=2,90+Inputs!$B$26+Inputs!$B$29,IF(Skills!C5=3,120+Inputs!$B$27+Inputs!$B$29,MAX(0,(Inputs!$B$3-100)*3)+Inputs!$B$28+Inputs!$B$29)))</f>
        <v/>
      </c>
      <c r="E3218">
        <f>INDEX(FactorTable!$B$2:$Y$301, MATCH(ROUND(MIN(300,MAX(1,D3218)),0), FactorTable!$A$2:$A$301,0), Skills!M5+1)</f>
        <v/>
      </c>
      <c r="F3218">
        <f>IF(Skills!N5=TRUE,(Skills!L5/10)*(E3218/1000),Skills!L5/10)+Skills!O5</f>
        <v/>
      </c>
      <c r="G3218">
        <f>Skills!G5*IF(Skills!H5&gt;0,Skills!I5/Skills!H5,1)</f>
        <v/>
      </c>
      <c r="H3218">
        <f>1-(1-Skills!J5/100)^Skills!K5</f>
        <v/>
      </c>
      <c r="I3218" t="inlineStr">
        <is>
          <t>1</t>
        </is>
      </c>
      <c r="J3218">
        <f>((Inputs!$B$6*(1+Inputs!$B$7/100))+(((Inputs!$B$12*(1+Inputs!$B$13/100))-(Inputs!$B$12*(1+Inputs!$B$13/100)))+0.25*(Inputs!$B$14-Inputs!$B$14))*(1+Inputs!$B$7/100))*(F3218/100)</f>
        <v/>
      </c>
      <c r="K3218">
        <f>J3218*(1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3223=TRUE,F3223,0)/100)*(1+(IF(Skills!A5="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3237=TRUE)*(F3237-Calc!F24)),(Inputs!$B$23+((C3242=TRUE)*(F3242-Calc!F29))+(IF(ArtifactsInput!$M$15,CHOOSE(ArtifactsInput!$N$15+1,25,30,35,40,45,50)/100*(Inputs!$B$11-Inputs!$B$11),0))))/100+(Inputs!$B$23+((C3242=TRUE)*(F3242-Calc!F29))+(IF(ArtifactsInput!$M$15,CHOOSE(ArtifactsInput!$N$15+1,25,30,35,40,45,50)/100*(Inputs!$B$11-Inputs!$B$11),0)))/100)/2</f>
        <v/>
      </c>
      <c r="M3218">
        <f>L3218*(1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IF(B3256=0,0,O3218/B3256)</f>
        <v/>
      </c>
      <c r="Q3218">
        <f>IFERROR(1/(IF(Inputs!$B$38="pvp",15,MAX(0.1,Skills!D5-IF(Skills!E5=TRUE,3.5,0)))*(1-IF(AND(ArtifactsInput!$M$27,Inputs!$B$4="Chapter Hunt"),CHOOSE(ArtifactsInput!$N$27+1,20,24,28,32,36,40),0)/100)),0)</f>
        <v/>
      </c>
      <c r="R3218">
        <f>IF(AND(Inputs!$B$38&lt;&gt;"pvp",Inputs!$B$43&gt;0),IF(MAX(0,Inputs!$B$43-B3253)&lt;=0,0,(INT(MAX(0,Inputs!$B$43-B3253)/(IF(Inputs!$B$38="pvp",15,MAX(0.1,Skills!D5-IF(Skills!E5=TRUE,3.5,0)))*(1-IF(AND(ArtifactsInput!$M$27,Inputs!$B$4="Chapter Hunt"),CHOOSE(ArtifactsInput!$N$27+1,20,24,28,32,36,40),0)/100)))+1)),0)</f>
        <v/>
      </c>
      <c r="S3218">
        <f>IFERROR(O3218/N3218,0)</f>
        <v/>
      </c>
      <c r="T3218">
        <f>IF(C3218,(H3218*N3218*IF(AND(Inputs!$B$38&lt;&gt;"pvp",Inputs!$B$43&gt;0),((Skills!G5*((R3218-1)*IF(Skills!H5&gt;0,Skills!I5/Skills!H5,1)+IF(Skills!H5&gt;0,MIN(Skills!I5,MAX(0,MAX(0,Inputs!$B$43-B3253)-((R3218-1)*(IF(Inputs!$B$38="pvp",15,MAX(0.1,Skills!D5-IF(Skills!E5=TRUE,3.5,0)))*(1-IF(AND(ArtifactsInput!$M$27,Inputs!$B$4="Chapter Hunt"),CHOOSE(ArtifactsInput!$N$27+1,20,24,28,32,36,40),0)/100)))))/Skills!H5,1)))/Inputs!$B$43),G3218*Q3218)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3218*(1-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5*((R3218-1)*IF(Skills!H5&gt;0,Skills!I5/Skills!H5,1)+IF(Skills!H5&gt;0,MIN(Skills!I5,MAX(0,MAX(0,Inputs!$B$43-B3253)-((R3218-1)*(IF(Inputs!$B$38="pvp",15,MAX(0.1,Skills!D5-IF(Skills!E5=TRUE,3.5,0)))*(1-IF(AND(ArtifactsInput!$M$27,Inputs!$B$4="Chapter Hunt"),CHOOSE(ArtifactsInput!$N$27+1,20,24,28,32,36,40),0)/100)))))/Skills!H5,1)))/Inputs!$B$43),G3218*Q3218))*IF(Inputs!$B$38="pvp",1,(1+(Inputs!$B$21+Skills!Q5+(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Skills!A6</f>
        <v/>
      </c>
      <c r="B3219">
        <f>Skills!B6</f>
        <v/>
      </c>
      <c r="C3219">
        <f>Inputs!$B$3&gt;=40</f>
        <v/>
      </c>
      <c r="D3219">
        <f>IF(Skills!C6=1,60+Inputs!$B$25+Inputs!$B$29,IF(Skills!C6=2,90+Inputs!$B$26+Inputs!$B$29,IF(Skills!C6=3,120+Inputs!$B$27+Inputs!$B$29,MAX(0,(Inputs!$B$3-100)*3)+Inputs!$B$28+Inputs!$B$29)))</f>
        <v/>
      </c>
      <c r="E3219">
        <f>INDEX(FactorTable!$B$2:$Y$301, MATCH(ROUND(MIN(300,MAX(1,D3219)),0), FactorTable!$A$2:$A$301,0), Skills!M6+1)</f>
        <v/>
      </c>
      <c r="F3219">
        <f>IF(Skills!N6=TRUE,(Skills!L6/10)*(E3219/1000),Skills!L6/10)+Skills!O6</f>
        <v/>
      </c>
      <c r="G3219">
        <f>Skills!G6*IF(Skills!H6&gt;0,Skills!I6/Skills!H6,1)</f>
        <v/>
      </c>
      <c r="H3219">
        <f>1-(1-Skills!J6/100)^Skills!K6</f>
        <v/>
      </c>
      <c r="I3219" t="inlineStr">
        <is>
          <t>1</t>
        </is>
      </c>
      <c r="J3219">
        <f>((Inputs!$B$6*(1+Inputs!$B$7/100))+(((Inputs!$B$12*(1+Inputs!$B$13/100))-(Inputs!$B$12*(1+Inputs!$B$13/100)))+0.25*(Inputs!$B$14-Inputs!$B$14))*(1+Inputs!$B$7/100))*(F3219/100)</f>
        <v/>
      </c>
      <c r="K3219">
        <f>J3219*(1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3220=TRUE,F3220,0)/100)*(1+(IF(Skills!A6="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3237=TRUE)*(F3237-Calc!F24)),(Inputs!$B$23+((C3242=TRUE)*(F3242-Calc!F29))+(IF(ArtifactsInput!$M$15,CHOOSE(ArtifactsInput!$N$15+1,25,30,35,40,45,50)/100*(Inputs!$B$11-Inputs!$B$11),0))))/100+(Inputs!$B$23+((C3242=TRUE)*(F3242-Calc!F29))+(IF(ArtifactsInput!$M$15,CHOOSE(ArtifactsInput!$N$15+1,25,30,35,40,45,50)/100*(Inputs!$B$11-Inputs!$B$11),0)))/100)/2</f>
        <v/>
      </c>
      <c r="M3219">
        <f>L3219*(1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IF(B3256=0,0,O3219/B3256)</f>
        <v/>
      </c>
      <c r="Q3219">
        <f>IFERROR(1/(IF(Inputs!$B$38="pvp",15,MAX(0.1,Skills!D6-IF(Skills!E6=TRUE,3.5,0)))*(1-IF(AND(ArtifactsInput!$M$27,Inputs!$B$4="Chapter Hunt"),CHOOSE(ArtifactsInput!$N$27+1,20,24,28,32,36,40),0)/100)),0)</f>
        <v/>
      </c>
      <c r="R3219">
        <f>IF(AND(Inputs!$B$38&lt;&gt;"pvp",Inputs!$B$43&gt;0),IF(MAX(0,Inputs!$B$43-B3253)&lt;=0,0,(INT(MAX(0,Inputs!$B$43-B3253)/(IF(Inputs!$B$38="pvp",15,MAX(0.1,Skills!D6-IF(Skills!E6=TRUE,3.5,0)))*(1-IF(AND(ArtifactsInput!$M$27,Inputs!$B$4="Chapter Hunt"),CHOOSE(ArtifactsInput!$N$27+1,20,24,28,32,36,40),0)/100)))+1)),0)</f>
        <v/>
      </c>
      <c r="S3219">
        <f>IFERROR(O3219/N3219,0)</f>
        <v/>
      </c>
      <c r="T3219">
        <f>IF(C3219,(H3219*N3219*IF(AND(Inputs!$B$38&lt;&gt;"pvp",Inputs!$B$43&gt;0),((Skills!G6*((R3219-1)*IF(Skills!H6&gt;0,Skills!I6/Skills!H6,1)+IF(Skills!H6&gt;0,MIN(Skills!I6,MAX(0,MAX(0,Inputs!$B$43-B3253)-((R3219-1)*(IF(Inputs!$B$38="pvp",15,MAX(0.1,Skills!D6-IF(Skills!E6=TRUE,3.5,0)))*(1-IF(AND(ArtifactsInput!$M$27,Inputs!$B$4="Chapter Hunt"),CHOOSE(ArtifactsInput!$N$27+1,20,24,28,32,36,40),0)/100)))))/Skills!H6,1)))/Inputs!$B$43),G3219*Q3219)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3219*(1-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6*((R3219-1)*IF(Skills!H6&gt;0,Skills!I6/Skills!H6,1)+IF(Skills!H6&gt;0,MIN(Skills!I6,MAX(0,MAX(0,Inputs!$B$43-B3253)-((R3219-1)*(IF(Inputs!$B$38="pvp",15,MAX(0.1,Skills!D6-IF(Skills!E6=TRUE,3.5,0)))*(1-IF(AND(ArtifactsInput!$M$27,Inputs!$B$4="Chapter Hunt"),CHOOSE(ArtifactsInput!$N$27+1,20,24,28,32,36,40),0)/100)))))/Skills!H6,1)))/Inputs!$B$43),G3219*Q3219))*IF(Inputs!$B$38="pvp",1,(1+(Inputs!$B$21+Skills!Q6+(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Skills!A7</f>
        <v/>
      </c>
      <c r="B3220">
        <f>Skills!B7</f>
        <v/>
      </c>
      <c r="C3220">
        <f>Inputs!$B$3&gt;=107</f>
        <v/>
      </c>
      <c r="D3220">
        <f>IF(Skills!C7=1,60+Inputs!$B$25+Inputs!$B$29,IF(Skills!C7=2,90+Inputs!$B$26+Inputs!$B$29,IF(Skills!C7=3,120+Inputs!$B$27+Inputs!$B$29,MAX(0,(Inputs!$B$3-100)*3)+Inputs!$B$28+Inputs!$B$29)))</f>
        <v/>
      </c>
      <c r="E3220">
        <f>INDEX(FactorTable!$B$2:$Y$301, MATCH(ROUND(MIN(300,MAX(1,D3220)),0), FactorTable!$A$2:$A$301,0), Skills!M7+1)</f>
        <v/>
      </c>
      <c r="F3220">
        <f>IF(Skills!N7=TRUE,(Skills!L7/10)*(E3220/1000),Skills!L7/10)+Skills!O7</f>
        <v/>
      </c>
      <c r="G3220" t="inlineStr"/>
      <c r="H3220" t="inlineStr"/>
      <c r="I3220" t="inlineStr">
        <is>
          <t>1</t>
        </is>
      </c>
      <c r="J3220" t="inlineStr"/>
      <c r="K3220" t="inlineStr"/>
      <c r="L3220" t="inlineStr"/>
      <c r="M3220" t="inlineStr"/>
      <c r="N3220" t="inlineStr"/>
      <c r="O3220" t="inlineStr"/>
      <c r="P3220" t="inlineStr"/>
      <c r="Q3220" t="inlineStr"/>
      <c r="R3220" t="inlineStr"/>
      <c r="S3220" t="inlineStr"/>
      <c r="T3220" t="inlineStr"/>
      <c r="V3220" t="inlineStr"/>
    </row>
    <row r="3221">
      <c r="A3221">
        <f>Skills!A8</f>
        <v/>
      </c>
      <c r="B3221">
        <f>Skills!B8</f>
        <v/>
      </c>
      <c r="C3221">
        <f>Inputs!$B$3&gt;=69</f>
        <v/>
      </c>
      <c r="D3221">
        <f>IF(Skills!C8=1,60+Inputs!$B$25+Inputs!$B$29,IF(Skills!C8=2,90+Inputs!$B$26+Inputs!$B$29,IF(Skills!C8=3,120+Inputs!$B$27+Inputs!$B$29,MAX(0,(Inputs!$B$3-100)*3)+Inputs!$B$28+Inputs!$B$29)))</f>
        <v/>
      </c>
      <c r="E3221">
        <f>INDEX(FactorTable!$B$2:$Y$301, MATCH(ROUND(MIN(300,MAX(1,D3221)),0), FactorTable!$A$2:$A$301,0), Skills!M8+1)</f>
        <v/>
      </c>
      <c r="F3221">
        <f>IF(Skills!N8=TRUE,(Skills!L8/10)*(E3221/1000),Skills!L8/10)+Skills!O8</f>
        <v/>
      </c>
      <c r="G3221">
        <f>Skills!G8*IF(Skills!H8&gt;0,Skills!I8/Skills!H8,1)</f>
        <v/>
      </c>
      <c r="H3221">
        <f>1-(1-Skills!J8/100)^Skills!K8</f>
        <v/>
      </c>
      <c r="I3221" t="inlineStr">
        <is>
          <t>1</t>
        </is>
      </c>
      <c r="J3221">
        <f>((Inputs!$B$6*(1+Inputs!$B$7/100))+(((Inputs!$B$12*(1+Inputs!$B$13/100))-(Inputs!$B$12*(1+Inputs!$B$13/100)))+0.25*(Inputs!$B$14-Inputs!$B$14))*(1+Inputs!$B$7/100))*(F3221/100)</f>
        <v/>
      </c>
      <c r="K3221">
        <f>J3221*(1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3223=TRUE,F3223,0)/100)*(1+(IF(Skills!A8="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3237=TRUE)*(F3237-Calc!F24)),(Inputs!$B$23+((C3242=TRUE)*(F3242-Calc!F29))+(IF(ArtifactsInput!$M$15,CHOOSE(ArtifactsInput!$N$15+1,25,30,35,40,45,50)/100*(Inputs!$B$11-Inputs!$B$11),0))))/100+(Inputs!$B$23+((C3242=TRUE)*(F3242-Calc!F29))+(IF(ArtifactsInput!$M$15,CHOOSE(ArtifactsInput!$N$15+1,25,30,35,40,45,50)/100*(Inputs!$B$11-Inputs!$B$11),0)))/100)/2</f>
        <v/>
      </c>
      <c r="M3221">
        <f>L3221*(1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IF(B3256=0,0,O3221/B3256)</f>
        <v/>
      </c>
      <c r="Q3221">
        <f>IFERROR(1/(IF(Inputs!$B$38="pvp",15,MAX(0.1,Skills!D8-IF(Skills!E8=TRUE,3.5,0)))*(1-IF(AND(ArtifactsInput!$M$27,Inputs!$B$4="Chapter Hunt"),CHOOSE(ArtifactsInput!$N$27+1,20,24,28,32,36,40),0)/100)),0)</f>
        <v/>
      </c>
      <c r="R3221">
        <f>IF(AND(Inputs!$B$38&lt;&gt;"pvp",Inputs!$B$43&gt;0),IF(MAX(0,Inputs!$B$43-B3253)&lt;=0,0,(INT(MAX(0,Inputs!$B$43-B3253)/(IF(Inputs!$B$38="pvp",15,MAX(0.1,Skills!D8-IF(Skills!E8=TRUE,3.5,0)))*(1-IF(AND(ArtifactsInput!$M$27,Inputs!$B$4="Chapter Hunt"),CHOOSE(ArtifactsInput!$N$27+1,20,24,28,32,36,40),0)/100)))+1)),0)</f>
        <v/>
      </c>
      <c r="S3221">
        <f>IFERROR(O3221/N3221,0)</f>
        <v/>
      </c>
      <c r="T3221">
        <f>IF(C3221,(H3221*N3221*IF(AND(Inputs!$B$38&lt;&gt;"pvp",Inputs!$B$43&gt;0),((Skills!G8*((R3221-1)*IF(Skills!H8&gt;0,Skills!I8/Skills!H8,1)+IF(Skills!H8&gt;0,MIN(Skills!I8,MAX(0,MAX(0,Inputs!$B$43-B3253)-((R3221-1)*(IF(Inputs!$B$38="pvp",15,MAX(0.1,Skills!D8-IF(Skills!E8=TRUE,3.5,0)))*(1-IF(AND(ArtifactsInput!$M$27,Inputs!$B$4="Chapter Hunt"),CHOOSE(ArtifactsInput!$N$27+1,20,24,28,32,36,40),0)/100)))))/Skills!H8,1)))/Inputs!$B$43),G3221*Q3221)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3221*(1-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8*((R3221-1)*IF(Skills!H8&gt;0,Skills!I8/Skills!H8,1)+IF(Skills!H8&gt;0,MIN(Skills!I8,MAX(0,MAX(0,Inputs!$B$43-B3253)-((R3221-1)*(IF(Inputs!$B$38="pvp",15,MAX(0.1,Skills!D8-IF(Skills!E8=TRUE,3.5,0)))*(1-IF(AND(ArtifactsInput!$M$27,Inputs!$B$4="Chapter Hunt"),CHOOSE(ArtifactsInput!$N$27+1,20,24,28,32,36,40),0)/100)))))/Skills!H8,1)))/Inputs!$B$43),G3221*Q3221))*IF(Inputs!$B$38="pvp",1,(1+(Inputs!$B$21+Skills!Q8+(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Skills!A9</f>
        <v/>
      </c>
      <c r="B3222">
        <f>Skills!B9</f>
        <v/>
      </c>
      <c r="C3222">
        <f>Inputs!$B$3&gt;=63</f>
        <v/>
      </c>
      <c r="D3222">
        <f>IF(Skills!C9=1,60+Inputs!$B$25+Inputs!$B$29,IF(Skills!C9=2,90+Inputs!$B$26+Inputs!$B$29,IF(Skills!C9=3,120+Inputs!$B$27+Inputs!$B$29,MAX(0,(Inputs!$B$3-100)*3)+Inputs!$B$28+Inputs!$B$29)))</f>
        <v/>
      </c>
      <c r="E3222">
        <f>INDEX(FactorTable!$B$2:$Y$301, MATCH(ROUND(MIN(300,MAX(1,D3222)),0), FactorTable!$A$2:$A$301,0), Skills!M9+1)</f>
        <v/>
      </c>
      <c r="F3222">
        <f>IF(Skills!N9=TRUE,(Skills!L9/10)*(E3222/1000),Skills!L9/10)+Skills!O9</f>
        <v/>
      </c>
      <c r="G3222">
        <f>Skills!G9*IF(Skills!H9&gt;0,Skills!I9/Skills!H9,1)</f>
        <v/>
      </c>
      <c r="H3222">
        <f>1-(1-Skills!J9/100)^Skills!K9</f>
        <v/>
      </c>
      <c r="I3222" t="inlineStr">
        <is>
          <t>1</t>
        </is>
      </c>
      <c r="J3222">
        <f>((Inputs!$B$6*(1+Inputs!$B$7/100))+(((Inputs!$B$12*(1+Inputs!$B$13/100))-(Inputs!$B$12*(1+Inputs!$B$13/100)))+0.25*(Inputs!$B$14-Inputs!$B$14))*(1+Inputs!$B$7/100))*(F3222/100)</f>
        <v/>
      </c>
      <c r="K3222">
        <f>J3222*(1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3223=TRUE,F3223,0)/100)*(1+(IF(Skills!A9="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3237=TRUE)*(F3237-Calc!F24)),(Inputs!$B$23+((C3242=TRUE)*(F3242-Calc!F29))+(IF(ArtifactsInput!$M$15,CHOOSE(ArtifactsInput!$N$15+1,25,30,35,40,45,50)/100*(Inputs!$B$11-Inputs!$B$11),0))))/100+(Inputs!$B$23+((C3242=TRUE)*(F3242-Calc!F29))+(IF(ArtifactsInput!$M$15,CHOOSE(ArtifactsInput!$N$15+1,25,30,35,40,45,50)/100*(Inputs!$B$11-Inputs!$B$11),0)))/100)/2</f>
        <v/>
      </c>
      <c r="M3222">
        <f>L3222*(1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IF(B3256=0,0,O3222/B3256)</f>
        <v/>
      </c>
      <c r="Q3222">
        <f>IFERROR(1/(IF(Inputs!$B$38="pvp",15,MAX(0.1,Skills!D9-IF(Skills!E9=TRUE,3.5,0)))*(1-IF(AND(ArtifactsInput!$M$27,Inputs!$B$4="Chapter Hunt"),CHOOSE(ArtifactsInput!$N$27+1,20,24,28,32,36,40),0)/100)),0)</f>
        <v/>
      </c>
      <c r="R3222">
        <f>IF(AND(Inputs!$B$38&lt;&gt;"pvp",Inputs!$B$43&gt;0),IF(MAX(0,Inputs!$B$43-B3253)&lt;=0,0,(INT(MAX(0,Inputs!$B$43-B3253)/(IF(Inputs!$B$38="pvp",15,MAX(0.1,Skills!D9-IF(Skills!E9=TRUE,3.5,0)))*(1-IF(AND(ArtifactsInput!$M$27,Inputs!$B$4="Chapter Hunt"),CHOOSE(ArtifactsInput!$N$27+1,20,24,28,32,36,40),0)/100)))+1)),0)</f>
        <v/>
      </c>
      <c r="S3222">
        <f>IFERROR(O3222/N3222,0)</f>
        <v/>
      </c>
      <c r="T3222">
        <f>IF(C3222,(H3222*N3222*IF(AND(Inputs!$B$38&lt;&gt;"pvp",Inputs!$B$43&gt;0),((Skills!G9*((R3222-1)*IF(Skills!H9&gt;0,Skills!I9/Skills!H9,1)+IF(Skills!H9&gt;0,MIN(Skills!I9,MAX(0,MAX(0,Inputs!$B$43-B3253)-((R3222-1)*(IF(Inputs!$B$38="pvp",15,MAX(0.1,Skills!D9-IF(Skills!E9=TRUE,3.5,0)))*(1-IF(AND(ArtifactsInput!$M$27,Inputs!$B$4="Chapter Hunt"),CHOOSE(ArtifactsInput!$N$27+1,20,24,28,32,36,40),0)/100)))))/Skills!H9,1)))/Inputs!$B$43),G3222*Q3222)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9*((R3222-1)*IF(Skills!H9&gt;0,Skills!I9/Skills!H9,1)+IF(Skills!H9&gt;0,MIN(Skills!I9,MAX(0,MAX(0,Inputs!$B$43-B3253)-((R3222-1)*(IF(Inputs!$B$38="pvp",15,MAX(0.1,Skills!D9-IF(Skills!E9=TRUE,3.5,0)))*(1-IF(AND(ArtifactsInput!$M$27,Inputs!$B$4="Chapter Hunt"),CHOOSE(ArtifactsInput!$N$27+1,20,24,28,32,36,40),0)/100)))))/Skills!H9,1)))/Inputs!$B$43),G3222*Q3222))*IF(Inputs!$B$38="pvp",1,(1+(Inputs!$B$21+Skills!Q9+(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Skills!A10</f>
        <v/>
      </c>
      <c r="B3223">
        <f>Skills!B10</f>
        <v/>
      </c>
      <c r="C3223">
        <f>Inputs!$B$3&gt;=100</f>
        <v/>
      </c>
      <c r="D3223">
        <f>IF(Skills!C10=1,60+Inputs!$B$25+Inputs!$B$29,IF(Skills!C10=2,90+Inputs!$B$26+Inputs!$B$29,IF(Skills!C10=3,120+Inputs!$B$27+Inputs!$B$29,MAX(0,(Inputs!$B$3-100)*3)+Inputs!$B$28+Inputs!$B$29)))</f>
        <v/>
      </c>
      <c r="E3223">
        <f>INDEX(FactorTable!$B$2:$Y$301, MATCH(ROUND(MIN(300,MAX(1,D3223)),0), FactorTable!$A$2:$A$301,0), Skills!M10+1)</f>
        <v/>
      </c>
      <c r="F3223">
        <f>IF(Skills!N10=TRUE,(Skills!L10/10)*(E3223/1000),Skills!L10/10)+Skills!O10</f>
        <v/>
      </c>
      <c r="G3223" t="inlineStr"/>
      <c r="H3223" t="inlineStr"/>
      <c r="I3223" t="inlineStr">
        <is>
          <t>1</t>
        </is>
      </c>
      <c r="J3223" t="inlineStr"/>
      <c r="K3223" t="inlineStr"/>
      <c r="L3223" t="inlineStr"/>
      <c r="M3223" t="inlineStr"/>
      <c r="N3223" t="inlineStr"/>
      <c r="O3223" t="inlineStr"/>
      <c r="P3223" t="inlineStr"/>
      <c r="Q3223" t="inlineStr"/>
      <c r="R3223" t="inlineStr"/>
      <c r="S3223" t="inlineStr"/>
      <c r="T3223" t="inlineStr"/>
      <c r="V3223" t="inlineStr"/>
    </row>
    <row r="3224">
      <c r="A3224">
        <f>Skills!A11</f>
        <v/>
      </c>
      <c r="B3224">
        <f>Skills!B11</f>
        <v/>
      </c>
      <c r="C3224">
        <f>Inputs!$B$3&gt;=60</f>
        <v/>
      </c>
      <c r="D3224">
        <f>IF(Skills!C11=1,60+Inputs!$B$25+Inputs!$B$29,IF(Skills!C11=2,90+Inputs!$B$26+Inputs!$B$29,IF(Skills!C11=3,120+Inputs!$B$27+Inputs!$B$29,MAX(0,(Inputs!$B$3-100)*3)+Inputs!$B$28+Inputs!$B$29)))</f>
        <v/>
      </c>
      <c r="E3224">
        <f>INDEX(FactorTable!$B$2:$Y$301, MATCH(ROUND(MIN(300,MAX(1,D3224)),0), FactorTable!$A$2:$A$301,0), Skills!M11+1)</f>
        <v/>
      </c>
      <c r="F3224">
        <f>IF(Skills!N11=TRUE,(Skills!L11/10)*(E3224/1000),Skills!L11/10)+Skills!O11</f>
        <v/>
      </c>
      <c r="G3224">
        <f>Skills!G11*IF(Skills!H11&gt;0,Skills!I11/Skills!H11,1)</f>
        <v/>
      </c>
      <c r="H3224">
        <f>1-(1-Skills!J11/100)^Skills!K11</f>
        <v/>
      </c>
      <c r="I3224" t="inlineStr">
        <is>
          <t>1</t>
        </is>
      </c>
      <c r="J3224">
        <f>((Inputs!$B$6*(1+Inputs!$B$7/100))+(((Inputs!$B$12*(1+Inputs!$B$13/100))-(Inputs!$B$12*(1+Inputs!$B$13/100)))+0.25*(Inputs!$B$14-Inputs!$B$14))*(1+Inputs!$B$7/100))*(F3224/100)</f>
        <v/>
      </c>
      <c r="K3224">
        <f>J3224*(1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3225=TRUE,F3225,0)/100)*(1+(IF(Skills!A11="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3224)</f>
        <v/>
      </c>
      <c r="L3224">
        <f>K3224*(MIN(Inputs!$B$22+((C3237=TRUE)*(F3237-Calc!F24)),(Inputs!$B$23+((C3242=TRUE)*(F3242-Calc!F29))+(IF(ArtifactsInput!$M$15,CHOOSE(ArtifactsInput!$N$15+1,25,30,35,40,45,50)/100*(Inputs!$B$11-Inputs!$B$11),0))))/100+(Inputs!$B$23+((C3242=TRUE)*(F3242-Calc!F29))+(IF(ArtifactsInput!$M$15,CHOOSE(ArtifactsInput!$N$15+1,25,30,35,40,45,50)/100*(Inputs!$B$11-Inputs!$B$11),0)))/100)/2</f>
        <v/>
      </c>
      <c r="M3224">
        <f>L3224*(1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4">
        <f>L3224*(1-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3224*(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4">
        <f>(1-Summary!$B$11)*T3224+Summary!$B$11*V3224</f>
        <v/>
      </c>
      <c r="P3224">
        <f>IF(B3256=0,0,O3224/B3256)</f>
        <v/>
      </c>
      <c r="Q3224">
        <f>IFERROR(1/(IF(Inputs!$B$38="pvp",15,MAX(0.1,Skills!D11-IF(Skills!E11=TRUE,3.5,0)))*(1-IF(AND(ArtifactsInput!$M$27,Inputs!$B$4="Chapter Hunt"),CHOOSE(ArtifactsInput!$N$27+1,20,24,28,32,36,40),0)/100)),0)</f>
        <v/>
      </c>
      <c r="R3224">
        <f>IF(AND(Inputs!$B$38&lt;&gt;"pvp",Inputs!$B$43&gt;0),IF(MAX(0,Inputs!$B$43-B3253)&lt;=0,0,(INT(MAX(0,Inputs!$B$43-B3253)/(IF(Inputs!$B$38="pvp",15,MAX(0.1,Skills!D11-IF(Skills!E11=TRUE,3.5,0)))*(1-IF(AND(ArtifactsInput!$M$27,Inputs!$B$4="Chapter Hunt"),CHOOSE(ArtifactsInput!$N$27+1,20,24,28,32,36,40),0)/100)))+1)),0)</f>
        <v/>
      </c>
      <c r="S3224">
        <f>IFERROR(O3224/N3224,0)</f>
        <v/>
      </c>
      <c r="T3224">
        <f>IF(C3224,(H3224*N3224*IF(AND(Inputs!$B$38&lt;&gt;"pvp",Inputs!$B$43&gt;0),((Skills!G11*((R3224-1)*IF(Skills!H11&gt;0,Skills!I11/Skills!H11,1)+IF(Skills!H11&gt;0,MIN(Skills!I11,MAX(0,MAX(0,Inputs!$B$43-B3253)-((R3224-1)*(IF(Inputs!$B$38="pvp",15,MAX(0.1,Skills!D11-IF(Skills!E11=TRUE,3.5,0)))*(1-IF(AND(ArtifactsInput!$M$27,Inputs!$B$4="Chapter Hunt"),CHOOSE(ArtifactsInput!$N$27+1,20,24,28,32,36,40),0)/100)))))/Skills!H11,1)))/Inputs!$B$43),G3224*Q3224)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3224*(1-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3224*(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3224*(1-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3224*(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4">
        <f>IF(C3224,(H3224*N3224*IF(AND(Inputs!$B$38&lt;&gt;"pvp",Inputs!$B$43&gt;0),((Skills!G11*((R3224-1)*IF(Skills!H11&gt;0,Skills!I11/Skills!H11,1)+IF(Skills!H11&gt;0,MIN(Skills!I11,MAX(0,MAX(0,Inputs!$B$43-B3253)-((R3224-1)*(IF(Inputs!$B$38="pvp",15,MAX(0.1,Skills!D11-IF(Skills!E11=TRUE,3.5,0)))*(1-IF(AND(ArtifactsInput!$M$27,Inputs!$B$4="Chapter Hunt"),CHOOSE(ArtifactsInput!$N$27+1,20,24,28,32,36,40),0)/100)))))/Skills!H11,1)))/Inputs!$B$43),G3224*Q3224))*IF(Inputs!$B$38="pvp",1,(1+(Inputs!$B$21+Skills!Q11+(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5">
      <c r="A3225">
        <f>Skills!A12</f>
        <v/>
      </c>
      <c r="B3225">
        <f>Skills!B12</f>
        <v/>
      </c>
      <c r="C3225">
        <f>Inputs!$B$3&gt;=110</f>
        <v/>
      </c>
      <c r="D3225">
        <f>IF(Skills!C12=1,60+Inputs!$B$25+Inputs!$B$29,IF(Skills!C12=2,90+Inputs!$B$26+Inputs!$B$29,IF(Skills!C12=3,120+Inputs!$B$27+Inputs!$B$29,MAX(0,(Inputs!$B$3-100)*3)+Inputs!$B$28+Inputs!$B$29)))</f>
        <v/>
      </c>
      <c r="E3225">
        <f>INDEX(FactorTable!$B$2:$Y$301, MATCH(ROUND(MIN(300,MAX(1,D3225)),0), FactorTable!$A$2:$A$301,0), Skills!M12+1)</f>
        <v/>
      </c>
      <c r="F3225">
        <f>IF(Skills!N12=TRUE,(Skills!L12/10)*(E3225/1000),Skills!L12/10)+Skills!O12</f>
        <v/>
      </c>
      <c r="G3225" t="inlineStr"/>
      <c r="H3225" t="inlineStr"/>
      <c r="I3225" t="inlineStr">
        <is>
          <t>1</t>
        </is>
      </c>
      <c r="J3225" t="inlineStr"/>
      <c r="K3225" t="inlineStr"/>
      <c r="L3225" t="inlineStr"/>
      <c r="M3225" t="inlineStr"/>
      <c r="N3225" t="inlineStr"/>
      <c r="O3225" t="inlineStr"/>
      <c r="P3225" t="inlineStr"/>
      <c r="Q3225" t="inlineStr"/>
      <c r="R3225" t="inlineStr"/>
      <c r="S3225" t="inlineStr"/>
      <c r="T3225" t="inlineStr"/>
      <c r="V3225" t="inlineStr"/>
    </row>
    <row r="3226">
      <c r="A3226">
        <f>Skills!A13</f>
        <v/>
      </c>
      <c r="B3226">
        <f>Skills!B13</f>
        <v/>
      </c>
      <c r="C3226">
        <f>Inputs!$B$3&gt;=74</f>
        <v/>
      </c>
      <c r="D3226">
        <f>IF(Skills!C13=1,60+Inputs!$B$25+Inputs!$B$29,IF(Skills!C13=2,90+Inputs!$B$26+Inputs!$B$29,IF(Skills!C13=3,120+Inputs!$B$27+Inputs!$B$29,MAX(0,(Inputs!$B$3-100)*3)+Inputs!$B$28+Inputs!$B$29)))</f>
        <v/>
      </c>
      <c r="E3226">
        <f>INDEX(FactorTable!$B$2:$Y$301, MATCH(ROUND(MIN(300,MAX(1,D3226)),0), FactorTable!$A$2:$A$301,0), Skills!M13+1)</f>
        <v/>
      </c>
      <c r="F3226">
        <f>IF(Skills!N13=TRUE,(Skills!L13/10)*(E3226/1000),Skills!L13/10)+Skills!O13</f>
        <v/>
      </c>
      <c r="G3226">
        <f>Skills!G13*IF(Skills!H13&gt;0,Skills!I13/Skills!H13,1)</f>
        <v/>
      </c>
      <c r="H3226">
        <f>1-(1-Skills!J13/100)^Skills!K13</f>
        <v/>
      </c>
      <c r="I3226" t="inlineStr">
        <is>
          <t>1</t>
        </is>
      </c>
      <c r="J3226" t="inlineStr"/>
      <c r="K3226" t="inlineStr"/>
      <c r="L3226" t="inlineStr"/>
      <c r="M3226" t="inlineStr"/>
      <c r="N3226" t="inlineStr"/>
      <c r="O3226">
        <f>(1-Summary!$B$11)*T3226+Summary!$B$11*V3226</f>
        <v/>
      </c>
      <c r="P3226">
        <f>IF(B3256=0,0,O3226/B3256)</f>
        <v/>
      </c>
      <c r="Q3226" t="n">
        <v>0</v>
      </c>
      <c r="R3226" t="n">
        <v>0</v>
      </c>
      <c r="S3226">
        <f>IFERROR(O3226/N3226,0)</f>
        <v/>
      </c>
      <c r="T3226" t="n">
        <v>0</v>
      </c>
      <c r="V3226" t="n">
        <v>0</v>
      </c>
    </row>
    <row r="3227">
      <c r="A3227">
        <f>Skills!A14</f>
        <v/>
      </c>
      <c r="B3227">
        <f>Skills!B14</f>
        <v/>
      </c>
      <c r="C3227">
        <f>Inputs!$B$3&gt;=74</f>
        <v/>
      </c>
      <c r="D3227">
        <f>IF(Skills!C14=1,60+Inputs!$B$25+Inputs!$B$29,IF(Skills!C14=2,90+Inputs!$B$26+Inputs!$B$29,IF(Skills!C14=3,120+Inputs!$B$27+Inputs!$B$29,MAX(0,(Inputs!$B$3-100)*3)+Inputs!$B$28+Inputs!$B$29)))</f>
        <v/>
      </c>
      <c r="E3227">
        <f>INDEX(FactorTable!$B$2:$Y$301, MATCH(ROUND(MIN(300,MAX(1,D3227)),0), FactorTable!$A$2:$A$301,0), Skills!M14+1)</f>
        <v/>
      </c>
      <c r="F3227">
        <f>IF(Skills!N14=TRUE,(Skills!L14/10)*(E3227/1000),Skills!L14/10)+Skills!O14</f>
        <v/>
      </c>
      <c r="G3227">
        <f>Skills!G14*IF(Skills!H14&gt;0,Skills!I14/Skills!H14,1)</f>
        <v/>
      </c>
      <c r="H3227">
        <f>1-(1-Skills!J14/100)^Skills!K14</f>
        <v/>
      </c>
      <c r="I3227" t="inlineStr">
        <is>
          <t>1</t>
        </is>
      </c>
      <c r="J3227" t="inlineStr"/>
      <c r="K3227" t="inlineStr"/>
      <c r="L3227" t="inlineStr"/>
      <c r="M3227" t="inlineStr"/>
      <c r="N3227" t="inlineStr"/>
      <c r="O3227">
        <f>(1-Summary!$B$11)*T3227+Summary!$B$11*V3227</f>
        <v/>
      </c>
      <c r="P3227">
        <f>IF(B3256=0,0,O3227/B3256)</f>
        <v/>
      </c>
      <c r="Q3227" t="n">
        <v>0</v>
      </c>
      <c r="R3227" t="n">
        <v>0</v>
      </c>
      <c r="S3227">
        <f>IFERROR(O3227/N3227,0)</f>
        <v/>
      </c>
      <c r="T3227" t="n">
        <v>0</v>
      </c>
      <c r="V3227" t="n">
        <v>0</v>
      </c>
    </row>
    <row r="3228">
      <c r="A3228">
        <f>Skills!A15</f>
        <v/>
      </c>
      <c r="B3228">
        <f>Skills!B15</f>
        <v/>
      </c>
      <c r="C3228">
        <f>Inputs!$B$3&gt;=117</f>
        <v/>
      </c>
      <c r="D3228">
        <f>IF(Skills!C15=1,60+Inputs!$B$25+Inputs!$B$29,IF(Skills!C15=2,90+Inputs!$B$26+Inputs!$B$29,IF(Skills!C15=3,120+Inputs!$B$27+Inputs!$B$29,MAX(0,(Inputs!$B$3-100)*3)+Inputs!$B$28+Inputs!$B$29)))</f>
        <v/>
      </c>
      <c r="E3228">
        <f>INDEX(FactorTable!$B$2:$Y$301, MATCH(ROUND(MIN(300,MAX(1,D3228)),0), FactorTable!$A$2:$A$301,0), Skills!M15+1)</f>
        <v/>
      </c>
      <c r="F3228">
        <f>IF(Skills!N15=TRUE,(Skills!L15/10)*(E3228/1000),Skills!L15/10)+Skills!O15</f>
        <v/>
      </c>
      <c r="G3228">
        <f>Skills!G15*IF(Skills!H15&gt;0,Skills!I15/Skills!H15,1)</f>
        <v/>
      </c>
      <c r="H3228">
        <f>1-(1-Skills!J15/100)^Skills!K15</f>
        <v/>
      </c>
      <c r="I3228" t="inlineStr">
        <is>
          <t>1</t>
        </is>
      </c>
      <c r="J3228" t="inlineStr"/>
      <c r="K3228" t="inlineStr"/>
      <c r="L3228" t="inlineStr"/>
      <c r="M3228" t="inlineStr"/>
      <c r="N3228" t="inlineStr"/>
      <c r="O3228">
        <f>(1-Summary!$B$11)*T3228+Summary!$B$11*V3228</f>
        <v/>
      </c>
      <c r="P3228">
        <f>IF(B3256=0,0,O3228/B3256)</f>
        <v/>
      </c>
      <c r="Q3228">
        <f>IFERROR(1/(IF(Inputs!$B$38="pvp",15,MAX(0.1,Skills!D15-IF(Skills!E15=TRUE,3.5,0)))*(1-IF(AND(ArtifactsInput!$M$27,Inputs!$B$4="Chapter Hunt"),CHOOSE(ArtifactsInput!$N$27+1,20,24,28,32,36,40),0)/100)),0)</f>
        <v/>
      </c>
      <c r="R3228">
        <f>IF(AND(Inputs!$B$38&lt;&gt;"pvp",Inputs!$B$43&gt;0),IF(Inputs!$B$43&lt;=0,0,(INT(Inputs!$B$43/(IF(Inputs!$B$38="pvp",15,MAX(0.1,Skills!D15-IF(Skills!E15=TRUE,3.5,0)))*(1-IF(AND(ArtifactsInput!$M$27,Inputs!$B$4="Chapter Hunt"),CHOOSE(ArtifactsInput!$N$27+1,20,24,28,32,36,40),0)/100)))+1)),0)</f>
        <v/>
      </c>
      <c r="S3228">
        <f>IFERROR(O3228/N3228,0)</f>
        <v/>
      </c>
      <c r="T3228" t="n">
        <v>0</v>
      </c>
      <c r="V3228" t="n">
        <v>0</v>
      </c>
    </row>
    <row r="3229">
      <c r="A3229">
        <f>Skills!A16</f>
        <v/>
      </c>
      <c r="B3229">
        <f>Skills!B16</f>
        <v/>
      </c>
      <c r="C3229">
        <f>Inputs!$B$3&gt;=115</f>
        <v/>
      </c>
      <c r="D3229">
        <f>IF(Skills!C16=1,60+Inputs!$B$25+Inputs!$B$29,IF(Skills!C16=2,90+Inputs!$B$26+Inputs!$B$29,IF(Skills!C16=3,120+Inputs!$B$27+Inputs!$B$29,MAX(0,(Inputs!$B$3-100)*3)+Inputs!$B$28+Inputs!$B$29)))</f>
        <v/>
      </c>
      <c r="E3229">
        <f>INDEX(FactorTable!$B$2:$Y$301, MATCH(ROUND(MIN(300,MAX(1,D3229)),0), FactorTable!$A$2:$A$301,0), Skills!M16+1)</f>
        <v/>
      </c>
      <c r="F3229">
        <f>IF(Skills!N16=TRUE,(Skills!L16/10)*(E3229/1000),Skills!L16/10)+Skills!O16</f>
        <v/>
      </c>
      <c r="G3229">
        <f>Skills!G16*IF(Skills!H16&gt;0,Skills!I16/Skills!H16,1)</f>
        <v/>
      </c>
      <c r="H3229">
        <f>1-(1-Skills!J16/100)^Skills!K16</f>
        <v/>
      </c>
      <c r="I3229" t="inlineStr">
        <is>
          <t>1</t>
        </is>
      </c>
      <c r="J3229" t="inlineStr"/>
      <c r="K3229" t="inlineStr"/>
      <c r="L3229" t="inlineStr"/>
      <c r="M3229" t="inlineStr"/>
      <c r="N3229" t="inlineStr"/>
      <c r="O3229">
        <f>(1-Summary!$B$11)*T3229+Summary!$B$11*V3229</f>
        <v/>
      </c>
      <c r="P3229">
        <f>IF(B3256=0,0,O3229/B3256)</f>
        <v/>
      </c>
      <c r="Q3229">
        <f>IFERROR(1/(IF(Inputs!$B$38="pvp",15,MAX(0.1,Skills!D16-IF(Skills!E16=TRUE,3.5,0)))*(1-IF(AND(ArtifactsInput!$M$27,Inputs!$B$4="Chapter Hunt"),CHOOSE(ArtifactsInput!$N$27+1,20,24,28,32,36,40),0)/100)),0)</f>
        <v/>
      </c>
      <c r="R3229">
        <f>IF(AND(Inputs!$B$38&lt;&gt;"pvp",Inputs!$B$43&gt;0),IF(Inputs!$B$43&lt;=0,0,(INT(Inputs!$B$43/(IF(Inputs!$B$38="pvp",15,MAX(0.1,Skills!D16-IF(Skills!E16=TRUE,3.5,0)))*(1-IF(AND(ArtifactsInput!$M$27,Inputs!$B$4="Chapter Hunt"),CHOOSE(ArtifactsInput!$N$27+1,20,24,28,32,36,40),0)/100)))+1)),0)</f>
        <v/>
      </c>
      <c r="S3229">
        <f>IFERROR(O3229/N3229,0)</f>
        <v/>
      </c>
      <c r="T3229" t="n">
        <v>0</v>
      </c>
      <c r="V3229" t="n">
        <v>0</v>
      </c>
    </row>
    <row r="3230">
      <c r="A3230">
        <f>Skills!A17</f>
        <v/>
      </c>
      <c r="B3230">
        <f>Skills!B17</f>
        <v/>
      </c>
      <c r="C3230">
        <f>Inputs!$B$3&gt;=66</f>
        <v/>
      </c>
      <c r="D3230">
        <f>IF(Skills!C17=1,60+Inputs!$B$25+Inputs!$B$29,IF(Skills!C17=2,90+Inputs!$B$26+Inputs!$B$29,IF(Skills!C17=3,120+Inputs!$B$27+Inputs!$B$29,MAX(0,(Inputs!$B$3-100)*3)+Inputs!$B$28+Inputs!$B$29)))</f>
        <v/>
      </c>
      <c r="E3230">
        <f>INDEX(FactorTable!$B$2:$Y$301, MATCH(ROUND(MIN(300,MAX(1,D3230)),0), FactorTable!$A$2:$A$301,0), Skills!M17+1)</f>
        <v/>
      </c>
      <c r="F3230">
        <f>IF(Skills!N17=TRUE,(Skills!L17/10)*(E3230/1000),Skills!L17/10)+Skills!O17</f>
        <v/>
      </c>
      <c r="G3230">
        <f>Skills!G17*IF(Skills!H17&gt;0,Skills!I17/Skills!H17,1)</f>
        <v/>
      </c>
      <c r="H3230">
        <f>1-(1-Skills!J17/100)^Skills!K17</f>
        <v/>
      </c>
      <c r="I3230" t="inlineStr">
        <is>
          <t>1</t>
        </is>
      </c>
      <c r="J3230" t="inlineStr"/>
      <c r="K3230" t="inlineStr"/>
      <c r="L3230" t="inlineStr"/>
      <c r="M3230" t="inlineStr"/>
      <c r="N3230" t="inlineStr"/>
      <c r="O3230">
        <f>(1-Summary!$B$11)*T3230+Summary!$B$11*V3230</f>
        <v/>
      </c>
      <c r="P3230">
        <f>IF(B3256=0,0,O3230/B3256)</f>
        <v/>
      </c>
      <c r="Q3230" t="n">
        <v>0</v>
      </c>
      <c r="R3230" t="n">
        <v>0</v>
      </c>
      <c r="S3230">
        <f>IFERROR(O3230/N3230,0)</f>
        <v/>
      </c>
      <c r="T3230" t="n">
        <v>0</v>
      </c>
      <c r="V3230" t="n">
        <v>0</v>
      </c>
    </row>
    <row r="3231">
      <c r="A3231">
        <f>Skills!A18</f>
        <v/>
      </c>
      <c r="B3231">
        <f>Skills!B18</f>
        <v/>
      </c>
      <c r="C3231">
        <f>Inputs!$B$3&gt;=72</f>
        <v/>
      </c>
      <c r="D3231">
        <f>IF(Skills!C18=1,60+Inputs!$B$25+Inputs!$B$29,IF(Skills!C18=2,90+Inputs!$B$26+Inputs!$B$29,IF(Skills!C18=3,120+Inputs!$B$27+Inputs!$B$29,MAX(0,(Inputs!$B$3-100)*3)+Inputs!$B$28+Inputs!$B$29)))</f>
        <v/>
      </c>
      <c r="E3231">
        <f>INDEX(FactorTable!$B$2:$Y$301, MATCH(ROUND(MIN(300,MAX(1,D3231)),0), FactorTable!$A$2:$A$301,0), Skills!M18+1)</f>
        <v/>
      </c>
      <c r="F3231">
        <f>IF(Skills!N18=TRUE,(Skills!L18/10)*(E3231/1000),Skills!L18/10)+Skills!O18</f>
        <v/>
      </c>
      <c r="G3231">
        <f>Skills!G18*IF(Skills!H18&gt;0,Skills!I18/Skills!H18,1)</f>
        <v/>
      </c>
      <c r="H3231">
        <f>1-(1-Skills!J18/100)^Skills!K18</f>
        <v/>
      </c>
      <c r="I3231" t="inlineStr">
        <is>
          <t>1</t>
        </is>
      </c>
      <c r="J3231" t="inlineStr"/>
      <c r="K3231" t="inlineStr"/>
      <c r="L3231" t="inlineStr"/>
      <c r="M3231" t="inlineStr"/>
      <c r="N3231" t="inlineStr"/>
      <c r="O3231">
        <f>(1-Summary!$B$11)*T3231+Summary!$B$11*V3231</f>
        <v/>
      </c>
      <c r="P3231">
        <f>IF(B3256=0,0,O3231/B3256)</f>
        <v/>
      </c>
      <c r="Q3231" t="n">
        <v>0</v>
      </c>
      <c r="R3231" t="n">
        <v>0</v>
      </c>
      <c r="S3231">
        <f>IFERROR(O3231/N3231,0)</f>
        <v/>
      </c>
      <c r="T3231" t="n">
        <v>0</v>
      </c>
      <c r="V3231" t="n">
        <v>0</v>
      </c>
    </row>
    <row r="3232">
      <c r="A3232">
        <f>Skills!A19</f>
        <v/>
      </c>
      <c r="B3232">
        <f>Skills!B19</f>
        <v/>
      </c>
      <c r="C3232">
        <f>TRUE</f>
        <v/>
      </c>
      <c r="D3232">
        <f>IF(Skills!C19=1,60+Inputs!$B$25+Inputs!$B$29,IF(Skills!C19=2,90+Inputs!$B$26+Inputs!$B$29,IF(Skills!C19=3,120+Inputs!$B$27+Inputs!$B$29,MAX(0,(Inputs!$B$3-100)*3)+Inputs!$B$28+Inputs!$B$29)))</f>
        <v/>
      </c>
      <c r="E3232">
        <f>INDEX(FactorTable!$B$2:$Y$301, MATCH(ROUND(MIN(300,MAX(1,D3232)),0), FactorTable!$A$2:$A$301,0), Skills!M19+1)</f>
        <v/>
      </c>
      <c r="F3232">
        <f>IF(Skills!N19=TRUE,(Skills!L19/10)*(E3232/1000),Skills!L19/10)+Skills!O19</f>
        <v/>
      </c>
      <c r="G3232">
        <f>Skills!G19*IF(Skills!H19&gt;0,Skills!I19/Skills!H19,1)</f>
        <v/>
      </c>
      <c r="H3232">
        <f>1-(1-Skills!J19/100)^Skills!K19</f>
        <v/>
      </c>
      <c r="I3232" t="inlineStr">
        <is>
          <t>1</t>
        </is>
      </c>
      <c r="J3232" t="inlineStr"/>
      <c r="K3232" t="inlineStr"/>
      <c r="L3232" t="inlineStr"/>
      <c r="M3232" t="inlineStr"/>
      <c r="N3232" t="inlineStr"/>
      <c r="O3232">
        <f>(1-Summary!$B$11)*T3232+Summary!$B$11*V3232</f>
        <v/>
      </c>
      <c r="P3232">
        <f>IF(B3256=0,0,O3232/B3256)</f>
        <v/>
      </c>
      <c r="Q3232">
        <f>IFERROR(1/(IF(Inputs!$B$38="pvp",15,MAX(0.1,Skills!D19-IF(Skills!E19=TRUE,3.5,0)))*(1-IF(AND(ArtifactsInput!$M$27,Inputs!$B$4="Chapter Hunt"),CHOOSE(ArtifactsInput!$N$27+1,20,24,28,32,36,40),0)/100)),0)</f>
        <v/>
      </c>
      <c r="R3232">
        <f>IF(AND(Inputs!$B$38&lt;&gt;"pvp",Inputs!$B$43&gt;0),IF(Inputs!$B$43&lt;=0,0,(INT(Inputs!$B$43/(IF(Inputs!$B$38="pvp",15,MAX(0.1,Skills!D19-IF(Skills!E19=TRUE,3.5,0)))*(1-IF(AND(ArtifactsInput!$M$27,Inputs!$B$4="Chapter Hunt"),CHOOSE(ArtifactsInput!$N$27+1,20,24,28,32,36,40),0)/100)))+1)),0)</f>
        <v/>
      </c>
      <c r="S3232">
        <f>IFERROR(O3232/N3232,0)</f>
        <v/>
      </c>
      <c r="T3232" t="n">
        <v>0</v>
      </c>
      <c r="V3232" t="n">
        <v>0</v>
      </c>
    </row>
    <row r="3233">
      <c r="A3233">
        <f>Skills!A20</f>
        <v/>
      </c>
      <c r="B3233">
        <f>Skills!B20</f>
        <v/>
      </c>
      <c r="C3233">
        <f>Inputs!$B$3&gt;=15</f>
        <v/>
      </c>
      <c r="D3233">
        <f>IF(Skills!C20=1,60+Inputs!$B$25+Inputs!$B$29,IF(Skills!C20=2,90+Inputs!$B$26+Inputs!$B$29,IF(Skills!C20=3,120+Inputs!$B$27+Inputs!$B$29,MAX(0,(Inputs!$B$3-100)*3)+Inputs!$B$28+Inputs!$B$29)))</f>
        <v/>
      </c>
      <c r="E3233">
        <f>INDEX(FactorTable!$B$2:$Y$301, MATCH(ROUND(MIN(300,MAX(1,D3233)),0), FactorTable!$A$2:$A$301,0), Skills!M20+1)</f>
        <v/>
      </c>
      <c r="F3233">
        <f>IF(Skills!N20=TRUE,(Skills!L20/10)*(E3233/1000),Skills!L20/10)+Skills!O20</f>
        <v/>
      </c>
      <c r="G3233">
        <f>Skills!G20*IF(Skills!H20&gt;0,Skills!I20/Skills!H20,1)</f>
        <v/>
      </c>
      <c r="H3233">
        <f>1-(1-Skills!J20/100)^Skills!K20</f>
        <v/>
      </c>
      <c r="I3233" t="inlineStr">
        <is>
          <t>1</t>
        </is>
      </c>
      <c r="J3233" t="inlineStr"/>
      <c r="K3233" t="inlineStr"/>
      <c r="L3233" t="inlineStr"/>
      <c r="M3233" t="inlineStr"/>
      <c r="N3233" t="inlineStr"/>
      <c r="O3233">
        <f>(1-Summary!$B$11)*T3233+Summary!$B$11*V3233</f>
        <v/>
      </c>
      <c r="P3233">
        <f>IF(B3256=0,0,O3233/B3256)</f>
        <v/>
      </c>
      <c r="Q3233" t="n">
        <v>0</v>
      </c>
      <c r="R3233" t="n">
        <v>0</v>
      </c>
      <c r="S3233">
        <f>IFERROR(O3233/N3233,0)</f>
        <v/>
      </c>
      <c r="T3233" t="n">
        <v>0</v>
      </c>
      <c r="V3233" t="n">
        <v>0</v>
      </c>
    </row>
    <row r="3234">
      <c r="A3234">
        <f>Skills!A21</f>
        <v/>
      </c>
      <c r="B3234">
        <f>Skills!B21</f>
        <v/>
      </c>
      <c r="C3234">
        <f>Inputs!$B$3&gt;=10</f>
        <v/>
      </c>
      <c r="D3234">
        <f>IF(Skills!C21=1,60+Inputs!$B$25+Inputs!$B$29,IF(Skills!C21=2,90+Inputs!$B$26+Inputs!$B$29,IF(Skills!C21=3,120+Inputs!$B$27+Inputs!$B$29,MAX(0,(Inputs!$B$3-100)*3)+Inputs!$B$28+Inputs!$B$29)))</f>
        <v/>
      </c>
      <c r="E3234">
        <f>INDEX(FactorTable!$B$2:$Y$301, MATCH(ROUND(MIN(300,MAX(1,D3234)),0), FactorTable!$A$2:$A$301,0), Skills!M21+1)</f>
        <v/>
      </c>
      <c r="F3234">
        <f>IF(Skills!N21=TRUE,(Skills!L21/10)*(E3234/1000),Skills!L21/10)+Skills!O21</f>
        <v/>
      </c>
      <c r="G3234">
        <f>Skills!G21*IF(Skills!H21&gt;0,Skills!I21/Skills!H21,1)</f>
        <v/>
      </c>
      <c r="H3234">
        <f>1-(1-Skills!J21/100)^Skills!K21</f>
        <v/>
      </c>
      <c r="I3234" t="inlineStr">
        <is>
          <t>1</t>
        </is>
      </c>
      <c r="J3234" t="inlineStr"/>
      <c r="K3234" t="inlineStr"/>
      <c r="L3234" t="inlineStr"/>
      <c r="M3234" t="inlineStr"/>
      <c r="N3234" t="inlineStr"/>
      <c r="O3234">
        <f>(1-Summary!$B$11)*T3234+Summary!$B$11*V3234</f>
        <v/>
      </c>
      <c r="P3234">
        <f>IF(B3256=0,0,O3234/B3256)</f>
        <v/>
      </c>
      <c r="Q3234" t="n">
        <v>0</v>
      </c>
      <c r="R3234" t="n">
        <v>0</v>
      </c>
      <c r="S3234">
        <f>IFERROR(O3234/N3234,0)</f>
        <v/>
      </c>
      <c r="T3234" t="n">
        <v>0</v>
      </c>
      <c r="V3234" t="n">
        <v>0</v>
      </c>
    </row>
    <row r="3235">
      <c r="A3235">
        <f>Skills!A22</f>
        <v/>
      </c>
      <c r="B3235">
        <f>Skills!B22</f>
        <v/>
      </c>
      <c r="C3235">
        <f>Inputs!$B$3&gt;=33</f>
        <v/>
      </c>
      <c r="D3235">
        <f>IF(Skills!C22=1,60+Inputs!$B$25+Inputs!$B$29,IF(Skills!C22=2,90+Inputs!$B$26+Inputs!$B$29,IF(Skills!C22=3,120+Inputs!$B$27+Inputs!$B$29,MAX(0,(Inputs!$B$3-100)*3)+Inputs!$B$28+Inputs!$B$29)))</f>
        <v/>
      </c>
      <c r="E3235">
        <f>INDEX(FactorTable!$B$2:$Y$301, MATCH(ROUND(MIN(300,MAX(1,D3235)),0), FactorTable!$A$2:$A$301,0), Skills!M22+1)</f>
        <v/>
      </c>
      <c r="F3235">
        <f>IF(Skills!N22=TRUE,(Skills!L22/10)*(E3235/1000),Skills!L22/10)+Skills!O22</f>
        <v/>
      </c>
      <c r="G3235">
        <f>Skills!G22*IF(Skills!H22&gt;0,Skills!I22/Skills!H22,1)</f>
        <v/>
      </c>
      <c r="H3235">
        <f>1-(1-Skills!J22/100)^Skills!K22</f>
        <v/>
      </c>
      <c r="I3235" t="inlineStr">
        <is>
          <t>1</t>
        </is>
      </c>
      <c r="J3235" t="inlineStr"/>
      <c r="K3235" t="inlineStr"/>
      <c r="L3235" t="inlineStr"/>
      <c r="M3235" t="inlineStr"/>
      <c r="N3235" t="inlineStr"/>
      <c r="O3235">
        <f>(1-Summary!$B$11)*T3235+Summary!$B$11*V3235</f>
        <v/>
      </c>
      <c r="P3235">
        <f>IF(B3256=0,0,O3235/B3256)</f>
        <v/>
      </c>
      <c r="Q3235" t="n">
        <v>0</v>
      </c>
      <c r="R3235" t="n">
        <v>0</v>
      </c>
      <c r="S3235">
        <f>IFERROR(O3235/N3235,0)</f>
        <v/>
      </c>
      <c r="T3235" t="n">
        <v>0</v>
      </c>
      <c r="V3235" t="n">
        <v>0</v>
      </c>
    </row>
    <row r="3236">
      <c r="A3236">
        <f>Skills!A23</f>
        <v/>
      </c>
      <c r="B3236">
        <f>Skills!B23</f>
        <v/>
      </c>
      <c r="C3236">
        <f>Inputs!$B$3&gt;=38</f>
        <v/>
      </c>
      <c r="D3236">
        <f>IF(Skills!C23=1,60+Inputs!$B$25+Inputs!$B$29,IF(Skills!C23=2,90+Inputs!$B$26+Inputs!$B$29,IF(Skills!C23=3,120+Inputs!$B$27+Inputs!$B$29,MAX(0,(Inputs!$B$3-100)*3)+Inputs!$B$28+Inputs!$B$29)))</f>
        <v/>
      </c>
      <c r="E3236">
        <f>INDEX(FactorTable!$B$2:$Y$301, MATCH(ROUND(MIN(300,MAX(1,D3236)),0), FactorTable!$A$2:$A$301,0), Skills!M23+1)</f>
        <v/>
      </c>
      <c r="F3236">
        <f>IF(Skills!N23=TRUE,(Skills!L23/10)*(E3236/1000),Skills!L23/10)+Skills!O23</f>
        <v/>
      </c>
      <c r="G3236">
        <f>Skills!G23*IF(Skills!H23&gt;0,Skills!I23/Skills!H23,1)</f>
        <v/>
      </c>
      <c r="H3236">
        <f>1-(1-Skills!J23/100)^Skills!K23</f>
        <v/>
      </c>
      <c r="I3236" t="inlineStr">
        <is>
          <t>1</t>
        </is>
      </c>
      <c r="J3236" t="inlineStr"/>
      <c r="K3236" t="inlineStr"/>
      <c r="L3236" t="inlineStr"/>
      <c r="M3236" t="inlineStr"/>
      <c r="N3236" t="inlineStr"/>
      <c r="O3236">
        <f>(1-Summary!$B$11)*T3236+Summary!$B$11*V3236</f>
        <v/>
      </c>
      <c r="P3236">
        <f>IF(B3256=0,0,O3236/B3256)</f>
        <v/>
      </c>
      <c r="Q3236" t="n">
        <v>0</v>
      </c>
      <c r="R3236" t="n">
        <v>0</v>
      </c>
      <c r="S3236">
        <f>IFERROR(O3236/N3236,0)</f>
        <v/>
      </c>
      <c r="T3236" t="n">
        <v>0</v>
      </c>
      <c r="V3236" t="n">
        <v>0</v>
      </c>
    </row>
    <row r="3237">
      <c r="A3237">
        <f>Skills!A24</f>
        <v/>
      </c>
      <c r="B3237">
        <f>Skills!B24</f>
        <v/>
      </c>
      <c r="C3237">
        <f>Inputs!$B$3&gt;=43</f>
        <v/>
      </c>
      <c r="D3237">
        <f>IF(Skills!C24=1,60+Inputs!$B$25+Inputs!$B$29,IF(Skills!C24=2,90+Inputs!$B$26+Inputs!$B$29,IF(Skills!C24=3,120+Inputs!$B$27+Inputs!$B$29,MAX(0,(Inputs!$B$3-100)*3)+Inputs!$B$28+Inputs!$B$29)))</f>
        <v/>
      </c>
      <c r="E3237">
        <f>INDEX(FactorTable!$B$2:$Y$301, MATCH(ROUND(MIN(300,MAX(1,D3237)),0), FactorTable!$A$2:$A$301,0), Skills!M24+1)</f>
        <v/>
      </c>
      <c r="F3237">
        <f>IF(Skills!N24=TRUE,(Skills!L24/10)*(E3237/1000),Skills!L24/10)+Skills!O24</f>
        <v/>
      </c>
      <c r="G3237">
        <f>Skills!G24*IF(Skills!H24&gt;0,Skills!I24/Skills!H24,1)</f>
        <v/>
      </c>
      <c r="H3237">
        <f>1-(1-Skills!J24/100)^Skills!K24</f>
        <v/>
      </c>
      <c r="I3237" t="inlineStr">
        <is>
          <t>1</t>
        </is>
      </c>
      <c r="J3237" t="inlineStr"/>
      <c r="K3237" t="inlineStr"/>
      <c r="L3237" t="inlineStr"/>
      <c r="M3237" t="inlineStr"/>
      <c r="N3237" t="inlineStr"/>
      <c r="O3237">
        <f>(1-Summary!$B$11)*T3237+Summary!$B$11*V3237</f>
        <v/>
      </c>
      <c r="P3237">
        <f>IF(B3256=0,0,O3237/B3256)</f>
        <v/>
      </c>
      <c r="Q3237" t="n">
        <v>0</v>
      </c>
      <c r="R3237" t="n">
        <v>0</v>
      </c>
      <c r="S3237">
        <f>IFERROR(O3237/N3237,0)</f>
        <v/>
      </c>
      <c r="T3237" t="n">
        <v>0</v>
      </c>
      <c r="V3237" t="n">
        <v>0</v>
      </c>
    </row>
    <row r="3238">
      <c r="A3238">
        <f>Skills!A25</f>
        <v/>
      </c>
      <c r="B3238">
        <f>Skills!B25</f>
        <v/>
      </c>
      <c r="C3238">
        <f>Inputs!$B$3&gt;=75</f>
        <v/>
      </c>
      <c r="D3238">
        <f>IF(Skills!C25=1,60+Inputs!$B$25+Inputs!$B$29,IF(Skills!C25=2,90+Inputs!$B$26+Inputs!$B$29,IF(Skills!C25=3,120+Inputs!$B$27+Inputs!$B$29,MAX(0,(Inputs!$B$3-100)*3)+Inputs!$B$28+Inputs!$B$29)))</f>
        <v/>
      </c>
      <c r="E3238">
        <f>INDEX(FactorTable!$B$2:$Y$301, MATCH(ROUND(MIN(300,MAX(1,D3238)),0), FactorTable!$A$2:$A$301,0), Skills!M25+1)</f>
        <v/>
      </c>
      <c r="F3238">
        <f>IF(Skills!N25=TRUE,(Skills!L25/10)*(E3238/1000),Skills!L25/10)+Skills!O25</f>
        <v/>
      </c>
      <c r="G3238">
        <f>Skills!G25*IF(Skills!H25&gt;0,Skills!I25/Skills!H25,1)</f>
        <v/>
      </c>
      <c r="H3238">
        <f>1-(1-Skills!J25/100)^Skills!K25</f>
        <v/>
      </c>
      <c r="I3238" t="inlineStr">
        <is>
          <t>1</t>
        </is>
      </c>
      <c r="J3238" t="inlineStr"/>
      <c r="K3238" t="inlineStr"/>
      <c r="L3238" t="inlineStr"/>
      <c r="M3238" t="inlineStr"/>
      <c r="N3238" t="inlineStr"/>
      <c r="O3238">
        <f>(1-Summary!$B$11)*T3238+Summary!$B$11*V3238</f>
        <v/>
      </c>
      <c r="P3238">
        <f>IF(B3256=0,0,O3238/B3256)</f>
        <v/>
      </c>
      <c r="Q3238" t="n">
        <v>0</v>
      </c>
      <c r="R3238" t="n">
        <v>0</v>
      </c>
      <c r="S3238">
        <f>IFERROR(O3238/N3238,0)</f>
        <v/>
      </c>
      <c r="T3238" t="n">
        <v>0</v>
      </c>
      <c r="V3238" t="n">
        <v>0</v>
      </c>
    </row>
    <row r="3239">
      <c r="A3239">
        <f>Skills!A26</f>
        <v/>
      </c>
      <c r="B3239">
        <f>Skills!B26</f>
        <v/>
      </c>
      <c r="C3239">
        <f>Inputs!$B$3&gt;=125</f>
        <v/>
      </c>
      <c r="D3239">
        <f>IF(Skills!C26=1,60+Inputs!$B$25+Inputs!$B$29,IF(Skills!C26=2,90+Inputs!$B$26+Inputs!$B$29,IF(Skills!C26=3,120+Inputs!$B$27+Inputs!$B$29,MAX(0,(Inputs!$B$3-100)*3)+Inputs!$B$28+Inputs!$B$29)))</f>
        <v/>
      </c>
      <c r="E3239">
        <f>INDEX(FactorTable!$B$2:$Y$301, MATCH(ROUND(MIN(300,MAX(1,D3239)),0), FactorTable!$A$2:$A$301,0), Skills!M26+1)</f>
        <v/>
      </c>
      <c r="F3239">
        <f>IF(Skills!N26=TRUE,(Skills!L26/10)*(E3239/1000),Skills!L26/10)+Skills!O26</f>
        <v/>
      </c>
      <c r="G3239">
        <f>Skills!G26*IF(Skills!H26&gt;0,Skills!I26/Skills!H26,1)</f>
        <v/>
      </c>
      <c r="H3239">
        <f>1-(1-Skills!J26/100)^Skills!K26</f>
        <v/>
      </c>
      <c r="I3239" t="inlineStr">
        <is>
          <t>1</t>
        </is>
      </c>
      <c r="J3239" t="inlineStr"/>
      <c r="K3239" t="inlineStr"/>
      <c r="L3239" t="inlineStr"/>
      <c r="M3239" t="inlineStr"/>
      <c r="N3239" t="inlineStr"/>
      <c r="O3239">
        <f>(1-Summary!$B$11)*T3239+Summary!$B$11*V3239</f>
        <v/>
      </c>
      <c r="P3239">
        <f>IF(B3256=0,0,O3239/B3256)</f>
        <v/>
      </c>
      <c r="Q3239" t="n">
        <v>0</v>
      </c>
      <c r="R3239" t="n">
        <v>0</v>
      </c>
      <c r="S3239">
        <f>IFERROR(O3239/N3239,0)</f>
        <v/>
      </c>
      <c r="T3239" t="n">
        <v>0</v>
      </c>
      <c r="V3239" t="n">
        <v>0</v>
      </c>
    </row>
    <row r="3240">
      <c r="A3240">
        <f>Skills!A27</f>
        <v/>
      </c>
      <c r="B3240">
        <f>Skills!B27</f>
        <v/>
      </c>
      <c r="C3240">
        <f>Inputs!$B$3&gt;=125</f>
        <v/>
      </c>
      <c r="D3240">
        <f>IF(Skills!C27=1,60+Inputs!$B$25+Inputs!$B$29,IF(Skills!C27=2,90+Inputs!$B$26+Inputs!$B$29,IF(Skills!C27=3,120+Inputs!$B$27+Inputs!$B$29,MAX(0,(Inputs!$B$3-100)*3)+Inputs!$B$28+Inputs!$B$29)))</f>
        <v/>
      </c>
      <c r="E3240">
        <f>INDEX(FactorTable!$B$2:$Y$301, MATCH(ROUND(MIN(300,MAX(1,D3240)),0), FactorTable!$A$2:$A$301,0), Skills!M27+1)</f>
        <v/>
      </c>
      <c r="F3240">
        <f>IF(Skills!N27=TRUE,(Skills!L27/10)*(E3240/1000),Skills!L27/10)+Skills!O27</f>
        <v/>
      </c>
      <c r="G3240">
        <f>Skills!G27*IF(Skills!H27&gt;0,Skills!I27/Skills!H27,1)</f>
        <v/>
      </c>
      <c r="H3240">
        <f>1-(1-Skills!J27/100)^Skills!K27</f>
        <v/>
      </c>
      <c r="I3240" t="inlineStr">
        <is>
          <t>1</t>
        </is>
      </c>
      <c r="J3240" t="inlineStr"/>
      <c r="K3240" t="inlineStr"/>
      <c r="L3240" t="inlineStr"/>
      <c r="M3240" t="inlineStr"/>
      <c r="N3240" t="inlineStr"/>
      <c r="O3240">
        <f>(1-Summary!$B$11)*T3240+Summary!$B$11*V3240</f>
        <v/>
      </c>
      <c r="P3240">
        <f>IF(B3256=0,0,O3240/B3256)</f>
        <v/>
      </c>
      <c r="Q3240" t="n">
        <v>0</v>
      </c>
      <c r="R3240" t="n">
        <v>0</v>
      </c>
      <c r="S3240">
        <f>IFERROR(O3240/N3240,0)</f>
        <v/>
      </c>
      <c r="T3240" t="n">
        <v>0</v>
      </c>
      <c r="V3240" t="n">
        <v>0</v>
      </c>
    </row>
    <row r="3241">
      <c r="A3241">
        <f>Skills!A28</f>
        <v/>
      </c>
      <c r="B3241">
        <f>Skills!B28</f>
        <v/>
      </c>
      <c r="C3241">
        <f>Inputs!$B$3&gt;=120</f>
        <v/>
      </c>
      <c r="D3241">
        <f>IF(Skills!C28=1,60+Inputs!$B$25+Inputs!$B$29,IF(Skills!C28=2,90+Inputs!$B$26+Inputs!$B$29,IF(Skills!C28=3,120+Inputs!$B$27+Inputs!$B$29,MAX(0,(Inputs!$B$3-100)*3)+Inputs!$B$28+Inputs!$B$29)))</f>
        <v/>
      </c>
      <c r="E3241">
        <f>INDEX(FactorTable!$B$2:$Y$301, MATCH(ROUND(MIN(300,MAX(1,D3241)),0), FactorTable!$A$2:$A$301,0), Skills!M28+1)</f>
        <v/>
      </c>
      <c r="F3241">
        <f>IF(Skills!N28=TRUE,(Skills!L28/10)*(E3241/1000),Skills!L28/10)+Skills!O28</f>
        <v/>
      </c>
      <c r="G3241">
        <f>Skills!G28*IF(Skills!H28&gt;0,Skills!I28/Skills!H28,1)</f>
        <v/>
      </c>
      <c r="H3241">
        <f>1-(1-Skills!J28/100)^Skills!K28</f>
        <v/>
      </c>
      <c r="I3241" t="inlineStr">
        <is>
          <t>1</t>
        </is>
      </c>
      <c r="J3241" t="inlineStr"/>
      <c r="K3241" t="inlineStr"/>
      <c r="L3241" t="inlineStr"/>
      <c r="M3241" t="inlineStr"/>
      <c r="N3241" t="inlineStr"/>
      <c r="O3241">
        <f>(1-Summary!$B$11)*T3241+Summary!$B$11*V3241</f>
        <v/>
      </c>
      <c r="P3241">
        <f>IF(B3256=0,0,O3241/B3256)</f>
        <v/>
      </c>
      <c r="Q3241" t="n">
        <v>0</v>
      </c>
      <c r="R3241" t="n">
        <v>0</v>
      </c>
      <c r="S3241">
        <f>IFERROR(O3241/N3241,0)</f>
        <v/>
      </c>
      <c r="T3241" t="n">
        <v>0</v>
      </c>
      <c r="V3241" t="n">
        <v>0</v>
      </c>
    </row>
    <row r="3242">
      <c r="A3242">
        <f>Skills!A29</f>
        <v/>
      </c>
      <c r="B3242">
        <f>Skills!B29</f>
        <v/>
      </c>
      <c r="C3242">
        <f>Inputs!$B$3&gt;=120</f>
        <v/>
      </c>
      <c r="D3242">
        <f>IF(Skills!C29=1,60+Inputs!$B$25+Inputs!$B$29,IF(Skills!C29=2,90+Inputs!$B$26+Inputs!$B$29,IF(Skills!C29=3,120+Inputs!$B$27+Inputs!$B$29,MAX(0,(Inputs!$B$3-100)*3)+Inputs!$B$28+Inputs!$B$29)))</f>
        <v/>
      </c>
      <c r="E3242">
        <f>INDEX(FactorTable!$B$2:$Y$301, MATCH(ROUND(MIN(300,MAX(1,D3242)),0), FactorTable!$A$2:$A$301,0), Skills!M29+1)</f>
        <v/>
      </c>
      <c r="F3242">
        <f>IF(Skills!N29=TRUE,(Skills!L29/10)*(E3242/1000),Skills!L29/10)+Skills!O29</f>
        <v/>
      </c>
      <c r="G3242">
        <f>Skills!G29*IF(Skills!H29&gt;0,Skills!I29/Skills!H29,1)</f>
        <v/>
      </c>
      <c r="H3242">
        <f>1-(1-Skills!J29/100)^Skills!K29</f>
        <v/>
      </c>
      <c r="I3242" t="inlineStr">
        <is>
          <t>1</t>
        </is>
      </c>
      <c r="J3242" t="inlineStr"/>
      <c r="K3242" t="inlineStr"/>
      <c r="L3242" t="inlineStr"/>
      <c r="M3242" t="inlineStr"/>
      <c r="N3242" t="inlineStr"/>
      <c r="O3242">
        <f>(1-Summary!$B$11)*T3242+Summary!$B$11*V3242</f>
        <v/>
      </c>
      <c r="P3242">
        <f>IF(B3256=0,0,O3242/B3256)</f>
        <v/>
      </c>
      <c r="Q3242" t="n">
        <v>0</v>
      </c>
      <c r="R3242" t="n">
        <v>0</v>
      </c>
      <c r="S3242">
        <f>IFERROR(O3242/N3242,0)</f>
        <v/>
      </c>
      <c r="T3242" t="n">
        <v>0</v>
      </c>
      <c r="V3242" t="n">
        <v>0</v>
      </c>
    </row>
    <row r="3243">
      <c r="A3243">
        <f>Skills!A30</f>
        <v/>
      </c>
      <c r="B3243">
        <f>Skills!B30</f>
        <v/>
      </c>
      <c r="C3243">
        <f>Inputs!$B$3&gt;=45</f>
        <v/>
      </c>
      <c r="D3243">
        <f>IF(Skills!C30=1,60+Inputs!$B$25+Inputs!$B$29,IF(Skills!C30=2,90+Inputs!$B$26+Inputs!$B$29,IF(Skills!C30=3,120+Inputs!$B$27+Inputs!$B$29,MAX(0,(Inputs!$B$3-100)*3)+Inputs!$B$28+Inputs!$B$29)))</f>
        <v/>
      </c>
      <c r="E3243">
        <f>INDEX(FactorTable!$B$2:$Y$301, MATCH(ROUND(MIN(300,MAX(1,D3243)),0), FactorTable!$A$2:$A$301,0), Skills!M30+1)</f>
        <v/>
      </c>
      <c r="F3243">
        <f>IF(Skills!N30=TRUE,(Skills!L30/10)*(E3243/1000),Skills!L30/10)+Skills!O30</f>
        <v/>
      </c>
      <c r="G3243">
        <f>Skills!G30*IF(Skills!H30&gt;0,Skills!I30/Skills!H30,1)</f>
        <v/>
      </c>
      <c r="H3243">
        <f>1-(1-Skills!J30/100)^Skills!K30</f>
        <v/>
      </c>
      <c r="I3243" t="inlineStr">
        <is>
          <t>1</t>
        </is>
      </c>
      <c r="J3243" t="inlineStr"/>
      <c r="K3243" t="inlineStr"/>
      <c r="L3243" t="inlineStr"/>
      <c r="M3243" t="inlineStr"/>
      <c r="N3243" t="inlineStr"/>
      <c r="O3243">
        <f>(1-Summary!$B$11)*T3243+Summary!$B$11*V3243</f>
        <v/>
      </c>
      <c r="P3243">
        <f>IF(B3256=0,0,O3243/B3256)</f>
        <v/>
      </c>
      <c r="Q3243" t="n">
        <v>0</v>
      </c>
      <c r="R3243" t="n">
        <v>0</v>
      </c>
      <c r="S3243">
        <f>IFERROR(O3243/N3243,0)</f>
        <v/>
      </c>
      <c r="T3243" t="n">
        <v>0</v>
      </c>
      <c r="V3243" t="n">
        <v>0</v>
      </c>
    </row>
    <row r="3245">
      <c r="A3245" t="inlineStr">
        <is>
          <t>Attack% Bucket Multiplier</t>
        </is>
      </c>
      <c r="B3245">
        <f>(1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6">
      <c r="A3246" t="inlineStr">
        <is>
          <t>Global Crit Rate Bonus %</t>
        </is>
      </c>
      <c r="B3246">
        <f>(C3229=TRUE)*20*IF(AND(Inputs!$B$38&lt;&gt;"pvp",Inputs!$B$43&gt;0),(((R3229-1)*(Skills!T16*(1+Inputs!$B$34/100))+MIN((Skills!T16*(1+Inputs!$B$34/100)),MAX(0,Inputs!$B$43-((R3229-1)*Skills!D16))))/Inputs!$B$43),IF(Inputs!$B$38="pvp",MIN((Skills!T16*(1+Inputs!$B$34/100)),15)/15,(Skills!T16*(1+Inputs!$B$34/100))/Skills!D16))</f>
        <v/>
      </c>
    </row>
    <row r="3247">
      <c r="A3247" t="inlineStr">
        <is>
          <t>Attack Speed Buff Bonus %</t>
        </is>
      </c>
      <c r="B3247">
        <f>((C3232=TRUE)*F3232*IF(AND(Inputs!$B$38&lt;&gt;"pvp",Inputs!$B$43&gt;0),(((R3232-1)*(Skills!T19*(1+Inputs!$B$34/100))+MIN((Skills!T19*(1+Inputs!$B$34/100)),MAX(0,Inputs!$B$43-((R3232-1)*Skills!D19))))/Inputs!$B$43),IF(Inputs!$B$38="pvp",MIN((Skills!T19*(1+Inputs!$B$34/100)),15)/15,(Skills!T19*(1+Inputs!$B$34/100))/Skills!D19)))</f>
        <v/>
      </c>
    </row>
    <row r="3248">
      <c r="A3248" t="inlineStr">
        <is>
          <t>Actions Per Second</t>
        </is>
      </c>
      <c r="B3248">
        <f>1+MIN(150,150*(1-(1-(Inputs!$B$11+((C3234=TRUE)*(F3234-Calc!F21))+((C3235=TRUE)*(F3235-Calc!F22)))/150)*(1-B3247/150)))/100</f>
        <v/>
      </c>
    </row>
    <row r="3249">
      <c r="A3249" t="inlineStr">
        <is>
          <t>Skill + Buff Cast Rate</t>
        </is>
      </c>
      <c r="B3249">
        <f>IF(AND(Inputs!$B$38&lt;&gt;"pvp",Inputs!$B$43&gt;0),SUMPRODUCT((Skills!E2:E30=TRUE)*(C3215:C3243=TRUE)*R3215:R3243*Skills!F2:F30)/Inputs!$B$43,SUMPRODUCT((Skills!E2:E30=TRUE)*(C3215:C3243=TRUE)*Q3215:Q3243*Skills!F2:F30))</f>
        <v/>
      </c>
    </row>
    <row r="3250">
      <c r="A3250" t="inlineStr">
        <is>
          <t>Arrow Stream Casts Per Second</t>
        </is>
      </c>
      <c r="B3250">
        <f>MAX(0,B3248-B3249)</f>
        <v/>
      </c>
    </row>
    <row r="3251">
      <c r="A3251" t="inlineStr">
        <is>
          <t>Global Critical Damage Bonus % (Sharp Eyes + Concentration)</t>
        </is>
      </c>
      <c r="B3251">
        <f>(C3229=TRUE)*F3229*IF(AND(Inputs!$B$38&lt;&gt;"pvp",Inputs!$B$43&gt;0),(((R3229-1)*(Skills!T16*(1+Inputs!$B$34/100))+MIN((Skills!T16*(1+Inputs!$B$34/100)),MAX(0,Inputs!$B$43-((R3229-1)*Skills!D16))))/Inputs!$B$43),IF(Inputs!$B$38="pvp",MIN((Skills!T16*(1+Inputs!$B$34/100)),15)/15,(Skills!T16*(1+Inputs!$B$34/100))/Skills!D16))+(C3230=TRUE)*30</f>
        <v/>
      </c>
    </row>
    <row r="3252">
      <c r="A3252" t="inlineStr">
        <is>
          <t>Global Final Damage Bonus % (Mortal Blow)</t>
        </is>
      </c>
      <c r="B3252">
        <f>(C3231=TRUE)*F3231</f>
        <v/>
      </c>
    </row>
    <row r="3253">
      <c r="A3253" t="inlineStr">
        <is>
          <t>Buff-Casting Startup Delay (s, fixed-duration only)</t>
        </is>
      </c>
      <c r="B3253">
        <f>IF(AND(Inputs!$B$38&lt;&gt;"pvp",Inputs!$B$43&gt;0),SUMPRODUCT((Skills!T2:T30&gt;0)*(Skills!E2:E30=TRUE)*(C3215:C3243=TRUE))/B3248,0)</f>
        <v/>
      </c>
    </row>
    <row r="3254">
      <c r="A3254" t="inlineStr">
        <is>
          <t>Boss-Only Total DPS (this block's swept value)</t>
        </is>
      </c>
      <c r="B3254">
        <f>SUM(T3215:T3243)</f>
        <v/>
      </c>
    </row>
    <row r="3255">
      <c r="A3255" t="inlineStr">
        <is>
          <t>Normal-Only Total DPS (this block's swept value)</t>
        </is>
      </c>
      <c r="B3255">
        <f>SUM(V3215:V3243)</f>
        <v/>
      </c>
    </row>
    <row r="3256">
      <c r="A3256" s="6" t="inlineStr">
        <is>
          <t>TOTAL DPS</t>
        </is>
      </c>
      <c r="B3256" s="6">
        <f>SUM(O3215:O3243)</f>
        <v/>
      </c>
    </row>
    <row r="3259">
      <c r="A3259" s="6" t="inlineStr">
        <is>
          <t>Stat: CDR = 4.0s</t>
        </is>
      </c>
    </row>
    <row r="3260">
      <c r="A3260" s="5" t="inlineStr">
        <is>
          <t>Key</t>
        </is>
      </c>
      <c r="B3260" s="5" t="inlineStr">
        <is>
          <t>Name</t>
        </is>
      </c>
      <c r="C3260" s="5" t="inlineStr">
        <is>
          <t>Unlocked</t>
        </is>
      </c>
      <c r="D3260" s="5" t="inlineStr">
        <is>
          <t>InputLevel</t>
        </is>
      </c>
      <c r="E3260" s="5" t="inlineStr">
        <is>
          <t>Factor</t>
        </is>
      </c>
      <c r="F3260" s="5" t="inlineStr">
        <is>
          <t>CoefficientPercent</t>
        </is>
      </c>
      <c r="G3260" s="5" t="inlineStr">
        <is>
          <t>EffectiveHits</t>
        </is>
      </c>
      <c r="H3260" s="5" t="inlineStr">
        <is>
          <t>ProcProbability</t>
        </is>
      </c>
      <c r="I3260" s="5" t="inlineStr">
        <is>
          <t>MapleHeroMultiplier</t>
        </is>
      </c>
      <c r="J3260" s="5" t="inlineStr">
        <is>
          <t>BaseDamage</t>
        </is>
      </c>
      <c r="K3260" s="5" t="inlineStr">
        <is>
          <t>BaseHitDamage</t>
        </is>
      </c>
      <c r="L3260" s="5" t="inlineStr">
        <is>
          <t>NonCritAvg</t>
        </is>
      </c>
      <c r="M3260" s="5" t="inlineStr">
        <is>
          <t>CritAvg</t>
        </is>
      </c>
      <c r="N3260" s="5" t="inlineStr">
        <is>
          <t>ExpectedDamage(perHit)</t>
        </is>
      </c>
      <c r="O3260" s="5" t="inlineStr">
        <is>
          <t>DPS</t>
        </is>
      </c>
      <c r="P3260" s="5" t="inlineStr">
        <is>
          <t>% of Total</t>
        </is>
      </c>
      <c r="Q3260" s="5" t="inlineStr">
        <is>
          <t>InvCooldown</t>
        </is>
      </c>
      <c r="R3260" s="5" t="inlineStr">
        <is>
          <t>CastsInFight</t>
        </is>
      </c>
      <c r="S3260" s="5" t="inlineStr">
        <is>
          <t>HitRate(perSec)</t>
        </is>
      </c>
      <c r="U3260" t="inlineStr">
        <is>
          <t>helpers</t>
        </is>
      </c>
    </row>
    <row r="3261">
      <c r="A3261">
        <f>Skills!A2</f>
        <v/>
      </c>
      <c r="B3261">
        <f>Skills!B2</f>
        <v/>
      </c>
      <c r="C3261">
        <f>Inputs!$B$3&gt;=100</f>
        <v/>
      </c>
      <c r="D3261" t="inlineStr"/>
      <c r="E3261" t="inlineStr"/>
      <c r="F3261">
        <f>U3263+Skills!O2</f>
        <v/>
      </c>
      <c r="G3261">
        <f>Skills!G2*IF(Skills!H2&gt;0,Skills!I2/Skills!H2,1)</f>
        <v/>
      </c>
      <c r="H3261">
        <f>1-(1-Skills!J2/100)^Skills!K2</f>
        <v/>
      </c>
      <c r="I3261" t="inlineStr">
        <is>
          <t>1</t>
        </is>
      </c>
      <c r="J3261">
        <f>((Inputs!$B$6*(1+Inputs!$B$7/100))+(((Inputs!$B$12*(1+Inputs!$B$13/100))-(Inputs!$B$12*(1+Inputs!$B$13/100)))+0.25*(Inputs!$B$14-Inputs!$B$14))*(1+Inputs!$B$7/100))*(F3261/100)</f>
        <v/>
      </c>
      <c r="K3261">
        <f>J3261*(1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3283=TRUE)*(F3283-Calc!F24)),(Inputs!$B$23+((C3288=TRUE)*(F3288-Calc!F29))+(IF(ArtifactsInput!$M$15,CHOOSE(ArtifactsInput!$N$15+1,25,30,35,40,45,50)/100*(Inputs!$B$11-Inputs!$B$11),0))))/100+(Inputs!$B$23+((C3288=TRUE)*(F3288-Calc!F29))+(IF(ArtifactsInput!$M$15,CHOOSE(ArtifactsInput!$N$15+1,25,30,35,40,45,50)/100*(Inputs!$B$11-Inputs!$B$11),0)))/100)/2</f>
        <v/>
      </c>
      <c r="M3261">
        <f>L3261*(1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IF(B3302=0,0,O3261/B3302)</f>
        <v/>
      </c>
      <c r="Q3261" t="n">
        <v>0</v>
      </c>
      <c r="R3261" t="n">
        <v>0</v>
      </c>
      <c r="S3261">
        <f>IFERROR(O3261/N3261,0)</f>
        <v/>
      </c>
      <c r="T3261">
        <f>IF(C3261,(Skills!G2*N3261*B3296)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3261*(1-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1">
        <f>MAX(0,(Inputs!$B$3-100)*3)+Inputs!$B$28+Inputs!$B$29</f>
        <v/>
      </c>
      <c r="V3261">
        <f>IF(C3261,(Skills!G2*N3261*B3296)*IF(Inputs!$B$38="pvp",1,(1+(Inputs!$B$21+Skills!Q2+(IF(ArtifactsInput!$M$33,CHOOSE(ArtifactsInput!$N$33+1,30,36,42,48,54,60),0))+(IF(AND(ArtifactsInput!$M$35,Inputs!$B$4&lt;&gt;"Chapter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Skills!A3</f>
        <v/>
      </c>
      <c r="B3262">
        <f>Skills!B3</f>
        <v/>
      </c>
      <c r="C3262">
        <f>Inputs!$B$3&gt;=50</f>
        <v/>
      </c>
      <c r="D3262">
        <f>IF(Skills!C3=1,60+Inputs!$B$25+Inputs!$B$29,IF(Skills!C3=2,90+Inputs!$B$26+Inputs!$B$29,IF(Skills!C3=3,120+Inputs!$B$27+Inputs!$B$29,MAX(0,(Inputs!$B$3-100)*3)+Inputs!$B$28+Inputs!$B$29)))</f>
        <v/>
      </c>
      <c r="E3262">
        <f>INDEX(FactorTable!$B$2:$Y$301, MATCH(ROUND(MIN(300,MAX(1,D3262)),0), FactorTable!$A$2:$A$301,0), Skills!M3+1)</f>
        <v/>
      </c>
      <c r="F3262">
        <f>IF(Skills!N3=TRUE,(Skills!L3/10)*(E3262/1000),Skills!L3/10)+Skills!O3</f>
        <v/>
      </c>
      <c r="G3262" t="inlineStr"/>
      <c r="H3262" t="inlineStr"/>
      <c r="I3262" t="inlineStr">
        <is>
          <t>1</t>
        </is>
      </c>
      <c r="J3262" t="inlineStr"/>
      <c r="K3262" t="inlineStr"/>
      <c r="L3262" t="inlineStr"/>
      <c r="M3262" t="inlineStr"/>
      <c r="N3262" t="inlineStr"/>
      <c r="O3262" t="inlineStr"/>
      <c r="P3262" t="inlineStr"/>
      <c r="Q3262" t="inlineStr"/>
      <c r="R3262" t="inlineStr"/>
      <c r="S3262" t="inlineStr"/>
      <c r="T3262" t="inlineStr"/>
      <c r="U3262">
        <f>INDEX(FactorTable!$B$2:$Y$301, MATCH(ROUND(MIN(300,MAX(1,U3261)),0), FactorTable!$A$2:$A$301,0), 22)</f>
        <v/>
      </c>
      <c r="V3262" t="inlineStr"/>
    </row>
    <row r="3263">
      <c r="A3263">
        <f>Skills!A4</f>
        <v/>
      </c>
      <c r="B3263">
        <f>Skills!B4</f>
        <v/>
      </c>
      <c r="C3263">
        <f>Inputs!$B$3&gt;=105</f>
        <v/>
      </c>
      <c r="D3263">
        <f>IF(Skills!C4=1,60+Inputs!$B$25+Inputs!$B$29,IF(Skills!C4=2,90+Inputs!$B$26+Inputs!$B$29,IF(Skills!C4=3,120+Inputs!$B$27+Inputs!$B$29,MAX(0,(Inputs!$B$3-100)*3)+Inputs!$B$28+Inputs!$B$29)))</f>
        <v/>
      </c>
      <c r="E3263">
        <f>INDEX(FactorTable!$B$2:$Y$301, MATCH(ROUND(MIN(300,MAX(1,D3263)),0), FactorTable!$A$2:$A$301,0), Skills!M4+1)</f>
        <v/>
      </c>
      <c r="F3263">
        <f>IF(Skills!N4=TRUE,(Skills!L4/10)*(E3263/1000),Skills!L4/10)+Skills!O4</f>
        <v/>
      </c>
      <c r="G3263" t="inlineStr"/>
      <c r="H3263" t="inlineStr"/>
      <c r="I3263" t="inlineStr">
        <is>
          <t>1</t>
        </is>
      </c>
      <c r="J3263" t="inlineStr"/>
      <c r="K3263" t="inlineStr"/>
      <c r="L3263" t="inlineStr"/>
      <c r="M3263" t="inlineStr"/>
      <c r="N3263" t="inlineStr"/>
      <c r="O3263" t="inlineStr"/>
      <c r="P3263" t="inlineStr"/>
      <c r="Q3263" t="inlineStr"/>
      <c r="R3263" t="inlineStr"/>
      <c r="S3263" t="inlineStr"/>
      <c r="T3263" t="inlineStr"/>
      <c r="U3263">
        <f>290*U3262/1000</f>
        <v/>
      </c>
      <c r="V3263" t="inlineStr"/>
    </row>
    <row r="3264">
      <c r="A3264">
        <f>Skills!A5</f>
        <v/>
      </c>
      <c r="B3264">
        <f>Skills!B5</f>
        <v/>
      </c>
      <c r="C3264">
        <f>Inputs!$B$3&gt;=35</f>
        <v/>
      </c>
      <c r="D3264">
        <f>IF(Skills!C5=1,60+Inputs!$B$25+Inputs!$B$29,IF(Skills!C5=2,90+Inputs!$B$26+Inputs!$B$29,IF(Skills!C5=3,120+Inputs!$B$27+Inputs!$B$29,MAX(0,(Inputs!$B$3-100)*3)+Inputs!$B$28+Inputs!$B$29)))</f>
        <v/>
      </c>
      <c r="E3264">
        <f>INDEX(FactorTable!$B$2:$Y$301, MATCH(ROUND(MIN(300,MAX(1,D3264)),0), FactorTable!$A$2:$A$301,0), Skills!M5+1)</f>
        <v/>
      </c>
      <c r="F3264">
        <f>IF(Skills!N5=TRUE,(Skills!L5/10)*(E3264/1000),Skills!L5/10)+Skills!O5</f>
        <v/>
      </c>
      <c r="G3264">
        <f>Skills!G5*IF(Skills!H5&gt;0,Skills!I5/Skills!H5,1)</f>
        <v/>
      </c>
      <c r="H3264">
        <f>1-(1-Skills!J5/100)^Skills!K5</f>
        <v/>
      </c>
      <c r="I3264" t="inlineStr">
        <is>
          <t>1</t>
        </is>
      </c>
      <c r="J3264">
        <f>((Inputs!$B$6*(1+Inputs!$B$7/100))+(((Inputs!$B$12*(1+Inputs!$B$13/100))-(Inputs!$B$12*(1+Inputs!$B$13/100)))+0.25*(Inputs!$B$14-Inputs!$B$14))*(1+Inputs!$B$7/100))*(F3264/100)</f>
        <v/>
      </c>
      <c r="K3264">
        <f>J3264*(1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3269=TRUE,F3269,0)/100)*(1+(IF(Skills!A5="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3283=TRUE)*(F3283-Calc!F24)),(Inputs!$B$23+((C3288=TRUE)*(F3288-Calc!F29))+(IF(ArtifactsInput!$M$15,CHOOSE(ArtifactsInput!$N$15+1,25,30,35,40,45,50)/100*(Inputs!$B$11-Inputs!$B$11),0))))/100+(Inputs!$B$23+((C3288=TRUE)*(F3288-Calc!F29))+(IF(ArtifactsInput!$M$15,CHOOSE(ArtifactsInput!$N$15+1,25,30,35,40,45,50)/100*(Inputs!$B$11-Inputs!$B$11),0)))/100)/2</f>
        <v/>
      </c>
      <c r="M3264">
        <f>L3264*(1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IF(B3302=0,0,O3264/B3302)</f>
        <v/>
      </c>
      <c r="Q3264">
        <f>IFERROR(1/(IF(Inputs!$B$38="pvp",15,MAX(0.1,Skills!D5-IF(Skills!E5=TRUE,4.0,0)))*(1-IF(AND(ArtifactsInput!$M$27,Inputs!$B$4="Chapter Hunt"),CHOOSE(ArtifactsInput!$N$27+1,20,24,28,32,36,40),0)/100)),0)</f>
        <v/>
      </c>
      <c r="R3264">
        <f>IF(AND(Inputs!$B$38&lt;&gt;"pvp",Inputs!$B$43&gt;0),IF(MAX(0,Inputs!$B$43-B3299)&lt;=0,0,(INT(MAX(0,Inputs!$B$43-B3299)/(IF(Inputs!$B$38="pvp",15,MAX(0.1,Skills!D5-IF(Skills!E5=TRUE,4.0,0)))*(1-IF(AND(ArtifactsInput!$M$27,Inputs!$B$4="Chapter Hunt"),CHOOSE(ArtifactsInput!$N$27+1,20,24,28,32,36,40),0)/100)))+1)),0)</f>
        <v/>
      </c>
      <c r="S3264">
        <f>IFERROR(O3264/N3264,0)</f>
        <v/>
      </c>
      <c r="T3264">
        <f>IF(C3264,(H3264*N3264*IF(AND(Inputs!$B$38&lt;&gt;"pvp",Inputs!$B$43&gt;0),((Skills!G5*((R3264-1)*IF(Skills!H5&gt;0,Skills!I5/Skills!H5,1)+IF(Skills!H5&gt;0,MIN(Skills!I5,MAX(0,MAX(0,Inputs!$B$43-B3299)-((R3264-1)*(IF(Inputs!$B$38="pvp",15,MAX(0.1,Skills!D5-IF(Skills!E5=TRUE,4.0,0)))*(1-IF(AND(ArtifactsInput!$M$27,Inputs!$B$4="Chapter Hunt"),CHOOSE(ArtifactsInput!$N$27+1,20,24,28,32,36,40),0)/100)))))/Skills!H5,1)))/Inputs!$B$43),G3264*Q3264)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3264*(1-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5*((R3264-1)*IF(Skills!H5&gt;0,Skills!I5/Skills!H5,1)+IF(Skills!H5&gt;0,MIN(Skills!I5,MAX(0,MAX(0,Inputs!$B$43-B3299)-((R3264-1)*(IF(Inputs!$B$38="pvp",15,MAX(0.1,Skills!D5-IF(Skills!E5=TRUE,4.0,0)))*(1-IF(AND(ArtifactsInput!$M$27,Inputs!$B$4="Chapter Hunt"),CHOOSE(ArtifactsInput!$N$27+1,20,24,28,32,36,40),0)/100)))))/Skills!H5,1)))/Inputs!$B$43),G3264*Q3264))*IF(Inputs!$B$38="pvp",1,(1+(Inputs!$B$21+Skills!Q5+(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Skills!A6</f>
        <v/>
      </c>
      <c r="B3265">
        <f>Skills!B6</f>
        <v/>
      </c>
      <c r="C3265">
        <f>Inputs!$B$3&gt;=40</f>
        <v/>
      </c>
      <c r="D3265">
        <f>IF(Skills!C6=1,60+Inputs!$B$25+Inputs!$B$29,IF(Skills!C6=2,90+Inputs!$B$26+Inputs!$B$29,IF(Skills!C6=3,120+Inputs!$B$27+Inputs!$B$29,MAX(0,(Inputs!$B$3-100)*3)+Inputs!$B$28+Inputs!$B$29)))</f>
        <v/>
      </c>
      <c r="E3265">
        <f>INDEX(FactorTable!$B$2:$Y$301, MATCH(ROUND(MIN(300,MAX(1,D3265)),0), FactorTable!$A$2:$A$301,0), Skills!M6+1)</f>
        <v/>
      </c>
      <c r="F3265">
        <f>IF(Skills!N6=TRUE,(Skills!L6/10)*(E3265/1000),Skills!L6/10)+Skills!O6</f>
        <v/>
      </c>
      <c r="G3265">
        <f>Skills!G6*IF(Skills!H6&gt;0,Skills!I6/Skills!H6,1)</f>
        <v/>
      </c>
      <c r="H3265">
        <f>1-(1-Skills!J6/100)^Skills!K6</f>
        <v/>
      </c>
      <c r="I3265" t="inlineStr">
        <is>
          <t>1</t>
        </is>
      </c>
      <c r="J3265">
        <f>((Inputs!$B$6*(1+Inputs!$B$7/100))+(((Inputs!$B$12*(1+Inputs!$B$13/100))-(Inputs!$B$12*(1+Inputs!$B$13/100)))+0.25*(Inputs!$B$14-Inputs!$B$14))*(1+Inputs!$B$7/100))*(F3265/100)</f>
        <v/>
      </c>
      <c r="K3265">
        <f>J3265*(1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3266=TRUE,F3266,0)/100)*(1+(IF(Skills!A6="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3265)</f>
        <v/>
      </c>
      <c r="L3265">
        <f>K3265*(MIN(Inputs!$B$22+((C3283=TRUE)*(F3283-Calc!F24)),(Inputs!$B$23+((C3288=TRUE)*(F3288-Calc!F29))+(IF(ArtifactsInput!$M$15,CHOOSE(ArtifactsInput!$N$15+1,25,30,35,40,45,50)/100*(Inputs!$B$11-Inputs!$B$11),0))))/100+(Inputs!$B$23+((C3288=TRUE)*(F3288-Calc!F29))+(IF(ArtifactsInput!$M$15,CHOOSE(ArtifactsInput!$N$15+1,25,30,35,40,45,50)/100*(Inputs!$B$11-Inputs!$B$11),0)))/100)/2</f>
        <v/>
      </c>
      <c r="M3265">
        <f>L3265*(1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5">
        <f>L3265*(1-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3265*(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5">
        <f>(1-Summary!$B$11)*T3265+Summary!$B$11*V3265</f>
        <v/>
      </c>
      <c r="P3265">
        <f>IF(B3302=0,0,O3265/B3302)</f>
        <v/>
      </c>
      <c r="Q3265">
        <f>IFERROR(1/(IF(Inputs!$B$38="pvp",15,MAX(0.1,Skills!D6-IF(Skills!E6=TRUE,4.0,0)))*(1-IF(AND(ArtifactsInput!$M$27,Inputs!$B$4="Chapter Hunt"),CHOOSE(ArtifactsInput!$N$27+1,20,24,28,32,36,40),0)/100)),0)</f>
        <v/>
      </c>
      <c r="R3265">
        <f>IF(AND(Inputs!$B$38&lt;&gt;"pvp",Inputs!$B$43&gt;0),IF(MAX(0,Inputs!$B$43-B3299)&lt;=0,0,(INT(MAX(0,Inputs!$B$43-B3299)/(IF(Inputs!$B$38="pvp",15,MAX(0.1,Skills!D6-IF(Skills!E6=TRUE,4.0,0)))*(1-IF(AND(ArtifactsInput!$M$27,Inputs!$B$4="Chapter Hunt"),CHOOSE(ArtifactsInput!$N$27+1,20,24,28,32,36,40),0)/100)))+1)),0)</f>
        <v/>
      </c>
      <c r="S3265">
        <f>IFERROR(O3265/N3265,0)</f>
        <v/>
      </c>
      <c r="T3265">
        <f>IF(C3265,(H3265*N3265*IF(AND(Inputs!$B$38&lt;&gt;"pvp",Inputs!$B$43&gt;0),((Skills!G6*((R3265-1)*IF(Skills!H6&gt;0,Skills!I6/Skills!H6,1)+IF(Skills!H6&gt;0,MIN(Skills!I6,MAX(0,MAX(0,Inputs!$B$43-B3299)-((R3265-1)*(IF(Inputs!$B$38="pvp",15,MAX(0.1,Skills!D6-IF(Skills!E6=TRUE,4.0,0)))*(1-IF(AND(ArtifactsInput!$M$27,Inputs!$B$4="Chapter Hunt"),CHOOSE(ArtifactsInput!$N$27+1,20,24,28,32,36,40),0)/100)))))/Skills!H6,1)))/Inputs!$B$43),G3265*Q3265)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3265*(1-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3265*(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3265*(1-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3265*(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5">
        <f>IF(C3265,(H3265*N3265*IF(AND(Inputs!$B$38&lt;&gt;"pvp",Inputs!$B$43&gt;0),((Skills!G6*((R3265-1)*IF(Skills!H6&gt;0,Skills!I6/Skills!H6,1)+IF(Skills!H6&gt;0,MIN(Skills!I6,MAX(0,MAX(0,Inputs!$B$43-B3299)-((R3265-1)*(IF(Inputs!$B$38="pvp",15,MAX(0.1,Skills!D6-IF(Skills!E6=TRUE,4.0,0)))*(1-IF(AND(ArtifactsInput!$M$27,Inputs!$B$4="Chapter Hunt"),CHOOSE(ArtifactsInput!$N$27+1,20,24,28,32,36,40),0)/100)))))/Skills!H6,1)))/Inputs!$B$43),G3265*Q3265))*IF(Inputs!$B$38="pvp",1,(1+(Inputs!$B$21+Skills!Q6+(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6">
      <c r="A3266">
        <f>Skills!A7</f>
        <v/>
      </c>
      <c r="B3266">
        <f>Skills!B7</f>
        <v/>
      </c>
      <c r="C3266">
        <f>Inputs!$B$3&gt;=107</f>
        <v/>
      </c>
      <c r="D3266">
        <f>IF(Skills!C7=1,60+Inputs!$B$25+Inputs!$B$29,IF(Skills!C7=2,90+Inputs!$B$26+Inputs!$B$29,IF(Skills!C7=3,120+Inputs!$B$27+Inputs!$B$29,MAX(0,(Inputs!$B$3-100)*3)+Inputs!$B$28+Inputs!$B$29)))</f>
        <v/>
      </c>
      <c r="E3266">
        <f>INDEX(FactorTable!$B$2:$Y$301, MATCH(ROUND(MIN(300,MAX(1,D3266)),0), FactorTable!$A$2:$A$301,0), Skills!M7+1)</f>
        <v/>
      </c>
      <c r="F3266">
        <f>IF(Skills!N7=TRUE,(Skills!L7/10)*(E3266/1000),Skills!L7/10)+Skills!O7</f>
        <v/>
      </c>
      <c r="G3266" t="inlineStr"/>
      <c r="H3266" t="inlineStr"/>
      <c r="I3266" t="inlineStr">
        <is>
          <t>1</t>
        </is>
      </c>
      <c r="J3266" t="inlineStr"/>
      <c r="K3266" t="inlineStr"/>
      <c r="L3266" t="inlineStr"/>
      <c r="M3266" t="inlineStr"/>
      <c r="N3266" t="inlineStr"/>
      <c r="O3266" t="inlineStr"/>
      <c r="P3266" t="inlineStr"/>
      <c r="Q3266" t="inlineStr"/>
      <c r="R3266" t="inlineStr"/>
      <c r="S3266" t="inlineStr"/>
      <c r="T3266" t="inlineStr"/>
      <c r="V3266" t="inlineStr"/>
    </row>
    <row r="3267">
      <c r="A3267">
        <f>Skills!A8</f>
        <v/>
      </c>
      <c r="B3267">
        <f>Skills!B8</f>
        <v/>
      </c>
      <c r="C3267">
        <f>Inputs!$B$3&gt;=69</f>
        <v/>
      </c>
      <c r="D3267">
        <f>IF(Skills!C8=1,60+Inputs!$B$25+Inputs!$B$29,IF(Skills!C8=2,90+Inputs!$B$26+Inputs!$B$29,IF(Skills!C8=3,120+Inputs!$B$27+Inputs!$B$29,MAX(0,(Inputs!$B$3-100)*3)+Inputs!$B$28+Inputs!$B$29)))</f>
        <v/>
      </c>
      <c r="E3267">
        <f>INDEX(FactorTable!$B$2:$Y$301, MATCH(ROUND(MIN(300,MAX(1,D3267)),0), FactorTable!$A$2:$A$301,0), Skills!M8+1)</f>
        <v/>
      </c>
      <c r="F3267">
        <f>IF(Skills!N8=TRUE,(Skills!L8/10)*(E3267/1000),Skills!L8/10)+Skills!O8</f>
        <v/>
      </c>
      <c r="G3267">
        <f>Skills!G8*IF(Skills!H8&gt;0,Skills!I8/Skills!H8,1)</f>
        <v/>
      </c>
      <c r="H3267">
        <f>1-(1-Skills!J8/100)^Skills!K8</f>
        <v/>
      </c>
      <c r="I3267" t="inlineStr">
        <is>
          <t>1</t>
        </is>
      </c>
      <c r="J3267">
        <f>((Inputs!$B$6*(1+Inputs!$B$7/100))+(((Inputs!$B$12*(1+Inputs!$B$13/100))-(Inputs!$B$12*(1+Inputs!$B$13/100)))+0.25*(Inputs!$B$14-Inputs!$B$14))*(1+Inputs!$B$7/100))*(F3267/100)</f>
        <v/>
      </c>
      <c r="K3267">
        <f>J3267*(1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3269=TRUE,F3269,0)/100)*(1+(IF(Skills!A8="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3267)</f>
        <v/>
      </c>
      <c r="L3267">
        <f>K3267*(MIN(Inputs!$B$22+((C3283=TRUE)*(F3283-Calc!F24)),(Inputs!$B$23+((C3288=TRUE)*(F3288-Calc!F29))+(IF(ArtifactsInput!$M$15,CHOOSE(ArtifactsInput!$N$15+1,25,30,35,40,45,50)/100*(Inputs!$B$11-Inputs!$B$11),0))))/100+(Inputs!$B$23+((C3288=TRUE)*(F3288-Calc!F29))+(IF(ArtifactsInput!$M$15,CHOOSE(ArtifactsInput!$N$15+1,25,30,35,40,45,50)/100*(Inputs!$B$11-Inputs!$B$11),0)))/100)/2</f>
        <v/>
      </c>
      <c r="M3267">
        <f>L3267*(1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7">
        <f>L3267*(1-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3267*(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7">
        <f>(1-Summary!$B$11)*T3267+Summary!$B$11*V3267</f>
        <v/>
      </c>
      <c r="P3267">
        <f>IF(B3302=0,0,O3267/B3302)</f>
        <v/>
      </c>
      <c r="Q3267">
        <f>IFERROR(1/(IF(Inputs!$B$38="pvp",15,MAX(0.1,Skills!D8-IF(Skills!E8=TRUE,4.0,0)))*(1-IF(AND(ArtifactsInput!$M$27,Inputs!$B$4="Chapter Hunt"),CHOOSE(ArtifactsInput!$N$27+1,20,24,28,32,36,40),0)/100)),0)</f>
        <v/>
      </c>
      <c r="R3267">
        <f>IF(AND(Inputs!$B$38&lt;&gt;"pvp",Inputs!$B$43&gt;0),IF(MAX(0,Inputs!$B$43-B3299)&lt;=0,0,(INT(MAX(0,Inputs!$B$43-B3299)/(IF(Inputs!$B$38="pvp",15,MAX(0.1,Skills!D8-IF(Skills!E8=TRUE,4.0,0)))*(1-IF(AND(ArtifactsInput!$M$27,Inputs!$B$4="Chapter Hunt"),CHOOSE(ArtifactsInput!$N$27+1,20,24,28,32,36,40),0)/100)))+1)),0)</f>
        <v/>
      </c>
      <c r="S3267">
        <f>IFERROR(O3267/N3267,0)</f>
        <v/>
      </c>
      <c r="T3267">
        <f>IF(C3267,(H3267*N3267*IF(AND(Inputs!$B$38&lt;&gt;"pvp",Inputs!$B$43&gt;0),((Skills!G8*((R3267-1)*IF(Skills!H8&gt;0,Skills!I8/Skills!H8,1)+IF(Skills!H8&gt;0,MIN(Skills!I8,MAX(0,MAX(0,Inputs!$B$43-B3299)-((R3267-1)*(IF(Inputs!$B$38="pvp",15,MAX(0.1,Skills!D8-IF(Skills!E8=TRUE,4.0,0)))*(1-IF(AND(ArtifactsInput!$M$27,Inputs!$B$4="Chapter Hunt"),CHOOSE(ArtifactsInput!$N$27+1,20,24,28,32,36,40),0)/100)))))/Skills!H8,1)))/Inputs!$B$43),G3267*Q3267)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3267*(1-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3267*(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3267*(1-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3267*(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7">
        <f>IF(C3267,(H3267*N3267*IF(AND(Inputs!$B$38&lt;&gt;"pvp",Inputs!$B$43&gt;0),((Skills!G8*((R3267-1)*IF(Skills!H8&gt;0,Skills!I8/Skills!H8,1)+IF(Skills!H8&gt;0,MIN(Skills!I8,MAX(0,MAX(0,Inputs!$B$43-B3299)-((R3267-1)*(IF(Inputs!$B$38="pvp",15,MAX(0.1,Skills!D8-IF(Skills!E8=TRUE,4.0,0)))*(1-IF(AND(ArtifactsInput!$M$27,Inputs!$B$4="Chapter Hunt"),CHOOSE(ArtifactsInput!$N$27+1,20,24,28,32,36,40),0)/100)))))/Skills!H8,1)))/Inputs!$B$43),G3267*Q3267))*IF(Inputs!$B$38="pvp",1,(1+(Inputs!$B$21+Skills!Q8+(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8">
      <c r="A3268">
        <f>Skills!A9</f>
        <v/>
      </c>
      <c r="B3268">
        <f>Skills!B9</f>
        <v/>
      </c>
      <c r="C3268">
        <f>Inputs!$B$3&gt;=63</f>
        <v/>
      </c>
      <c r="D3268">
        <f>IF(Skills!C9=1,60+Inputs!$B$25+Inputs!$B$29,IF(Skills!C9=2,90+Inputs!$B$26+Inputs!$B$29,IF(Skills!C9=3,120+Inputs!$B$27+Inputs!$B$29,MAX(0,(Inputs!$B$3-100)*3)+Inputs!$B$28+Inputs!$B$29)))</f>
        <v/>
      </c>
      <c r="E3268">
        <f>INDEX(FactorTable!$B$2:$Y$301, MATCH(ROUND(MIN(300,MAX(1,D3268)),0), FactorTable!$A$2:$A$301,0), Skills!M9+1)</f>
        <v/>
      </c>
      <c r="F3268">
        <f>IF(Skills!N9=TRUE,(Skills!L9/10)*(E3268/1000),Skills!L9/10)+Skills!O9</f>
        <v/>
      </c>
      <c r="G3268">
        <f>Skills!G9*IF(Skills!H9&gt;0,Skills!I9/Skills!H9,1)</f>
        <v/>
      </c>
      <c r="H3268">
        <f>1-(1-Skills!J9/100)^Skills!K9</f>
        <v/>
      </c>
      <c r="I3268" t="inlineStr">
        <is>
          <t>1</t>
        </is>
      </c>
      <c r="J3268">
        <f>((Inputs!$B$6*(1+Inputs!$B$7/100))+(((Inputs!$B$12*(1+Inputs!$B$13/100))-(Inputs!$B$12*(1+Inputs!$B$13/100)))+0.25*(Inputs!$B$14-Inputs!$B$14))*(1+Inputs!$B$7/100))*(F3268/100)</f>
        <v/>
      </c>
      <c r="K3268">
        <f>J3268*(1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3269=TRUE,F3269,0)/100)*(1+(IF(Skills!A9="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3268)</f>
        <v/>
      </c>
      <c r="L3268">
        <f>K3268*(MIN(Inputs!$B$22+((C3283=TRUE)*(F3283-Calc!F24)),(Inputs!$B$23+((C3288=TRUE)*(F3288-Calc!F29))+(IF(ArtifactsInput!$M$15,CHOOSE(ArtifactsInput!$N$15+1,25,30,35,40,45,50)/100*(Inputs!$B$11-Inputs!$B$11),0))))/100+(Inputs!$B$23+((C3288=TRUE)*(F3288-Calc!F29))+(IF(ArtifactsInput!$M$15,CHOOSE(ArtifactsInput!$N$15+1,25,30,35,40,45,50)/100*(Inputs!$B$11-Inputs!$B$11),0)))/100)/2</f>
        <v/>
      </c>
      <c r="M3268">
        <f>L3268*(1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8">
        <f>L3268*(1-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3268*(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8">
        <f>(1-Summary!$B$11)*T3268+Summary!$B$11*V3268</f>
        <v/>
      </c>
      <c r="P3268">
        <f>IF(B3302=0,0,O3268/B3302)</f>
        <v/>
      </c>
      <c r="Q3268">
        <f>IFERROR(1/(IF(Inputs!$B$38="pvp",15,MAX(0.1,Skills!D9-IF(Skills!E9=TRUE,4.0,0)))*(1-IF(AND(ArtifactsInput!$M$27,Inputs!$B$4="Chapter Hunt"),CHOOSE(ArtifactsInput!$N$27+1,20,24,28,32,36,40),0)/100)),0)</f>
        <v/>
      </c>
      <c r="R3268">
        <f>IF(AND(Inputs!$B$38&lt;&gt;"pvp",Inputs!$B$43&gt;0),IF(MAX(0,Inputs!$B$43-B3299)&lt;=0,0,(INT(MAX(0,Inputs!$B$43-B3299)/(IF(Inputs!$B$38="pvp",15,MAX(0.1,Skills!D9-IF(Skills!E9=TRUE,4.0,0)))*(1-IF(AND(ArtifactsInput!$M$27,Inputs!$B$4="Chapter Hunt"),CHOOSE(ArtifactsInput!$N$27+1,20,24,28,32,36,40),0)/100)))+1)),0)</f>
        <v/>
      </c>
      <c r="S3268">
        <f>IFERROR(O3268/N3268,0)</f>
        <v/>
      </c>
      <c r="T3268">
        <f>IF(C3268,(H3268*N3268*IF(AND(Inputs!$B$38&lt;&gt;"pvp",Inputs!$B$43&gt;0),((Skills!G9*((R3268-1)*IF(Skills!H9&gt;0,Skills!I9/Skills!H9,1)+IF(Skills!H9&gt;0,MIN(Skills!I9,MAX(0,MAX(0,Inputs!$B$43-B3299)-((R3268-1)*(IF(Inputs!$B$38="pvp",15,MAX(0.1,Skills!D9-IF(Skills!E9=TRUE,4.0,0)))*(1-IF(AND(ArtifactsInput!$M$27,Inputs!$B$4="Chapter Hunt"),CHOOSE(ArtifactsInput!$N$27+1,20,24,28,32,36,40),0)/100)))))/Skills!H9,1)))/Inputs!$B$43),G3268*Q3268)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3268*(1-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3268*(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3268*(1-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3268*(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8">
        <f>IF(C3268,(H3268*N3268*IF(AND(Inputs!$B$38&lt;&gt;"pvp",Inputs!$B$43&gt;0),((Skills!G9*((R3268-1)*IF(Skills!H9&gt;0,Skills!I9/Skills!H9,1)+IF(Skills!H9&gt;0,MIN(Skills!I9,MAX(0,MAX(0,Inputs!$B$43-B3299)-((R3268-1)*(IF(Inputs!$B$38="pvp",15,MAX(0.1,Skills!D9-IF(Skills!E9=TRUE,4.0,0)))*(1-IF(AND(ArtifactsInput!$M$27,Inputs!$B$4="Chapter Hunt"),CHOOSE(ArtifactsInput!$N$27+1,20,24,28,32,36,40),0)/100)))))/Skills!H9,1)))/Inputs!$B$43),G3268*Q3268))*IF(Inputs!$B$38="pvp",1,(1+(Inputs!$B$21+Skills!Q9+(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9">
      <c r="A3269">
        <f>Skills!A10</f>
        <v/>
      </c>
      <c r="B3269">
        <f>Skills!B10</f>
        <v/>
      </c>
      <c r="C3269">
        <f>Inputs!$B$3&gt;=100</f>
        <v/>
      </c>
      <c r="D3269">
        <f>IF(Skills!C10=1,60+Inputs!$B$25+Inputs!$B$29,IF(Skills!C10=2,90+Inputs!$B$26+Inputs!$B$29,IF(Skills!C10=3,120+Inputs!$B$27+Inputs!$B$29,MAX(0,(Inputs!$B$3-100)*3)+Inputs!$B$28+Inputs!$B$29)))</f>
        <v/>
      </c>
      <c r="E3269">
        <f>INDEX(FactorTable!$B$2:$Y$301, MATCH(ROUND(MIN(300,MAX(1,D3269)),0), FactorTable!$A$2:$A$301,0), Skills!M10+1)</f>
        <v/>
      </c>
      <c r="F3269">
        <f>IF(Skills!N10=TRUE,(Skills!L10/10)*(E3269/1000),Skills!L10/10)+Skills!O10</f>
        <v/>
      </c>
      <c r="G3269" t="inlineStr"/>
      <c r="H3269" t="inlineStr"/>
      <c r="I3269" t="inlineStr">
        <is>
          <t>1</t>
        </is>
      </c>
      <c r="J3269" t="inlineStr"/>
      <c r="K3269" t="inlineStr"/>
      <c r="L3269" t="inlineStr"/>
      <c r="M3269" t="inlineStr"/>
      <c r="N3269" t="inlineStr"/>
      <c r="O3269" t="inlineStr"/>
      <c r="P3269" t="inlineStr"/>
      <c r="Q3269" t="inlineStr"/>
      <c r="R3269" t="inlineStr"/>
      <c r="S3269" t="inlineStr"/>
      <c r="T3269" t="inlineStr"/>
      <c r="V3269" t="inlineStr"/>
    </row>
    <row r="3270">
      <c r="A3270">
        <f>Skills!A11</f>
        <v/>
      </c>
      <c r="B3270">
        <f>Skills!B11</f>
        <v/>
      </c>
      <c r="C3270">
        <f>Inputs!$B$3&gt;=60</f>
        <v/>
      </c>
      <c r="D3270">
        <f>IF(Skills!C11=1,60+Inputs!$B$25+Inputs!$B$29,IF(Skills!C11=2,90+Inputs!$B$26+Inputs!$B$29,IF(Skills!C11=3,120+Inputs!$B$27+Inputs!$B$29,MAX(0,(Inputs!$B$3-100)*3)+Inputs!$B$28+Inputs!$B$29)))</f>
        <v/>
      </c>
      <c r="E3270">
        <f>INDEX(FactorTable!$B$2:$Y$301, MATCH(ROUND(MIN(300,MAX(1,D3270)),0), FactorTable!$A$2:$A$301,0), Skills!M11+1)</f>
        <v/>
      </c>
      <c r="F3270">
        <f>IF(Skills!N11=TRUE,(Skills!L11/10)*(E3270/1000),Skills!L11/10)+Skills!O11</f>
        <v/>
      </c>
      <c r="G3270">
        <f>Skills!G11*IF(Skills!H11&gt;0,Skills!I11/Skills!H11,1)</f>
        <v/>
      </c>
      <c r="H3270">
        <f>1-(1-Skills!J11/100)^Skills!K11</f>
        <v/>
      </c>
      <c r="I3270" t="inlineStr">
        <is>
          <t>1</t>
        </is>
      </c>
      <c r="J3270">
        <f>((Inputs!$B$6*(1+Inputs!$B$7/100))+(((Inputs!$B$12*(1+Inputs!$B$13/100))-(Inputs!$B$12*(1+Inputs!$B$13/100)))+0.25*(Inputs!$B$14-Inputs!$B$14))*(1+Inputs!$B$7/100))*(F3270/100)</f>
        <v/>
      </c>
      <c r="K3270">
        <f>J3270*(1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3271=TRUE,F3271,0)/100)*(1+(IF(Skills!A11="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3270)</f>
        <v/>
      </c>
      <c r="L3270">
        <f>K3270*(MIN(Inputs!$B$22+((C3283=TRUE)*(F3283-Calc!F24)),(Inputs!$B$23+((C3288=TRUE)*(F3288-Calc!F29))+(IF(ArtifactsInput!$M$15,CHOOSE(ArtifactsInput!$N$15+1,25,30,35,40,45,50)/100*(Inputs!$B$11-Inputs!$B$11),0))))/100+(Inputs!$B$23+((C3288=TRUE)*(F3288-Calc!F29))+(IF(ArtifactsInput!$M$15,CHOOSE(ArtifactsInput!$N$15+1,25,30,35,40,45,50)/100*(Inputs!$B$11-Inputs!$B$11),0)))/100)/2</f>
        <v/>
      </c>
      <c r="M3270">
        <f>L3270*(1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0">
        <f>L3270*(1-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3270*(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0">
        <f>(1-Summary!$B$11)*T3270+Summary!$B$11*V3270</f>
        <v/>
      </c>
      <c r="P3270">
        <f>IF(B3302=0,0,O3270/B3302)</f>
        <v/>
      </c>
      <c r="Q3270">
        <f>IFERROR(1/(IF(Inputs!$B$38="pvp",15,MAX(0.1,Skills!D11-IF(Skills!E11=TRUE,4.0,0)))*(1-IF(AND(ArtifactsInput!$M$27,Inputs!$B$4="Chapter Hunt"),CHOOSE(ArtifactsInput!$N$27+1,20,24,28,32,36,40),0)/100)),0)</f>
        <v/>
      </c>
      <c r="R3270">
        <f>IF(AND(Inputs!$B$38&lt;&gt;"pvp",Inputs!$B$43&gt;0),IF(MAX(0,Inputs!$B$43-B3299)&lt;=0,0,(INT(MAX(0,Inputs!$B$43-B3299)/(IF(Inputs!$B$38="pvp",15,MAX(0.1,Skills!D11-IF(Skills!E11=TRUE,4.0,0)))*(1-IF(AND(ArtifactsInput!$M$27,Inputs!$B$4="Chapter Hunt"),CHOOSE(ArtifactsInput!$N$27+1,20,24,28,32,36,40),0)/100)))+1)),0)</f>
        <v/>
      </c>
      <c r="S3270">
        <f>IFERROR(O3270/N3270,0)</f>
        <v/>
      </c>
      <c r="T3270">
        <f>IF(C3270,(H3270*N3270*IF(AND(Inputs!$B$38&lt;&gt;"pvp",Inputs!$B$43&gt;0),((Skills!G11*((R3270-1)*IF(Skills!H11&gt;0,Skills!I11/Skills!H11,1)+IF(Skills!H11&gt;0,MIN(Skills!I11,MAX(0,MAX(0,Inputs!$B$43-B3299)-((R3270-1)*(IF(Inputs!$B$38="pvp",15,MAX(0.1,Skills!D11-IF(Skills!E11=TRUE,4.0,0)))*(1-IF(AND(ArtifactsInput!$M$27,Inputs!$B$4="Chapter Hunt"),CHOOSE(ArtifactsInput!$N$27+1,20,24,28,32,36,40),0)/100)))))/Skills!H11,1)))/Inputs!$B$43),G3270*Q3270)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3270*(1-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3270*(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3270*(1-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3270*(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0">
        <f>IF(C3270,(H3270*N3270*IF(AND(Inputs!$B$38&lt;&gt;"pvp",Inputs!$B$43&gt;0),((Skills!G11*((R3270-1)*IF(Skills!H11&gt;0,Skills!I11/Skills!H11,1)+IF(Skills!H11&gt;0,MIN(Skills!I11,MAX(0,MAX(0,Inputs!$B$43-B3299)-((R3270-1)*(IF(Inputs!$B$38="pvp",15,MAX(0.1,Skills!D11-IF(Skills!E11=TRUE,4.0,0)))*(1-IF(AND(ArtifactsInput!$M$27,Inputs!$B$4="Chapter Hunt"),CHOOSE(ArtifactsInput!$N$27+1,20,24,28,32,36,40),0)/100)))))/Skills!H11,1)))/Inputs!$B$43),G3270*Q3270))*IF(Inputs!$B$38="pvp",1,(1+(Inputs!$B$21+Skills!Q11+(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1">
      <c r="A3271">
        <f>Skills!A12</f>
        <v/>
      </c>
      <c r="B3271">
        <f>Skills!B12</f>
        <v/>
      </c>
      <c r="C3271">
        <f>Inputs!$B$3&gt;=110</f>
        <v/>
      </c>
      <c r="D3271">
        <f>IF(Skills!C12=1,60+Inputs!$B$25+Inputs!$B$29,IF(Skills!C12=2,90+Inputs!$B$26+Inputs!$B$29,IF(Skills!C12=3,120+Inputs!$B$27+Inputs!$B$29,MAX(0,(Inputs!$B$3-100)*3)+Inputs!$B$28+Inputs!$B$29)))</f>
        <v/>
      </c>
      <c r="E3271">
        <f>INDEX(FactorTable!$B$2:$Y$301, MATCH(ROUND(MIN(300,MAX(1,D3271)),0), FactorTable!$A$2:$A$301,0), Skills!M12+1)</f>
        <v/>
      </c>
      <c r="F3271">
        <f>IF(Skills!N12=TRUE,(Skills!L12/10)*(E3271/1000),Skills!L12/10)+Skills!O12</f>
        <v/>
      </c>
      <c r="G3271" t="inlineStr"/>
      <c r="H3271" t="inlineStr"/>
      <c r="I3271" t="inlineStr">
        <is>
          <t>1</t>
        </is>
      </c>
      <c r="J3271" t="inlineStr"/>
      <c r="K3271" t="inlineStr"/>
      <c r="L3271" t="inlineStr"/>
      <c r="M3271" t="inlineStr"/>
      <c r="N3271" t="inlineStr"/>
      <c r="O3271" t="inlineStr"/>
      <c r="P3271" t="inlineStr"/>
      <c r="Q3271" t="inlineStr"/>
      <c r="R3271" t="inlineStr"/>
      <c r="S3271" t="inlineStr"/>
      <c r="T3271" t="inlineStr"/>
      <c r="V3271" t="inlineStr"/>
    </row>
    <row r="3272">
      <c r="A3272">
        <f>Skills!A13</f>
        <v/>
      </c>
      <c r="B3272">
        <f>Skills!B13</f>
        <v/>
      </c>
      <c r="C3272">
        <f>Inputs!$B$3&gt;=74</f>
        <v/>
      </c>
      <c r="D3272">
        <f>IF(Skills!C13=1,60+Inputs!$B$25+Inputs!$B$29,IF(Skills!C13=2,90+Inputs!$B$26+Inputs!$B$29,IF(Skills!C13=3,120+Inputs!$B$27+Inputs!$B$29,MAX(0,(Inputs!$B$3-100)*3)+Inputs!$B$28+Inputs!$B$29)))</f>
        <v/>
      </c>
      <c r="E3272">
        <f>INDEX(FactorTable!$B$2:$Y$301, MATCH(ROUND(MIN(300,MAX(1,D3272)),0), FactorTable!$A$2:$A$301,0), Skills!M13+1)</f>
        <v/>
      </c>
      <c r="F3272">
        <f>IF(Skills!N13=TRUE,(Skills!L13/10)*(E3272/1000),Skills!L13/10)+Skills!O13</f>
        <v/>
      </c>
      <c r="G3272">
        <f>Skills!G13*IF(Skills!H13&gt;0,Skills!I13/Skills!H13,1)</f>
        <v/>
      </c>
      <c r="H3272">
        <f>1-(1-Skills!J13/100)^Skills!K13</f>
        <v/>
      </c>
      <c r="I3272" t="inlineStr">
        <is>
          <t>1</t>
        </is>
      </c>
      <c r="J3272" t="inlineStr"/>
      <c r="K3272" t="inlineStr"/>
      <c r="L3272" t="inlineStr"/>
      <c r="M3272" t="inlineStr"/>
      <c r="N3272" t="inlineStr"/>
      <c r="O3272">
        <f>(1-Summary!$B$11)*T3272+Summary!$B$11*V3272</f>
        <v/>
      </c>
      <c r="P3272">
        <f>IF(B3302=0,0,O3272/B3302)</f>
        <v/>
      </c>
      <c r="Q3272" t="n">
        <v>0</v>
      </c>
      <c r="R3272" t="n">
        <v>0</v>
      </c>
      <c r="S3272">
        <f>IFERROR(O3272/N3272,0)</f>
        <v/>
      </c>
      <c r="T3272" t="n">
        <v>0</v>
      </c>
      <c r="V3272" t="n">
        <v>0</v>
      </c>
    </row>
    <row r="3273">
      <c r="A3273">
        <f>Skills!A14</f>
        <v/>
      </c>
      <c r="B3273">
        <f>Skills!B14</f>
        <v/>
      </c>
      <c r="C3273">
        <f>Inputs!$B$3&gt;=74</f>
        <v/>
      </c>
      <c r="D3273">
        <f>IF(Skills!C14=1,60+Inputs!$B$25+Inputs!$B$29,IF(Skills!C14=2,90+Inputs!$B$26+Inputs!$B$29,IF(Skills!C14=3,120+Inputs!$B$27+Inputs!$B$29,MAX(0,(Inputs!$B$3-100)*3)+Inputs!$B$28+Inputs!$B$29)))</f>
        <v/>
      </c>
      <c r="E3273">
        <f>INDEX(FactorTable!$B$2:$Y$301, MATCH(ROUND(MIN(300,MAX(1,D3273)),0), FactorTable!$A$2:$A$301,0), Skills!M14+1)</f>
        <v/>
      </c>
      <c r="F3273">
        <f>IF(Skills!N14=TRUE,(Skills!L14/10)*(E3273/1000),Skills!L14/10)+Skills!O14</f>
        <v/>
      </c>
      <c r="G3273">
        <f>Skills!G14*IF(Skills!H14&gt;0,Skills!I14/Skills!H14,1)</f>
        <v/>
      </c>
      <c r="H3273">
        <f>1-(1-Skills!J14/100)^Skills!K14</f>
        <v/>
      </c>
      <c r="I3273" t="inlineStr">
        <is>
          <t>1</t>
        </is>
      </c>
      <c r="J3273" t="inlineStr"/>
      <c r="K3273" t="inlineStr"/>
      <c r="L3273" t="inlineStr"/>
      <c r="M3273" t="inlineStr"/>
      <c r="N3273" t="inlineStr"/>
      <c r="O3273">
        <f>(1-Summary!$B$11)*T3273+Summary!$B$11*V3273</f>
        <v/>
      </c>
      <c r="P3273">
        <f>IF(B3302=0,0,O3273/B3302)</f>
        <v/>
      </c>
      <c r="Q3273" t="n">
        <v>0</v>
      </c>
      <c r="R3273" t="n">
        <v>0</v>
      </c>
      <c r="S3273">
        <f>IFERROR(O3273/N3273,0)</f>
        <v/>
      </c>
      <c r="T3273" t="n">
        <v>0</v>
      </c>
      <c r="V3273" t="n">
        <v>0</v>
      </c>
    </row>
    <row r="3274">
      <c r="A3274">
        <f>Skills!A15</f>
        <v/>
      </c>
      <c r="B3274">
        <f>Skills!B15</f>
        <v/>
      </c>
      <c r="C3274">
        <f>Inputs!$B$3&gt;=117</f>
        <v/>
      </c>
      <c r="D3274">
        <f>IF(Skills!C15=1,60+Inputs!$B$25+Inputs!$B$29,IF(Skills!C15=2,90+Inputs!$B$26+Inputs!$B$29,IF(Skills!C15=3,120+Inputs!$B$27+Inputs!$B$29,MAX(0,(Inputs!$B$3-100)*3)+Inputs!$B$28+Inputs!$B$29)))</f>
        <v/>
      </c>
      <c r="E3274">
        <f>INDEX(FactorTable!$B$2:$Y$301, MATCH(ROUND(MIN(300,MAX(1,D3274)),0), FactorTable!$A$2:$A$301,0), Skills!M15+1)</f>
        <v/>
      </c>
      <c r="F3274">
        <f>IF(Skills!N15=TRUE,(Skills!L15/10)*(E3274/1000),Skills!L15/10)+Skills!O15</f>
        <v/>
      </c>
      <c r="G3274">
        <f>Skills!G15*IF(Skills!H15&gt;0,Skills!I15/Skills!H15,1)</f>
        <v/>
      </c>
      <c r="H3274">
        <f>1-(1-Skills!J15/100)^Skills!K15</f>
        <v/>
      </c>
      <c r="I3274" t="inlineStr">
        <is>
          <t>1</t>
        </is>
      </c>
      <c r="J3274" t="inlineStr"/>
      <c r="K3274" t="inlineStr"/>
      <c r="L3274" t="inlineStr"/>
      <c r="M3274" t="inlineStr"/>
      <c r="N3274" t="inlineStr"/>
      <c r="O3274">
        <f>(1-Summary!$B$11)*T3274+Summary!$B$11*V3274</f>
        <v/>
      </c>
      <c r="P3274">
        <f>IF(B3302=0,0,O3274/B3302)</f>
        <v/>
      </c>
      <c r="Q3274">
        <f>IFERROR(1/(IF(Inputs!$B$38="pvp",15,MAX(0.1,Skills!D15-IF(Skills!E15=TRUE,4.0,0)))*(1-IF(AND(ArtifactsInput!$M$27,Inputs!$B$4="Chapter Hunt"),CHOOSE(ArtifactsInput!$N$27+1,20,24,28,32,36,40),0)/100)),0)</f>
        <v/>
      </c>
      <c r="R3274">
        <f>IF(AND(Inputs!$B$38&lt;&gt;"pvp",Inputs!$B$43&gt;0),IF(Inputs!$B$43&lt;=0,0,(INT(Inputs!$B$43/(IF(Inputs!$B$38="pvp",15,MAX(0.1,Skills!D15-IF(Skills!E15=TRUE,4.0,0)))*(1-IF(AND(ArtifactsInput!$M$27,Inputs!$B$4="Chapter Hunt"),CHOOSE(ArtifactsInput!$N$27+1,20,24,28,32,36,40),0)/100)))+1)),0)</f>
        <v/>
      </c>
      <c r="S3274">
        <f>IFERROR(O3274/N3274,0)</f>
        <v/>
      </c>
      <c r="T3274" t="n">
        <v>0</v>
      </c>
      <c r="V3274" t="n">
        <v>0</v>
      </c>
    </row>
    <row r="3275">
      <c r="A3275">
        <f>Skills!A16</f>
        <v/>
      </c>
      <c r="B3275">
        <f>Skills!B16</f>
        <v/>
      </c>
      <c r="C3275">
        <f>Inputs!$B$3&gt;=115</f>
        <v/>
      </c>
      <c r="D3275">
        <f>IF(Skills!C16=1,60+Inputs!$B$25+Inputs!$B$29,IF(Skills!C16=2,90+Inputs!$B$26+Inputs!$B$29,IF(Skills!C16=3,120+Inputs!$B$27+Inputs!$B$29,MAX(0,(Inputs!$B$3-100)*3)+Inputs!$B$28+Inputs!$B$29)))</f>
        <v/>
      </c>
      <c r="E3275">
        <f>INDEX(FactorTable!$B$2:$Y$301, MATCH(ROUND(MIN(300,MAX(1,D3275)),0), FactorTable!$A$2:$A$301,0), Skills!M16+1)</f>
        <v/>
      </c>
      <c r="F3275">
        <f>IF(Skills!N16=TRUE,(Skills!L16/10)*(E3275/1000),Skills!L16/10)+Skills!O16</f>
        <v/>
      </c>
      <c r="G3275">
        <f>Skills!G16*IF(Skills!H16&gt;0,Skills!I16/Skills!H16,1)</f>
        <v/>
      </c>
      <c r="H3275">
        <f>1-(1-Skills!J16/100)^Skills!K16</f>
        <v/>
      </c>
      <c r="I3275" t="inlineStr">
        <is>
          <t>1</t>
        </is>
      </c>
      <c r="J3275" t="inlineStr"/>
      <c r="K3275" t="inlineStr"/>
      <c r="L3275" t="inlineStr"/>
      <c r="M3275" t="inlineStr"/>
      <c r="N3275" t="inlineStr"/>
      <c r="O3275">
        <f>(1-Summary!$B$11)*T3275+Summary!$B$11*V3275</f>
        <v/>
      </c>
      <c r="P3275">
        <f>IF(B3302=0,0,O3275/B3302)</f>
        <v/>
      </c>
      <c r="Q3275">
        <f>IFERROR(1/(IF(Inputs!$B$38="pvp",15,MAX(0.1,Skills!D16-IF(Skills!E16=TRUE,4.0,0)))*(1-IF(AND(ArtifactsInput!$M$27,Inputs!$B$4="Chapter Hunt"),CHOOSE(ArtifactsInput!$N$27+1,20,24,28,32,36,40),0)/100)),0)</f>
        <v/>
      </c>
      <c r="R3275">
        <f>IF(AND(Inputs!$B$38&lt;&gt;"pvp",Inputs!$B$43&gt;0),IF(Inputs!$B$43&lt;=0,0,(INT(Inputs!$B$43/(IF(Inputs!$B$38="pvp",15,MAX(0.1,Skills!D16-IF(Skills!E16=TRUE,4.0,0)))*(1-IF(AND(ArtifactsInput!$M$27,Inputs!$B$4="Chapter Hunt"),CHOOSE(ArtifactsInput!$N$27+1,20,24,28,32,36,40),0)/100)))+1)),0)</f>
        <v/>
      </c>
      <c r="S3275">
        <f>IFERROR(O3275/N3275,0)</f>
        <v/>
      </c>
      <c r="T3275" t="n">
        <v>0</v>
      </c>
      <c r="V3275" t="n">
        <v>0</v>
      </c>
    </row>
    <row r="3276">
      <c r="A3276">
        <f>Skills!A17</f>
        <v/>
      </c>
      <c r="B3276">
        <f>Skills!B17</f>
        <v/>
      </c>
      <c r="C3276">
        <f>Inputs!$B$3&gt;=66</f>
        <v/>
      </c>
      <c r="D3276">
        <f>IF(Skills!C17=1,60+Inputs!$B$25+Inputs!$B$29,IF(Skills!C17=2,90+Inputs!$B$26+Inputs!$B$29,IF(Skills!C17=3,120+Inputs!$B$27+Inputs!$B$29,MAX(0,(Inputs!$B$3-100)*3)+Inputs!$B$28+Inputs!$B$29)))</f>
        <v/>
      </c>
      <c r="E3276">
        <f>INDEX(FactorTable!$B$2:$Y$301, MATCH(ROUND(MIN(300,MAX(1,D3276)),0), FactorTable!$A$2:$A$301,0), Skills!M17+1)</f>
        <v/>
      </c>
      <c r="F3276">
        <f>IF(Skills!N17=TRUE,(Skills!L17/10)*(E3276/1000),Skills!L17/10)+Skills!O17</f>
        <v/>
      </c>
      <c r="G3276">
        <f>Skills!G17*IF(Skills!H17&gt;0,Skills!I17/Skills!H17,1)</f>
        <v/>
      </c>
      <c r="H3276">
        <f>1-(1-Skills!J17/100)^Skills!K17</f>
        <v/>
      </c>
      <c r="I3276" t="inlineStr">
        <is>
          <t>1</t>
        </is>
      </c>
      <c r="J3276" t="inlineStr"/>
      <c r="K3276" t="inlineStr"/>
      <c r="L3276" t="inlineStr"/>
      <c r="M3276" t="inlineStr"/>
      <c r="N3276" t="inlineStr"/>
      <c r="O3276">
        <f>(1-Summary!$B$11)*T3276+Summary!$B$11*V3276</f>
        <v/>
      </c>
      <c r="P3276">
        <f>IF(B3302=0,0,O3276/B3302)</f>
        <v/>
      </c>
      <c r="Q3276" t="n">
        <v>0</v>
      </c>
      <c r="R3276" t="n">
        <v>0</v>
      </c>
      <c r="S3276">
        <f>IFERROR(O3276/N3276,0)</f>
        <v/>
      </c>
      <c r="T3276" t="n">
        <v>0</v>
      </c>
      <c r="V3276" t="n">
        <v>0</v>
      </c>
    </row>
    <row r="3277">
      <c r="A3277">
        <f>Skills!A18</f>
        <v/>
      </c>
      <c r="B3277">
        <f>Skills!B18</f>
        <v/>
      </c>
      <c r="C3277">
        <f>Inputs!$B$3&gt;=72</f>
        <v/>
      </c>
      <c r="D3277">
        <f>IF(Skills!C18=1,60+Inputs!$B$25+Inputs!$B$29,IF(Skills!C18=2,90+Inputs!$B$26+Inputs!$B$29,IF(Skills!C18=3,120+Inputs!$B$27+Inputs!$B$29,MAX(0,(Inputs!$B$3-100)*3)+Inputs!$B$28+Inputs!$B$29)))</f>
        <v/>
      </c>
      <c r="E3277">
        <f>INDEX(FactorTable!$B$2:$Y$301, MATCH(ROUND(MIN(300,MAX(1,D3277)),0), FactorTable!$A$2:$A$301,0), Skills!M18+1)</f>
        <v/>
      </c>
      <c r="F3277">
        <f>IF(Skills!N18=TRUE,(Skills!L18/10)*(E3277/1000),Skills!L18/10)+Skills!O18</f>
        <v/>
      </c>
      <c r="G3277">
        <f>Skills!G18*IF(Skills!H18&gt;0,Skills!I18/Skills!H18,1)</f>
        <v/>
      </c>
      <c r="H3277">
        <f>1-(1-Skills!J18/100)^Skills!K18</f>
        <v/>
      </c>
      <c r="I3277" t="inlineStr">
        <is>
          <t>1</t>
        </is>
      </c>
      <c r="J3277" t="inlineStr"/>
      <c r="K3277" t="inlineStr"/>
      <c r="L3277" t="inlineStr"/>
      <c r="M3277" t="inlineStr"/>
      <c r="N3277" t="inlineStr"/>
      <c r="O3277">
        <f>(1-Summary!$B$11)*T3277+Summary!$B$11*V3277</f>
        <v/>
      </c>
      <c r="P3277">
        <f>IF(B3302=0,0,O3277/B3302)</f>
        <v/>
      </c>
      <c r="Q3277" t="n">
        <v>0</v>
      </c>
      <c r="R3277" t="n">
        <v>0</v>
      </c>
      <c r="S3277">
        <f>IFERROR(O3277/N3277,0)</f>
        <v/>
      </c>
      <c r="T3277" t="n">
        <v>0</v>
      </c>
      <c r="V3277" t="n">
        <v>0</v>
      </c>
    </row>
    <row r="3278">
      <c r="A3278">
        <f>Skills!A19</f>
        <v/>
      </c>
      <c r="B3278">
        <f>Skills!B19</f>
        <v/>
      </c>
      <c r="C3278">
        <f>TRUE</f>
        <v/>
      </c>
      <c r="D3278">
        <f>IF(Skills!C19=1,60+Inputs!$B$25+Inputs!$B$29,IF(Skills!C19=2,90+Inputs!$B$26+Inputs!$B$29,IF(Skills!C19=3,120+Inputs!$B$27+Inputs!$B$29,MAX(0,(Inputs!$B$3-100)*3)+Inputs!$B$28+Inputs!$B$29)))</f>
        <v/>
      </c>
      <c r="E3278">
        <f>INDEX(FactorTable!$B$2:$Y$301, MATCH(ROUND(MIN(300,MAX(1,D3278)),0), FactorTable!$A$2:$A$301,0), Skills!M19+1)</f>
        <v/>
      </c>
      <c r="F3278">
        <f>IF(Skills!N19=TRUE,(Skills!L19/10)*(E3278/1000),Skills!L19/10)+Skills!O19</f>
        <v/>
      </c>
      <c r="G3278">
        <f>Skills!G19*IF(Skills!H19&gt;0,Skills!I19/Skills!H19,1)</f>
        <v/>
      </c>
      <c r="H3278">
        <f>1-(1-Skills!J19/100)^Skills!K19</f>
        <v/>
      </c>
      <c r="I3278" t="inlineStr">
        <is>
          <t>1</t>
        </is>
      </c>
      <c r="J3278" t="inlineStr"/>
      <c r="K3278" t="inlineStr"/>
      <c r="L3278" t="inlineStr"/>
      <c r="M3278" t="inlineStr"/>
      <c r="N3278" t="inlineStr"/>
      <c r="O3278">
        <f>(1-Summary!$B$11)*T3278+Summary!$B$11*V3278</f>
        <v/>
      </c>
      <c r="P3278">
        <f>IF(B3302=0,0,O3278/B3302)</f>
        <v/>
      </c>
      <c r="Q3278">
        <f>IFERROR(1/(IF(Inputs!$B$38="pvp",15,MAX(0.1,Skills!D19-IF(Skills!E19=TRUE,4.0,0)))*(1-IF(AND(ArtifactsInput!$M$27,Inputs!$B$4="Chapter Hunt"),CHOOSE(ArtifactsInput!$N$27+1,20,24,28,32,36,40),0)/100)),0)</f>
        <v/>
      </c>
      <c r="R3278">
        <f>IF(AND(Inputs!$B$38&lt;&gt;"pvp",Inputs!$B$43&gt;0),IF(Inputs!$B$43&lt;=0,0,(INT(Inputs!$B$43/(IF(Inputs!$B$38="pvp",15,MAX(0.1,Skills!D19-IF(Skills!E19=TRUE,4.0,0)))*(1-IF(AND(ArtifactsInput!$M$27,Inputs!$B$4="Chapter Hunt"),CHOOSE(ArtifactsInput!$N$27+1,20,24,28,32,36,40),0)/100)))+1)),0)</f>
        <v/>
      </c>
      <c r="S3278">
        <f>IFERROR(O3278/N3278,0)</f>
        <v/>
      </c>
      <c r="T3278" t="n">
        <v>0</v>
      </c>
      <c r="V3278" t="n">
        <v>0</v>
      </c>
    </row>
    <row r="3279">
      <c r="A3279">
        <f>Skills!A20</f>
        <v/>
      </c>
      <c r="B3279">
        <f>Skills!B20</f>
        <v/>
      </c>
      <c r="C3279">
        <f>Inputs!$B$3&gt;=15</f>
        <v/>
      </c>
      <c r="D3279">
        <f>IF(Skills!C20=1,60+Inputs!$B$25+Inputs!$B$29,IF(Skills!C20=2,90+Inputs!$B$26+Inputs!$B$29,IF(Skills!C20=3,120+Inputs!$B$27+Inputs!$B$29,MAX(0,(Inputs!$B$3-100)*3)+Inputs!$B$28+Inputs!$B$29)))</f>
        <v/>
      </c>
      <c r="E3279">
        <f>INDEX(FactorTable!$B$2:$Y$301, MATCH(ROUND(MIN(300,MAX(1,D3279)),0), FactorTable!$A$2:$A$301,0), Skills!M20+1)</f>
        <v/>
      </c>
      <c r="F3279">
        <f>IF(Skills!N20=TRUE,(Skills!L20/10)*(E3279/1000),Skills!L20/10)+Skills!O20</f>
        <v/>
      </c>
      <c r="G3279">
        <f>Skills!G20*IF(Skills!H20&gt;0,Skills!I20/Skills!H20,1)</f>
        <v/>
      </c>
      <c r="H3279">
        <f>1-(1-Skills!J20/100)^Skills!K20</f>
        <v/>
      </c>
      <c r="I3279" t="inlineStr">
        <is>
          <t>1</t>
        </is>
      </c>
      <c r="J3279" t="inlineStr"/>
      <c r="K3279" t="inlineStr"/>
      <c r="L3279" t="inlineStr"/>
      <c r="M3279" t="inlineStr"/>
      <c r="N3279" t="inlineStr"/>
      <c r="O3279">
        <f>(1-Summary!$B$11)*T3279+Summary!$B$11*V3279</f>
        <v/>
      </c>
      <c r="P3279">
        <f>IF(B3302=0,0,O3279/B3302)</f>
        <v/>
      </c>
      <c r="Q3279" t="n">
        <v>0</v>
      </c>
      <c r="R3279" t="n">
        <v>0</v>
      </c>
      <c r="S3279">
        <f>IFERROR(O3279/N3279,0)</f>
        <v/>
      </c>
      <c r="T3279" t="n">
        <v>0</v>
      </c>
      <c r="V3279" t="n">
        <v>0</v>
      </c>
    </row>
    <row r="3280">
      <c r="A3280">
        <f>Skills!A21</f>
        <v/>
      </c>
      <c r="B3280">
        <f>Skills!B21</f>
        <v/>
      </c>
      <c r="C3280">
        <f>Inputs!$B$3&gt;=10</f>
        <v/>
      </c>
      <c r="D3280">
        <f>IF(Skills!C21=1,60+Inputs!$B$25+Inputs!$B$29,IF(Skills!C21=2,90+Inputs!$B$26+Inputs!$B$29,IF(Skills!C21=3,120+Inputs!$B$27+Inputs!$B$29,MAX(0,(Inputs!$B$3-100)*3)+Inputs!$B$28+Inputs!$B$29)))</f>
        <v/>
      </c>
      <c r="E3280">
        <f>INDEX(FactorTable!$B$2:$Y$301, MATCH(ROUND(MIN(300,MAX(1,D3280)),0), FactorTable!$A$2:$A$301,0), Skills!M21+1)</f>
        <v/>
      </c>
      <c r="F3280">
        <f>IF(Skills!N21=TRUE,(Skills!L21/10)*(E3280/1000),Skills!L21/10)+Skills!O21</f>
        <v/>
      </c>
      <c r="G3280">
        <f>Skills!G21*IF(Skills!H21&gt;0,Skills!I21/Skills!H21,1)</f>
        <v/>
      </c>
      <c r="H3280">
        <f>1-(1-Skills!J21/100)^Skills!K21</f>
        <v/>
      </c>
      <c r="I3280" t="inlineStr">
        <is>
          <t>1</t>
        </is>
      </c>
      <c r="J3280" t="inlineStr"/>
      <c r="K3280" t="inlineStr"/>
      <c r="L3280" t="inlineStr"/>
      <c r="M3280" t="inlineStr"/>
      <c r="N3280" t="inlineStr"/>
      <c r="O3280">
        <f>(1-Summary!$B$11)*T3280+Summary!$B$11*V3280</f>
        <v/>
      </c>
      <c r="P3280">
        <f>IF(B3302=0,0,O3280/B3302)</f>
        <v/>
      </c>
      <c r="Q3280" t="n">
        <v>0</v>
      </c>
      <c r="R3280" t="n">
        <v>0</v>
      </c>
      <c r="S3280">
        <f>IFERROR(O3280/N3280,0)</f>
        <v/>
      </c>
      <c r="T3280" t="n">
        <v>0</v>
      </c>
      <c r="V3280" t="n">
        <v>0</v>
      </c>
    </row>
    <row r="3281">
      <c r="A3281">
        <f>Skills!A22</f>
        <v/>
      </c>
      <c r="B3281">
        <f>Skills!B22</f>
        <v/>
      </c>
      <c r="C3281">
        <f>Inputs!$B$3&gt;=33</f>
        <v/>
      </c>
      <c r="D3281">
        <f>IF(Skills!C22=1,60+Inputs!$B$25+Inputs!$B$29,IF(Skills!C22=2,90+Inputs!$B$26+Inputs!$B$29,IF(Skills!C22=3,120+Inputs!$B$27+Inputs!$B$29,MAX(0,(Inputs!$B$3-100)*3)+Inputs!$B$28+Inputs!$B$29)))</f>
        <v/>
      </c>
      <c r="E3281">
        <f>INDEX(FactorTable!$B$2:$Y$301, MATCH(ROUND(MIN(300,MAX(1,D3281)),0), FactorTable!$A$2:$A$301,0), Skills!M22+1)</f>
        <v/>
      </c>
      <c r="F3281">
        <f>IF(Skills!N22=TRUE,(Skills!L22/10)*(E3281/1000),Skills!L22/10)+Skills!O22</f>
        <v/>
      </c>
      <c r="G3281">
        <f>Skills!G22*IF(Skills!H22&gt;0,Skills!I22/Skills!H22,1)</f>
        <v/>
      </c>
      <c r="H3281">
        <f>1-(1-Skills!J22/100)^Skills!K22</f>
        <v/>
      </c>
      <c r="I3281" t="inlineStr">
        <is>
          <t>1</t>
        </is>
      </c>
      <c r="J3281" t="inlineStr"/>
      <c r="K3281" t="inlineStr"/>
      <c r="L3281" t="inlineStr"/>
      <c r="M3281" t="inlineStr"/>
      <c r="N3281" t="inlineStr"/>
      <c r="O3281">
        <f>(1-Summary!$B$11)*T3281+Summary!$B$11*V3281</f>
        <v/>
      </c>
      <c r="P3281">
        <f>IF(B3302=0,0,O3281/B3302)</f>
        <v/>
      </c>
      <c r="Q3281" t="n">
        <v>0</v>
      </c>
      <c r="R3281" t="n">
        <v>0</v>
      </c>
      <c r="S3281">
        <f>IFERROR(O3281/N3281,0)</f>
        <v/>
      </c>
      <c r="T3281" t="n">
        <v>0</v>
      </c>
      <c r="V3281" t="n">
        <v>0</v>
      </c>
    </row>
    <row r="3282">
      <c r="A3282">
        <f>Skills!A23</f>
        <v/>
      </c>
      <c r="B3282">
        <f>Skills!B23</f>
        <v/>
      </c>
      <c r="C3282">
        <f>Inputs!$B$3&gt;=38</f>
        <v/>
      </c>
      <c r="D3282">
        <f>IF(Skills!C23=1,60+Inputs!$B$25+Inputs!$B$29,IF(Skills!C23=2,90+Inputs!$B$26+Inputs!$B$29,IF(Skills!C23=3,120+Inputs!$B$27+Inputs!$B$29,MAX(0,(Inputs!$B$3-100)*3)+Inputs!$B$28+Inputs!$B$29)))</f>
        <v/>
      </c>
      <c r="E3282">
        <f>INDEX(FactorTable!$B$2:$Y$301, MATCH(ROUND(MIN(300,MAX(1,D3282)),0), FactorTable!$A$2:$A$301,0), Skills!M23+1)</f>
        <v/>
      </c>
      <c r="F3282">
        <f>IF(Skills!N23=TRUE,(Skills!L23/10)*(E3282/1000),Skills!L23/10)+Skills!O23</f>
        <v/>
      </c>
      <c r="G3282">
        <f>Skills!G23*IF(Skills!H23&gt;0,Skills!I23/Skills!H23,1)</f>
        <v/>
      </c>
      <c r="H3282">
        <f>1-(1-Skills!J23/100)^Skills!K23</f>
        <v/>
      </c>
      <c r="I3282" t="inlineStr">
        <is>
          <t>1</t>
        </is>
      </c>
      <c r="J3282" t="inlineStr"/>
      <c r="K3282" t="inlineStr"/>
      <c r="L3282" t="inlineStr"/>
      <c r="M3282" t="inlineStr"/>
      <c r="N3282" t="inlineStr"/>
      <c r="O3282">
        <f>(1-Summary!$B$11)*T3282+Summary!$B$11*V3282</f>
        <v/>
      </c>
      <c r="P3282">
        <f>IF(B3302=0,0,O3282/B3302)</f>
        <v/>
      </c>
      <c r="Q3282" t="n">
        <v>0</v>
      </c>
      <c r="R3282" t="n">
        <v>0</v>
      </c>
      <c r="S3282">
        <f>IFERROR(O3282/N3282,0)</f>
        <v/>
      </c>
      <c r="T3282" t="n">
        <v>0</v>
      </c>
      <c r="V3282" t="n">
        <v>0</v>
      </c>
    </row>
    <row r="3283">
      <c r="A3283">
        <f>Skills!A24</f>
        <v/>
      </c>
      <c r="B3283">
        <f>Skills!B24</f>
        <v/>
      </c>
      <c r="C3283">
        <f>Inputs!$B$3&gt;=43</f>
        <v/>
      </c>
      <c r="D3283">
        <f>IF(Skills!C24=1,60+Inputs!$B$25+Inputs!$B$29,IF(Skills!C24=2,90+Inputs!$B$26+Inputs!$B$29,IF(Skills!C24=3,120+Inputs!$B$27+Inputs!$B$29,MAX(0,(Inputs!$B$3-100)*3)+Inputs!$B$28+Inputs!$B$29)))</f>
        <v/>
      </c>
      <c r="E3283">
        <f>INDEX(FactorTable!$B$2:$Y$301, MATCH(ROUND(MIN(300,MAX(1,D3283)),0), FactorTable!$A$2:$A$301,0), Skills!M24+1)</f>
        <v/>
      </c>
      <c r="F3283">
        <f>IF(Skills!N24=TRUE,(Skills!L24/10)*(E3283/1000),Skills!L24/10)+Skills!O24</f>
        <v/>
      </c>
      <c r="G3283">
        <f>Skills!G24*IF(Skills!H24&gt;0,Skills!I24/Skills!H24,1)</f>
        <v/>
      </c>
      <c r="H3283">
        <f>1-(1-Skills!J24/100)^Skills!K24</f>
        <v/>
      </c>
      <c r="I3283" t="inlineStr">
        <is>
          <t>1</t>
        </is>
      </c>
      <c r="J3283" t="inlineStr"/>
      <c r="K3283" t="inlineStr"/>
      <c r="L3283" t="inlineStr"/>
      <c r="M3283" t="inlineStr"/>
      <c r="N3283" t="inlineStr"/>
      <c r="O3283">
        <f>(1-Summary!$B$11)*T3283+Summary!$B$11*V3283</f>
        <v/>
      </c>
      <c r="P3283">
        <f>IF(B3302=0,0,O3283/B3302)</f>
        <v/>
      </c>
      <c r="Q3283" t="n">
        <v>0</v>
      </c>
      <c r="R3283" t="n">
        <v>0</v>
      </c>
      <c r="S3283">
        <f>IFERROR(O3283/N3283,0)</f>
        <v/>
      </c>
      <c r="T3283" t="n">
        <v>0</v>
      </c>
      <c r="V3283" t="n">
        <v>0</v>
      </c>
    </row>
    <row r="3284">
      <c r="A3284">
        <f>Skills!A25</f>
        <v/>
      </c>
      <c r="B3284">
        <f>Skills!B25</f>
        <v/>
      </c>
      <c r="C3284">
        <f>Inputs!$B$3&gt;=75</f>
        <v/>
      </c>
      <c r="D3284">
        <f>IF(Skills!C25=1,60+Inputs!$B$25+Inputs!$B$29,IF(Skills!C25=2,90+Inputs!$B$26+Inputs!$B$29,IF(Skills!C25=3,120+Inputs!$B$27+Inputs!$B$29,MAX(0,(Inputs!$B$3-100)*3)+Inputs!$B$28+Inputs!$B$29)))</f>
        <v/>
      </c>
      <c r="E3284">
        <f>INDEX(FactorTable!$B$2:$Y$301, MATCH(ROUND(MIN(300,MAX(1,D3284)),0), FactorTable!$A$2:$A$301,0), Skills!M25+1)</f>
        <v/>
      </c>
      <c r="F3284">
        <f>IF(Skills!N25=TRUE,(Skills!L25/10)*(E3284/1000),Skills!L25/10)+Skills!O25</f>
        <v/>
      </c>
      <c r="G3284">
        <f>Skills!G25*IF(Skills!H25&gt;0,Skills!I25/Skills!H25,1)</f>
        <v/>
      </c>
      <c r="H3284">
        <f>1-(1-Skills!J25/100)^Skills!K25</f>
        <v/>
      </c>
      <c r="I3284" t="inlineStr">
        <is>
          <t>1</t>
        </is>
      </c>
      <c r="J3284" t="inlineStr"/>
      <c r="K3284" t="inlineStr"/>
      <c r="L3284" t="inlineStr"/>
      <c r="M3284" t="inlineStr"/>
      <c r="N3284" t="inlineStr"/>
      <c r="O3284">
        <f>(1-Summary!$B$11)*T3284+Summary!$B$11*V3284</f>
        <v/>
      </c>
      <c r="P3284">
        <f>IF(B3302=0,0,O3284/B3302)</f>
        <v/>
      </c>
      <c r="Q3284" t="n">
        <v>0</v>
      </c>
      <c r="R3284" t="n">
        <v>0</v>
      </c>
      <c r="S3284">
        <f>IFERROR(O3284/N3284,0)</f>
        <v/>
      </c>
      <c r="T3284" t="n">
        <v>0</v>
      </c>
      <c r="V3284" t="n">
        <v>0</v>
      </c>
    </row>
    <row r="3285">
      <c r="A3285">
        <f>Skills!A26</f>
        <v/>
      </c>
      <c r="B3285">
        <f>Skills!B26</f>
        <v/>
      </c>
      <c r="C3285">
        <f>Inputs!$B$3&gt;=125</f>
        <v/>
      </c>
      <c r="D3285">
        <f>IF(Skills!C26=1,60+Inputs!$B$25+Inputs!$B$29,IF(Skills!C26=2,90+Inputs!$B$26+Inputs!$B$29,IF(Skills!C26=3,120+Inputs!$B$27+Inputs!$B$29,MAX(0,(Inputs!$B$3-100)*3)+Inputs!$B$28+Inputs!$B$29)))</f>
        <v/>
      </c>
      <c r="E3285">
        <f>INDEX(FactorTable!$B$2:$Y$301, MATCH(ROUND(MIN(300,MAX(1,D3285)),0), FactorTable!$A$2:$A$301,0), Skills!M26+1)</f>
        <v/>
      </c>
      <c r="F3285">
        <f>IF(Skills!N26=TRUE,(Skills!L26/10)*(E3285/1000),Skills!L26/10)+Skills!O26</f>
        <v/>
      </c>
      <c r="G3285">
        <f>Skills!G26*IF(Skills!H26&gt;0,Skills!I26/Skills!H26,1)</f>
        <v/>
      </c>
      <c r="H3285">
        <f>1-(1-Skills!J26/100)^Skills!K26</f>
        <v/>
      </c>
      <c r="I3285" t="inlineStr">
        <is>
          <t>1</t>
        </is>
      </c>
      <c r="J3285" t="inlineStr"/>
      <c r="K3285" t="inlineStr"/>
      <c r="L3285" t="inlineStr"/>
      <c r="M3285" t="inlineStr"/>
      <c r="N3285" t="inlineStr"/>
      <c r="O3285">
        <f>(1-Summary!$B$11)*T3285+Summary!$B$11*V3285</f>
        <v/>
      </c>
      <c r="P3285">
        <f>IF(B3302=0,0,O3285/B3302)</f>
        <v/>
      </c>
      <c r="Q3285" t="n">
        <v>0</v>
      </c>
      <c r="R3285" t="n">
        <v>0</v>
      </c>
      <c r="S3285">
        <f>IFERROR(O3285/N3285,0)</f>
        <v/>
      </c>
      <c r="T3285" t="n">
        <v>0</v>
      </c>
      <c r="V3285" t="n">
        <v>0</v>
      </c>
    </row>
    <row r="3286">
      <c r="A3286">
        <f>Skills!A27</f>
        <v/>
      </c>
      <c r="B3286">
        <f>Skills!B27</f>
        <v/>
      </c>
      <c r="C3286">
        <f>Inputs!$B$3&gt;=125</f>
        <v/>
      </c>
      <c r="D3286">
        <f>IF(Skills!C27=1,60+Inputs!$B$25+Inputs!$B$29,IF(Skills!C27=2,90+Inputs!$B$26+Inputs!$B$29,IF(Skills!C27=3,120+Inputs!$B$27+Inputs!$B$29,MAX(0,(Inputs!$B$3-100)*3)+Inputs!$B$28+Inputs!$B$29)))</f>
        <v/>
      </c>
      <c r="E3286">
        <f>INDEX(FactorTable!$B$2:$Y$301, MATCH(ROUND(MIN(300,MAX(1,D3286)),0), FactorTable!$A$2:$A$301,0), Skills!M27+1)</f>
        <v/>
      </c>
      <c r="F3286">
        <f>IF(Skills!N27=TRUE,(Skills!L27/10)*(E3286/1000),Skills!L27/10)+Skills!O27</f>
        <v/>
      </c>
      <c r="G3286">
        <f>Skills!G27*IF(Skills!H27&gt;0,Skills!I27/Skills!H27,1)</f>
        <v/>
      </c>
      <c r="H3286">
        <f>1-(1-Skills!J27/100)^Skills!K27</f>
        <v/>
      </c>
      <c r="I3286" t="inlineStr">
        <is>
          <t>1</t>
        </is>
      </c>
      <c r="J3286" t="inlineStr"/>
      <c r="K3286" t="inlineStr"/>
      <c r="L3286" t="inlineStr"/>
      <c r="M3286" t="inlineStr"/>
      <c r="N3286" t="inlineStr"/>
      <c r="O3286">
        <f>(1-Summary!$B$11)*T3286+Summary!$B$11*V3286</f>
        <v/>
      </c>
      <c r="P3286">
        <f>IF(B3302=0,0,O3286/B3302)</f>
        <v/>
      </c>
      <c r="Q3286" t="n">
        <v>0</v>
      </c>
      <c r="R3286" t="n">
        <v>0</v>
      </c>
      <c r="S3286">
        <f>IFERROR(O3286/N3286,0)</f>
        <v/>
      </c>
      <c r="T3286" t="n">
        <v>0</v>
      </c>
      <c r="V3286" t="n">
        <v>0</v>
      </c>
    </row>
    <row r="3287">
      <c r="A3287">
        <f>Skills!A28</f>
        <v/>
      </c>
      <c r="B3287">
        <f>Skills!B28</f>
        <v/>
      </c>
      <c r="C3287">
        <f>Inputs!$B$3&gt;=120</f>
        <v/>
      </c>
      <c r="D3287">
        <f>IF(Skills!C28=1,60+Inputs!$B$25+Inputs!$B$29,IF(Skills!C28=2,90+Inputs!$B$26+Inputs!$B$29,IF(Skills!C28=3,120+Inputs!$B$27+Inputs!$B$29,MAX(0,(Inputs!$B$3-100)*3)+Inputs!$B$28+Inputs!$B$29)))</f>
        <v/>
      </c>
      <c r="E3287">
        <f>INDEX(FactorTable!$B$2:$Y$301, MATCH(ROUND(MIN(300,MAX(1,D3287)),0), FactorTable!$A$2:$A$301,0), Skills!M28+1)</f>
        <v/>
      </c>
      <c r="F3287">
        <f>IF(Skills!N28=TRUE,(Skills!L28/10)*(E3287/1000),Skills!L28/10)+Skills!O28</f>
        <v/>
      </c>
      <c r="G3287">
        <f>Skills!G28*IF(Skills!H28&gt;0,Skills!I28/Skills!H28,1)</f>
        <v/>
      </c>
      <c r="H3287">
        <f>1-(1-Skills!J28/100)^Skills!K28</f>
        <v/>
      </c>
      <c r="I3287" t="inlineStr">
        <is>
          <t>1</t>
        </is>
      </c>
      <c r="J3287" t="inlineStr"/>
      <c r="K3287" t="inlineStr"/>
      <c r="L3287" t="inlineStr"/>
      <c r="M3287" t="inlineStr"/>
      <c r="N3287" t="inlineStr"/>
      <c r="O3287">
        <f>(1-Summary!$B$11)*T3287+Summary!$B$11*V3287</f>
        <v/>
      </c>
      <c r="P3287">
        <f>IF(B3302=0,0,O3287/B3302)</f>
        <v/>
      </c>
      <c r="Q3287" t="n">
        <v>0</v>
      </c>
      <c r="R3287" t="n">
        <v>0</v>
      </c>
      <c r="S3287">
        <f>IFERROR(O3287/N3287,0)</f>
        <v/>
      </c>
      <c r="T3287" t="n">
        <v>0</v>
      </c>
      <c r="V3287" t="n">
        <v>0</v>
      </c>
    </row>
    <row r="3288">
      <c r="A3288">
        <f>Skills!A29</f>
        <v/>
      </c>
      <c r="B3288">
        <f>Skills!B29</f>
        <v/>
      </c>
      <c r="C3288">
        <f>Inputs!$B$3&gt;=120</f>
        <v/>
      </c>
      <c r="D3288">
        <f>IF(Skills!C29=1,60+Inputs!$B$25+Inputs!$B$29,IF(Skills!C29=2,90+Inputs!$B$26+Inputs!$B$29,IF(Skills!C29=3,120+Inputs!$B$27+Inputs!$B$29,MAX(0,(Inputs!$B$3-100)*3)+Inputs!$B$28+Inputs!$B$29)))</f>
        <v/>
      </c>
      <c r="E3288">
        <f>INDEX(FactorTable!$B$2:$Y$301, MATCH(ROUND(MIN(300,MAX(1,D3288)),0), FactorTable!$A$2:$A$301,0), Skills!M29+1)</f>
        <v/>
      </c>
      <c r="F3288">
        <f>IF(Skills!N29=TRUE,(Skills!L29/10)*(E3288/1000),Skills!L29/10)+Skills!O29</f>
        <v/>
      </c>
      <c r="G3288">
        <f>Skills!G29*IF(Skills!H29&gt;0,Skills!I29/Skills!H29,1)</f>
        <v/>
      </c>
      <c r="H3288">
        <f>1-(1-Skills!J29/100)^Skills!K29</f>
        <v/>
      </c>
      <c r="I3288" t="inlineStr">
        <is>
          <t>1</t>
        </is>
      </c>
      <c r="J3288" t="inlineStr"/>
      <c r="K3288" t="inlineStr"/>
      <c r="L3288" t="inlineStr"/>
      <c r="M3288" t="inlineStr"/>
      <c r="N3288" t="inlineStr"/>
      <c r="O3288">
        <f>(1-Summary!$B$11)*T3288+Summary!$B$11*V3288</f>
        <v/>
      </c>
      <c r="P3288">
        <f>IF(B3302=0,0,O3288/B3302)</f>
        <v/>
      </c>
      <c r="Q3288" t="n">
        <v>0</v>
      </c>
      <c r="R3288" t="n">
        <v>0</v>
      </c>
      <c r="S3288">
        <f>IFERROR(O3288/N3288,0)</f>
        <v/>
      </c>
      <c r="T3288" t="n">
        <v>0</v>
      </c>
      <c r="V3288" t="n">
        <v>0</v>
      </c>
    </row>
    <row r="3289">
      <c r="A3289">
        <f>Skills!A30</f>
        <v/>
      </c>
      <c r="B3289">
        <f>Skills!B30</f>
        <v/>
      </c>
      <c r="C3289">
        <f>Inputs!$B$3&gt;=45</f>
        <v/>
      </c>
      <c r="D3289">
        <f>IF(Skills!C30=1,60+Inputs!$B$25+Inputs!$B$29,IF(Skills!C30=2,90+Inputs!$B$26+Inputs!$B$29,IF(Skills!C30=3,120+Inputs!$B$27+Inputs!$B$29,MAX(0,(Inputs!$B$3-100)*3)+Inputs!$B$28+Inputs!$B$29)))</f>
        <v/>
      </c>
      <c r="E3289">
        <f>INDEX(FactorTable!$B$2:$Y$301, MATCH(ROUND(MIN(300,MAX(1,D3289)),0), FactorTable!$A$2:$A$301,0), Skills!M30+1)</f>
        <v/>
      </c>
      <c r="F3289">
        <f>IF(Skills!N30=TRUE,(Skills!L30/10)*(E3289/1000),Skills!L30/10)+Skills!O30</f>
        <v/>
      </c>
      <c r="G3289">
        <f>Skills!G30*IF(Skills!H30&gt;0,Skills!I30/Skills!H30,1)</f>
        <v/>
      </c>
      <c r="H3289">
        <f>1-(1-Skills!J30/100)^Skills!K30</f>
        <v/>
      </c>
      <c r="I3289" t="inlineStr">
        <is>
          <t>1</t>
        </is>
      </c>
      <c r="J3289" t="inlineStr"/>
      <c r="K3289" t="inlineStr"/>
      <c r="L3289" t="inlineStr"/>
      <c r="M3289" t="inlineStr"/>
      <c r="N3289" t="inlineStr"/>
      <c r="O3289">
        <f>(1-Summary!$B$11)*T3289+Summary!$B$11*V3289</f>
        <v/>
      </c>
      <c r="P3289">
        <f>IF(B3302=0,0,O3289/B3302)</f>
        <v/>
      </c>
      <c r="Q3289" t="n">
        <v>0</v>
      </c>
      <c r="R3289" t="n">
        <v>0</v>
      </c>
      <c r="S3289">
        <f>IFERROR(O3289/N3289,0)</f>
        <v/>
      </c>
      <c r="T3289" t="n">
        <v>0</v>
      </c>
      <c r="V3289" t="n">
        <v>0</v>
      </c>
    </row>
    <row r="3291">
      <c r="A3291" t="inlineStr">
        <is>
          <t>Attack% Bucket Multiplier</t>
        </is>
      </c>
      <c r="B3291">
        <f>(1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92">
      <c r="A3292" t="inlineStr">
        <is>
          <t>Global Crit Rate Bonus %</t>
        </is>
      </c>
      <c r="B3292">
        <f>(C3275=TRUE)*20*IF(AND(Inputs!$B$38&lt;&gt;"pvp",Inputs!$B$43&gt;0),(((R3275-1)*(Skills!T16*(1+Inputs!$B$34/100))+MIN((Skills!T16*(1+Inputs!$B$34/100)),MAX(0,Inputs!$B$43-((R3275-1)*Skills!D16))))/Inputs!$B$43),IF(Inputs!$B$38="pvp",MIN((Skills!T16*(1+Inputs!$B$34/100)),15)/15,(Skills!T16*(1+Inputs!$B$34/100))/Skills!D16))</f>
        <v/>
      </c>
    </row>
    <row r="3293">
      <c r="A3293" t="inlineStr">
        <is>
          <t>Attack Speed Buff Bonus %</t>
        </is>
      </c>
      <c r="B3293">
        <f>((C3278=TRUE)*F3278*IF(AND(Inputs!$B$38&lt;&gt;"pvp",Inputs!$B$43&gt;0),(((R3278-1)*(Skills!T19*(1+Inputs!$B$34/100))+MIN((Skills!T19*(1+Inputs!$B$34/100)),MAX(0,Inputs!$B$43-((R3278-1)*Skills!D19))))/Inputs!$B$43),IF(Inputs!$B$38="pvp",MIN((Skills!T19*(1+Inputs!$B$34/100)),15)/15,(Skills!T19*(1+Inputs!$B$34/100))/Skills!D19)))</f>
        <v/>
      </c>
    </row>
    <row r="3294">
      <c r="A3294" t="inlineStr">
        <is>
          <t>Actions Per Second</t>
        </is>
      </c>
      <c r="B3294">
        <f>1+MIN(150,150*(1-(1-(Inputs!$B$11+((C3280=TRUE)*(F3280-Calc!F21))+((C3281=TRUE)*(F3281-Calc!F22)))/150)*(1-B3293/150)))/100</f>
        <v/>
      </c>
    </row>
    <row r="3295">
      <c r="A3295" t="inlineStr">
        <is>
          <t>Skill + Buff Cast Rate</t>
        </is>
      </c>
      <c r="B3295">
        <f>IF(AND(Inputs!$B$38&lt;&gt;"pvp",Inputs!$B$43&gt;0),SUMPRODUCT((Skills!E2:E30=TRUE)*(C3261:C3289=TRUE)*R3261:R3289*Skills!F2:F30)/Inputs!$B$43,SUMPRODUCT((Skills!E2:E30=TRUE)*(C3261:C3289=TRUE)*Q3261:Q3289*Skills!F2:F30))</f>
        <v/>
      </c>
    </row>
    <row r="3296">
      <c r="A3296" t="inlineStr">
        <is>
          <t>Arrow Stream Casts Per Second</t>
        </is>
      </c>
      <c r="B3296">
        <f>MAX(0,B3294-B3295)</f>
        <v/>
      </c>
    </row>
    <row r="3297">
      <c r="A3297" t="inlineStr">
        <is>
          <t>Global Critical Damage Bonus % (Sharp Eyes + Concentration)</t>
        </is>
      </c>
      <c r="B3297">
        <f>(C3275=TRUE)*F3275*IF(AND(Inputs!$B$38&lt;&gt;"pvp",Inputs!$B$43&gt;0),(((R3275-1)*(Skills!T16*(1+Inputs!$B$34/100))+MIN((Skills!T16*(1+Inputs!$B$34/100)),MAX(0,Inputs!$B$43-((R3275-1)*Skills!D16))))/Inputs!$B$43),IF(Inputs!$B$38="pvp",MIN((Skills!T16*(1+Inputs!$B$34/100)),15)/15,(Skills!T16*(1+Inputs!$B$34/100))/Skills!D16))+(C3276=TRUE)*30</f>
        <v/>
      </c>
    </row>
    <row r="3298">
      <c r="A3298" t="inlineStr">
        <is>
          <t>Global Final Damage Bonus % (Mortal Blow)</t>
        </is>
      </c>
      <c r="B3298">
        <f>(C3277=TRUE)*F3277</f>
        <v/>
      </c>
    </row>
    <row r="3299">
      <c r="A3299" t="inlineStr">
        <is>
          <t>Buff-Casting Startup Delay (s, fixed-duration only)</t>
        </is>
      </c>
      <c r="B3299">
        <f>IF(AND(Inputs!$B$38&lt;&gt;"pvp",Inputs!$B$43&gt;0),SUMPRODUCT((Skills!T2:T30&gt;0)*(Skills!E2:E30=TRUE)*(C3261:C3289=TRUE))/B3294,0)</f>
        <v/>
      </c>
    </row>
    <row r="3300">
      <c r="A3300" t="inlineStr">
        <is>
          <t>Boss-Only Total DPS (this block's swept value)</t>
        </is>
      </c>
      <c r="B3300">
        <f>SUM(T3261:T3289)</f>
        <v/>
      </c>
    </row>
    <row r="3301">
      <c r="A3301" t="inlineStr">
        <is>
          <t>Normal-Only Total DPS (this block's swept value)</t>
        </is>
      </c>
      <c r="B3301">
        <f>SUM(V3261:V3289)</f>
        <v/>
      </c>
    </row>
    <row r="3302">
      <c r="A3302" s="6" t="inlineStr">
        <is>
          <t>TOTAL DPS</t>
        </is>
      </c>
      <c r="B3302" s="6">
        <f>SUM(O3261:O3289)</f>
        <v/>
      </c>
    </row>
    <row r="3305">
      <c r="A3305" s="6" t="inlineStr">
        <is>
          <t>Stat: CDR = 4.5s</t>
        </is>
      </c>
    </row>
    <row r="3306">
      <c r="A3306" s="5" t="inlineStr">
        <is>
          <t>Key</t>
        </is>
      </c>
      <c r="B3306" s="5" t="inlineStr">
        <is>
          <t>Name</t>
        </is>
      </c>
      <c r="C3306" s="5" t="inlineStr">
        <is>
          <t>Unlocked</t>
        </is>
      </c>
      <c r="D3306" s="5" t="inlineStr">
        <is>
          <t>InputLevel</t>
        </is>
      </c>
      <c r="E3306" s="5" t="inlineStr">
        <is>
          <t>Factor</t>
        </is>
      </c>
      <c r="F3306" s="5" t="inlineStr">
        <is>
          <t>CoefficientPercent</t>
        </is>
      </c>
      <c r="G3306" s="5" t="inlineStr">
        <is>
          <t>EffectiveHits</t>
        </is>
      </c>
      <c r="H3306" s="5" t="inlineStr">
        <is>
          <t>ProcProbability</t>
        </is>
      </c>
      <c r="I3306" s="5" t="inlineStr">
        <is>
          <t>MapleHeroMultiplier</t>
        </is>
      </c>
      <c r="J3306" s="5" t="inlineStr">
        <is>
          <t>BaseDamage</t>
        </is>
      </c>
      <c r="K3306" s="5" t="inlineStr">
        <is>
          <t>BaseHitDamage</t>
        </is>
      </c>
      <c r="L3306" s="5" t="inlineStr">
        <is>
          <t>NonCritAvg</t>
        </is>
      </c>
      <c r="M3306" s="5" t="inlineStr">
        <is>
          <t>CritAvg</t>
        </is>
      </c>
      <c r="N3306" s="5" t="inlineStr">
        <is>
          <t>ExpectedDamage(perHit)</t>
        </is>
      </c>
      <c r="O3306" s="5" t="inlineStr">
        <is>
          <t>DPS</t>
        </is>
      </c>
      <c r="P3306" s="5" t="inlineStr">
        <is>
          <t>% of Total</t>
        </is>
      </c>
      <c r="Q3306" s="5" t="inlineStr">
        <is>
          <t>InvCooldown</t>
        </is>
      </c>
      <c r="R3306" s="5" t="inlineStr">
        <is>
          <t>CastsInFight</t>
        </is>
      </c>
      <c r="S3306" s="5" t="inlineStr">
        <is>
          <t>HitRate(perSec)</t>
        </is>
      </c>
      <c r="U3306" t="inlineStr">
        <is>
          <t>helpers</t>
        </is>
      </c>
    </row>
    <row r="3307">
      <c r="A3307">
        <f>Skills!A2</f>
        <v/>
      </c>
      <c r="B3307">
        <f>Skills!B2</f>
        <v/>
      </c>
      <c r="C3307">
        <f>Inputs!$B$3&gt;=100</f>
        <v/>
      </c>
      <c r="D3307" t="inlineStr"/>
      <c r="E3307" t="inlineStr"/>
      <c r="F3307">
        <f>U3309+Skills!O2</f>
        <v/>
      </c>
      <c r="G3307">
        <f>Skills!G2*IF(Skills!H2&gt;0,Skills!I2/Skills!H2,1)</f>
        <v/>
      </c>
      <c r="H3307">
        <f>1-(1-Skills!J2/100)^Skills!K2</f>
        <v/>
      </c>
      <c r="I3307" t="inlineStr">
        <is>
          <t>1</t>
        </is>
      </c>
      <c r="J3307">
        <f>((Inputs!$B$6*(1+Inputs!$B$7/100))+(((Inputs!$B$12*(1+Inputs!$B$13/100))-(Inputs!$B$12*(1+Inputs!$B$13/100)))+0.25*(Inputs!$B$14-Inputs!$B$14))*(1+Inputs!$B$7/100))*(F3307/100)</f>
        <v/>
      </c>
      <c r="K3307">
        <f>J3307*(1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3329=TRUE)*(F3329-Calc!F24)),(Inputs!$B$23+((C3334=TRUE)*(F3334-Calc!F29))+(IF(ArtifactsInput!$M$15,CHOOSE(ArtifactsInput!$N$15+1,25,30,35,40,45,50)/100*(Inputs!$B$11-Inputs!$B$11),0))))/100+(Inputs!$B$23+((C3334=TRUE)*(F3334-Calc!F29))+(IF(ArtifactsInput!$M$15,CHOOSE(ArtifactsInput!$N$15+1,25,30,35,40,45,50)/100*(Inputs!$B$11-Inputs!$B$11),0)))/100)/2</f>
        <v/>
      </c>
      <c r="M3307">
        <f>L3307*(1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IF(B3348=0,0,O3307/B3348)</f>
        <v/>
      </c>
      <c r="Q3307" t="n">
        <v>0</v>
      </c>
      <c r="R3307" t="n">
        <v>0</v>
      </c>
      <c r="S3307">
        <f>IFERROR(O3307/N3307,0)</f>
        <v/>
      </c>
      <c r="T3307">
        <f>IF(C3307,(Skills!G2*N3307*B3342)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3307*(1-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7">
        <f>MAX(0,(Inputs!$B$3-100)*3)+Inputs!$B$28+Inputs!$B$29</f>
        <v/>
      </c>
      <c r="V3307">
        <f>IF(C3307,(Skills!G2*N3307*B3342)*IF(Inputs!$B$38="pvp",1,(1+(Inputs!$B$21+Skills!Q2+(IF(ArtifactsInput!$M$33,CHOOSE(ArtifactsInput!$N$33+1,30,36,42,48,54,60),0))+(IF(AND(ArtifactsInput!$M$35,Inputs!$B$4&lt;&gt;"Chapter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Skills!A3</f>
        <v/>
      </c>
      <c r="B3308">
        <f>Skills!B3</f>
        <v/>
      </c>
      <c r="C3308">
        <f>Inputs!$B$3&gt;=50</f>
        <v/>
      </c>
      <c r="D3308">
        <f>IF(Skills!C3=1,60+Inputs!$B$25+Inputs!$B$29,IF(Skills!C3=2,90+Inputs!$B$26+Inputs!$B$29,IF(Skills!C3=3,120+Inputs!$B$27+Inputs!$B$29,MAX(0,(Inputs!$B$3-100)*3)+Inputs!$B$28+Inputs!$B$29)))</f>
        <v/>
      </c>
      <c r="E3308">
        <f>INDEX(FactorTable!$B$2:$Y$301, MATCH(ROUND(MIN(300,MAX(1,D3308)),0), FactorTable!$A$2:$A$301,0), Skills!M3+1)</f>
        <v/>
      </c>
      <c r="F3308">
        <f>IF(Skills!N3=TRUE,(Skills!L3/10)*(E3308/1000),Skills!L3/10)+Skills!O3</f>
        <v/>
      </c>
      <c r="G3308" t="inlineStr"/>
      <c r="H3308" t="inlineStr"/>
      <c r="I3308" t="inlineStr">
        <is>
          <t>1</t>
        </is>
      </c>
      <c r="J3308" t="inlineStr"/>
      <c r="K3308" t="inlineStr"/>
      <c r="L3308" t="inlineStr"/>
      <c r="M3308" t="inlineStr"/>
      <c r="N3308" t="inlineStr"/>
      <c r="O3308" t="inlineStr"/>
      <c r="P3308" t="inlineStr"/>
      <c r="Q3308" t="inlineStr"/>
      <c r="R3308" t="inlineStr"/>
      <c r="S3308" t="inlineStr"/>
      <c r="T3308" t="inlineStr"/>
      <c r="U3308">
        <f>INDEX(FactorTable!$B$2:$Y$301, MATCH(ROUND(MIN(300,MAX(1,U3307)),0), FactorTable!$A$2:$A$301,0), 22)</f>
        <v/>
      </c>
      <c r="V3308" t="inlineStr"/>
    </row>
    <row r="3309">
      <c r="A3309">
        <f>Skills!A4</f>
        <v/>
      </c>
      <c r="B3309">
        <f>Skills!B4</f>
        <v/>
      </c>
      <c r="C3309">
        <f>Inputs!$B$3&gt;=105</f>
        <v/>
      </c>
      <c r="D3309">
        <f>IF(Skills!C4=1,60+Inputs!$B$25+Inputs!$B$29,IF(Skills!C4=2,90+Inputs!$B$26+Inputs!$B$29,IF(Skills!C4=3,120+Inputs!$B$27+Inputs!$B$29,MAX(0,(Inputs!$B$3-100)*3)+Inputs!$B$28+Inputs!$B$29)))</f>
        <v/>
      </c>
      <c r="E3309">
        <f>INDEX(FactorTable!$B$2:$Y$301, MATCH(ROUND(MIN(300,MAX(1,D3309)),0), FactorTable!$A$2:$A$301,0), Skills!M4+1)</f>
        <v/>
      </c>
      <c r="F3309">
        <f>IF(Skills!N4=TRUE,(Skills!L4/10)*(E3309/1000),Skills!L4/10)+Skills!O4</f>
        <v/>
      </c>
      <c r="G3309" t="inlineStr"/>
      <c r="H3309" t="inlineStr"/>
      <c r="I3309" t="inlineStr">
        <is>
          <t>1</t>
        </is>
      </c>
      <c r="J3309" t="inlineStr"/>
      <c r="K3309" t="inlineStr"/>
      <c r="L3309" t="inlineStr"/>
      <c r="M3309" t="inlineStr"/>
      <c r="N3309" t="inlineStr"/>
      <c r="O3309" t="inlineStr"/>
      <c r="P3309" t="inlineStr"/>
      <c r="Q3309" t="inlineStr"/>
      <c r="R3309" t="inlineStr"/>
      <c r="S3309" t="inlineStr"/>
      <c r="T3309" t="inlineStr"/>
      <c r="U3309">
        <f>290*U3308/1000</f>
        <v/>
      </c>
      <c r="V3309" t="inlineStr"/>
    </row>
    <row r="3310">
      <c r="A3310">
        <f>Skills!A5</f>
        <v/>
      </c>
      <c r="B3310">
        <f>Skills!B5</f>
        <v/>
      </c>
      <c r="C3310">
        <f>Inputs!$B$3&gt;=35</f>
        <v/>
      </c>
      <c r="D3310">
        <f>IF(Skills!C5=1,60+Inputs!$B$25+Inputs!$B$29,IF(Skills!C5=2,90+Inputs!$B$26+Inputs!$B$29,IF(Skills!C5=3,120+Inputs!$B$27+Inputs!$B$29,MAX(0,(Inputs!$B$3-100)*3)+Inputs!$B$28+Inputs!$B$29)))</f>
        <v/>
      </c>
      <c r="E3310">
        <f>INDEX(FactorTable!$B$2:$Y$301, MATCH(ROUND(MIN(300,MAX(1,D3310)),0), FactorTable!$A$2:$A$301,0), Skills!M5+1)</f>
        <v/>
      </c>
      <c r="F3310">
        <f>IF(Skills!N5=TRUE,(Skills!L5/10)*(E3310/1000),Skills!L5/10)+Skills!O5</f>
        <v/>
      </c>
      <c r="G3310">
        <f>Skills!G5*IF(Skills!H5&gt;0,Skills!I5/Skills!H5,1)</f>
        <v/>
      </c>
      <c r="H3310">
        <f>1-(1-Skills!J5/100)^Skills!K5</f>
        <v/>
      </c>
      <c r="I3310" t="inlineStr">
        <is>
          <t>1</t>
        </is>
      </c>
      <c r="J3310">
        <f>((Inputs!$B$6*(1+Inputs!$B$7/100))+(((Inputs!$B$12*(1+Inputs!$B$13/100))-(Inputs!$B$12*(1+Inputs!$B$13/100)))+0.25*(Inputs!$B$14-Inputs!$B$14))*(1+Inputs!$B$7/100))*(F3310/100)</f>
        <v/>
      </c>
      <c r="K3310">
        <f>J3310*(1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3315=TRUE,F3315,0)/100)*(1+(IF(Skills!A5="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3329=TRUE)*(F3329-Calc!F24)),(Inputs!$B$23+((C3334=TRUE)*(F3334-Calc!F29))+(IF(ArtifactsInput!$M$15,CHOOSE(ArtifactsInput!$N$15+1,25,30,35,40,45,50)/100*(Inputs!$B$11-Inputs!$B$11),0))))/100+(Inputs!$B$23+((C3334=TRUE)*(F3334-Calc!F29))+(IF(ArtifactsInput!$M$15,CHOOSE(ArtifactsInput!$N$15+1,25,30,35,40,45,50)/100*(Inputs!$B$11-Inputs!$B$11),0)))/100)/2</f>
        <v/>
      </c>
      <c r="M3310">
        <f>L3310*(1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IF(B3348=0,0,O3310/B3348)</f>
        <v/>
      </c>
      <c r="Q3310">
        <f>IFERROR(1/(IF(Inputs!$B$38="pvp",15,MAX(0.1,Skills!D5-IF(Skills!E5=TRUE,4.5,0)))*(1-IF(AND(ArtifactsInput!$M$27,Inputs!$B$4="Chapter Hunt"),CHOOSE(ArtifactsInput!$N$27+1,20,24,28,32,36,40),0)/100)),0)</f>
        <v/>
      </c>
      <c r="R3310">
        <f>IF(AND(Inputs!$B$38&lt;&gt;"pvp",Inputs!$B$43&gt;0),IF(MAX(0,Inputs!$B$43-B3345)&lt;=0,0,(INT(MAX(0,Inputs!$B$43-B3345)/(IF(Inputs!$B$38="pvp",15,MAX(0.1,Skills!D5-IF(Skills!E5=TRUE,4.5,0)))*(1-IF(AND(ArtifactsInput!$M$27,Inputs!$B$4="Chapter Hunt"),CHOOSE(ArtifactsInput!$N$27+1,20,24,28,32,36,40),0)/100)))+1)),0)</f>
        <v/>
      </c>
      <c r="S3310">
        <f>IFERROR(O3310/N3310,0)</f>
        <v/>
      </c>
      <c r="T3310">
        <f>IF(C3310,(H3310*N3310*IF(AND(Inputs!$B$38&lt;&gt;"pvp",Inputs!$B$43&gt;0),((Skills!G5*((R3310-1)*IF(Skills!H5&gt;0,Skills!I5/Skills!H5,1)+IF(Skills!H5&gt;0,MIN(Skills!I5,MAX(0,MAX(0,Inputs!$B$43-B3345)-((R3310-1)*(IF(Inputs!$B$38="pvp",15,MAX(0.1,Skills!D5-IF(Skills!E5=TRUE,4.5,0)))*(1-IF(AND(ArtifactsInput!$M$27,Inputs!$B$4="Chapter Hunt"),CHOOSE(ArtifactsInput!$N$27+1,20,24,28,32,36,40),0)/100)))))/Skills!H5,1)))/Inputs!$B$43),G3310*Q3310)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3310*(1-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5*((R3310-1)*IF(Skills!H5&gt;0,Skills!I5/Skills!H5,1)+IF(Skills!H5&gt;0,MIN(Skills!I5,MAX(0,MAX(0,Inputs!$B$43-B3345)-((R3310-1)*(IF(Inputs!$B$38="pvp",15,MAX(0.1,Skills!D5-IF(Skills!E5=TRUE,4.5,0)))*(1-IF(AND(ArtifactsInput!$M$27,Inputs!$B$4="Chapter Hunt"),CHOOSE(ArtifactsInput!$N$27+1,20,24,28,32,36,40),0)/100)))))/Skills!H5,1)))/Inputs!$B$43),G3310*Q3310))*IF(Inputs!$B$38="pvp",1,(1+(Inputs!$B$21+Skills!Q5+(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Skills!A6</f>
        <v/>
      </c>
      <c r="B3311">
        <f>Skills!B6</f>
        <v/>
      </c>
      <c r="C3311">
        <f>Inputs!$B$3&gt;=40</f>
        <v/>
      </c>
      <c r="D3311">
        <f>IF(Skills!C6=1,60+Inputs!$B$25+Inputs!$B$29,IF(Skills!C6=2,90+Inputs!$B$26+Inputs!$B$29,IF(Skills!C6=3,120+Inputs!$B$27+Inputs!$B$29,MAX(0,(Inputs!$B$3-100)*3)+Inputs!$B$28+Inputs!$B$29)))</f>
        <v/>
      </c>
      <c r="E3311">
        <f>INDEX(FactorTable!$B$2:$Y$301, MATCH(ROUND(MIN(300,MAX(1,D3311)),0), FactorTable!$A$2:$A$301,0), Skills!M6+1)</f>
        <v/>
      </c>
      <c r="F3311">
        <f>IF(Skills!N6=TRUE,(Skills!L6/10)*(E3311/1000),Skills!L6/10)+Skills!O6</f>
        <v/>
      </c>
      <c r="G3311">
        <f>Skills!G6*IF(Skills!H6&gt;0,Skills!I6/Skills!H6,1)</f>
        <v/>
      </c>
      <c r="H3311">
        <f>1-(1-Skills!J6/100)^Skills!K6</f>
        <v/>
      </c>
      <c r="I3311" t="inlineStr">
        <is>
          <t>1</t>
        </is>
      </c>
      <c r="J3311">
        <f>((Inputs!$B$6*(1+Inputs!$B$7/100))+(((Inputs!$B$12*(1+Inputs!$B$13/100))-(Inputs!$B$12*(1+Inputs!$B$13/100)))+0.25*(Inputs!$B$14-Inputs!$B$14))*(1+Inputs!$B$7/100))*(F3311/100)</f>
        <v/>
      </c>
      <c r="K3311">
        <f>J3311*(1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3312=TRUE,F3312,0)/100)*(1+(IF(Skills!A6="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3329=TRUE)*(F3329-Calc!F24)),(Inputs!$B$23+((C3334=TRUE)*(F3334-Calc!F29))+(IF(ArtifactsInput!$M$15,CHOOSE(ArtifactsInput!$N$15+1,25,30,35,40,45,50)/100*(Inputs!$B$11-Inputs!$B$11),0))))/100+(Inputs!$B$23+((C3334=TRUE)*(F3334-Calc!F29))+(IF(ArtifactsInput!$M$15,CHOOSE(ArtifactsInput!$N$15+1,25,30,35,40,45,50)/100*(Inputs!$B$11-Inputs!$B$11),0)))/100)/2</f>
        <v/>
      </c>
      <c r="M3311">
        <f>L3311*(1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IF(B3348=0,0,O3311/B3348)</f>
        <v/>
      </c>
      <c r="Q3311">
        <f>IFERROR(1/(IF(Inputs!$B$38="pvp",15,MAX(0.1,Skills!D6-IF(Skills!E6=TRUE,4.5,0)))*(1-IF(AND(ArtifactsInput!$M$27,Inputs!$B$4="Chapter Hunt"),CHOOSE(ArtifactsInput!$N$27+1,20,24,28,32,36,40),0)/100)),0)</f>
        <v/>
      </c>
      <c r="R3311">
        <f>IF(AND(Inputs!$B$38&lt;&gt;"pvp",Inputs!$B$43&gt;0),IF(MAX(0,Inputs!$B$43-B3345)&lt;=0,0,(INT(MAX(0,Inputs!$B$43-B3345)/(IF(Inputs!$B$38="pvp",15,MAX(0.1,Skills!D6-IF(Skills!E6=TRUE,4.5,0)))*(1-IF(AND(ArtifactsInput!$M$27,Inputs!$B$4="Chapter Hunt"),CHOOSE(ArtifactsInput!$N$27+1,20,24,28,32,36,40),0)/100)))+1)),0)</f>
        <v/>
      </c>
      <c r="S3311">
        <f>IFERROR(O3311/N3311,0)</f>
        <v/>
      </c>
      <c r="T3311">
        <f>IF(C3311,(H3311*N3311*IF(AND(Inputs!$B$38&lt;&gt;"pvp",Inputs!$B$43&gt;0),((Skills!G6*((R3311-1)*IF(Skills!H6&gt;0,Skills!I6/Skills!H6,1)+IF(Skills!H6&gt;0,MIN(Skills!I6,MAX(0,MAX(0,Inputs!$B$43-B3345)-((R3311-1)*(IF(Inputs!$B$38="pvp",15,MAX(0.1,Skills!D6-IF(Skills!E6=TRUE,4.5,0)))*(1-IF(AND(ArtifactsInput!$M$27,Inputs!$B$4="Chapter Hunt"),CHOOSE(ArtifactsInput!$N$27+1,20,24,28,32,36,40),0)/100)))))/Skills!H6,1)))/Inputs!$B$43),G3311*Q3311)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6*((R3311-1)*IF(Skills!H6&gt;0,Skills!I6/Skills!H6,1)+IF(Skills!H6&gt;0,MIN(Skills!I6,MAX(0,MAX(0,Inputs!$B$43-B3345)-((R3311-1)*(IF(Inputs!$B$38="pvp",15,MAX(0.1,Skills!D6-IF(Skills!E6=TRUE,4.5,0)))*(1-IF(AND(ArtifactsInput!$M$27,Inputs!$B$4="Chapter Hunt"),CHOOSE(ArtifactsInput!$N$27+1,20,24,28,32,36,40),0)/100)))))/Skills!H6,1)))/Inputs!$B$43),G3311*Q3311))*IF(Inputs!$B$38="pvp",1,(1+(Inputs!$B$21+Skills!Q6+(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Skills!A7</f>
        <v/>
      </c>
      <c r="B3312">
        <f>Skills!B7</f>
        <v/>
      </c>
      <c r="C3312">
        <f>Inputs!$B$3&gt;=107</f>
        <v/>
      </c>
      <c r="D3312">
        <f>IF(Skills!C7=1,60+Inputs!$B$25+Inputs!$B$29,IF(Skills!C7=2,90+Inputs!$B$26+Inputs!$B$29,IF(Skills!C7=3,120+Inputs!$B$27+Inputs!$B$29,MAX(0,(Inputs!$B$3-100)*3)+Inputs!$B$28+Inputs!$B$29)))</f>
        <v/>
      </c>
      <c r="E3312">
        <f>INDEX(FactorTable!$B$2:$Y$301, MATCH(ROUND(MIN(300,MAX(1,D3312)),0), FactorTable!$A$2:$A$301,0), Skills!M7+1)</f>
        <v/>
      </c>
      <c r="F3312">
        <f>IF(Skills!N7=TRUE,(Skills!L7/10)*(E3312/1000),Skills!L7/10)+Skills!O7</f>
        <v/>
      </c>
      <c r="G3312" t="inlineStr"/>
      <c r="H3312" t="inlineStr"/>
      <c r="I3312" t="inlineStr">
        <is>
          <t>1</t>
        </is>
      </c>
      <c r="J3312" t="inlineStr"/>
      <c r="K3312" t="inlineStr"/>
      <c r="L3312" t="inlineStr"/>
      <c r="M3312" t="inlineStr"/>
      <c r="N3312" t="inlineStr"/>
      <c r="O3312" t="inlineStr"/>
      <c r="P3312" t="inlineStr"/>
      <c r="Q3312" t="inlineStr"/>
      <c r="R3312" t="inlineStr"/>
      <c r="S3312" t="inlineStr"/>
      <c r="T3312" t="inlineStr"/>
      <c r="V3312" t="inlineStr"/>
    </row>
    <row r="3313">
      <c r="A3313">
        <f>Skills!A8</f>
        <v/>
      </c>
      <c r="B3313">
        <f>Skills!B8</f>
        <v/>
      </c>
      <c r="C3313">
        <f>Inputs!$B$3&gt;=69</f>
        <v/>
      </c>
      <c r="D3313">
        <f>IF(Skills!C8=1,60+Inputs!$B$25+Inputs!$B$29,IF(Skills!C8=2,90+Inputs!$B$26+Inputs!$B$29,IF(Skills!C8=3,120+Inputs!$B$27+Inputs!$B$29,MAX(0,(Inputs!$B$3-100)*3)+Inputs!$B$28+Inputs!$B$29)))</f>
        <v/>
      </c>
      <c r="E3313">
        <f>INDEX(FactorTable!$B$2:$Y$301, MATCH(ROUND(MIN(300,MAX(1,D3313)),0), FactorTable!$A$2:$A$301,0), Skills!M8+1)</f>
        <v/>
      </c>
      <c r="F3313">
        <f>IF(Skills!N8=TRUE,(Skills!L8/10)*(E3313/1000),Skills!L8/10)+Skills!O8</f>
        <v/>
      </c>
      <c r="G3313">
        <f>Skills!G8*IF(Skills!H8&gt;0,Skills!I8/Skills!H8,1)</f>
        <v/>
      </c>
      <c r="H3313">
        <f>1-(1-Skills!J8/100)^Skills!K8</f>
        <v/>
      </c>
      <c r="I3313" t="inlineStr">
        <is>
          <t>1</t>
        </is>
      </c>
      <c r="J3313">
        <f>((Inputs!$B$6*(1+Inputs!$B$7/100))+(((Inputs!$B$12*(1+Inputs!$B$13/100))-(Inputs!$B$12*(1+Inputs!$B$13/100)))+0.25*(Inputs!$B$14-Inputs!$B$14))*(1+Inputs!$B$7/100))*(F3313/100)</f>
        <v/>
      </c>
      <c r="K3313">
        <f>J3313*(1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3315=TRUE,F3315,0)/100)*(1+(IF(Skills!A8="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3313)</f>
        <v/>
      </c>
      <c r="L3313">
        <f>K3313*(MIN(Inputs!$B$22+((C3329=TRUE)*(F3329-Calc!F24)),(Inputs!$B$23+((C3334=TRUE)*(F3334-Calc!F29))+(IF(ArtifactsInput!$M$15,CHOOSE(ArtifactsInput!$N$15+1,25,30,35,40,45,50)/100*(Inputs!$B$11-Inputs!$B$11),0))))/100+(Inputs!$B$23+((C3334=TRUE)*(F3334-Calc!F29))+(IF(ArtifactsInput!$M$15,CHOOSE(ArtifactsInput!$N$15+1,25,30,35,40,45,50)/100*(Inputs!$B$11-Inputs!$B$11),0)))/100)/2</f>
        <v/>
      </c>
      <c r="M3313">
        <f>L3313*(1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3">
        <f>L3313*(1-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3313*(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3">
        <f>(1-Summary!$B$11)*T3313+Summary!$B$11*V3313</f>
        <v/>
      </c>
      <c r="P3313">
        <f>IF(B3348=0,0,O3313/B3348)</f>
        <v/>
      </c>
      <c r="Q3313">
        <f>IFERROR(1/(IF(Inputs!$B$38="pvp",15,MAX(0.1,Skills!D8-IF(Skills!E8=TRUE,4.5,0)))*(1-IF(AND(ArtifactsInput!$M$27,Inputs!$B$4="Chapter Hunt"),CHOOSE(ArtifactsInput!$N$27+1,20,24,28,32,36,40),0)/100)),0)</f>
        <v/>
      </c>
      <c r="R3313">
        <f>IF(AND(Inputs!$B$38&lt;&gt;"pvp",Inputs!$B$43&gt;0),IF(MAX(0,Inputs!$B$43-B3345)&lt;=0,0,(INT(MAX(0,Inputs!$B$43-B3345)/(IF(Inputs!$B$38="pvp",15,MAX(0.1,Skills!D8-IF(Skills!E8=TRUE,4.5,0)))*(1-IF(AND(ArtifactsInput!$M$27,Inputs!$B$4="Chapter Hunt"),CHOOSE(ArtifactsInput!$N$27+1,20,24,28,32,36,40),0)/100)))+1)),0)</f>
        <v/>
      </c>
      <c r="S3313">
        <f>IFERROR(O3313/N3313,0)</f>
        <v/>
      </c>
      <c r="T3313">
        <f>IF(C3313,(H3313*N3313*IF(AND(Inputs!$B$38&lt;&gt;"pvp",Inputs!$B$43&gt;0),((Skills!G8*((R3313-1)*IF(Skills!H8&gt;0,Skills!I8/Skills!H8,1)+IF(Skills!H8&gt;0,MIN(Skills!I8,MAX(0,MAX(0,Inputs!$B$43-B3345)-((R3313-1)*(IF(Inputs!$B$38="pvp",15,MAX(0.1,Skills!D8-IF(Skills!E8=TRUE,4.5,0)))*(1-IF(AND(ArtifactsInput!$M$27,Inputs!$B$4="Chapter Hunt"),CHOOSE(ArtifactsInput!$N$27+1,20,24,28,32,36,40),0)/100)))))/Skills!H8,1)))/Inputs!$B$43),G3313*Q3313)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3313*(1-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3313*(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3313*(1-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3313*(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3">
        <f>IF(C3313,(H3313*N3313*IF(AND(Inputs!$B$38&lt;&gt;"pvp",Inputs!$B$43&gt;0),((Skills!G8*((R3313-1)*IF(Skills!H8&gt;0,Skills!I8/Skills!H8,1)+IF(Skills!H8&gt;0,MIN(Skills!I8,MAX(0,MAX(0,Inputs!$B$43-B3345)-((R3313-1)*(IF(Inputs!$B$38="pvp",15,MAX(0.1,Skills!D8-IF(Skills!E8=TRUE,4.5,0)))*(1-IF(AND(ArtifactsInput!$M$27,Inputs!$B$4="Chapter Hunt"),CHOOSE(ArtifactsInput!$N$27+1,20,24,28,32,36,40),0)/100)))))/Skills!H8,1)))/Inputs!$B$43),G3313*Q3313))*IF(Inputs!$B$38="pvp",1,(1+(Inputs!$B$21+Skills!Q8+(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4">
      <c r="A3314">
        <f>Skills!A9</f>
        <v/>
      </c>
      <c r="B3314">
        <f>Skills!B9</f>
        <v/>
      </c>
      <c r="C3314">
        <f>Inputs!$B$3&gt;=63</f>
        <v/>
      </c>
      <c r="D3314">
        <f>IF(Skills!C9=1,60+Inputs!$B$25+Inputs!$B$29,IF(Skills!C9=2,90+Inputs!$B$26+Inputs!$B$29,IF(Skills!C9=3,120+Inputs!$B$27+Inputs!$B$29,MAX(0,(Inputs!$B$3-100)*3)+Inputs!$B$28+Inputs!$B$29)))</f>
        <v/>
      </c>
      <c r="E3314">
        <f>INDEX(FactorTable!$B$2:$Y$301, MATCH(ROUND(MIN(300,MAX(1,D3314)),0), FactorTable!$A$2:$A$301,0), Skills!M9+1)</f>
        <v/>
      </c>
      <c r="F3314">
        <f>IF(Skills!N9=TRUE,(Skills!L9/10)*(E3314/1000),Skills!L9/10)+Skills!O9</f>
        <v/>
      </c>
      <c r="G3314">
        <f>Skills!G9*IF(Skills!H9&gt;0,Skills!I9/Skills!H9,1)</f>
        <v/>
      </c>
      <c r="H3314">
        <f>1-(1-Skills!J9/100)^Skills!K9</f>
        <v/>
      </c>
      <c r="I3314" t="inlineStr">
        <is>
          <t>1</t>
        </is>
      </c>
      <c r="J3314">
        <f>((Inputs!$B$6*(1+Inputs!$B$7/100))+(((Inputs!$B$12*(1+Inputs!$B$13/100))-(Inputs!$B$12*(1+Inputs!$B$13/100)))+0.25*(Inputs!$B$14-Inputs!$B$14))*(1+Inputs!$B$7/100))*(F3314/100)</f>
        <v/>
      </c>
      <c r="K3314">
        <f>J3314*(1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3315=TRUE,F3315,0)/100)*(1+(IF(Skills!A9="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3329=TRUE)*(F3329-Calc!F24)),(Inputs!$B$23+((C3334=TRUE)*(F3334-Calc!F29))+(IF(ArtifactsInput!$M$15,CHOOSE(ArtifactsInput!$N$15+1,25,30,35,40,45,50)/100*(Inputs!$B$11-Inputs!$B$11),0))))/100+(Inputs!$B$23+((C3334=TRUE)*(F3334-Calc!F29))+(IF(ArtifactsInput!$M$15,CHOOSE(ArtifactsInput!$N$15+1,25,30,35,40,45,50)/100*(Inputs!$B$11-Inputs!$B$11),0)))/100)/2</f>
        <v/>
      </c>
      <c r="M3314">
        <f>L3314*(1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IF(B3348=0,0,O3314/B3348)</f>
        <v/>
      </c>
      <c r="Q3314">
        <f>IFERROR(1/(IF(Inputs!$B$38="pvp",15,MAX(0.1,Skills!D9-IF(Skills!E9=TRUE,4.5,0)))*(1-IF(AND(ArtifactsInput!$M$27,Inputs!$B$4="Chapter Hunt"),CHOOSE(ArtifactsInput!$N$27+1,20,24,28,32,36,40),0)/100)),0)</f>
        <v/>
      </c>
      <c r="R3314">
        <f>IF(AND(Inputs!$B$38&lt;&gt;"pvp",Inputs!$B$43&gt;0),IF(MAX(0,Inputs!$B$43-B3345)&lt;=0,0,(INT(MAX(0,Inputs!$B$43-B3345)/(IF(Inputs!$B$38="pvp",15,MAX(0.1,Skills!D9-IF(Skills!E9=TRUE,4.5,0)))*(1-IF(AND(ArtifactsInput!$M$27,Inputs!$B$4="Chapter Hunt"),CHOOSE(ArtifactsInput!$N$27+1,20,24,28,32,36,40),0)/100)))+1)),0)</f>
        <v/>
      </c>
      <c r="S3314">
        <f>IFERROR(O3314/N3314,0)</f>
        <v/>
      </c>
      <c r="T3314">
        <f>IF(C3314,(H3314*N3314*IF(AND(Inputs!$B$38&lt;&gt;"pvp",Inputs!$B$43&gt;0),((Skills!G9*((R3314-1)*IF(Skills!H9&gt;0,Skills!I9/Skills!H9,1)+IF(Skills!H9&gt;0,MIN(Skills!I9,MAX(0,MAX(0,Inputs!$B$43-B3345)-((R3314-1)*(IF(Inputs!$B$38="pvp",15,MAX(0.1,Skills!D9-IF(Skills!E9=TRUE,4.5,0)))*(1-IF(AND(ArtifactsInput!$M$27,Inputs!$B$4="Chapter Hunt"),CHOOSE(ArtifactsInput!$N$27+1,20,24,28,32,36,40),0)/100)))))/Skills!H9,1)))/Inputs!$B$43),G3314*Q3314)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3314*(1-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9*((R3314-1)*IF(Skills!H9&gt;0,Skills!I9/Skills!H9,1)+IF(Skills!H9&gt;0,MIN(Skills!I9,MAX(0,MAX(0,Inputs!$B$43-B3345)-((R3314-1)*(IF(Inputs!$B$38="pvp",15,MAX(0.1,Skills!D9-IF(Skills!E9=TRUE,4.5,0)))*(1-IF(AND(ArtifactsInput!$M$27,Inputs!$B$4="Chapter Hunt"),CHOOSE(ArtifactsInput!$N$27+1,20,24,28,32,36,40),0)/100)))))/Skills!H9,1)))/Inputs!$B$43),G3314*Q3314))*IF(Inputs!$B$38="pvp",1,(1+(Inputs!$B$21+Skills!Q9+(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Skills!A10</f>
        <v/>
      </c>
      <c r="B3315">
        <f>Skills!B10</f>
        <v/>
      </c>
      <c r="C3315">
        <f>Inputs!$B$3&gt;=100</f>
        <v/>
      </c>
      <c r="D3315">
        <f>IF(Skills!C10=1,60+Inputs!$B$25+Inputs!$B$29,IF(Skills!C10=2,90+Inputs!$B$26+Inputs!$B$29,IF(Skills!C10=3,120+Inputs!$B$27+Inputs!$B$29,MAX(0,(Inputs!$B$3-100)*3)+Inputs!$B$28+Inputs!$B$29)))</f>
        <v/>
      </c>
      <c r="E3315">
        <f>INDEX(FactorTable!$B$2:$Y$301, MATCH(ROUND(MIN(300,MAX(1,D3315)),0), FactorTable!$A$2:$A$301,0), Skills!M10+1)</f>
        <v/>
      </c>
      <c r="F3315">
        <f>IF(Skills!N10=TRUE,(Skills!L10/10)*(E3315/1000),Skills!L10/10)+Skills!O10</f>
        <v/>
      </c>
      <c r="G3315" t="inlineStr"/>
      <c r="H3315" t="inlineStr"/>
      <c r="I3315" t="inlineStr">
        <is>
          <t>1</t>
        </is>
      </c>
      <c r="J3315" t="inlineStr"/>
      <c r="K3315" t="inlineStr"/>
      <c r="L3315" t="inlineStr"/>
      <c r="M3315" t="inlineStr"/>
      <c r="N3315" t="inlineStr"/>
      <c r="O3315" t="inlineStr"/>
      <c r="P3315" t="inlineStr"/>
      <c r="Q3315" t="inlineStr"/>
      <c r="R3315" t="inlineStr"/>
      <c r="S3315" t="inlineStr"/>
      <c r="T3315" t="inlineStr"/>
      <c r="V3315" t="inlineStr"/>
    </row>
    <row r="3316">
      <c r="A3316">
        <f>Skills!A11</f>
        <v/>
      </c>
      <c r="B3316">
        <f>Skills!B11</f>
        <v/>
      </c>
      <c r="C3316">
        <f>Inputs!$B$3&gt;=60</f>
        <v/>
      </c>
      <c r="D3316">
        <f>IF(Skills!C11=1,60+Inputs!$B$25+Inputs!$B$29,IF(Skills!C11=2,90+Inputs!$B$26+Inputs!$B$29,IF(Skills!C11=3,120+Inputs!$B$27+Inputs!$B$29,MAX(0,(Inputs!$B$3-100)*3)+Inputs!$B$28+Inputs!$B$29)))</f>
        <v/>
      </c>
      <c r="E3316">
        <f>INDEX(FactorTable!$B$2:$Y$301, MATCH(ROUND(MIN(300,MAX(1,D3316)),0), FactorTable!$A$2:$A$301,0), Skills!M11+1)</f>
        <v/>
      </c>
      <c r="F3316">
        <f>IF(Skills!N11=TRUE,(Skills!L11/10)*(E3316/1000),Skills!L11/10)+Skills!O11</f>
        <v/>
      </c>
      <c r="G3316">
        <f>Skills!G11*IF(Skills!H11&gt;0,Skills!I11/Skills!H11,1)</f>
        <v/>
      </c>
      <c r="H3316">
        <f>1-(1-Skills!J11/100)^Skills!K11</f>
        <v/>
      </c>
      <c r="I3316" t="inlineStr">
        <is>
          <t>1</t>
        </is>
      </c>
      <c r="J3316">
        <f>((Inputs!$B$6*(1+Inputs!$B$7/100))+(((Inputs!$B$12*(1+Inputs!$B$13/100))-(Inputs!$B$12*(1+Inputs!$B$13/100)))+0.25*(Inputs!$B$14-Inputs!$B$14))*(1+Inputs!$B$7/100))*(F3316/100)</f>
        <v/>
      </c>
      <c r="K3316">
        <f>J3316*(1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3317=TRUE,F3317,0)/100)*(1+(IF(Skills!A11="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3316)</f>
        <v/>
      </c>
      <c r="L3316">
        <f>K3316*(MIN(Inputs!$B$22+((C3329=TRUE)*(F3329-Calc!F24)),(Inputs!$B$23+((C3334=TRUE)*(F3334-Calc!F29))+(IF(ArtifactsInput!$M$15,CHOOSE(ArtifactsInput!$N$15+1,25,30,35,40,45,50)/100*(Inputs!$B$11-Inputs!$B$11),0))))/100+(Inputs!$B$23+((C3334=TRUE)*(F3334-Calc!F29))+(IF(ArtifactsInput!$M$15,CHOOSE(ArtifactsInput!$N$15+1,25,30,35,40,45,50)/100*(Inputs!$B$11-Inputs!$B$11),0)))/100)/2</f>
        <v/>
      </c>
      <c r="M3316">
        <f>L3316*(1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6">
        <f>L3316*(1-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3316*(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6">
        <f>(1-Summary!$B$11)*T3316+Summary!$B$11*V3316</f>
        <v/>
      </c>
      <c r="P3316">
        <f>IF(B3348=0,0,O3316/B3348)</f>
        <v/>
      </c>
      <c r="Q3316">
        <f>IFERROR(1/(IF(Inputs!$B$38="pvp",15,MAX(0.1,Skills!D11-IF(Skills!E11=TRUE,4.5,0)))*(1-IF(AND(ArtifactsInput!$M$27,Inputs!$B$4="Chapter Hunt"),CHOOSE(ArtifactsInput!$N$27+1,20,24,28,32,36,40),0)/100)),0)</f>
        <v/>
      </c>
      <c r="R3316">
        <f>IF(AND(Inputs!$B$38&lt;&gt;"pvp",Inputs!$B$43&gt;0),IF(MAX(0,Inputs!$B$43-B3345)&lt;=0,0,(INT(MAX(0,Inputs!$B$43-B3345)/(IF(Inputs!$B$38="pvp",15,MAX(0.1,Skills!D11-IF(Skills!E11=TRUE,4.5,0)))*(1-IF(AND(ArtifactsInput!$M$27,Inputs!$B$4="Chapter Hunt"),CHOOSE(ArtifactsInput!$N$27+1,20,24,28,32,36,40),0)/100)))+1)),0)</f>
        <v/>
      </c>
      <c r="S3316">
        <f>IFERROR(O3316/N3316,0)</f>
        <v/>
      </c>
      <c r="T3316">
        <f>IF(C3316,(H3316*N3316*IF(AND(Inputs!$B$38&lt;&gt;"pvp",Inputs!$B$43&gt;0),((Skills!G11*((R3316-1)*IF(Skills!H11&gt;0,Skills!I11/Skills!H11,1)+IF(Skills!H11&gt;0,MIN(Skills!I11,MAX(0,MAX(0,Inputs!$B$43-B3345)-((R3316-1)*(IF(Inputs!$B$38="pvp",15,MAX(0.1,Skills!D11-IF(Skills!E11=TRUE,4.5,0)))*(1-IF(AND(ArtifactsInput!$M$27,Inputs!$B$4="Chapter Hunt"),CHOOSE(ArtifactsInput!$N$27+1,20,24,28,32,36,40),0)/100)))))/Skills!H11,1)))/Inputs!$B$43),G3316*Q3316)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3316*(1-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3316*(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3316*(1-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3316*(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6">
        <f>IF(C3316,(H3316*N3316*IF(AND(Inputs!$B$38&lt;&gt;"pvp",Inputs!$B$43&gt;0),((Skills!G11*((R3316-1)*IF(Skills!H11&gt;0,Skills!I11/Skills!H11,1)+IF(Skills!H11&gt;0,MIN(Skills!I11,MAX(0,MAX(0,Inputs!$B$43-B3345)-((R3316-1)*(IF(Inputs!$B$38="pvp",15,MAX(0.1,Skills!D11-IF(Skills!E11=TRUE,4.5,0)))*(1-IF(AND(ArtifactsInput!$M$27,Inputs!$B$4="Chapter Hunt"),CHOOSE(ArtifactsInput!$N$27+1,20,24,28,32,36,40),0)/100)))))/Skills!H11,1)))/Inputs!$B$43),G3316*Q3316))*IF(Inputs!$B$38="pvp",1,(1+(Inputs!$B$21+Skills!Q11+(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7">
      <c r="A3317">
        <f>Skills!A12</f>
        <v/>
      </c>
      <c r="B3317">
        <f>Skills!B12</f>
        <v/>
      </c>
      <c r="C3317">
        <f>Inputs!$B$3&gt;=110</f>
        <v/>
      </c>
      <c r="D3317">
        <f>IF(Skills!C12=1,60+Inputs!$B$25+Inputs!$B$29,IF(Skills!C12=2,90+Inputs!$B$26+Inputs!$B$29,IF(Skills!C12=3,120+Inputs!$B$27+Inputs!$B$29,MAX(0,(Inputs!$B$3-100)*3)+Inputs!$B$28+Inputs!$B$29)))</f>
        <v/>
      </c>
      <c r="E3317">
        <f>INDEX(FactorTable!$B$2:$Y$301, MATCH(ROUND(MIN(300,MAX(1,D3317)),0), FactorTable!$A$2:$A$301,0), Skills!M12+1)</f>
        <v/>
      </c>
      <c r="F3317">
        <f>IF(Skills!N12=TRUE,(Skills!L12/10)*(E3317/1000),Skills!L12/10)+Skills!O12</f>
        <v/>
      </c>
      <c r="G3317" t="inlineStr"/>
      <c r="H3317" t="inlineStr"/>
      <c r="I3317" t="inlineStr">
        <is>
          <t>1</t>
        </is>
      </c>
      <c r="J3317" t="inlineStr"/>
      <c r="K3317" t="inlineStr"/>
      <c r="L3317" t="inlineStr"/>
      <c r="M3317" t="inlineStr"/>
      <c r="N3317" t="inlineStr"/>
      <c r="O3317" t="inlineStr"/>
      <c r="P3317" t="inlineStr"/>
      <c r="Q3317" t="inlineStr"/>
      <c r="R3317" t="inlineStr"/>
      <c r="S3317" t="inlineStr"/>
      <c r="T3317" t="inlineStr"/>
      <c r="V3317" t="inlineStr"/>
    </row>
    <row r="3318">
      <c r="A3318">
        <f>Skills!A13</f>
        <v/>
      </c>
      <c r="B3318">
        <f>Skills!B13</f>
        <v/>
      </c>
      <c r="C3318">
        <f>Inputs!$B$3&gt;=74</f>
        <v/>
      </c>
      <c r="D3318">
        <f>IF(Skills!C13=1,60+Inputs!$B$25+Inputs!$B$29,IF(Skills!C13=2,90+Inputs!$B$26+Inputs!$B$29,IF(Skills!C13=3,120+Inputs!$B$27+Inputs!$B$29,MAX(0,(Inputs!$B$3-100)*3)+Inputs!$B$28+Inputs!$B$29)))</f>
        <v/>
      </c>
      <c r="E3318">
        <f>INDEX(FactorTable!$B$2:$Y$301, MATCH(ROUND(MIN(300,MAX(1,D3318)),0), FactorTable!$A$2:$A$301,0), Skills!M13+1)</f>
        <v/>
      </c>
      <c r="F3318">
        <f>IF(Skills!N13=TRUE,(Skills!L13/10)*(E3318/1000),Skills!L13/10)+Skills!O13</f>
        <v/>
      </c>
      <c r="G3318">
        <f>Skills!G13*IF(Skills!H13&gt;0,Skills!I13/Skills!H13,1)</f>
        <v/>
      </c>
      <c r="H3318">
        <f>1-(1-Skills!J13/100)^Skills!K13</f>
        <v/>
      </c>
      <c r="I3318" t="inlineStr">
        <is>
          <t>1</t>
        </is>
      </c>
      <c r="J3318" t="inlineStr"/>
      <c r="K3318" t="inlineStr"/>
      <c r="L3318" t="inlineStr"/>
      <c r="M3318" t="inlineStr"/>
      <c r="N3318" t="inlineStr"/>
      <c r="O3318">
        <f>(1-Summary!$B$11)*T3318+Summary!$B$11*V3318</f>
        <v/>
      </c>
      <c r="P3318">
        <f>IF(B3348=0,0,O3318/B3348)</f>
        <v/>
      </c>
      <c r="Q3318" t="n">
        <v>0</v>
      </c>
      <c r="R3318" t="n">
        <v>0</v>
      </c>
      <c r="S3318">
        <f>IFERROR(O3318/N3318,0)</f>
        <v/>
      </c>
      <c r="T3318" t="n">
        <v>0</v>
      </c>
      <c r="V3318" t="n">
        <v>0</v>
      </c>
    </row>
    <row r="3319">
      <c r="A3319">
        <f>Skills!A14</f>
        <v/>
      </c>
      <c r="B3319">
        <f>Skills!B14</f>
        <v/>
      </c>
      <c r="C3319">
        <f>Inputs!$B$3&gt;=74</f>
        <v/>
      </c>
      <c r="D3319">
        <f>IF(Skills!C14=1,60+Inputs!$B$25+Inputs!$B$29,IF(Skills!C14=2,90+Inputs!$B$26+Inputs!$B$29,IF(Skills!C14=3,120+Inputs!$B$27+Inputs!$B$29,MAX(0,(Inputs!$B$3-100)*3)+Inputs!$B$28+Inputs!$B$29)))</f>
        <v/>
      </c>
      <c r="E3319">
        <f>INDEX(FactorTable!$B$2:$Y$301, MATCH(ROUND(MIN(300,MAX(1,D3319)),0), FactorTable!$A$2:$A$301,0), Skills!M14+1)</f>
        <v/>
      </c>
      <c r="F3319">
        <f>IF(Skills!N14=TRUE,(Skills!L14/10)*(E3319/1000),Skills!L14/10)+Skills!O14</f>
        <v/>
      </c>
      <c r="G3319">
        <f>Skills!G14*IF(Skills!H14&gt;0,Skills!I14/Skills!H14,1)</f>
        <v/>
      </c>
      <c r="H3319">
        <f>1-(1-Skills!J14/100)^Skills!K14</f>
        <v/>
      </c>
      <c r="I3319" t="inlineStr">
        <is>
          <t>1</t>
        </is>
      </c>
      <c r="J3319" t="inlineStr"/>
      <c r="K3319" t="inlineStr"/>
      <c r="L3319" t="inlineStr"/>
      <c r="M3319" t="inlineStr"/>
      <c r="N3319" t="inlineStr"/>
      <c r="O3319">
        <f>(1-Summary!$B$11)*T3319+Summary!$B$11*V3319</f>
        <v/>
      </c>
      <c r="P3319">
        <f>IF(B3348=0,0,O3319/B3348)</f>
        <v/>
      </c>
      <c r="Q3319" t="n">
        <v>0</v>
      </c>
      <c r="R3319" t="n">
        <v>0</v>
      </c>
      <c r="S3319">
        <f>IFERROR(O3319/N3319,0)</f>
        <v/>
      </c>
      <c r="T3319" t="n">
        <v>0</v>
      </c>
      <c r="V3319" t="n">
        <v>0</v>
      </c>
    </row>
    <row r="3320">
      <c r="A3320">
        <f>Skills!A15</f>
        <v/>
      </c>
      <c r="B3320">
        <f>Skills!B15</f>
        <v/>
      </c>
      <c r="C3320">
        <f>Inputs!$B$3&gt;=117</f>
        <v/>
      </c>
      <c r="D3320">
        <f>IF(Skills!C15=1,60+Inputs!$B$25+Inputs!$B$29,IF(Skills!C15=2,90+Inputs!$B$26+Inputs!$B$29,IF(Skills!C15=3,120+Inputs!$B$27+Inputs!$B$29,MAX(0,(Inputs!$B$3-100)*3)+Inputs!$B$28+Inputs!$B$29)))</f>
        <v/>
      </c>
      <c r="E3320">
        <f>INDEX(FactorTable!$B$2:$Y$301, MATCH(ROUND(MIN(300,MAX(1,D3320)),0), FactorTable!$A$2:$A$301,0), Skills!M15+1)</f>
        <v/>
      </c>
      <c r="F3320">
        <f>IF(Skills!N15=TRUE,(Skills!L15/10)*(E3320/1000),Skills!L15/10)+Skills!O15</f>
        <v/>
      </c>
      <c r="G3320">
        <f>Skills!G15*IF(Skills!H15&gt;0,Skills!I15/Skills!H15,1)</f>
        <v/>
      </c>
      <c r="H3320">
        <f>1-(1-Skills!J15/100)^Skills!K15</f>
        <v/>
      </c>
      <c r="I3320" t="inlineStr">
        <is>
          <t>1</t>
        </is>
      </c>
      <c r="J3320" t="inlineStr"/>
      <c r="K3320" t="inlineStr"/>
      <c r="L3320" t="inlineStr"/>
      <c r="M3320" t="inlineStr"/>
      <c r="N3320" t="inlineStr"/>
      <c r="O3320">
        <f>(1-Summary!$B$11)*T3320+Summary!$B$11*V3320</f>
        <v/>
      </c>
      <c r="P3320">
        <f>IF(B3348=0,0,O3320/B3348)</f>
        <v/>
      </c>
      <c r="Q3320">
        <f>IFERROR(1/(IF(Inputs!$B$38="pvp",15,MAX(0.1,Skills!D15-IF(Skills!E15=TRUE,4.5,0)))*(1-IF(AND(ArtifactsInput!$M$27,Inputs!$B$4="Chapter Hunt"),CHOOSE(ArtifactsInput!$N$27+1,20,24,28,32,36,40),0)/100)),0)</f>
        <v/>
      </c>
      <c r="R3320">
        <f>IF(AND(Inputs!$B$38&lt;&gt;"pvp",Inputs!$B$43&gt;0),IF(Inputs!$B$43&lt;=0,0,(INT(Inputs!$B$43/(IF(Inputs!$B$38="pvp",15,MAX(0.1,Skills!D15-IF(Skills!E15=TRUE,4.5,0)))*(1-IF(AND(ArtifactsInput!$M$27,Inputs!$B$4="Chapter Hunt"),CHOOSE(ArtifactsInput!$N$27+1,20,24,28,32,36,40),0)/100)))+1)),0)</f>
        <v/>
      </c>
      <c r="S3320">
        <f>IFERROR(O3320/N3320,0)</f>
        <v/>
      </c>
      <c r="T3320" t="n">
        <v>0</v>
      </c>
      <c r="V3320" t="n">
        <v>0</v>
      </c>
    </row>
    <row r="3321">
      <c r="A3321">
        <f>Skills!A16</f>
        <v/>
      </c>
      <c r="B3321">
        <f>Skills!B16</f>
        <v/>
      </c>
      <c r="C3321">
        <f>Inputs!$B$3&gt;=115</f>
        <v/>
      </c>
      <c r="D3321">
        <f>IF(Skills!C16=1,60+Inputs!$B$25+Inputs!$B$29,IF(Skills!C16=2,90+Inputs!$B$26+Inputs!$B$29,IF(Skills!C16=3,120+Inputs!$B$27+Inputs!$B$29,MAX(0,(Inputs!$B$3-100)*3)+Inputs!$B$28+Inputs!$B$29)))</f>
        <v/>
      </c>
      <c r="E3321">
        <f>INDEX(FactorTable!$B$2:$Y$301, MATCH(ROUND(MIN(300,MAX(1,D3321)),0), FactorTable!$A$2:$A$301,0), Skills!M16+1)</f>
        <v/>
      </c>
      <c r="F3321">
        <f>IF(Skills!N16=TRUE,(Skills!L16/10)*(E3321/1000),Skills!L16/10)+Skills!O16</f>
        <v/>
      </c>
      <c r="G3321">
        <f>Skills!G16*IF(Skills!H16&gt;0,Skills!I16/Skills!H16,1)</f>
        <v/>
      </c>
      <c r="H3321">
        <f>1-(1-Skills!J16/100)^Skills!K16</f>
        <v/>
      </c>
      <c r="I3321" t="inlineStr">
        <is>
          <t>1</t>
        </is>
      </c>
      <c r="J3321" t="inlineStr"/>
      <c r="K3321" t="inlineStr"/>
      <c r="L3321" t="inlineStr"/>
      <c r="M3321" t="inlineStr"/>
      <c r="N3321" t="inlineStr"/>
      <c r="O3321">
        <f>(1-Summary!$B$11)*T3321+Summary!$B$11*V3321</f>
        <v/>
      </c>
      <c r="P3321">
        <f>IF(B3348=0,0,O3321/B3348)</f>
        <v/>
      </c>
      <c r="Q3321">
        <f>IFERROR(1/(IF(Inputs!$B$38="pvp",15,MAX(0.1,Skills!D16-IF(Skills!E16=TRUE,4.5,0)))*(1-IF(AND(ArtifactsInput!$M$27,Inputs!$B$4="Chapter Hunt"),CHOOSE(ArtifactsInput!$N$27+1,20,24,28,32,36,40),0)/100)),0)</f>
        <v/>
      </c>
      <c r="R3321">
        <f>IF(AND(Inputs!$B$38&lt;&gt;"pvp",Inputs!$B$43&gt;0),IF(Inputs!$B$43&lt;=0,0,(INT(Inputs!$B$43/(IF(Inputs!$B$38="pvp",15,MAX(0.1,Skills!D16-IF(Skills!E16=TRUE,4.5,0)))*(1-IF(AND(ArtifactsInput!$M$27,Inputs!$B$4="Chapter Hunt"),CHOOSE(ArtifactsInput!$N$27+1,20,24,28,32,36,40),0)/100)))+1)),0)</f>
        <v/>
      </c>
      <c r="S3321">
        <f>IFERROR(O3321/N3321,0)</f>
        <v/>
      </c>
      <c r="T3321" t="n">
        <v>0</v>
      </c>
      <c r="V3321" t="n">
        <v>0</v>
      </c>
    </row>
    <row r="3322">
      <c r="A3322">
        <f>Skills!A17</f>
        <v/>
      </c>
      <c r="B3322">
        <f>Skills!B17</f>
        <v/>
      </c>
      <c r="C3322">
        <f>Inputs!$B$3&gt;=66</f>
        <v/>
      </c>
      <c r="D3322">
        <f>IF(Skills!C17=1,60+Inputs!$B$25+Inputs!$B$29,IF(Skills!C17=2,90+Inputs!$B$26+Inputs!$B$29,IF(Skills!C17=3,120+Inputs!$B$27+Inputs!$B$29,MAX(0,(Inputs!$B$3-100)*3)+Inputs!$B$28+Inputs!$B$29)))</f>
        <v/>
      </c>
      <c r="E3322">
        <f>INDEX(FactorTable!$B$2:$Y$301, MATCH(ROUND(MIN(300,MAX(1,D3322)),0), FactorTable!$A$2:$A$301,0), Skills!M17+1)</f>
        <v/>
      </c>
      <c r="F3322">
        <f>IF(Skills!N17=TRUE,(Skills!L17/10)*(E3322/1000),Skills!L17/10)+Skills!O17</f>
        <v/>
      </c>
      <c r="G3322">
        <f>Skills!G17*IF(Skills!H17&gt;0,Skills!I17/Skills!H17,1)</f>
        <v/>
      </c>
      <c r="H3322">
        <f>1-(1-Skills!J17/100)^Skills!K17</f>
        <v/>
      </c>
      <c r="I3322" t="inlineStr">
        <is>
          <t>1</t>
        </is>
      </c>
      <c r="J3322" t="inlineStr"/>
      <c r="K3322" t="inlineStr"/>
      <c r="L3322" t="inlineStr"/>
      <c r="M3322" t="inlineStr"/>
      <c r="N3322" t="inlineStr"/>
      <c r="O3322">
        <f>(1-Summary!$B$11)*T3322+Summary!$B$11*V3322</f>
        <v/>
      </c>
      <c r="P3322">
        <f>IF(B3348=0,0,O3322/B3348)</f>
        <v/>
      </c>
      <c r="Q3322" t="n">
        <v>0</v>
      </c>
      <c r="R3322" t="n">
        <v>0</v>
      </c>
      <c r="S3322">
        <f>IFERROR(O3322/N3322,0)</f>
        <v/>
      </c>
      <c r="T3322" t="n">
        <v>0</v>
      </c>
      <c r="V3322" t="n">
        <v>0</v>
      </c>
    </row>
    <row r="3323">
      <c r="A3323">
        <f>Skills!A18</f>
        <v/>
      </c>
      <c r="B3323">
        <f>Skills!B18</f>
        <v/>
      </c>
      <c r="C3323">
        <f>Inputs!$B$3&gt;=72</f>
        <v/>
      </c>
      <c r="D3323">
        <f>IF(Skills!C18=1,60+Inputs!$B$25+Inputs!$B$29,IF(Skills!C18=2,90+Inputs!$B$26+Inputs!$B$29,IF(Skills!C18=3,120+Inputs!$B$27+Inputs!$B$29,MAX(0,(Inputs!$B$3-100)*3)+Inputs!$B$28+Inputs!$B$29)))</f>
        <v/>
      </c>
      <c r="E3323">
        <f>INDEX(FactorTable!$B$2:$Y$301, MATCH(ROUND(MIN(300,MAX(1,D3323)),0), FactorTable!$A$2:$A$301,0), Skills!M18+1)</f>
        <v/>
      </c>
      <c r="F3323">
        <f>IF(Skills!N18=TRUE,(Skills!L18/10)*(E3323/1000),Skills!L18/10)+Skills!O18</f>
        <v/>
      </c>
      <c r="G3323">
        <f>Skills!G18*IF(Skills!H18&gt;0,Skills!I18/Skills!H18,1)</f>
        <v/>
      </c>
      <c r="H3323">
        <f>1-(1-Skills!J18/100)^Skills!K18</f>
        <v/>
      </c>
      <c r="I3323" t="inlineStr">
        <is>
          <t>1</t>
        </is>
      </c>
      <c r="J3323" t="inlineStr"/>
      <c r="K3323" t="inlineStr"/>
      <c r="L3323" t="inlineStr"/>
      <c r="M3323" t="inlineStr"/>
      <c r="N3323" t="inlineStr"/>
      <c r="O3323">
        <f>(1-Summary!$B$11)*T3323+Summary!$B$11*V3323</f>
        <v/>
      </c>
      <c r="P3323">
        <f>IF(B3348=0,0,O3323/B3348)</f>
        <v/>
      </c>
      <c r="Q3323" t="n">
        <v>0</v>
      </c>
      <c r="R3323" t="n">
        <v>0</v>
      </c>
      <c r="S3323">
        <f>IFERROR(O3323/N3323,0)</f>
        <v/>
      </c>
      <c r="T3323" t="n">
        <v>0</v>
      </c>
      <c r="V3323" t="n">
        <v>0</v>
      </c>
    </row>
    <row r="3324">
      <c r="A3324">
        <f>Skills!A19</f>
        <v/>
      </c>
      <c r="B3324">
        <f>Skills!B19</f>
        <v/>
      </c>
      <c r="C3324">
        <f>TRUE</f>
        <v/>
      </c>
      <c r="D3324">
        <f>IF(Skills!C19=1,60+Inputs!$B$25+Inputs!$B$29,IF(Skills!C19=2,90+Inputs!$B$26+Inputs!$B$29,IF(Skills!C19=3,120+Inputs!$B$27+Inputs!$B$29,MAX(0,(Inputs!$B$3-100)*3)+Inputs!$B$28+Inputs!$B$29)))</f>
        <v/>
      </c>
      <c r="E3324">
        <f>INDEX(FactorTable!$B$2:$Y$301, MATCH(ROUND(MIN(300,MAX(1,D3324)),0), FactorTable!$A$2:$A$301,0), Skills!M19+1)</f>
        <v/>
      </c>
      <c r="F3324">
        <f>IF(Skills!N19=TRUE,(Skills!L19/10)*(E3324/1000),Skills!L19/10)+Skills!O19</f>
        <v/>
      </c>
      <c r="G3324">
        <f>Skills!G19*IF(Skills!H19&gt;0,Skills!I19/Skills!H19,1)</f>
        <v/>
      </c>
      <c r="H3324">
        <f>1-(1-Skills!J19/100)^Skills!K19</f>
        <v/>
      </c>
      <c r="I3324" t="inlineStr">
        <is>
          <t>1</t>
        </is>
      </c>
      <c r="J3324" t="inlineStr"/>
      <c r="K3324" t="inlineStr"/>
      <c r="L3324" t="inlineStr"/>
      <c r="M3324" t="inlineStr"/>
      <c r="N3324" t="inlineStr"/>
      <c r="O3324">
        <f>(1-Summary!$B$11)*T3324+Summary!$B$11*V3324</f>
        <v/>
      </c>
      <c r="P3324">
        <f>IF(B3348=0,0,O3324/B3348)</f>
        <v/>
      </c>
      <c r="Q3324">
        <f>IFERROR(1/(IF(Inputs!$B$38="pvp",15,MAX(0.1,Skills!D19-IF(Skills!E19=TRUE,4.5,0)))*(1-IF(AND(ArtifactsInput!$M$27,Inputs!$B$4="Chapter Hunt"),CHOOSE(ArtifactsInput!$N$27+1,20,24,28,32,36,40),0)/100)),0)</f>
        <v/>
      </c>
      <c r="R3324">
        <f>IF(AND(Inputs!$B$38&lt;&gt;"pvp",Inputs!$B$43&gt;0),IF(Inputs!$B$43&lt;=0,0,(INT(Inputs!$B$43/(IF(Inputs!$B$38="pvp",15,MAX(0.1,Skills!D19-IF(Skills!E19=TRUE,4.5,0)))*(1-IF(AND(ArtifactsInput!$M$27,Inputs!$B$4="Chapter Hunt"),CHOOSE(ArtifactsInput!$N$27+1,20,24,28,32,36,40),0)/100)))+1)),0)</f>
        <v/>
      </c>
      <c r="S3324">
        <f>IFERROR(O3324/N3324,0)</f>
        <v/>
      </c>
      <c r="T3324" t="n">
        <v>0</v>
      </c>
      <c r="V3324" t="n">
        <v>0</v>
      </c>
    </row>
    <row r="3325">
      <c r="A3325">
        <f>Skills!A20</f>
        <v/>
      </c>
      <c r="B3325">
        <f>Skills!B20</f>
        <v/>
      </c>
      <c r="C3325">
        <f>Inputs!$B$3&gt;=15</f>
        <v/>
      </c>
      <c r="D3325">
        <f>IF(Skills!C20=1,60+Inputs!$B$25+Inputs!$B$29,IF(Skills!C20=2,90+Inputs!$B$26+Inputs!$B$29,IF(Skills!C20=3,120+Inputs!$B$27+Inputs!$B$29,MAX(0,(Inputs!$B$3-100)*3)+Inputs!$B$28+Inputs!$B$29)))</f>
        <v/>
      </c>
      <c r="E3325">
        <f>INDEX(FactorTable!$B$2:$Y$301, MATCH(ROUND(MIN(300,MAX(1,D3325)),0), FactorTable!$A$2:$A$301,0), Skills!M20+1)</f>
        <v/>
      </c>
      <c r="F3325">
        <f>IF(Skills!N20=TRUE,(Skills!L20/10)*(E3325/1000),Skills!L20/10)+Skills!O20</f>
        <v/>
      </c>
      <c r="G3325">
        <f>Skills!G20*IF(Skills!H20&gt;0,Skills!I20/Skills!H20,1)</f>
        <v/>
      </c>
      <c r="H3325">
        <f>1-(1-Skills!J20/100)^Skills!K20</f>
        <v/>
      </c>
      <c r="I3325" t="inlineStr">
        <is>
          <t>1</t>
        </is>
      </c>
      <c r="J3325" t="inlineStr"/>
      <c r="K3325" t="inlineStr"/>
      <c r="L3325" t="inlineStr"/>
      <c r="M3325" t="inlineStr"/>
      <c r="N3325" t="inlineStr"/>
      <c r="O3325">
        <f>(1-Summary!$B$11)*T3325+Summary!$B$11*V3325</f>
        <v/>
      </c>
      <c r="P3325">
        <f>IF(B3348=0,0,O3325/B3348)</f>
        <v/>
      </c>
      <c r="Q3325" t="n">
        <v>0</v>
      </c>
      <c r="R3325" t="n">
        <v>0</v>
      </c>
      <c r="S3325">
        <f>IFERROR(O3325/N3325,0)</f>
        <v/>
      </c>
      <c r="T3325" t="n">
        <v>0</v>
      </c>
      <c r="V3325" t="n">
        <v>0</v>
      </c>
    </row>
    <row r="3326">
      <c r="A3326">
        <f>Skills!A21</f>
        <v/>
      </c>
      <c r="B3326">
        <f>Skills!B21</f>
        <v/>
      </c>
      <c r="C3326">
        <f>Inputs!$B$3&gt;=10</f>
        <v/>
      </c>
      <c r="D3326">
        <f>IF(Skills!C21=1,60+Inputs!$B$25+Inputs!$B$29,IF(Skills!C21=2,90+Inputs!$B$26+Inputs!$B$29,IF(Skills!C21=3,120+Inputs!$B$27+Inputs!$B$29,MAX(0,(Inputs!$B$3-100)*3)+Inputs!$B$28+Inputs!$B$29)))</f>
        <v/>
      </c>
      <c r="E3326">
        <f>INDEX(FactorTable!$B$2:$Y$301, MATCH(ROUND(MIN(300,MAX(1,D3326)),0), FactorTable!$A$2:$A$301,0), Skills!M21+1)</f>
        <v/>
      </c>
      <c r="F3326">
        <f>IF(Skills!N21=TRUE,(Skills!L21/10)*(E3326/1000),Skills!L21/10)+Skills!O21</f>
        <v/>
      </c>
      <c r="G3326">
        <f>Skills!G21*IF(Skills!H21&gt;0,Skills!I21/Skills!H21,1)</f>
        <v/>
      </c>
      <c r="H3326">
        <f>1-(1-Skills!J21/100)^Skills!K21</f>
        <v/>
      </c>
      <c r="I3326" t="inlineStr">
        <is>
          <t>1</t>
        </is>
      </c>
      <c r="J3326" t="inlineStr"/>
      <c r="K3326" t="inlineStr"/>
      <c r="L3326" t="inlineStr"/>
      <c r="M3326" t="inlineStr"/>
      <c r="N3326" t="inlineStr"/>
      <c r="O3326">
        <f>(1-Summary!$B$11)*T3326+Summary!$B$11*V3326</f>
        <v/>
      </c>
      <c r="P3326">
        <f>IF(B3348=0,0,O3326/B3348)</f>
        <v/>
      </c>
      <c r="Q3326" t="n">
        <v>0</v>
      </c>
      <c r="R3326" t="n">
        <v>0</v>
      </c>
      <c r="S3326">
        <f>IFERROR(O3326/N3326,0)</f>
        <v/>
      </c>
      <c r="T3326" t="n">
        <v>0</v>
      </c>
      <c r="V3326" t="n">
        <v>0</v>
      </c>
    </row>
    <row r="3327">
      <c r="A3327">
        <f>Skills!A22</f>
        <v/>
      </c>
      <c r="B3327">
        <f>Skills!B22</f>
        <v/>
      </c>
      <c r="C3327">
        <f>Inputs!$B$3&gt;=33</f>
        <v/>
      </c>
      <c r="D3327">
        <f>IF(Skills!C22=1,60+Inputs!$B$25+Inputs!$B$29,IF(Skills!C22=2,90+Inputs!$B$26+Inputs!$B$29,IF(Skills!C22=3,120+Inputs!$B$27+Inputs!$B$29,MAX(0,(Inputs!$B$3-100)*3)+Inputs!$B$28+Inputs!$B$29)))</f>
        <v/>
      </c>
      <c r="E3327">
        <f>INDEX(FactorTable!$B$2:$Y$301, MATCH(ROUND(MIN(300,MAX(1,D3327)),0), FactorTable!$A$2:$A$301,0), Skills!M22+1)</f>
        <v/>
      </c>
      <c r="F3327">
        <f>IF(Skills!N22=TRUE,(Skills!L22/10)*(E3327/1000),Skills!L22/10)+Skills!O22</f>
        <v/>
      </c>
      <c r="G3327">
        <f>Skills!G22*IF(Skills!H22&gt;0,Skills!I22/Skills!H22,1)</f>
        <v/>
      </c>
      <c r="H3327">
        <f>1-(1-Skills!J22/100)^Skills!K22</f>
        <v/>
      </c>
      <c r="I3327" t="inlineStr">
        <is>
          <t>1</t>
        </is>
      </c>
      <c r="J3327" t="inlineStr"/>
      <c r="K3327" t="inlineStr"/>
      <c r="L3327" t="inlineStr"/>
      <c r="M3327" t="inlineStr"/>
      <c r="N3327" t="inlineStr"/>
      <c r="O3327">
        <f>(1-Summary!$B$11)*T3327+Summary!$B$11*V3327</f>
        <v/>
      </c>
      <c r="P3327">
        <f>IF(B3348=0,0,O3327/B3348)</f>
        <v/>
      </c>
      <c r="Q3327" t="n">
        <v>0</v>
      </c>
      <c r="R3327" t="n">
        <v>0</v>
      </c>
      <c r="S3327">
        <f>IFERROR(O3327/N3327,0)</f>
        <v/>
      </c>
      <c r="T3327" t="n">
        <v>0</v>
      </c>
      <c r="V3327" t="n">
        <v>0</v>
      </c>
    </row>
    <row r="3328">
      <c r="A3328">
        <f>Skills!A23</f>
        <v/>
      </c>
      <c r="B3328">
        <f>Skills!B23</f>
        <v/>
      </c>
      <c r="C3328">
        <f>Inputs!$B$3&gt;=38</f>
        <v/>
      </c>
      <c r="D3328">
        <f>IF(Skills!C23=1,60+Inputs!$B$25+Inputs!$B$29,IF(Skills!C23=2,90+Inputs!$B$26+Inputs!$B$29,IF(Skills!C23=3,120+Inputs!$B$27+Inputs!$B$29,MAX(0,(Inputs!$B$3-100)*3)+Inputs!$B$28+Inputs!$B$29)))</f>
        <v/>
      </c>
      <c r="E3328">
        <f>INDEX(FactorTable!$B$2:$Y$301, MATCH(ROUND(MIN(300,MAX(1,D3328)),0), FactorTable!$A$2:$A$301,0), Skills!M23+1)</f>
        <v/>
      </c>
      <c r="F3328">
        <f>IF(Skills!N23=TRUE,(Skills!L23/10)*(E3328/1000),Skills!L23/10)+Skills!O23</f>
        <v/>
      </c>
      <c r="G3328">
        <f>Skills!G23*IF(Skills!H23&gt;0,Skills!I23/Skills!H23,1)</f>
        <v/>
      </c>
      <c r="H3328">
        <f>1-(1-Skills!J23/100)^Skills!K23</f>
        <v/>
      </c>
      <c r="I3328" t="inlineStr">
        <is>
          <t>1</t>
        </is>
      </c>
      <c r="J3328" t="inlineStr"/>
      <c r="K3328" t="inlineStr"/>
      <c r="L3328" t="inlineStr"/>
      <c r="M3328" t="inlineStr"/>
      <c r="N3328" t="inlineStr"/>
      <c r="O3328">
        <f>(1-Summary!$B$11)*T3328+Summary!$B$11*V3328</f>
        <v/>
      </c>
      <c r="P3328">
        <f>IF(B3348=0,0,O3328/B3348)</f>
        <v/>
      </c>
      <c r="Q3328" t="n">
        <v>0</v>
      </c>
      <c r="R3328" t="n">
        <v>0</v>
      </c>
      <c r="S3328">
        <f>IFERROR(O3328/N3328,0)</f>
        <v/>
      </c>
      <c r="T3328" t="n">
        <v>0</v>
      </c>
      <c r="V3328" t="n">
        <v>0</v>
      </c>
    </row>
    <row r="3329">
      <c r="A3329">
        <f>Skills!A24</f>
        <v/>
      </c>
      <c r="B3329">
        <f>Skills!B24</f>
        <v/>
      </c>
      <c r="C3329">
        <f>Inputs!$B$3&gt;=43</f>
        <v/>
      </c>
      <c r="D3329">
        <f>IF(Skills!C24=1,60+Inputs!$B$25+Inputs!$B$29,IF(Skills!C24=2,90+Inputs!$B$26+Inputs!$B$29,IF(Skills!C24=3,120+Inputs!$B$27+Inputs!$B$29,MAX(0,(Inputs!$B$3-100)*3)+Inputs!$B$28+Inputs!$B$29)))</f>
        <v/>
      </c>
      <c r="E3329">
        <f>INDEX(FactorTable!$B$2:$Y$301, MATCH(ROUND(MIN(300,MAX(1,D3329)),0), FactorTable!$A$2:$A$301,0), Skills!M24+1)</f>
        <v/>
      </c>
      <c r="F3329">
        <f>IF(Skills!N24=TRUE,(Skills!L24/10)*(E3329/1000),Skills!L24/10)+Skills!O24</f>
        <v/>
      </c>
      <c r="G3329">
        <f>Skills!G24*IF(Skills!H24&gt;0,Skills!I24/Skills!H24,1)</f>
        <v/>
      </c>
      <c r="H3329">
        <f>1-(1-Skills!J24/100)^Skills!K24</f>
        <v/>
      </c>
      <c r="I3329" t="inlineStr">
        <is>
          <t>1</t>
        </is>
      </c>
      <c r="J3329" t="inlineStr"/>
      <c r="K3329" t="inlineStr"/>
      <c r="L3329" t="inlineStr"/>
      <c r="M3329" t="inlineStr"/>
      <c r="N3329" t="inlineStr"/>
      <c r="O3329">
        <f>(1-Summary!$B$11)*T3329+Summary!$B$11*V3329</f>
        <v/>
      </c>
      <c r="P3329">
        <f>IF(B3348=0,0,O3329/B3348)</f>
        <v/>
      </c>
      <c r="Q3329" t="n">
        <v>0</v>
      </c>
      <c r="R3329" t="n">
        <v>0</v>
      </c>
      <c r="S3329">
        <f>IFERROR(O3329/N3329,0)</f>
        <v/>
      </c>
      <c r="T3329" t="n">
        <v>0</v>
      </c>
      <c r="V3329" t="n">
        <v>0</v>
      </c>
    </row>
    <row r="3330">
      <c r="A3330">
        <f>Skills!A25</f>
        <v/>
      </c>
      <c r="B3330">
        <f>Skills!B25</f>
        <v/>
      </c>
      <c r="C3330">
        <f>Inputs!$B$3&gt;=75</f>
        <v/>
      </c>
      <c r="D3330">
        <f>IF(Skills!C25=1,60+Inputs!$B$25+Inputs!$B$29,IF(Skills!C25=2,90+Inputs!$B$26+Inputs!$B$29,IF(Skills!C25=3,120+Inputs!$B$27+Inputs!$B$29,MAX(0,(Inputs!$B$3-100)*3)+Inputs!$B$28+Inputs!$B$29)))</f>
        <v/>
      </c>
      <c r="E3330">
        <f>INDEX(FactorTable!$B$2:$Y$301, MATCH(ROUND(MIN(300,MAX(1,D3330)),0), FactorTable!$A$2:$A$301,0), Skills!M25+1)</f>
        <v/>
      </c>
      <c r="F3330">
        <f>IF(Skills!N25=TRUE,(Skills!L25/10)*(E3330/1000),Skills!L25/10)+Skills!O25</f>
        <v/>
      </c>
      <c r="G3330">
        <f>Skills!G25*IF(Skills!H25&gt;0,Skills!I25/Skills!H25,1)</f>
        <v/>
      </c>
      <c r="H3330">
        <f>1-(1-Skills!J25/100)^Skills!K25</f>
        <v/>
      </c>
      <c r="I3330" t="inlineStr">
        <is>
          <t>1</t>
        </is>
      </c>
      <c r="J3330" t="inlineStr"/>
      <c r="K3330" t="inlineStr"/>
      <c r="L3330" t="inlineStr"/>
      <c r="M3330" t="inlineStr"/>
      <c r="N3330" t="inlineStr"/>
      <c r="O3330">
        <f>(1-Summary!$B$11)*T3330+Summary!$B$11*V3330</f>
        <v/>
      </c>
      <c r="P3330">
        <f>IF(B3348=0,0,O3330/B3348)</f>
        <v/>
      </c>
      <c r="Q3330" t="n">
        <v>0</v>
      </c>
      <c r="R3330" t="n">
        <v>0</v>
      </c>
      <c r="S3330">
        <f>IFERROR(O3330/N3330,0)</f>
        <v/>
      </c>
      <c r="T3330" t="n">
        <v>0</v>
      </c>
      <c r="V3330" t="n">
        <v>0</v>
      </c>
    </row>
    <row r="3331">
      <c r="A3331">
        <f>Skills!A26</f>
        <v/>
      </c>
      <c r="B3331">
        <f>Skills!B26</f>
        <v/>
      </c>
      <c r="C3331">
        <f>Inputs!$B$3&gt;=125</f>
        <v/>
      </c>
      <c r="D3331">
        <f>IF(Skills!C26=1,60+Inputs!$B$25+Inputs!$B$29,IF(Skills!C26=2,90+Inputs!$B$26+Inputs!$B$29,IF(Skills!C26=3,120+Inputs!$B$27+Inputs!$B$29,MAX(0,(Inputs!$B$3-100)*3)+Inputs!$B$28+Inputs!$B$29)))</f>
        <v/>
      </c>
      <c r="E3331">
        <f>INDEX(FactorTable!$B$2:$Y$301, MATCH(ROUND(MIN(300,MAX(1,D3331)),0), FactorTable!$A$2:$A$301,0), Skills!M26+1)</f>
        <v/>
      </c>
      <c r="F3331">
        <f>IF(Skills!N26=TRUE,(Skills!L26/10)*(E3331/1000),Skills!L26/10)+Skills!O26</f>
        <v/>
      </c>
      <c r="G3331">
        <f>Skills!G26*IF(Skills!H26&gt;0,Skills!I26/Skills!H26,1)</f>
        <v/>
      </c>
      <c r="H3331">
        <f>1-(1-Skills!J26/100)^Skills!K26</f>
        <v/>
      </c>
      <c r="I3331" t="inlineStr">
        <is>
          <t>1</t>
        </is>
      </c>
      <c r="J3331" t="inlineStr"/>
      <c r="K3331" t="inlineStr"/>
      <c r="L3331" t="inlineStr"/>
      <c r="M3331" t="inlineStr"/>
      <c r="N3331" t="inlineStr"/>
      <c r="O3331">
        <f>(1-Summary!$B$11)*T3331+Summary!$B$11*V3331</f>
        <v/>
      </c>
      <c r="P3331">
        <f>IF(B3348=0,0,O3331/B3348)</f>
        <v/>
      </c>
      <c r="Q3331" t="n">
        <v>0</v>
      </c>
      <c r="R3331" t="n">
        <v>0</v>
      </c>
      <c r="S3331">
        <f>IFERROR(O3331/N3331,0)</f>
        <v/>
      </c>
      <c r="T3331" t="n">
        <v>0</v>
      </c>
      <c r="V3331" t="n">
        <v>0</v>
      </c>
    </row>
    <row r="3332">
      <c r="A3332">
        <f>Skills!A27</f>
        <v/>
      </c>
      <c r="B3332">
        <f>Skills!B27</f>
        <v/>
      </c>
      <c r="C3332">
        <f>Inputs!$B$3&gt;=125</f>
        <v/>
      </c>
      <c r="D3332">
        <f>IF(Skills!C27=1,60+Inputs!$B$25+Inputs!$B$29,IF(Skills!C27=2,90+Inputs!$B$26+Inputs!$B$29,IF(Skills!C27=3,120+Inputs!$B$27+Inputs!$B$29,MAX(0,(Inputs!$B$3-100)*3)+Inputs!$B$28+Inputs!$B$29)))</f>
        <v/>
      </c>
      <c r="E3332">
        <f>INDEX(FactorTable!$B$2:$Y$301, MATCH(ROUND(MIN(300,MAX(1,D3332)),0), FactorTable!$A$2:$A$301,0), Skills!M27+1)</f>
        <v/>
      </c>
      <c r="F3332">
        <f>IF(Skills!N27=TRUE,(Skills!L27/10)*(E3332/1000),Skills!L27/10)+Skills!O27</f>
        <v/>
      </c>
      <c r="G3332">
        <f>Skills!G27*IF(Skills!H27&gt;0,Skills!I27/Skills!H27,1)</f>
        <v/>
      </c>
      <c r="H3332">
        <f>1-(1-Skills!J27/100)^Skills!K27</f>
        <v/>
      </c>
      <c r="I3332" t="inlineStr">
        <is>
          <t>1</t>
        </is>
      </c>
      <c r="J3332" t="inlineStr"/>
      <c r="K3332" t="inlineStr"/>
      <c r="L3332" t="inlineStr"/>
      <c r="M3332" t="inlineStr"/>
      <c r="N3332" t="inlineStr"/>
      <c r="O3332">
        <f>(1-Summary!$B$11)*T3332+Summary!$B$11*V3332</f>
        <v/>
      </c>
      <c r="P3332">
        <f>IF(B3348=0,0,O3332/B3348)</f>
        <v/>
      </c>
      <c r="Q3332" t="n">
        <v>0</v>
      </c>
      <c r="R3332" t="n">
        <v>0</v>
      </c>
      <c r="S3332">
        <f>IFERROR(O3332/N3332,0)</f>
        <v/>
      </c>
      <c r="T3332" t="n">
        <v>0</v>
      </c>
      <c r="V3332" t="n">
        <v>0</v>
      </c>
    </row>
    <row r="3333">
      <c r="A3333">
        <f>Skills!A28</f>
        <v/>
      </c>
      <c r="B3333">
        <f>Skills!B28</f>
        <v/>
      </c>
      <c r="C3333">
        <f>Inputs!$B$3&gt;=120</f>
        <v/>
      </c>
      <c r="D3333">
        <f>IF(Skills!C28=1,60+Inputs!$B$25+Inputs!$B$29,IF(Skills!C28=2,90+Inputs!$B$26+Inputs!$B$29,IF(Skills!C28=3,120+Inputs!$B$27+Inputs!$B$29,MAX(0,(Inputs!$B$3-100)*3)+Inputs!$B$28+Inputs!$B$29)))</f>
        <v/>
      </c>
      <c r="E3333">
        <f>INDEX(FactorTable!$B$2:$Y$301, MATCH(ROUND(MIN(300,MAX(1,D3333)),0), FactorTable!$A$2:$A$301,0), Skills!M28+1)</f>
        <v/>
      </c>
      <c r="F3333">
        <f>IF(Skills!N28=TRUE,(Skills!L28/10)*(E3333/1000),Skills!L28/10)+Skills!O28</f>
        <v/>
      </c>
      <c r="G3333">
        <f>Skills!G28*IF(Skills!H28&gt;0,Skills!I28/Skills!H28,1)</f>
        <v/>
      </c>
      <c r="H3333">
        <f>1-(1-Skills!J28/100)^Skills!K28</f>
        <v/>
      </c>
      <c r="I3333" t="inlineStr">
        <is>
          <t>1</t>
        </is>
      </c>
      <c r="J3333" t="inlineStr"/>
      <c r="K3333" t="inlineStr"/>
      <c r="L3333" t="inlineStr"/>
      <c r="M3333" t="inlineStr"/>
      <c r="N3333" t="inlineStr"/>
      <c r="O3333">
        <f>(1-Summary!$B$11)*T3333+Summary!$B$11*V3333</f>
        <v/>
      </c>
      <c r="P3333">
        <f>IF(B3348=0,0,O3333/B3348)</f>
        <v/>
      </c>
      <c r="Q3333" t="n">
        <v>0</v>
      </c>
      <c r="R3333" t="n">
        <v>0</v>
      </c>
      <c r="S3333">
        <f>IFERROR(O3333/N3333,0)</f>
        <v/>
      </c>
      <c r="T3333" t="n">
        <v>0</v>
      </c>
      <c r="V3333" t="n">
        <v>0</v>
      </c>
    </row>
    <row r="3334">
      <c r="A3334">
        <f>Skills!A29</f>
        <v/>
      </c>
      <c r="B3334">
        <f>Skills!B29</f>
        <v/>
      </c>
      <c r="C3334">
        <f>Inputs!$B$3&gt;=120</f>
        <v/>
      </c>
      <c r="D3334">
        <f>IF(Skills!C29=1,60+Inputs!$B$25+Inputs!$B$29,IF(Skills!C29=2,90+Inputs!$B$26+Inputs!$B$29,IF(Skills!C29=3,120+Inputs!$B$27+Inputs!$B$29,MAX(0,(Inputs!$B$3-100)*3)+Inputs!$B$28+Inputs!$B$29)))</f>
        <v/>
      </c>
      <c r="E3334">
        <f>INDEX(FactorTable!$B$2:$Y$301, MATCH(ROUND(MIN(300,MAX(1,D3334)),0), FactorTable!$A$2:$A$301,0), Skills!M29+1)</f>
        <v/>
      </c>
      <c r="F3334">
        <f>IF(Skills!N29=TRUE,(Skills!L29/10)*(E3334/1000),Skills!L29/10)+Skills!O29</f>
        <v/>
      </c>
      <c r="G3334">
        <f>Skills!G29*IF(Skills!H29&gt;0,Skills!I29/Skills!H29,1)</f>
        <v/>
      </c>
      <c r="H3334">
        <f>1-(1-Skills!J29/100)^Skills!K29</f>
        <v/>
      </c>
      <c r="I3334" t="inlineStr">
        <is>
          <t>1</t>
        </is>
      </c>
      <c r="J3334" t="inlineStr"/>
      <c r="K3334" t="inlineStr"/>
      <c r="L3334" t="inlineStr"/>
      <c r="M3334" t="inlineStr"/>
      <c r="N3334" t="inlineStr"/>
      <c r="O3334">
        <f>(1-Summary!$B$11)*T3334+Summary!$B$11*V3334</f>
        <v/>
      </c>
      <c r="P3334">
        <f>IF(B3348=0,0,O3334/B3348)</f>
        <v/>
      </c>
      <c r="Q3334" t="n">
        <v>0</v>
      </c>
      <c r="R3334" t="n">
        <v>0</v>
      </c>
      <c r="S3334">
        <f>IFERROR(O3334/N3334,0)</f>
        <v/>
      </c>
      <c r="T3334" t="n">
        <v>0</v>
      </c>
      <c r="V3334" t="n">
        <v>0</v>
      </c>
    </row>
    <row r="3335">
      <c r="A3335">
        <f>Skills!A30</f>
        <v/>
      </c>
      <c r="B3335">
        <f>Skills!B30</f>
        <v/>
      </c>
      <c r="C3335">
        <f>Inputs!$B$3&gt;=45</f>
        <v/>
      </c>
      <c r="D3335">
        <f>IF(Skills!C30=1,60+Inputs!$B$25+Inputs!$B$29,IF(Skills!C30=2,90+Inputs!$B$26+Inputs!$B$29,IF(Skills!C30=3,120+Inputs!$B$27+Inputs!$B$29,MAX(0,(Inputs!$B$3-100)*3)+Inputs!$B$28+Inputs!$B$29)))</f>
        <v/>
      </c>
      <c r="E3335">
        <f>INDEX(FactorTable!$B$2:$Y$301, MATCH(ROUND(MIN(300,MAX(1,D3335)),0), FactorTable!$A$2:$A$301,0), Skills!M30+1)</f>
        <v/>
      </c>
      <c r="F3335">
        <f>IF(Skills!N30=TRUE,(Skills!L30/10)*(E3335/1000),Skills!L30/10)+Skills!O30</f>
        <v/>
      </c>
      <c r="G3335">
        <f>Skills!G30*IF(Skills!H30&gt;0,Skills!I30/Skills!H30,1)</f>
        <v/>
      </c>
      <c r="H3335">
        <f>1-(1-Skills!J30/100)^Skills!K30</f>
        <v/>
      </c>
      <c r="I3335" t="inlineStr">
        <is>
          <t>1</t>
        </is>
      </c>
      <c r="J3335" t="inlineStr"/>
      <c r="K3335" t="inlineStr"/>
      <c r="L3335" t="inlineStr"/>
      <c r="M3335" t="inlineStr"/>
      <c r="N3335" t="inlineStr"/>
      <c r="O3335">
        <f>(1-Summary!$B$11)*T3335+Summary!$B$11*V3335</f>
        <v/>
      </c>
      <c r="P3335">
        <f>IF(B3348=0,0,O3335/B3348)</f>
        <v/>
      </c>
      <c r="Q3335" t="n">
        <v>0</v>
      </c>
      <c r="R3335" t="n">
        <v>0</v>
      </c>
      <c r="S3335">
        <f>IFERROR(O3335/N3335,0)</f>
        <v/>
      </c>
      <c r="T3335" t="n">
        <v>0</v>
      </c>
      <c r="V3335" t="n">
        <v>0</v>
      </c>
    </row>
    <row r="3337">
      <c r="A3337" t="inlineStr">
        <is>
          <t>Attack% Bucket Multiplier</t>
        </is>
      </c>
      <c r="B3337">
        <f>(1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8">
      <c r="A3338" t="inlineStr">
        <is>
          <t>Global Crit Rate Bonus %</t>
        </is>
      </c>
      <c r="B3338">
        <f>(C3321=TRUE)*20*IF(AND(Inputs!$B$38&lt;&gt;"pvp",Inputs!$B$43&gt;0),(((R3321-1)*(Skills!T16*(1+Inputs!$B$34/100))+MIN((Skills!T16*(1+Inputs!$B$34/100)),MAX(0,Inputs!$B$43-((R3321-1)*Skills!D16))))/Inputs!$B$43),IF(Inputs!$B$38="pvp",MIN((Skills!T16*(1+Inputs!$B$34/100)),15)/15,(Skills!T16*(1+Inputs!$B$34/100))/Skills!D16))</f>
        <v/>
      </c>
    </row>
    <row r="3339">
      <c r="A3339" t="inlineStr">
        <is>
          <t>Attack Speed Buff Bonus %</t>
        </is>
      </c>
      <c r="B3339">
        <f>((C3324=TRUE)*F3324*IF(AND(Inputs!$B$38&lt;&gt;"pvp",Inputs!$B$43&gt;0),(((R3324-1)*(Skills!T19*(1+Inputs!$B$34/100))+MIN((Skills!T19*(1+Inputs!$B$34/100)),MAX(0,Inputs!$B$43-((R3324-1)*Skills!D19))))/Inputs!$B$43),IF(Inputs!$B$38="pvp",MIN((Skills!T19*(1+Inputs!$B$34/100)),15)/15,(Skills!T19*(1+Inputs!$B$34/100))/Skills!D19)))</f>
        <v/>
      </c>
    </row>
    <row r="3340">
      <c r="A3340" t="inlineStr">
        <is>
          <t>Actions Per Second</t>
        </is>
      </c>
      <c r="B3340">
        <f>1+MIN(150,150*(1-(1-(Inputs!$B$11+((C3326=TRUE)*(F3326-Calc!F21))+((C3327=TRUE)*(F3327-Calc!F22)))/150)*(1-B3339/150)))/100</f>
        <v/>
      </c>
    </row>
    <row r="3341">
      <c r="A3341" t="inlineStr">
        <is>
          <t>Skill + Buff Cast Rate</t>
        </is>
      </c>
      <c r="B3341">
        <f>IF(AND(Inputs!$B$38&lt;&gt;"pvp",Inputs!$B$43&gt;0),SUMPRODUCT((Skills!E2:E30=TRUE)*(C3307:C3335=TRUE)*R3307:R3335*Skills!F2:F30)/Inputs!$B$43,SUMPRODUCT((Skills!E2:E30=TRUE)*(C3307:C3335=TRUE)*Q3307:Q3335*Skills!F2:F30))</f>
        <v/>
      </c>
    </row>
    <row r="3342">
      <c r="A3342" t="inlineStr">
        <is>
          <t>Arrow Stream Casts Per Second</t>
        </is>
      </c>
      <c r="B3342">
        <f>MAX(0,B3340-B3341)</f>
        <v/>
      </c>
    </row>
    <row r="3343">
      <c r="A3343" t="inlineStr">
        <is>
          <t>Global Critical Damage Bonus % (Sharp Eyes + Concentration)</t>
        </is>
      </c>
      <c r="B3343">
        <f>(C3321=TRUE)*F3321*IF(AND(Inputs!$B$38&lt;&gt;"pvp",Inputs!$B$43&gt;0),(((R3321-1)*(Skills!T16*(1+Inputs!$B$34/100))+MIN((Skills!T16*(1+Inputs!$B$34/100)),MAX(0,Inputs!$B$43-((R3321-1)*Skills!D16))))/Inputs!$B$43),IF(Inputs!$B$38="pvp",MIN((Skills!T16*(1+Inputs!$B$34/100)),15)/15,(Skills!T16*(1+Inputs!$B$34/100))/Skills!D16))+(C3322=TRUE)*30</f>
        <v/>
      </c>
    </row>
    <row r="3344">
      <c r="A3344" t="inlineStr">
        <is>
          <t>Global Final Damage Bonus % (Mortal Blow)</t>
        </is>
      </c>
      <c r="B3344">
        <f>(C3323=TRUE)*F3323</f>
        <v/>
      </c>
    </row>
    <row r="3345">
      <c r="A3345" t="inlineStr">
        <is>
          <t>Buff-Casting Startup Delay (s, fixed-duration only)</t>
        </is>
      </c>
      <c r="B3345">
        <f>IF(AND(Inputs!$B$38&lt;&gt;"pvp",Inputs!$B$43&gt;0),SUMPRODUCT((Skills!T2:T30&gt;0)*(Skills!E2:E30=TRUE)*(C3307:C3335=TRUE))/B3340,0)</f>
        <v/>
      </c>
    </row>
    <row r="3346">
      <c r="A3346" t="inlineStr">
        <is>
          <t>Boss-Only Total DPS (this block's swept value)</t>
        </is>
      </c>
      <c r="B3346">
        <f>SUM(T3307:T3335)</f>
        <v/>
      </c>
    </row>
    <row r="3347">
      <c r="A3347" t="inlineStr">
        <is>
          <t>Normal-Only Total DPS (this block's swept value)</t>
        </is>
      </c>
      <c r="B3347">
        <f>SUM(V3307:V3335)</f>
        <v/>
      </c>
    </row>
    <row r="3348">
      <c r="A3348" s="6" t="inlineStr">
        <is>
          <t>TOTAL DPS</t>
        </is>
      </c>
      <c r="B3348" s="6">
        <f>SUM(O3307:O3335)</f>
        <v/>
      </c>
    </row>
    <row r="3351">
      <c r="A3351" s="6" t="inlineStr">
        <is>
          <t>Stat: CDR = 5.0s</t>
        </is>
      </c>
    </row>
    <row r="3352">
      <c r="A3352" s="5" t="inlineStr">
        <is>
          <t>Key</t>
        </is>
      </c>
      <c r="B3352" s="5" t="inlineStr">
        <is>
          <t>Name</t>
        </is>
      </c>
      <c r="C3352" s="5" t="inlineStr">
        <is>
          <t>Unlocked</t>
        </is>
      </c>
      <c r="D3352" s="5" t="inlineStr">
        <is>
          <t>InputLevel</t>
        </is>
      </c>
      <c r="E3352" s="5" t="inlineStr">
        <is>
          <t>Factor</t>
        </is>
      </c>
      <c r="F3352" s="5" t="inlineStr">
        <is>
          <t>CoefficientPercent</t>
        </is>
      </c>
      <c r="G3352" s="5" t="inlineStr">
        <is>
          <t>EffectiveHits</t>
        </is>
      </c>
      <c r="H3352" s="5" t="inlineStr">
        <is>
          <t>ProcProbability</t>
        </is>
      </c>
      <c r="I3352" s="5" t="inlineStr">
        <is>
          <t>MapleHeroMultiplier</t>
        </is>
      </c>
      <c r="J3352" s="5" t="inlineStr">
        <is>
          <t>BaseDamage</t>
        </is>
      </c>
      <c r="K3352" s="5" t="inlineStr">
        <is>
          <t>BaseHitDamage</t>
        </is>
      </c>
      <c r="L3352" s="5" t="inlineStr">
        <is>
          <t>NonCritAvg</t>
        </is>
      </c>
      <c r="M3352" s="5" t="inlineStr">
        <is>
          <t>CritAvg</t>
        </is>
      </c>
      <c r="N3352" s="5" t="inlineStr">
        <is>
          <t>ExpectedDamage(perHit)</t>
        </is>
      </c>
      <c r="O3352" s="5" t="inlineStr">
        <is>
          <t>DPS</t>
        </is>
      </c>
      <c r="P3352" s="5" t="inlineStr">
        <is>
          <t>% of Total</t>
        </is>
      </c>
      <c r="Q3352" s="5" t="inlineStr">
        <is>
          <t>InvCooldown</t>
        </is>
      </c>
      <c r="R3352" s="5" t="inlineStr">
        <is>
          <t>CastsInFight</t>
        </is>
      </c>
      <c r="S3352" s="5" t="inlineStr">
        <is>
          <t>HitRate(perSec)</t>
        </is>
      </c>
      <c r="U3352" t="inlineStr">
        <is>
          <t>helpers</t>
        </is>
      </c>
    </row>
    <row r="3353">
      <c r="A3353">
        <f>Skills!A2</f>
        <v/>
      </c>
      <c r="B3353">
        <f>Skills!B2</f>
        <v/>
      </c>
      <c r="C3353">
        <f>Inputs!$B$3&gt;=100</f>
        <v/>
      </c>
      <c r="D3353" t="inlineStr"/>
      <c r="E3353" t="inlineStr"/>
      <c r="F3353">
        <f>U3355+Skills!O2</f>
        <v/>
      </c>
      <c r="G3353">
        <f>Skills!G2*IF(Skills!H2&gt;0,Skills!I2/Skills!H2,1)</f>
        <v/>
      </c>
      <c r="H3353">
        <f>1-(1-Skills!J2/100)^Skills!K2</f>
        <v/>
      </c>
      <c r="I3353" t="inlineStr">
        <is>
          <t>1</t>
        </is>
      </c>
      <c r="J3353">
        <f>((Inputs!$B$6*(1+Inputs!$B$7/100))+(((Inputs!$B$12*(1+Inputs!$B$13/100))-(Inputs!$B$12*(1+Inputs!$B$13/100)))+0.25*(Inputs!$B$14-Inputs!$B$14))*(1+Inputs!$B$7/100))*(F3353/100)</f>
        <v/>
      </c>
      <c r="K3353">
        <f>J3353*(1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3353)</f>
        <v/>
      </c>
      <c r="L3353">
        <f>K3353*(MIN(Inputs!$B$22+((C3375=TRUE)*(F3375-Calc!F24)),(Inputs!$B$23+((C3380=TRUE)*(F3380-Calc!F29))+(IF(ArtifactsInput!$M$15,CHOOSE(ArtifactsInput!$N$15+1,25,30,35,40,45,50)/100*(Inputs!$B$11-Inputs!$B$11),0))))/100+(Inputs!$B$23+((C3380=TRUE)*(F3380-Calc!F29))+(IF(ArtifactsInput!$M$15,CHOOSE(ArtifactsInput!$N$15+1,25,30,35,40,45,50)/100*(Inputs!$B$11-Inputs!$B$11),0)))/100)/2</f>
        <v/>
      </c>
      <c r="M3353">
        <f>L3353*(1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3">
        <f>L3353*(1-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3353*(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3">
        <f>(1-Summary!$B$11)*T3353+Summary!$B$11*V3353</f>
        <v/>
      </c>
      <c r="P3353">
        <f>IF(B3394=0,0,O3353/B3394)</f>
        <v/>
      </c>
      <c r="Q3353" t="n">
        <v>0</v>
      </c>
      <c r="R3353" t="n">
        <v>0</v>
      </c>
      <c r="S3353">
        <f>IFERROR(O3353/N3353,0)</f>
        <v/>
      </c>
      <c r="T3353">
        <f>IF(C3353,(Skills!G2*N3353*B3388)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3353*(1-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3353*(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3353*(1-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3353*(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3">
        <f>MAX(0,(Inputs!$B$3-100)*3)+Inputs!$B$28+Inputs!$B$29</f>
        <v/>
      </c>
      <c r="V3353">
        <f>IF(C3353,(Skills!G2*N3353*B3388)*IF(Inputs!$B$38="pvp",1,(1+(Inputs!$B$21+Skills!Q2+(IF(ArtifactsInput!$M$33,CHOOSE(ArtifactsInput!$N$33+1,30,36,42,48,54,60),0))+(IF(AND(ArtifactsInput!$M$35,Inputs!$B$4&lt;&gt;"Chapter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4">
      <c r="A3354">
        <f>Skills!A3</f>
        <v/>
      </c>
      <c r="B3354">
        <f>Skills!B3</f>
        <v/>
      </c>
      <c r="C3354">
        <f>Inputs!$B$3&gt;=50</f>
        <v/>
      </c>
      <c r="D3354">
        <f>IF(Skills!C3=1,60+Inputs!$B$25+Inputs!$B$29,IF(Skills!C3=2,90+Inputs!$B$26+Inputs!$B$29,IF(Skills!C3=3,120+Inputs!$B$27+Inputs!$B$29,MAX(0,(Inputs!$B$3-100)*3)+Inputs!$B$28+Inputs!$B$29)))</f>
        <v/>
      </c>
      <c r="E3354">
        <f>INDEX(FactorTable!$B$2:$Y$301, MATCH(ROUND(MIN(300,MAX(1,D3354)),0), FactorTable!$A$2:$A$301,0), Skills!M3+1)</f>
        <v/>
      </c>
      <c r="F3354">
        <f>IF(Skills!N3=TRUE,(Skills!L3/10)*(E3354/1000),Skills!L3/10)+Skills!O3</f>
        <v/>
      </c>
      <c r="G3354" t="inlineStr"/>
      <c r="H3354" t="inlineStr"/>
      <c r="I3354" t="inlineStr">
        <is>
          <t>1</t>
        </is>
      </c>
      <c r="J3354" t="inlineStr"/>
      <c r="K3354" t="inlineStr"/>
      <c r="L3354" t="inlineStr"/>
      <c r="M3354" t="inlineStr"/>
      <c r="N3354" t="inlineStr"/>
      <c r="O3354" t="inlineStr"/>
      <c r="P3354" t="inlineStr"/>
      <c r="Q3354" t="inlineStr"/>
      <c r="R3354" t="inlineStr"/>
      <c r="S3354" t="inlineStr"/>
      <c r="T3354" t="inlineStr"/>
      <c r="U3354">
        <f>INDEX(FactorTable!$B$2:$Y$301, MATCH(ROUND(MIN(300,MAX(1,U3353)),0), FactorTable!$A$2:$A$301,0), 22)</f>
        <v/>
      </c>
      <c r="V3354" t="inlineStr"/>
    </row>
    <row r="3355">
      <c r="A3355">
        <f>Skills!A4</f>
        <v/>
      </c>
      <c r="B3355">
        <f>Skills!B4</f>
        <v/>
      </c>
      <c r="C3355">
        <f>Inputs!$B$3&gt;=105</f>
        <v/>
      </c>
      <c r="D3355">
        <f>IF(Skills!C4=1,60+Inputs!$B$25+Inputs!$B$29,IF(Skills!C4=2,90+Inputs!$B$26+Inputs!$B$29,IF(Skills!C4=3,120+Inputs!$B$27+Inputs!$B$29,MAX(0,(Inputs!$B$3-100)*3)+Inputs!$B$28+Inputs!$B$29)))</f>
        <v/>
      </c>
      <c r="E3355">
        <f>INDEX(FactorTable!$B$2:$Y$301, MATCH(ROUND(MIN(300,MAX(1,D3355)),0), FactorTable!$A$2:$A$301,0), Skills!M4+1)</f>
        <v/>
      </c>
      <c r="F3355">
        <f>IF(Skills!N4=TRUE,(Skills!L4/10)*(E3355/1000),Skills!L4/10)+Skills!O4</f>
        <v/>
      </c>
      <c r="G3355" t="inlineStr"/>
      <c r="H3355" t="inlineStr"/>
      <c r="I3355" t="inlineStr">
        <is>
          <t>1</t>
        </is>
      </c>
      <c r="J3355" t="inlineStr"/>
      <c r="K3355" t="inlineStr"/>
      <c r="L3355" t="inlineStr"/>
      <c r="M3355" t="inlineStr"/>
      <c r="N3355" t="inlineStr"/>
      <c r="O3355" t="inlineStr"/>
      <c r="P3355" t="inlineStr"/>
      <c r="Q3355" t="inlineStr"/>
      <c r="R3355" t="inlineStr"/>
      <c r="S3355" t="inlineStr"/>
      <c r="T3355" t="inlineStr"/>
      <c r="U3355">
        <f>290*U3354/1000</f>
        <v/>
      </c>
      <c r="V3355" t="inlineStr"/>
    </row>
    <row r="3356">
      <c r="A3356">
        <f>Skills!A5</f>
        <v/>
      </c>
      <c r="B3356">
        <f>Skills!B5</f>
        <v/>
      </c>
      <c r="C3356">
        <f>Inputs!$B$3&gt;=35</f>
        <v/>
      </c>
      <c r="D3356">
        <f>IF(Skills!C5=1,60+Inputs!$B$25+Inputs!$B$29,IF(Skills!C5=2,90+Inputs!$B$26+Inputs!$B$29,IF(Skills!C5=3,120+Inputs!$B$27+Inputs!$B$29,MAX(0,(Inputs!$B$3-100)*3)+Inputs!$B$28+Inputs!$B$29)))</f>
        <v/>
      </c>
      <c r="E3356">
        <f>INDEX(FactorTable!$B$2:$Y$301, MATCH(ROUND(MIN(300,MAX(1,D3356)),0), FactorTable!$A$2:$A$301,0), Skills!M5+1)</f>
        <v/>
      </c>
      <c r="F3356">
        <f>IF(Skills!N5=TRUE,(Skills!L5/10)*(E3356/1000),Skills!L5/10)+Skills!O5</f>
        <v/>
      </c>
      <c r="G3356">
        <f>Skills!G5*IF(Skills!H5&gt;0,Skills!I5/Skills!H5,1)</f>
        <v/>
      </c>
      <c r="H3356">
        <f>1-(1-Skills!J5/100)^Skills!K5</f>
        <v/>
      </c>
      <c r="I3356" t="inlineStr">
        <is>
          <t>1</t>
        </is>
      </c>
      <c r="J3356">
        <f>((Inputs!$B$6*(1+Inputs!$B$7/100))+(((Inputs!$B$12*(1+Inputs!$B$13/100))-(Inputs!$B$12*(1+Inputs!$B$13/100)))+0.25*(Inputs!$B$14-Inputs!$B$14))*(1+Inputs!$B$7/100))*(F3356/100)</f>
        <v/>
      </c>
      <c r="K3356">
        <f>J3356*(1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3361=TRUE,F3361,0)/100)*(1+(IF(Skills!A5="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3356)</f>
        <v/>
      </c>
      <c r="L3356">
        <f>K3356*(MIN(Inputs!$B$22+((C3375=TRUE)*(F3375-Calc!F24)),(Inputs!$B$23+((C3380=TRUE)*(F3380-Calc!F29))+(IF(ArtifactsInput!$M$15,CHOOSE(ArtifactsInput!$N$15+1,25,30,35,40,45,50)/100*(Inputs!$B$11-Inputs!$B$11),0))))/100+(Inputs!$B$23+((C3380=TRUE)*(F3380-Calc!F29))+(IF(ArtifactsInput!$M$15,CHOOSE(ArtifactsInput!$N$15+1,25,30,35,40,45,50)/100*(Inputs!$B$11-Inputs!$B$11),0)))/100)/2</f>
        <v/>
      </c>
      <c r="M3356">
        <f>L3356*(1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6">
        <f>L3356*(1-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3356*(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6">
        <f>(1-Summary!$B$11)*T3356+Summary!$B$11*V3356</f>
        <v/>
      </c>
      <c r="P3356">
        <f>IF(B3394=0,0,O3356/B3394)</f>
        <v/>
      </c>
      <c r="Q3356">
        <f>IFERROR(1/(IF(Inputs!$B$38="pvp",15,MAX(0.1,Skills!D5-IF(Skills!E5=TRUE,5.0,0)))*(1-IF(AND(ArtifactsInput!$M$27,Inputs!$B$4="Chapter Hunt"),CHOOSE(ArtifactsInput!$N$27+1,20,24,28,32,36,40),0)/100)),0)</f>
        <v/>
      </c>
      <c r="R3356">
        <f>IF(AND(Inputs!$B$38&lt;&gt;"pvp",Inputs!$B$43&gt;0),IF(MAX(0,Inputs!$B$43-B3391)&lt;=0,0,(INT(MAX(0,Inputs!$B$43-B3391)/(IF(Inputs!$B$38="pvp",15,MAX(0.1,Skills!D5-IF(Skills!E5=TRUE,5.0,0)))*(1-IF(AND(ArtifactsInput!$M$27,Inputs!$B$4="Chapter Hunt"),CHOOSE(ArtifactsInput!$N$27+1,20,24,28,32,36,40),0)/100)))+1)),0)</f>
        <v/>
      </c>
      <c r="S3356">
        <f>IFERROR(O3356/N3356,0)</f>
        <v/>
      </c>
      <c r="T3356">
        <f>IF(C3356,(H3356*N3356*IF(AND(Inputs!$B$38&lt;&gt;"pvp",Inputs!$B$43&gt;0),((Skills!G5*((R3356-1)*IF(Skills!H5&gt;0,Skills!I5/Skills!H5,1)+IF(Skills!H5&gt;0,MIN(Skills!I5,MAX(0,MAX(0,Inputs!$B$43-B3391)-((R3356-1)*(IF(Inputs!$B$38="pvp",15,MAX(0.1,Skills!D5-IF(Skills!E5=TRUE,5.0,0)))*(1-IF(AND(ArtifactsInput!$M$27,Inputs!$B$4="Chapter Hunt"),CHOOSE(ArtifactsInput!$N$27+1,20,24,28,32,36,40),0)/100)))))/Skills!H5,1)))/Inputs!$B$43),G3356*Q3356)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3356*(1-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3356*(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3356*(1-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3356*(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6">
        <f>IF(C3356,(H3356*N3356*IF(AND(Inputs!$B$38&lt;&gt;"pvp",Inputs!$B$43&gt;0),((Skills!G5*((R3356-1)*IF(Skills!H5&gt;0,Skills!I5/Skills!H5,1)+IF(Skills!H5&gt;0,MIN(Skills!I5,MAX(0,MAX(0,Inputs!$B$43-B3391)-((R3356-1)*(IF(Inputs!$B$38="pvp",15,MAX(0.1,Skills!D5-IF(Skills!E5=TRUE,5.0,0)))*(1-IF(AND(ArtifactsInput!$M$27,Inputs!$B$4="Chapter Hunt"),CHOOSE(ArtifactsInput!$N$27+1,20,24,28,32,36,40),0)/100)))))/Skills!H5,1)))/Inputs!$B$43),G3356*Q3356))*IF(Inputs!$B$38="pvp",1,(1+(Inputs!$B$21+Skills!Q5+(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7">
      <c r="A3357">
        <f>Skills!A6</f>
        <v/>
      </c>
      <c r="B3357">
        <f>Skills!B6</f>
        <v/>
      </c>
      <c r="C3357">
        <f>Inputs!$B$3&gt;=40</f>
        <v/>
      </c>
      <c r="D3357">
        <f>IF(Skills!C6=1,60+Inputs!$B$25+Inputs!$B$29,IF(Skills!C6=2,90+Inputs!$B$26+Inputs!$B$29,IF(Skills!C6=3,120+Inputs!$B$27+Inputs!$B$29,MAX(0,(Inputs!$B$3-100)*3)+Inputs!$B$28+Inputs!$B$29)))</f>
        <v/>
      </c>
      <c r="E3357">
        <f>INDEX(FactorTable!$B$2:$Y$301, MATCH(ROUND(MIN(300,MAX(1,D3357)),0), FactorTable!$A$2:$A$301,0), Skills!M6+1)</f>
        <v/>
      </c>
      <c r="F3357">
        <f>IF(Skills!N6=TRUE,(Skills!L6/10)*(E3357/1000),Skills!L6/10)+Skills!O6</f>
        <v/>
      </c>
      <c r="G3357">
        <f>Skills!G6*IF(Skills!H6&gt;0,Skills!I6/Skills!H6,1)</f>
        <v/>
      </c>
      <c r="H3357">
        <f>1-(1-Skills!J6/100)^Skills!K6</f>
        <v/>
      </c>
      <c r="I3357" t="inlineStr">
        <is>
          <t>1</t>
        </is>
      </c>
      <c r="J3357">
        <f>((Inputs!$B$6*(1+Inputs!$B$7/100))+(((Inputs!$B$12*(1+Inputs!$B$13/100))-(Inputs!$B$12*(1+Inputs!$B$13/100)))+0.25*(Inputs!$B$14-Inputs!$B$14))*(1+Inputs!$B$7/100))*(F3357/100)</f>
        <v/>
      </c>
      <c r="K3357">
        <f>J3357*(1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3358=TRUE,F3358,0)/100)*(1+(IF(Skills!A6="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3375=TRUE)*(F3375-Calc!F24)),(Inputs!$B$23+((C3380=TRUE)*(F3380-Calc!F29))+(IF(ArtifactsInput!$M$15,CHOOSE(ArtifactsInput!$N$15+1,25,30,35,40,45,50)/100*(Inputs!$B$11-Inputs!$B$11),0))))/100+(Inputs!$B$23+((C3380=TRUE)*(F3380-Calc!F29))+(IF(ArtifactsInput!$M$15,CHOOSE(ArtifactsInput!$N$15+1,25,30,35,40,45,50)/100*(Inputs!$B$11-Inputs!$B$11),0)))/100)/2</f>
        <v/>
      </c>
      <c r="M3357">
        <f>L3357*(1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IF(B3394=0,0,O3357/B3394)</f>
        <v/>
      </c>
      <c r="Q3357">
        <f>IFERROR(1/(IF(Inputs!$B$38="pvp",15,MAX(0.1,Skills!D6-IF(Skills!E6=TRUE,5.0,0)))*(1-IF(AND(ArtifactsInput!$M$27,Inputs!$B$4="Chapter Hunt"),CHOOSE(ArtifactsInput!$N$27+1,20,24,28,32,36,40),0)/100)),0)</f>
        <v/>
      </c>
      <c r="R3357">
        <f>IF(AND(Inputs!$B$38&lt;&gt;"pvp",Inputs!$B$43&gt;0),IF(MAX(0,Inputs!$B$43-B3391)&lt;=0,0,(INT(MAX(0,Inputs!$B$43-B3391)/(IF(Inputs!$B$38="pvp",15,MAX(0.1,Skills!D6-IF(Skills!E6=TRUE,5.0,0)))*(1-IF(AND(ArtifactsInput!$M$27,Inputs!$B$4="Chapter Hunt"),CHOOSE(ArtifactsInput!$N$27+1,20,24,28,32,36,40),0)/100)))+1)),0)</f>
        <v/>
      </c>
      <c r="S3357">
        <f>IFERROR(O3357/N3357,0)</f>
        <v/>
      </c>
      <c r="T3357">
        <f>IF(C3357,(H3357*N3357*IF(AND(Inputs!$B$38&lt;&gt;"pvp",Inputs!$B$43&gt;0),((Skills!G6*((R3357-1)*IF(Skills!H6&gt;0,Skills!I6/Skills!H6,1)+IF(Skills!H6&gt;0,MIN(Skills!I6,MAX(0,MAX(0,Inputs!$B$43-B3391)-((R3357-1)*(IF(Inputs!$B$38="pvp",15,MAX(0.1,Skills!D6-IF(Skills!E6=TRUE,5.0,0)))*(1-IF(AND(ArtifactsInput!$M$27,Inputs!$B$4="Chapter Hunt"),CHOOSE(ArtifactsInput!$N$27+1,20,24,28,32,36,40),0)/100)))))/Skills!H6,1)))/Inputs!$B$43),G3357*Q3357)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3357*(1-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6*((R3357-1)*IF(Skills!H6&gt;0,Skills!I6/Skills!H6,1)+IF(Skills!H6&gt;0,MIN(Skills!I6,MAX(0,MAX(0,Inputs!$B$43-B3391)-((R3357-1)*(IF(Inputs!$B$38="pvp",15,MAX(0.1,Skills!D6-IF(Skills!E6=TRUE,5.0,0)))*(1-IF(AND(ArtifactsInput!$M$27,Inputs!$B$4="Chapter Hunt"),CHOOSE(ArtifactsInput!$N$27+1,20,24,28,32,36,40),0)/100)))))/Skills!H6,1)))/Inputs!$B$43),G3357*Q3357))*IF(Inputs!$B$38="pvp",1,(1+(Inputs!$B$21+Skills!Q6+(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Skills!A7</f>
        <v/>
      </c>
      <c r="B3358">
        <f>Skills!B7</f>
        <v/>
      </c>
      <c r="C3358">
        <f>Inputs!$B$3&gt;=107</f>
        <v/>
      </c>
      <c r="D3358">
        <f>IF(Skills!C7=1,60+Inputs!$B$25+Inputs!$B$29,IF(Skills!C7=2,90+Inputs!$B$26+Inputs!$B$29,IF(Skills!C7=3,120+Inputs!$B$27+Inputs!$B$29,MAX(0,(Inputs!$B$3-100)*3)+Inputs!$B$28+Inputs!$B$29)))</f>
        <v/>
      </c>
      <c r="E3358">
        <f>INDEX(FactorTable!$B$2:$Y$301, MATCH(ROUND(MIN(300,MAX(1,D3358)),0), FactorTable!$A$2:$A$301,0), Skills!M7+1)</f>
        <v/>
      </c>
      <c r="F3358">
        <f>IF(Skills!N7=TRUE,(Skills!L7/10)*(E3358/1000),Skills!L7/10)+Skills!O7</f>
        <v/>
      </c>
      <c r="G3358" t="inlineStr"/>
      <c r="H3358" t="inlineStr"/>
      <c r="I3358" t="inlineStr">
        <is>
          <t>1</t>
        </is>
      </c>
      <c r="J3358" t="inlineStr"/>
      <c r="K3358" t="inlineStr"/>
      <c r="L3358" t="inlineStr"/>
      <c r="M3358" t="inlineStr"/>
      <c r="N3358" t="inlineStr"/>
      <c r="O3358" t="inlineStr"/>
      <c r="P3358" t="inlineStr"/>
      <c r="Q3358" t="inlineStr"/>
      <c r="R3358" t="inlineStr"/>
      <c r="S3358" t="inlineStr"/>
      <c r="T3358" t="inlineStr"/>
      <c r="V3358" t="inlineStr"/>
    </row>
    <row r="3359">
      <c r="A3359">
        <f>Skills!A8</f>
        <v/>
      </c>
      <c r="B3359">
        <f>Skills!B8</f>
        <v/>
      </c>
      <c r="C3359">
        <f>Inputs!$B$3&gt;=69</f>
        <v/>
      </c>
      <c r="D3359">
        <f>IF(Skills!C8=1,60+Inputs!$B$25+Inputs!$B$29,IF(Skills!C8=2,90+Inputs!$B$26+Inputs!$B$29,IF(Skills!C8=3,120+Inputs!$B$27+Inputs!$B$29,MAX(0,(Inputs!$B$3-100)*3)+Inputs!$B$28+Inputs!$B$29)))</f>
        <v/>
      </c>
      <c r="E3359">
        <f>INDEX(FactorTable!$B$2:$Y$301, MATCH(ROUND(MIN(300,MAX(1,D3359)),0), FactorTable!$A$2:$A$301,0), Skills!M8+1)</f>
        <v/>
      </c>
      <c r="F3359">
        <f>IF(Skills!N8=TRUE,(Skills!L8/10)*(E3359/1000),Skills!L8/10)+Skills!O8</f>
        <v/>
      </c>
      <c r="G3359">
        <f>Skills!G8*IF(Skills!H8&gt;0,Skills!I8/Skills!H8,1)</f>
        <v/>
      </c>
      <c r="H3359">
        <f>1-(1-Skills!J8/100)^Skills!K8</f>
        <v/>
      </c>
      <c r="I3359" t="inlineStr">
        <is>
          <t>1</t>
        </is>
      </c>
      <c r="J3359">
        <f>((Inputs!$B$6*(1+Inputs!$B$7/100))+(((Inputs!$B$12*(1+Inputs!$B$13/100))-(Inputs!$B$12*(1+Inputs!$B$13/100)))+0.25*(Inputs!$B$14-Inputs!$B$14))*(1+Inputs!$B$7/100))*(F3359/100)</f>
        <v/>
      </c>
      <c r="K3359">
        <f>J3359*(1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3361=TRUE,F3361,0)/100)*(1+(IF(Skills!A8="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3375=TRUE)*(F3375-Calc!F24)),(Inputs!$B$23+((C3380=TRUE)*(F3380-Calc!F29))+(IF(ArtifactsInput!$M$15,CHOOSE(ArtifactsInput!$N$15+1,25,30,35,40,45,50)/100*(Inputs!$B$11-Inputs!$B$11),0))))/100+(Inputs!$B$23+((C3380=TRUE)*(F3380-Calc!F29))+(IF(ArtifactsInput!$M$15,CHOOSE(ArtifactsInput!$N$15+1,25,30,35,40,45,50)/100*(Inputs!$B$11-Inputs!$B$11),0)))/100)/2</f>
        <v/>
      </c>
      <c r="M3359">
        <f>L3359*(1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IF(B3394=0,0,O3359/B3394)</f>
        <v/>
      </c>
      <c r="Q3359">
        <f>IFERROR(1/(IF(Inputs!$B$38="pvp",15,MAX(0.1,Skills!D8-IF(Skills!E8=TRUE,5.0,0)))*(1-IF(AND(ArtifactsInput!$M$27,Inputs!$B$4="Chapter Hunt"),CHOOSE(ArtifactsInput!$N$27+1,20,24,28,32,36,40),0)/100)),0)</f>
        <v/>
      </c>
      <c r="R3359">
        <f>IF(AND(Inputs!$B$38&lt;&gt;"pvp",Inputs!$B$43&gt;0),IF(MAX(0,Inputs!$B$43-B3391)&lt;=0,0,(INT(MAX(0,Inputs!$B$43-B3391)/(IF(Inputs!$B$38="pvp",15,MAX(0.1,Skills!D8-IF(Skills!E8=TRUE,5.0,0)))*(1-IF(AND(ArtifactsInput!$M$27,Inputs!$B$4="Chapter Hunt"),CHOOSE(ArtifactsInput!$N$27+1,20,24,28,32,36,40),0)/100)))+1)),0)</f>
        <v/>
      </c>
      <c r="S3359">
        <f>IFERROR(O3359/N3359,0)</f>
        <v/>
      </c>
      <c r="T3359">
        <f>IF(C3359,(H3359*N3359*IF(AND(Inputs!$B$38&lt;&gt;"pvp",Inputs!$B$43&gt;0),((Skills!G8*((R3359-1)*IF(Skills!H8&gt;0,Skills!I8/Skills!H8,1)+IF(Skills!H8&gt;0,MIN(Skills!I8,MAX(0,MAX(0,Inputs!$B$43-B3391)-((R3359-1)*(IF(Inputs!$B$38="pvp",15,MAX(0.1,Skills!D8-IF(Skills!E8=TRUE,5.0,0)))*(1-IF(AND(ArtifactsInput!$M$27,Inputs!$B$4="Chapter Hunt"),CHOOSE(ArtifactsInput!$N$27+1,20,24,28,32,36,40),0)/100)))))/Skills!H8,1)))/Inputs!$B$43),G3359*Q3359)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3359*(1-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8*((R3359-1)*IF(Skills!H8&gt;0,Skills!I8/Skills!H8,1)+IF(Skills!H8&gt;0,MIN(Skills!I8,MAX(0,MAX(0,Inputs!$B$43-B3391)-((R3359-1)*(IF(Inputs!$B$38="pvp",15,MAX(0.1,Skills!D8-IF(Skills!E8=TRUE,5.0,0)))*(1-IF(AND(ArtifactsInput!$M$27,Inputs!$B$4="Chapter Hunt"),CHOOSE(ArtifactsInput!$N$27+1,20,24,28,32,36,40),0)/100)))))/Skills!H8,1)))/Inputs!$B$43),G3359*Q3359))*IF(Inputs!$B$38="pvp",1,(1+(Inputs!$B$21+Skills!Q8+(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Skills!A9</f>
        <v/>
      </c>
      <c r="B3360">
        <f>Skills!B9</f>
        <v/>
      </c>
      <c r="C3360">
        <f>Inputs!$B$3&gt;=63</f>
        <v/>
      </c>
      <c r="D3360">
        <f>IF(Skills!C9=1,60+Inputs!$B$25+Inputs!$B$29,IF(Skills!C9=2,90+Inputs!$B$26+Inputs!$B$29,IF(Skills!C9=3,120+Inputs!$B$27+Inputs!$B$29,MAX(0,(Inputs!$B$3-100)*3)+Inputs!$B$28+Inputs!$B$29)))</f>
        <v/>
      </c>
      <c r="E3360">
        <f>INDEX(FactorTable!$B$2:$Y$301, MATCH(ROUND(MIN(300,MAX(1,D3360)),0), FactorTable!$A$2:$A$301,0), Skills!M9+1)</f>
        <v/>
      </c>
      <c r="F3360">
        <f>IF(Skills!N9=TRUE,(Skills!L9/10)*(E3360/1000),Skills!L9/10)+Skills!O9</f>
        <v/>
      </c>
      <c r="G3360">
        <f>Skills!G9*IF(Skills!H9&gt;0,Skills!I9/Skills!H9,1)</f>
        <v/>
      </c>
      <c r="H3360">
        <f>1-(1-Skills!J9/100)^Skills!K9</f>
        <v/>
      </c>
      <c r="I3360" t="inlineStr">
        <is>
          <t>1</t>
        </is>
      </c>
      <c r="J3360">
        <f>((Inputs!$B$6*(1+Inputs!$B$7/100))+(((Inputs!$B$12*(1+Inputs!$B$13/100))-(Inputs!$B$12*(1+Inputs!$B$13/100)))+0.25*(Inputs!$B$14-Inputs!$B$14))*(1+Inputs!$B$7/100))*(F3360/100)</f>
        <v/>
      </c>
      <c r="K3360">
        <f>J3360*(1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3361=TRUE,F3361,0)/100)*(1+(IF(Skills!A9="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3375=TRUE)*(F3375-Calc!F24)),(Inputs!$B$23+((C3380=TRUE)*(F3380-Calc!F29))+(IF(ArtifactsInput!$M$15,CHOOSE(ArtifactsInput!$N$15+1,25,30,35,40,45,50)/100*(Inputs!$B$11-Inputs!$B$11),0))))/100+(Inputs!$B$23+((C3380=TRUE)*(F3380-Calc!F29))+(IF(ArtifactsInput!$M$15,CHOOSE(ArtifactsInput!$N$15+1,25,30,35,40,45,50)/100*(Inputs!$B$11-Inputs!$B$11),0)))/100)/2</f>
        <v/>
      </c>
      <c r="M3360">
        <f>L3360*(1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IF(B3394=0,0,O3360/B3394)</f>
        <v/>
      </c>
      <c r="Q3360">
        <f>IFERROR(1/(IF(Inputs!$B$38="pvp",15,MAX(0.1,Skills!D9-IF(Skills!E9=TRUE,5.0,0)))*(1-IF(AND(ArtifactsInput!$M$27,Inputs!$B$4="Chapter Hunt"),CHOOSE(ArtifactsInput!$N$27+1,20,24,28,32,36,40),0)/100)),0)</f>
        <v/>
      </c>
      <c r="R3360">
        <f>IF(AND(Inputs!$B$38&lt;&gt;"pvp",Inputs!$B$43&gt;0),IF(MAX(0,Inputs!$B$43-B3391)&lt;=0,0,(INT(MAX(0,Inputs!$B$43-B3391)/(IF(Inputs!$B$38="pvp",15,MAX(0.1,Skills!D9-IF(Skills!E9=TRUE,5.0,0)))*(1-IF(AND(ArtifactsInput!$M$27,Inputs!$B$4="Chapter Hunt"),CHOOSE(ArtifactsInput!$N$27+1,20,24,28,32,36,40),0)/100)))+1)),0)</f>
        <v/>
      </c>
      <c r="S3360">
        <f>IFERROR(O3360/N3360,0)</f>
        <v/>
      </c>
      <c r="T3360">
        <f>IF(C3360,(H3360*N3360*IF(AND(Inputs!$B$38&lt;&gt;"pvp",Inputs!$B$43&gt;0),((Skills!G9*((R3360-1)*IF(Skills!H9&gt;0,Skills!I9/Skills!H9,1)+IF(Skills!H9&gt;0,MIN(Skills!I9,MAX(0,MAX(0,Inputs!$B$43-B3391)-((R3360-1)*(IF(Inputs!$B$38="pvp",15,MAX(0.1,Skills!D9-IF(Skills!E9=TRUE,5.0,0)))*(1-IF(AND(ArtifactsInput!$M$27,Inputs!$B$4="Chapter Hunt"),CHOOSE(ArtifactsInput!$N$27+1,20,24,28,32,36,40),0)/100)))))/Skills!H9,1)))/Inputs!$B$43),G3360*Q3360)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3360*(1-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9*((R3360-1)*IF(Skills!H9&gt;0,Skills!I9/Skills!H9,1)+IF(Skills!H9&gt;0,MIN(Skills!I9,MAX(0,MAX(0,Inputs!$B$43-B3391)-((R3360-1)*(IF(Inputs!$B$38="pvp",15,MAX(0.1,Skills!D9-IF(Skills!E9=TRUE,5.0,0)))*(1-IF(AND(ArtifactsInput!$M$27,Inputs!$B$4="Chapter Hunt"),CHOOSE(ArtifactsInput!$N$27+1,20,24,28,32,36,40),0)/100)))))/Skills!H9,1)))/Inputs!$B$43),G3360*Q3360))*IF(Inputs!$B$38="pvp",1,(1+(Inputs!$B$21+Skills!Q9+(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Skills!A10</f>
        <v/>
      </c>
      <c r="B3361">
        <f>Skills!B10</f>
        <v/>
      </c>
      <c r="C3361">
        <f>Inputs!$B$3&gt;=100</f>
        <v/>
      </c>
      <c r="D3361">
        <f>IF(Skills!C10=1,60+Inputs!$B$25+Inputs!$B$29,IF(Skills!C10=2,90+Inputs!$B$26+Inputs!$B$29,IF(Skills!C10=3,120+Inputs!$B$27+Inputs!$B$29,MAX(0,(Inputs!$B$3-100)*3)+Inputs!$B$28+Inputs!$B$29)))</f>
        <v/>
      </c>
      <c r="E3361">
        <f>INDEX(FactorTable!$B$2:$Y$301, MATCH(ROUND(MIN(300,MAX(1,D3361)),0), FactorTable!$A$2:$A$301,0), Skills!M10+1)</f>
        <v/>
      </c>
      <c r="F3361">
        <f>IF(Skills!N10=TRUE,(Skills!L10/10)*(E3361/1000),Skills!L10/10)+Skills!O10</f>
        <v/>
      </c>
      <c r="G3361" t="inlineStr"/>
      <c r="H3361" t="inlineStr"/>
      <c r="I3361" t="inlineStr">
        <is>
          <t>1</t>
        </is>
      </c>
      <c r="J3361" t="inlineStr"/>
      <c r="K3361" t="inlineStr"/>
      <c r="L3361" t="inlineStr"/>
      <c r="M3361" t="inlineStr"/>
      <c r="N3361" t="inlineStr"/>
      <c r="O3361" t="inlineStr"/>
      <c r="P3361" t="inlineStr"/>
      <c r="Q3361" t="inlineStr"/>
      <c r="R3361" t="inlineStr"/>
      <c r="S3361" t="inlineStr"/>
      <c r="T3361" t="inlineStr"/>
      <c r="V3361" t="inlineStr"/>
    </row>
    <row r="3362">
      <c r="A3362">
        <f>Skills!A11</f>
        <v/>
      </c>
      <c r="B3362">
        <f>Skills!B11</f>
        <v/>
      </c>
      <c r="C3362">
        <f>Inputs!$B$3&gt;=60</f>
        <v/>
      </c>
      <c r="D3362">
        <f>IF(Skills!C11=1,60+Inputs!$B$25+Inputs!$B$29,IF(Skills!C11=2,90+Inputs!$B$26+Inputs!$B$29,IF(Skills!C11=3,120+Inputs!$B$27+Inputs!$B$29,MAX(0,(Inputs!$B$3-100)*3)+Inputs!$B$28+Inputs!$B$29)))</f>
        <v/>
      </c>
      <c r="E3362">
        <f>INDEX(FactorTable!$B$2:$Y$301, MATCH(ROUND(MIN(300,MAX(1,D3362)),0), FactorTable!$A$2:$A$301,0), Skills!M11+1)</f>
        <v/>
      </c>
      <c r="F3362">
        <f>IF(Skills!N11=TRUE,(Skills!L11/10)*(E3362/1000),Skills!L11/10)+Skills!O11</f>
        <v/>
      </c>
      <c r="G3362">
        <f>Skills!G11*IF(Skills!H11&gt;0,Skills!I11/Skills!H11,1)</f>
        <v/>
      </c>
      <c r="H3362">
        <f>1-(1-Skills!J11/100)^Skills!K11</f>
        <v/>
      </c>
      <c r="I3362" t="inlineStr">
        <is>
          <t>1</t>
        </is>
      </c>
      <c r="J3362">
        <f>((Inputs!$B$6*(1+Inputs!$B$7/100))+(((Inputs!$B$12*(1+Inputs!$B$13/100))-(Inputs!$B$12*(1+Inputs!$B$13/100)))+0.25*(Inputs!$B$14-Inputs!$B$14))*(1+Inputs!$B$7/100))*(F3362/100)</f>
        <v/>
      </c>
      <c r="K3362">
        <f>J3362*(1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3363=TRUE,F3363,0)/100)*(1+(IF(Skills!A11="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3375=TRUE)*(F3375-Calc!F24)),(Inputs!$B$23+((C3380=TRUE)*(F3380-Calc!F29))+(IF(ArtifactsInput!$M$15,CHOOSE(ArtifactsInput!$N$15+1,25,30,35,40,45,50)/100*(Inputs!$B$11-Inputs!$B$11),0))))/100+(Inputs!$B$23+((C3380=TRUE)*(F3380-Calc!F29))+(IF(ArtifactsInput!$M$15,CHOOSE(ArtifactsInput!$N$15+1,25,30,35,40,45,50)/100*(Inputs!$B$11-Inputs!$B$11),0)))/100)/2</f>
        <v/>
      </c>
      <c r="M3362">
        <f>L3362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IF(B3394=0,0,O3362/B3394)</f>
        <v/>
      </c>
      <c r="Q3362">
        <f>IFERROR(1/(IF(Inputs!$B$38="pvp",15,MAX(0.1,Skills!D11-IF(Skills!E11=TRUE,5.0,0)))*(1-IF(AND(ArtifactsInput!$M$27,Inputs!$B$4="Chapter Hunt"),CHOOSE(ArtifactsInput!$N$27+1,20,24,28,32,36,40),0)/100)),0)</f>
        <v/>
      </c>
      <c r="R3362">
        <f>IF(AND(Inputs!$B$38&lt;&gt;"pvp",Inputs!$B$43&gt;0),IF(MAX(0,Inputs!$B$43-B3391)&lt;=0,0,(INT(MAX(0,Inputs!$B$43-B3391)/(IF(Inputs!$B$38="pvp",15,MAX(0.1,Skills!D11-IF(Skills!E11=TRUE,5.0,0)))*(1-IF(AND(ArtifactsInput!$M$27,Inputs!$B$4="Chapter Hunt"),CHOOSE(ArtifactsInput!$N$27+1,20,24,28,32,36,40),0)/100)))+1)),0)</f>
        <v/>
      </c>
      <c r="S3362">
        <f>IFERROR(O3362/N3362,0)</f>
        <v/>
      </c>
      <c r="T3362">
        <f>IF(C3362,(H3362*N3362*IF(AND(Inputs!$B$38&lt;&gt;"pvp",Inputs!$B$43&gt;0),((Skills!G11*((R3362-1)*IF(Skills!H11&gt;0,Skills!I11/Skills!H11,1)+IF(Skills!H11&gt;0,MIN(Skills!I11,MAX(0,MAX(0,Inputs!$B$43-B3391)-((R3362-1)*(IF(Inputs!$B$38="pvp",15,MAX(0.1,Skills!D11-IF(Skills!E11=TRUE,5.0,0)))*(1-IF(AND(ArtifactsInput!$M$27,Inputs!$B$4="Chapter Hunt"),CHOOSE(ArtifactsInput!$N$27+1,20,24,28,32,36,40),0)/100)))))/Skills!H11,1)))/Inputs!$B$43),G3362*Q3362)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3362*(1-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11*((R3362-1)*IF(Skills!H11&gt;0,Skills!I11/Skills!H11,1)+IF(Skills!H11&gt;0,MIN(Skills!I11,MAX(0,MAX(0,Inputs!$B$43-B3391)-((R3362-1)*(IF(Inputs!$B$38="pvp",15,MAX(0.1,Skills!D11-IF(Skills!E11=TRUE,5.0,0)))*(1-IF(AND(ArtifactsInput!$M$27,Inputs!$B$4="Chapter Hunt"),CHOOSE(ArtifactsInput!$N$27+1,20,24,28,32,36,40),0)/100)))))/Skills!H11,1)))/Inputs!$B$43),G3362*Q3362))*IF(Inputs!$B$38="pvp",1,(1+(Inputs!$B$21+Skills!Q11+(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Skills!A12</f>
        <v/>
      </c>
      <c r="B3363">
        <f>Skills!B12</f>
        <v/>
      </c>
      <c r="C3363">
        <f>Inputs!$B$3&gt;=110</f>
        <v/>
      </c>
      <c r="D3363">
        <f>IF(Skills!C12=1,60+Inputs!$B$25+Inputs!$B$29,IF(Skills!C12=2,90+Inputs!$B$26+Inputs!$B$29,IF(Skills!C12=3,120+Inputs!$B$27+Inputs!$B$29,MAX(0,(Inputs!$B$3-100)*3)+Inputs!$B$28+Inputs!$B$29)))</f>
        <v/>
      </c>
      <c r="E3363">
        <f>INDEX(FactorTable!$B$2:$Y$301, MATCH(ROUND(MIN(300,MAX(1,D3363)),0), FactorTable!$A$2:$A$301,0), Skills!M12+1)</f>
        <v/>
      </c>
      <c r="F3363">
        <f>IF(Skills!N12=TRUE,(Skills!L12/10)*(E3363/1000),Skills!L12/10)+Skills!O12</f>
        <v/>
      </c>
      <c r="G3363" t="inlineStr"/>
      <c r="H3363" t="inlineStr"/>
      <c r="I3363" t="inlineStr">
        <is>
          <t>1</t>
        </is>
      </c>
      <c r="J3363" t="inlineStr"/>
      <c r="K3363" t="inlineStr"/>
      <c r="L3363" t="inlineStr"/>
      <c r="M3363" t="inlineStr"/>
      <c r="N3363" t="inlineStr"/>
      <c r="O3363" t="inlineStr"/>
      <c r="P3363" t="inlineStr"/>
      <c r="Q3363" t="inlineStr"/>
      <c r="R3363" t="inlineStr"/>
      <c r="S3363" t="inlineStr"/>
      <c r="T3363" t="inlineStr"/>
      <c r="V3363" t="inlineStr"/>
    </row>
    <row r="3364">
      <c r="A3364">
        <f>Skills!A13</f>
        <v/>
      </c>
      <c r="B3364">
        <f>Skills!B13</f>
        <v/>
      </c>
      <c r="C3364">
        <f>Inputs!$B$3&gt;=74</f>
        <v/>
      </c>
      <c r="D3364">
        <f>IF(Skills!C13=1,60+Inputs!$B$25+Inputs!$B$29,IF(Skills!C13=2,90+Inputs!$B$26+Inputs!$B$29,IF(Skills!C13=3,120+Inputs!$B$27+Inputs!$B$29,MAX(0,(Inputs!$B$3-100)*3)+Inputs!$B$28+Inputs!$B$29)))</f>
        <v/>
      </c>
      <c r="E3364">
        <f>INDEX(FactorTable!$B$2:$Y$301, MATCH(ROUND(MIN(300,MAX(1,D3364)),0), FactorTable!$A$2:$A$301,0), Skills!M13+1)</f>
        <v/>
      </c>
      <c r="F3364">
        <f>IF(Skills!N13=TRUE,(Skills!L13/10)*(E3364/1000),Skills!L13/10)+Skills!O13</f>
        <v/>
      </c>
      <c r="G3364">
        <f>Skills!G13*IF(Skills!H13&gt;0,Skills!I13/Skills!H13,1)</f>
        <v/>
      </c>
      <c r="H3364">
        <f>1-(1-Skills!J13/100)^Skills!K13</f>
        <v/>
      </c>
      <c r="I3364" t="inlineStr">
        <is>
          <t>1</t>
        </is>
      </c>
      <c r="J3364" t="inlineStr"/>
      <c r="K3364" t="inlineStr"/>
      <c r="L3364" t="inlineStr"/>
      <c r="M3364" t="inlineStr"/>
      <c r="N3364" t="inlineStr"/>
      <c r="O3364">
        <f>(1-Summary!$B$11)*T3364+Summary!$B$11*V3364</f>
        <v/>
      </c>
      <c r="P3364">
        <f>IF(B3394=0,0,O3364/B3394)</f>
        <v/>
      </c>
      <c r="Q3364" t="n">
        <v>0</v>
      </c>
      <c r="R3364" t="n">
        <v>0</v>
      </c>
      <c r="S3364">
        <f>IFERROR(O3364/N3364,0)</f>
        <v/>
      </c>
      <c r="T3364" t="n">
        <v>0</v>
      </c>
      <c r="V3364" t="n">
        <v>0</v>
      </c>
    </row>
    <row r="3365">
      <c r="A3365">
        <f>Skills!A14</f>
        <v/>
      </c>
      <c r="B3365">
        <f>Skills!B14</f>
        <v/>
      </c>
      <c r="C3365">
        <f>Inputs!$B$3&gt;=74</f>
        <v/>
      </c>
      <c r="D3365">
        <f>IF(Skills!C14=1,60+Inputs!$B$25+Inputs!$B$29,IF(Skills!C14=2,90+Inputs!$B$26+Inputs!$B$29,IF(Skills!C14=3,120+Inputs!$B$27+Inputs!$B$29,MAX(0,(Inputs!$B$3-100)*3)+Inputs!$B$28+Inputs!$B$29)))</f>
        <v/>
      </c>
      <c r="E3365">
        <f>INDEX(FactorTable!$B$2:$Y$301, MATCH(ROUND(MIN(300,MAX(1,D3365)),0), FactorTable!$A$2:$A$301,0), Skills!M14+1)</f>
        <v/>
      </c>
      <c r="F3365">
        <f>IF(Skills!N14=TRUE,(Skills!L14/10)*(E3365/1000),Skills!L14/10)+Skills!O14</f>
        <v/>
      </c>
      <c r="G3365">
        <f>Skills!G14*IF(Skills!H14&gt;0,Skills!I14/Skills!H14,1)</f>
        <v/>
      </c>
      <c r="H3365">
        <f>1-(1-Skills!J14/100)^Skills!K14</f>
        <v/>
      </c>
      <c r="I3365" t="inlineStr">
        <is>
          <t>1</t>
        </is>
      </c>
      <c r="J3365" t="inlineStr"/>
      <c r="K3365" t="inlineStr"/>
      <c r="L3365" t="inlineStr"/>
      <c r="M3365" t="inlineStr"/>
      <c r="N3365" t="inlineStr"/>
      <c r="O3365">
        <f>(1-Summary!$B$11)*T3365+Summary!$B$11*V3365</f>
        <v/>
      </c>
      <c r="P3365">
        <f>IF(B3394=0,0,O3365/B3394)</f>
        <v/>
      </c>
      <c r="Q3365" t="n">
        <v>0</v>
      </c>
      <c r="R3365" t="n">
        <v>0</v>
      </c>
      <c r="S3365">
        <f>IFERROR(O3365/N3365,0)</f>
        <v/>
      </c>
      <c r="T3365" t="n">
        <v>0</v>
      </c>
      <c r="V3365" t="n">
        <v>0</v>
      </c>
    </row>
    <row r="3366">
      <c r="A3366">
        <f>Skills!A15</f>
        <v/>
      </c>
      <c r="B3366">
        <f>Skills!B15</f>
        <v/>
      </c>
      <c r="C3366">
        <f>Inputs!$B$3&gt;=117</f>
        <v/>
      </c>
      <c r="D3366">
        <f>IF(Skills!C15=1,60+Inputs!$B$25+Inputs!$B$29,IF(Skills!C15=2,90+Inputs!$B$26+Inputs!$B$29,IF(Skills!C15=3,120+Inputs!$B$27+Inputs!$B$29,MAX(0,(Inputs!$B$3-100)*3)+Inputs!$B$28+Inputs!$B$29)))</f>
        <v/>
      </c>
      <c r="E3366">
        <f>INDEX(FactorTable!$B$2:$Y$301, MATCH(ROUND(MIN(300,MAX(1,D3366)),0), FactorTable!$A$2:$A$301,0), Skills!M15+1)</f>
        <v/>
      </c>
      <c r="F3366">
        <f>IF(Skills!N15=TRUE,(Skills!L15/10)*(E3366/1000),Skills!L15/10)+Skills!O15</f>
        <v/>
      </c>
      <c r="G3366">
        <f>Skills!G15*IF(Skills!H15&gt;0,Skills!I15/Skills!H15,1)</f>
        <v/>
      </c>
      <c r="H3366">
        <f>1-(1-Skills!J15/100)^Skills!K15</f>
        <v/>
      </c>
      <c r="I3366" t="inlineStr">
        <is>
          <t>1</t>
        </is>
      </c>
      <c r="J3366" t="inlineStr"/>
      <c r="K3366" t="inlineStr"/>
      <c r="L3366" t="inlineStr"/>
      <c r="M3366" t="inlineStr"/>
      <c r="N3366" t="inlineStr"/>
      <c r="O3366">
        <f>(1-Summary!$B$11)*T3366+Summary!$B$11*V3366</f>
        <v/>
      </c>
      <c r="P3366">
        <f>IF(B3394=0,0,O3366/B3394)</f>
        <v/>
      </c>
      <c r="Q3366">
        <f>IFERROR(1/(IF(Inputs!$B$38="pvp",15,MAX(0.1,Skills!D15-IF(Skills!E15=TRUE,5.0,0)))*(1-IF(AND(ArtifactsInput!$M$27,Inputs!$B$4="Chapter Hunt"),CHOOSE(ArtifactsInput!$N$27+1,20,24,28,32,36,40),0)/100)),0)</f>
        <v/>
      </c>
      <c r="R3366">
        <f>IF(AND(Inputs!$B$38&lt;&gt;"pvp",Inputs!$B$43&gt;0),IF(Inputs!$B$43&lt;=0,0,(INT(Inputs!$B$43/(IF(Inputs!$B$38="pvp",15,MAX(0.1,Skills!D15-IF(Skills!E15=TRUE,5.0,0)))*(1-IF(AND(ArtifactsInput!$M$27,Inputs!$B$4="Chapter Hunt"),CHOOSE(ArtifactsInput!$N$27+1,20,24,28,32,36,40),0)/100)))+1)),0)</f>
        <v/>
      </c>
      <c r="S3366">
        <f>IFERROR(O3366/N3366,0)</f>
        <v/>
      </c>
      <c r="T3366" t="n">
        <v>0</v>
      </c>
      <c r="V3366" t="n">
        <v>0</v>
      </c>
    </row>
    <row r="3367">
      <c r="A3367">
        <f>Skills!A16</f>
        <v/>
      </c>
      <c r="B3367">
        <f>Skills!B16</f>
        <v/>
      </c>
      <c r="C3367">
        <f>Inputs!$B$3&gt;=115</f>
        <v/>
      </c>
      <c r="D3367">
        <f>IF(Skills!C16=1,60+Inputs!$B$25+Inputs!$B$29,IF(Skills!C16=2,90+Inputs!$B$26+Inputs!$B$29,IF(Skills!C16=3,120+Inputs!$B$27+Inputs!$B$29,MAX(0,(Inputs!$B$3-100)*3)+Inputs!$B$28+Inputs!$B$29)))</f>
        <v/>
      </c>
      <c r="E3367">
        <f>INDEX(FactorTable!$B$2:$Y$301, MATCH(ROUND(MIN(300,MAX(1,D3367)),0), FactorTable!$A$2:$A$301,0), Skills!M16+1)</f>
        <v/>
      </c>
      <c r="F3367">
        <f>IF(Skills!N16=TRUE,(Skills!L16/10)*(E3367/1000),Skills!L16/10)+Skills!O16</f>
        <v/>
      </c>
      <c r="G3367">
        <f>Skills!G16*IF(Skills!H16&gt;0,Skills!I16/Skills!H16,1)</f>
        <v/>
      </c>
      <c r="H3367">
        <f>1-(1-Skills!J16/100)^Skills!K16</f>
        <v/>
      </c>
      <c r="I3367" t="inlineStr">
        <is>
          <t>1</t>
        </is>
      </c>
      <c r="J3367" t="inlineStr"/>
      <c r="K3367" t="inlineStr"/>
      <c r="L3367" t="inlineStr"/>
      <c r="M3367" t="inlineStr"/>
      <c r="N3367" t="inlineStr"/>
      <c r="O3367">
        <f>(1-Summary!$B$11)*T3367+Summary!$B$11*V3367</f>
        <v/>
      </c>
      <c r="P3367">
        <f>IF(B3394=0,0,O3367/B3394)</f>
        <v/>
      </c>
      <c r="Q3367">
        <f>IFERROR(1/(IF(Inputs!$B$38="pvp",15,MAX(0.1,Skills!D16-IF(Skills!E16=TRUE,5.0,0)))*(1-IF(AND(ArtifactsInput!$M$27,Inputs!$B$4="Chapter Hunt"),CHOOSE(ArtifactsInput!$N$27+1,20,24,28,32,36,40),0)/100)),0)</f>
        <v/>
      </c>
      <c r="R3367">
        <f>IF(AND(Inputs!$B$38&lt;&gt;"pvp",Inputs!$B$43&gt;0),IF(Inputs!$B$43&lt;=0,0,(INT(Inputs!$B$43/(IF(Inputs!$B$38="pvp",15,MAX(0.1,Skills!D16-IF(Skills!E16=TRUE,5.0,0)))*(1-IF(AND(ArtifactsInput!$M$27,Inputs!$B$4="Chapter Hunt"),CHOOSE(ArtifactsInput!$N$27+1,20,24,28,32,36,40),0)/100)))+1)),0)</f>
        <v/>
      </c>
      <c r="S3367">
        <f>IFERROR(O3367/N3367,0)</f>
        <v/>
      </c>
      <c r="T3367" t="n">
        <v>0</v>
      </c>
      <c r="V3367" t="n">
        <v>0</v>
      </c>
    </row>
    <row r="3368">
      <c r="A3368">
        <f>Skills!A17</f>
        <v/>
      </c>
      <c r="B3368">
        <f>Skills!B17</f>
        <v/>
      </c>
      <c r="C3368">
        <f>Inputs!$B$3&gt;=66</f>
        <v/>
      </c>
      <c r="D3368">
        <f>IF(Skills!C17=1,60+Inputs!$B$25+Inputs!$B$29,IF(Skills!C17=2,90+Inputs!$B$26+Inputs!$B$29,IF(Skills!C17=3,120+Inputs!$B$27+Inputs!$B$29,MAX(0,(Inputs!$B$3-100)*3)+Inputs!$B$28+Inputs!$B$29)))</f>
        <v/>
      </c>
      <c r="E3368">
        <f>INDEX(FactorTable!$B$2:$Y$301, MATCH(ROUND(MIN(300,MAX(1,D3368)),0), FactorTable!$A$2:$A$301,0), Skills!M17+1)</f>
        <v/>
      </c>
      <c r="F3368">
        <f>IF(Skills!N17=TRUE,(Skills!L17/10)*(E3368/1000),Skills!L17/10)+Skills!O17</f>
        <v/>
      </c>
      <c r="G3368">
        <f>Skills!G17*IF(Skills!H17&gt;0,Skills!I17/Skills!H17,1)</f>
        <v/>
      </c>
      <c r="H3368">
        <f>1-(1-Skills!J17/100)^Skills!K17</f>
        <v/>
      </c>
      <c r="I3368" t="inlineStr">
        <is>
          <t>1</t>
        </is>
      </c>
      <c r="J3368" t="inlineStr"/>
      <c r="K3368" t="inlineStr"/>
      <c r="L3368" t="inlineStr"/>
      <c r="M3368" t="inlineStr"/>
      <c r="N3368" t="inlineStr"/>
      <c r="O3368">
        <f>(1-Summary!$B$11)*T3368+Summary!$B$11*V3368</f>
        <v/>
      </c>
      <c r="P3368">
        <f>IF(B3394=0,0,O3368/B3394)</f>
        <v/>
      </c>
      <c r="Q3368" t="n">
        <v>0</v>
      </c>
      <c r="R3368" t="n">
        <v>0</v>
      </c>
      <c r="S3368">
        <f>IFERROR(O3368/N3368,0)</f>
        <v/>
      </c>
      <c r="T3368" t="n">
        <v>0</v>
      </c>
      <c r="V3368" t="n">
        <v>0</v>
      </c>
    </row>
    <row r="3369">
      <c r="A3369">
        <f>Skills!A18</f>
        <v/>
      </c>
      <c r="B3369">
        <f>Skills!B18</f>
        <v/>
      </c>
      <c r="C3369">
        <f>Inputs!$B$3&gt;=72</f>
        <v/>
      </c>
      <c r="D3369">
        <f>IF(Skills!C18=1,60+Inputs!$B$25+Inputs!$B$29,IF(Skills!C18=2,90+Inputs!$B$26+Inputs!$B$29,IF(Skills!C18=3,120+Inputs!$B$27+Inputs!$B$29,MAX(0,(Inputs!$B$3-100)*3)+Inputs!$B$28+Inputs!$B$29)))</f>
        <v/>
      </c>
      <c r="E3369">
        <f>INDEX(FactorTable!$B$2:$Y$301, MATCH(ROUND(MIN(300,MAX(1,D3369)),0), FactorTable!$A$2:$A$301,0), Skills!M18+1)</f>
        <v/>
      </c>
      <c r="F3369">
        <f>IF(Skills!N18=TRUE,(Skills!L18/10)*(E3369/1000),Skills!L18/10)+Skills!O18</f>
        <v/>
      </c>
      <c r="G3369">
        <f>Skills!G18*IF(Skills!H18&gt;0,Skills!I18/Skills!H18,1)</f>
        <v/>
      </c>
      <c r="H3369">
        <f>1-(1-Skills!J18/100)^Skills!K18</f>
        <v/>
      </c>
      <c r="I3369" t="inlineStr">
        <is>
          <t>1</t>
        </is>
      </c>
      <c r="J3369" t="inlineStr"/>
      <c r="K3369" t="inlineStr"/>
      <c r="L3369" t="inlineStr"/>
      <c r="M3369" t="inlineStr"/>
      <c r="N3369" t="inlineStr"/>
      <c r="O3369">
        <f>(1-Summary!$B$11)*T3369+Summary!$B$11*V3369</f>
        <v/>
      </c>
      <c r="P3369">
        <f>IF(B3394=0,0,O3369/B3394)</f>
        <v/>
      </c>
      <c r="Q3369" t="n">
        <v>0</v>
      </c>
      <c r="R3369" t="n">
        <v>0</v>
      </c>
      <c r="S3369">
        <f>IFERROR(O3369/N3369,0)</f>
        <v/>
      </c>
      <c r="T3369" t="n">
        <v>0</v>
      </c>
      <c r="V3369" t="n">
        <v>0</v>
      </c>
    </row>
    <row r="3370">
      <c r="A3370">
        <f>Skills!A19</f>
        <v/>
      </c>
      <c r="B3370">
        <f>Skills!B19</f>
        <v/>
      </c>
      <c r="C3370">
        <f>TRUE</f>
        <v/>
      </c>
      <c r="D3370">
        <f>IF(Skills!C19=1,60+Inputs!$B$25+Inputs!$B$29,IF(Skills!C19=2,90+Inputs!$B$26+Inputs!$B$29,IF(Skills!C19=3,120+Inputs!$B$27+Inputs!$B$29,MAX(0,(Inputs!$B$3-100)*3)+Inputs!$B$28+Inputs!$B$29)))</f>
        <v/>
      </c>
      <c r="E3370">
        <f>INDEX(FactorTable!$B$2:$Y$301, MATCH(ROUND(MIN(300,MAX(1,D3370)),0), FactorTable!$A$2:$A$301,0), Skills!M19+1)</f>
        <v/>
      </c>
      <c r="F3370">
        <f>IF(Skills!N19=TRUE,(Skills!L19/10)*(E3370/1000),Skills!L19/10)+Skills!O19</f>
        <v/>
      </c>
      <c r="G3370">
        <f>Skills!G19*IF(Skills!H19&gt;0,Skills!I19/Skills!H19,1)</f>
        <v/>
      </c>
      <c r="H3370">
        <f>1-(1-Skills!J19/100)^Skills!K19</f>
        <v/>
      </c>
      <c r="I3370" t="inlineStr">
        <is>
          <t>1</t>
        </is>
      </c>
      <c r="J3370" t="inlineStr"/>
      <c r="K3370" t="inlineStr"/>
      <c r="L3370" t="inlineStr"/>
      <c r="M3370" t="inlineStr"/>
      <c r="N3370" t="inlineStr"/>
      <c r="O3370">
        <f>(1-Summary!$B$11)*T3370+Summary!$B$11*V3370</f>
        <v/>
      </c>
      <c r="P3370">
        <f>IF(B3394=0,0,O3370/B3394)</f>
        <v/>
      </c>
      <c r="Q3370">
        <f>IFERROR(1/(IF(Inputs!$B$38="pvp",15,MAX(0.1,Skills!D19-IF(Skills!E19=TRUE,5.0,0)))*(1-IF(AND(ArtifactsInput!$M$27,Inputs!$B$4="Chapter Hunt"),CHOOSE(ArtifactsInput!$N$27+1,20,24,28,32,36,40),0)/100)),0)</f>
        <v/>
      </c>
      <c r="R3370">
        <f>IF(AND(Inputs!$B$38&lt;&gt;"pvp",Inputs!$B$43&gt;0),IF(Inputs!$B$43&lt;=0,0,(INT(Inputs!$B$43/(IF(Inputs!$B$38="pvp",15,MAX(0.1,Skills!D19-IF(Skills!E19=TRUE,5.0,0)))*(1-IF(AND(ArtifactsInput!$M$27,Inputs!$B$4="Chapter Hunt"),CHOOSE(ArtifactsInput!$N$27+1,20,24,28,32,36,40),0)/100)))+1)),0)</f>
        <v/>
      </c>
      <c r="S3370">
        <f>IFERROR(O3370/N3370,0)</f>
        <v/>
      </c>
      <c r="T3370" t="n">
        <v>0</v>
      </c>
      <c r="V3370" t="n">
        <v>0</v>
      </c>
    </row>
    <row r="3371">
      <c r="A3371">
        <f>Skills!A20</f>
        <v/>
      </c>
      <c r="B3371">
        <f>Skills!B20</f>
        <v/>
      </c>
      <c r="C3371">
        <f>Inputs!$B$3&gt;=15</f>
        <v/>
      </c>
      <c r="D3371">
        <f>IF(Skills!C20=1,60+Inputs!$B$25+Inputs!$B$29,IF(Skills!C20=2,90+Inputs!$B$26+Inputs!$B$29,IF(Skills!C20=3,120+Inputs!$B$27+Inputs!$B$29,MAX(0,(Inputs!$B$3-100)*3)+Inputs!$B$28+Inputs!$B$29)))</f>
        <v/>
      </c>
      <c r="E3371">
        <f>INDEX(FactorTable!$B$2:$Y$301, MATCH(ROUND(MIN(300,MAX(1,D3371)),0), FactorTable!$A$2:$A$301,0), Skills!M20+1)</f>
        <v/>
      </c>
      <c r="F3371">
        <f>IF(Skills!N20=TRUE,(Skills!L20/10)*(E3371/1000),Skills!L20/10)+Skills!O20</f>
        <v/>
      </c>
      <c r="G3371">
        <f>Skills!G20*IF(Skills!H20&gt;0,Skills!I20/Skills!H20,1)</f>
        <v/>
      </c>
      <c r="H3371">
        <f>1-(1-Skills!J20/100)^Skills!K20</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Skills!A21</f>
        <v/>
      </c>
      <c r="B3372">
        <f>Skills!B21</f>
        <v/>
      </c>
      <c r="C3372">
        <f>Inputs!$B$3&gt;=10</f>
        <v/>
      </c>
      <c r="D3372">
        <f>IF(Skills!C21=1,60+Inputs!$B$25+Inputs!$B$29,IF(Skills!C21=2,90+Inputs!$B$26+Inputs!$B$29,IF(Skills!C21=3,120+Inputs!$B$27+Inputs!$B$29,MAX(0,(Inputs!$B$3-100)*3)+Inputs!$B$28+Inputs!$B$29)))</f>
        <v/>
      </c>
      <c r="E3372">
        <f>INDEX(FactorTable!$B$2:$Y$301, MATCH(ROUND(MIN(300,MAX(1,D3372)),0), FactorTable!$A$2:$A$301,0), Skills!M21+1)</f>
        <v/>
      </c>
      <c r="F3372">
        <f>IF(Skills!N21=TRUE,(Skills!L21/10)*(E3372/1000),Skills!L21/10)+Skills!O21</f>
        <v/>
      </c>
      <c r="G3372">
        <f>Skills!G21*IF(Skills!H21&gt;0,Skills!I21/Skills!H21,1)</f>
        <v/>
      </c>
      <c r="H3372">
        <f>1-(1-Skills!J21/100)^Skills!K21</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Skills!A22</f>
        <v/>
      </c>
      <c r="B3373">
        <f>Skills!B22</f>
        <v/>
      </c>
      <c r="C3373">
        <f>Inputs!$B$3&gt;=33</f>
        <v/>
      </c>
      <c r="D3373">
        <f>IF(Skills!C22=1,60+Inputs!$B$25+Inputs!$B$29,IF(Skills!C22=2,90+Inputs!$B$26+Inputs!$B$29,IF(Skills!C22=3,120+Inputs!$B$27+Inputs!$B$29,MAX(0,(Inputs!$B$3-100)*3)+Inputs!$B$28+Inputs!$B$29)))</f>
        <v/>
      </c>
      <c r="E3373">
        <f>INDEX(FactorTable!$B$2:$Y$301, MATCH(ROUND(MIN(300,MAX(1,D3373)),0), FactorTable!$A$2:$A$301,0), Skills!M22+1)</f>
        <v/>
      </c>
      <c r="F3373">
        <f>IF(Skills!N22=TRUE,(Skills!L22/10)*(E3373/1000),Skills!L22/10)+Skills!O22</f>
        <v/>
      </c>
      <c r="G3373">
        <f>Skills!G22*IF(Skills!H22&gt;0,Skills!I22/Skills!H22,1)</f>
        <v/>
      </c>
      <c r="H3373">
        <f>1-(1-Skills!J22/100)^Skills!K22</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Skills!A23</f>
        <v/>
      </c>
      <c r="B3374">
        <f>Skills!B23</f>
        <v/>
      </c>
      <c r="C3374">
        <f>Inputs!$B$3&gt;=38</f>
        <v/>
      </c>
      <c r="D3374">
        <f>IF(Skills!C23=1,60+Inputs!$B$25+Inputs!$B$29,IF(Skills!C23=2,90+Inputs!$B$26+Inputs!$B$29,IF(Skills!C23=3,120+Inputs!$B$27+Inputs!$B$29,MAX(0,(Inputs!$B$3-100)*3)+Inputs!$B$28+Inputs!$B$29)))</f>
        <v/>
      </c>
      <c r="E3374">
        <f>INDEX(FactorTable!$B$2:$Y$301, MATCH(ROUND(MIN(300,MAX(1,D3374)),0), FactorTable!$A$2:$A$301,0), Skills!M23+1)</f>
        <v/>
      </c>
      <c r="F3374">
        <f>IF(Skills!N23=TRUE,(Skills!L23/10)*(E3374/1000),Skills!L23/10)+Skills!O23</f>
        <v/>
      </c>
      <c r="G3374">
        <f>Skills!G23*IF(Skills!H23&gt;0,Skills!I23/Skills!H23,1)</f>
        <v/>
      </c>
      <c r="H3374">
        <f>1-(1-Skills!J23/100)^Skills!K23</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Skills!A24</f>
        <v/>
      </c>
      <c r="B3375">
        <f>Skills!B24</f>
        <v/>
      </c>
      <c r="C3375">
        <f>Inputs!$B$3&gt;=43</f>
        <v/>
      </c>
      <c r="D3375">
        <f>IF(Skills!C24=1,60+Inputs!$B$25+Inputs!$B$29,IF(Skills!C24=2,90+Inputs!$B$26+Inputs!$B$29,IF(Skills!C24=3,120+Inputs!$B$27+Inputs!$B$29,MAX(0,(Inputs!$B$3-100)*3)+Inputs!$B$28+Inputs!$B$29)))</f>
        <v/>
      </c>
      <c r="E3375">
        <f>INDEX(FactorTable!$B$2:$Y$301, MATCH(ROUND(MIN(300,MAX(1,D3375)),0), FactorTable!$A$2:$A$301,0), Skills!M24+1)</f>
        <v/>
      </c>
      <c r="F3375">
        <f>IF(Skills!N24=TRUE,(Skills!L24/10)*(E3375/1000),Skills!L24/10)+Skills!O24</f>
        <v/>
      </c>
      <c r="G3375">
        <f>Skills!G24*IF(Skills!H24&gt;0,Skills!I24/Skills!H24,1)</f>
        <v/>
      </c>
      <c r="H3375">
        <f>1-(1-Skills!J24/100)^Skills!K24</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Skills!A25</f>
        <v/>
      </c>
      <c r="B3376">
        <f>Skills!B25</f>
        <v/>
      </c>
      <c r="C3376">
        <f>Inputs!$B$3&gt;=75</f>
        <v/>
      </c>
      <c r="D3376">
        <f>IF(Skills!C25=1,60+Inputs!$B$25+Inputs!$B$29,IF(Skills!C25=2,90+Inputs!$B$26+Inputs!$B$29,IF(Skills!C25=3,120+Inputs!$B$27+Inputs!$B$29,MAX(0,(Inputs!$B$3-100)*3)+Inputs!$B$28+Inputs!$B$29)))</f>
        <v/>
      </c>
      <c r="E3376">
        <f>INDEX(FactorTable!$B$2:$Y$301, MATCH(ROUND(MIN(300,MAX(1,D3376)),0), FactorTable!$A$2:$A$301,0), Skills!M25+1)</f>
        <v/>
      </c>
      <c r="F3376">
        <f>IF(Skills!N25=TRUE,(Skills!L25/10)*(E3376/1000),Skills!L25/10)+Skills!O25</f>
        <v/>
      </c>
      <c r="G3376">
        <f>Skills!G25*IF(Skills!H25&gt;0,Skills!I25/Skills!H25,1)</f>
        <v/>
      </c>
      <c r="H3376">
        <f>1-(1-Skills!J25/100)^Skills!K25</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Skills!A26</f>
        <v/>
      </c>
      <c r="B3377">
        <f>Skills!B26</f>
        <v/>
      </c>
      <c r="C3377">
        <f>Inputs!$B$3&gt;=125</f>
        <v/>
      </c>
      <c r="D3377">
        <f>IF(Skills!C26=1,60+Inputs!$B$25+Inputs!$B$29,IF(Skills!C26=2,90+Inputs!$B$26+Inputs!$B$29,IF(Skills!C26=3,120+Inputs!$B$27+Inputs!$B$29,MAX(0,(Inputs!$B$3-100)*3)+Inputs!$B$28+Inputs!$B$29)))</f>
        <v/>
      </c>
      <c r="E3377">
        <f>INDEX(FactorTable!$B$2:$Y$301, MATCH(ROUND(MIN(300,MAX(1,D3377)),0), FactorTable!$A$2:$A$301,0), Skills!M26+1)</f>
        <v/>
      </c>
      <c r="F3377">
        <f>IF(Skills!N26=TRUE,(Skills!L26/10)*(E3377/1000),Skills!L26/10)+Skills!O26</f>
        <v/>
      </c>
      <c r="G3377">
        <f>Skills!G26*IF(Skills!H26&gt;0,Skills!I26/Skills!H26,1)</f>
        <v/>
      </c>
      <c r="H3377">
        <f>1-(1-Skills!J26/100)^Skills!K26</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Skills!A27</f>
        <v/>
      </c>
      <c r="B3378">
        <f>Skills!B27</f>
        <v/>
      </c>
      <c r="C3378">
        <f>Inputs!$B$3&gt;=125</f>
        <v/>
      </c>
      <c r="D3378">
        <f>IF(Skills!C27=1,60+Inputs!$B$25+Inputs!$B$29,IF(Skills!C27=2,90+Inputs!$B$26+Inputs!$B$29,IF(Skills!C27=3,120+Inputs!$B$27+Inputs!$B$29,MAX(0,(Inputs!$B$3-100)*3)+Inputs!$B$28+Inputs!$B$29)))</f>
        <v/>
      </c>
      <c r="E3378">
        <f>INDEX(FactorTable!$B$2:$Y$301, MATCH(ROUND(MIN(300,MAX(1,D3378)),0), FactorTable!$A$2:$A$301,0), Skills!M27+1)</f>
        <v/>
      </c>
      <c r="F3378">
        <f>IF(Skills!N27=TRUE,(Skills!L27/10)*(E3378/1000),Skills!L27/10)+Skills!O27</f>
        <v/>
      </c>
      <c r="G3378">
        <f>Skills!G27*IF(Skills!H27&gt;0,Skills!I27/Skills!H27,1)</f>
        <v/>
      </c>
      <c r="H3378">
        <f>1-(1-Skills!J27/100)^Skills!K27</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Skills!A28</f>
        <v/>
      </c>
      <c r="B3379">
        <f>Skills!B28</f>
        <v/>
      </c>
      <c r="C3379">
        <f>Inputs!$B$3&gt;=120</f>
        <v/>
      </c>
      <c r="D3379">
        <f>IF(Skills!C28=1,60+Inputs!$B$25+Inputs!$B$29,IF(Skills!C28=2,90+Inputs!$B$26+Inputs!$B$29,IF(Skills!C28=3,120+Inputs!$B$27+Inputs!$B$29,MAX(0,(Inputs!$B$3-100)*3)+Inputs!$B$28+Inputs!$B$29)))</f>
        <v/>
      </c>
      <c r="E3379">
        <f>INDEX(FactorTable!$B$2:$Y$301, MATCH(ROUND(MIN(300,MAX(1,D3379)),0), FactorTable!$A$2:$A$301,0), Skills!M28+1)</f>
        <v/>
      </c>
      <c r="F3379">
        <f>IF(Skills!N28=TRUE,(Skills!L28/10)*(E3379/1000),Skills!L28/10)+Skills!O28</f>
        <v/>
      </c>
      <c r="G3379">
        <f>Skills!G28*IF(Skills!H28&gt;0,Skills!I28/Skills!H28,1)</f>
        <v/>
      </c>
      <c r="H3379">
        <f>1-(1-Skills!J28/100)^Skills!K28</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0">
      <c r="A3380">
        <f>Skills!A29</f>
        <v/>
      </c>
      <c r="B3380">
        <f>Skills!B29</f>
        <v/>
      </c>
      <c r="C3380">
        <f>Inputs!$B$3&gt;=120</f>
        <v/>
      </c>
      <c r="D3380">
        <f>IF(Skills!C29=1,60+Inputs!$B$25+Inputs!$B$29,IF(Skills!C29=2,90+Inputs!$B$26+Inputs!$B$29,IF(Skills!C29=3,120+Inputs!$B$27+Inputs!$B$29,MAX(0,(Inputs!$B$3-100)*3)+Inputs!$B$28+Inputs!$B$29)))</f>
        <v/>
      </c>
      <c r="E3380">
        <f>INDEX(FactorTable!$B$2:$Y$301, MATCH(ROUND(MIN(300,MAX(1,D3380)),0), FactorTable!$A$2:$A$301,0), Skills!M29+1)</f>
        <v/>
      </c>
      <c r="F3380">
        <f>IF(Skills!N29=TRUE,(Skills!L29/10)*(E3380/1000),Skills!L29/10)+Skills!O29</f>
        <v/>
      </c>
      <c r="G3380">
        <f>Skills!G29*IF(Skills!H29&gt;0,Skills!I29/Skills!H29,1)</f>
        <v/>
      </c>
      <c r="H3380">
        <f>1-(1-Skills!J29/100)^Skills!K29</f>
        <v/>
      </c>
      <c r="I3380" t="inlineStr">
        <is>
          <t>1</t>
        </is>
      </c>
      <c r="J3380" t="inlineStr"/>
      <c r="K3380" t="inlineStr"/>
      <c r="L3380" t="inlineStr"/>
      <c r="M3380" t="inlineStr"/>
      <c r="N3380" t="inlineStr"/>
      <c r="O3380">
        <f>(1-Summary!$B$11)*T3380+Summary!$B$11*V3380</f>
        <v/>
      </c>
      <c r="P3380">
        <f>IF(B3394=0,0,O3380/B3394)</f>
        <v/>
      </c>
      <c r="Q3380" t="n">
        <v>0</v>
      </c>
      <c r="R3380" t="n">
        <v>0</v>
      </c>
      <c r="S3380">
        <f>IFERROR(O3380/N3380,0)</f>
        <v/>
      </c>
      <c r="T3380" t="n">
        <v>0</v>
      </c>
      <c r="V3380" t="n">
        <v>0</v>
      </c>
    </row>
    <row r="3381">
      <c r="A3381">
        <f>Skills!A30</f>
        <v/>
      </c>
      <c r="B3381">
        <f>Skills!B30</f>
        <v/>
      </c>
      <c r="C3381">
        <f>Inputs!$B$3&gt;=45</f>
        <v/>
      </c>
      <c r="D3381">
        <f>IF(Skills!C30=1,60+Inputs!$B$25+Inputs!$B$29,IF(Skills!C30=2,90+Inputs!$B$26+Inputs!$B$29,IF(Skills!C30=3,120+Inputs!$B$27+Inputs!$B$29,MAX(0,(Inputs!$B$3-100)*3)+Inputs!$B$28+Inputs!$B$29)))</f>
        <v/>
      </c>
      <c r="E3381">
        <f>INDEX(FactorTable!$B$2:$Y$301, MATCH(ROUND(MIN(300,MAX(1,D3381)),0), FactorTable!$A$2:$A$301,0), Skills!M30+1)</f>
        <v/>
      </c>
      <c r="F3381">
        <f>IF(Skills!N30=TRUE,(Skills!L30/10)*(E3381/1000),Skills!L30/10)+Skills!O30</f>
        <v/>
      </c>
      <c r="G3381">
        <f>Skills!G30*IF(Skills!H30&gt;0,Skills!I30/Skills!H30,1)</f>
        <v/>
      </c>
      <c r="H3381">
        <f>1-(1-Skills!J30/100)^Skills!K30</f>
        <v/>
      </c>
      <c r="I3381" t="inlineStr">
        <is>
          <t>1</t>
        </is>
      </c>
      <c r="J3381" t="inlineStr"/>
      <c r="K3381" t="inlineStr"/>
      <c r="L3381" t="inlineStr"/>
      <c r="M3381" t="inlineStr"/>
      <c r="N3381" t="inlineStr"/>
      <c r="O3381">
        <f>(1-Summary!$B$11)*T3381+Summary!$B$11*V3381</f>
        <v/>
      </c>
      <c r="P3381">
        <f>IF(B3394=0,0,O3381/B3394)</f>
        <v/>
      </c>
      <c r="Q3381" t="n">
        <v>0</v>
      </c>
      <c r="R3381" t="n">
        <v>0</v>
      </c>
      <c r="S3381">
        <f>IFERROR(O3381/N3381,0)</f>
        <v/>
      </c>
      <c r="T3381" t="n">
        <v>0</v>
      </c>
      <c r="V3381" t="n">
        <v>0</v>
      </c>
    </row>
    <row r="3383">
      <c r="A3383" t="inlineStr">
        <is>
          <t>Attack% Bucket Multiplier</t>
        </is>
      </c>
      <c r="B3383">
        <f>(1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4">
      <c r="A3384" t="inlineStr">
        <is>
          <t>Global Crit Rate Bonus %</t>
        </is>
      </c>
      <c r="B3384">
        <f>(C3367=TRUE)*20*IF(AND(Inputs!$B$38&lt;&gt;"pvp",Inputs!$B$43&gt;0),(((R3367-1)*(Skills!T16*(1+Inputs!$B$34/100))+MIN((Skills!T16*(1+Inputs!$B$34/100)),MAX(0,Inputs!$B$43-((R3367-1)*Skills!D16))))/Inputs!$B$43),IF(Inputs!$B$38="pvp",MIN((Skills!T16*(1+Inputs!$B$34/100)),15)/15,(Skills!T16*(1+Inputs!$B$34/100))/Skills!D16))</f>
        <v/>
      </c>
    </row>
    <row r="3385">
      <c r="A3385" t="inlineStr">
        <is>
          <t>Attack Speed Buff Bonus %</t>
        </is>
      </c>
      <c r="B3385">
        <f>((C3370=TRUE)*F3370*IF(AND(Inputs!$B$38&lt;&gt;"pvp",Inputs!$B$43&gt;0),(((R3370-1)*(Skills!T19*(1+Inputs!$B$34/100))+MIN((Skills!T19*(1+Inputs!$B$34/100)),MAX(0,Inputs!$B$43-((R3370-1)*Skills!D19))))/Inputs!$B$43),IF(Inputs!$B$38="pvp",MIN((Skills!T19*(1+Inputs!$B$34/100)),15)/15,(Skills!T19*(1+Inputs!$B$34/100))/Skills!D19)))</f>
        <v/>
      </c>
    </row>
    <row r="3386">
      <c r="A3386" t="inlineStr">
        <is>
          <t>Actions Per Second</t>
        </is>
      </c>
      <c r="B3386">
        <f>1+MIN(150,150*(1-(1-(Inputs!$B$11+((C3372=TRUE)*(F3372-Calc!F21))+((C3373=TRUE)*(F3373-Calc!F22)))/150)*(1-B3385/150)))/100</f>
        <v/>
      </c>
    </row>
    <row r="3387">
      <c r="A3387" t="inlineStr">
        <is>
          <t>Skill + Buff Cast Rate</t>
        </is>
      </c>
      <c r="B3387">
        <f>IF(AND(Inputs!$B$38&lt;&gt;"pvp",Inputs!$B$43&gt;0),SUMPRODUCT((Skills!E2:E30=TRUE)*(C3353:C3381=TRUE)*R3353:R3381*Skills!F2:F30)/Inputs!$B$43,SUMPRODUCT((Skills!E2:E30=TRUE)*(C3353:C3381=TRUE)*Q3353:Q3381*Skills!F2:F30))</f>
        <v/>
      </c>
    </row>
    <row r="3388">
      <c r="A3388" t="inlineStr">
        <is>
          <t>Arrow Stream Casts Per Second</t>
        </is>
      </c>
      <c r="B3388">
        <f>MAX(0,B3386-B3387)</f>
        <v/>
      </c>
    </row>
    <row r="3389">
      <c r="A3389" t="inlineStr">
        <is>
          <t>Global Critical Damage Bonus % (Sharp Eyes + Concentration)</t>
        </is>
      </c>
      <c r="B3389">
        <f>(C3367=TRUE)*F3367*IF(AND(Inputs!$B$38&lt;&gt;"pvp",Inputs!$B$43&gt;0),(((R3367-1)*(Skills!T16*(1+Inputs!$B$34/100))+MIN((Skills!T16*(1+Inputs!$B$34/100)),MAX(0,Inputs!$B$43-((R3367-1)*Skills!D16))))/Inputs!$B$43),IF(Inputs!$B$38="pvp",MIN((Skills!T16*(1+Inputs!$B$34/100)),15)/15,(Skills!T16*(1+Inputs!$B$34/100))/Skills!D16))+(C3368=TRUE)*30</f>
        <v/>
      </c>
    </row>
    <row r="3390">
      <c r="A3390" t="inlineStr">
        <is>
          <t>Global Final Damage Bonus % (Mortal Blow)</t>
        </is>
      </c>
      <c r="B3390">
        <f>(C3369=TRUE)*F3369</f>
        <v/>
      </c>
    </row>
    <row r="3391">
      <c r="A3391" t="inlineStr">
        <is>
          <t>Buff-Casting Startup Delay (s, fixed-duration only)</t>
        </is>
      </c>
      <c r="B3391">
        <f>IF(AND(Inputs!$B$38&lt;&gt;"pvp",Inputs!$B$43&gt;0),SUMPRODUCT((Skills!T2:T30&gt;0)*(Skills!E2:E30=TRUE)*(C3353:C3381=TRUE))/B3386,0)</f>
        <v/>
      </c>
    </row>
    <row r="3392">
      <c r="A3392" t="inlineStr">
        <is>
          <t>Boss-Only Total DPS (this block's swept value)</t>
        </is>
      </c>
      <c r="B3392">
        <f>SUM(T3353:T3381)</f>
        <v/>
      </c>
    </row>
    <row r="3393">
      <c r="A3393" t="inlineStr">
        <is>
          <t>Normal-Only Total DPS (this block's swept value)</t>
        </is>
      </c>
      <c r="B3393">
        <f>SUM(V3353:V3381)</f>
        <v/>
      </c>
    </row>
    <row r="3394">
      <c r="A3394" s="6" t="inlineStr">
        <is>
          <t>TOTAL DPS</t>
        </is>
      </c>
      <c r="B3394" s="6">
        <f>SUM(O3353:O3381)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2026-09-24T17:31:42Z</dcterms:created>
  <dcterms:modified xsi:type="dcterms:W3CDTF">2026-09-24T17:31:42Z</dcterms:modified>
</cp:coreProperties>
</file>